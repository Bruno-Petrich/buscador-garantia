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atos" sheetId="1" r:id="rId5"/>
    <sheet state="visible" name="PUBLICO" sheetId="2" r:id="rId6"/>
    <sheet state="visible" name="DEBUG" sheetId="3" r:id="rId7"/>
    <sheet state="visible" name="Legenda" sheetId="4" r:id="rId8"/>
    <sheet state="visible" name="Quantidade Equipamento - Automá" sheetId="5" r:id="rId9"/>
  </sheets>
  <definedNames>
    <definedName hidden="1" localSheetId="0" name="_xlnm._FilterDatabase">Contratos!$A$2:$AN$1671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tc={007c4db0-9872-40dd-a5fd-fba63f57acd6}</author>
    <author>tc={008cdd42-ef69-417b-bbbd-dfab8cfe68b4}</author>
    <author>tc={00c0a1cc-47d1-442f-baa0-71bbc9c58c43}</author>
    <author>tc={00c39ec8-7153-473a-82dd-88ffcf23f21e}</author>
    <author>tc={00dab997-3cad-4116-a52b-d94326f76568}</author>
    <author>tc={00e1a174-c3f5-410b-ae96-c05d0a74bd74}</author>
    <author>tc={0123d78d-616c-444b-afec-3263f9d348ce}</author>
    <author>tc={013fc0a9-a4b3-4f6c-a4e4-903aa1902957}</author>
    <author>tc={01baef73-7dde-4756-bd5c-cc7a2fa93a2f}</author>
    <author>tc={02040980-aaeb-4840-9cef-77acdebef51e}</author>
    <author>tc={02544eab-b815-408e-acfa-c157606d0a27}</author>
    <author>tc={027eee55-135b-4ace-aa12-c730ace5f7aa}</author>
    <author>tc={029d5d68-7e70-4ac4-a42a-a7067384cf77}</author>
    <author>tc={0307688a-c49f-4f4b-ad4a-db1f99cb2cb4}</author>
    <author>tc={0314d5fc-792a-452b-b7d1-b6f5075c7277}</author>
    <author>tc={031ff944-45fc-46bf-84f7-9e8b06d83384}</author>
    <author>tc={039ccfb3-510a-41b6-86f3-025150411afd}</author>
    <author>tc={03a7033b-4008-4722-8482-c292c6ffa4c4}</author>
    <author>tc={03c88444-999c-4811-b988-ce637582a6f7}</author>
    <author>tc={040f7e0b-2a97-4b6f-90ae-119cd69ff9d4}</author>
    <author>tc={0412456d-4e60-4606-9736-729ce50beb10}</author>
    <author>tc={042fb83a-be08-4deb-b16b-c674ab71a5a1}</author>
    <author>tc={04530913-04a2-45aa-9e56-cb726db18f7b}</author>
    <author>tc={046189d7-b956-487c-8235-702e10d75297}</author>
    <author>tc={04746b3f-859e-41ed-a7f6-3aa428669b45}</author>
    <author>tc={04c07887-194d-4c8b-93ab-4bb7b03c75f3}</author>
    <author>tc={04f3d89c-af93-4875-8c2a-50a524c0cc3b}</author>
    <author>tc={05047661-aeba-4041-bfbd-6e46f2f71e96}</author>
    <author>tc={05087965-652e-402b-81cb-30bedf9282d4}</author>
    <author>tc={050e3b2d-a18c-468c-8423-d81873a638ff}</author>
    <author>tc={053dd553-2023-45cd-8f12-ea92d45a8d54}</author>
    <author>tc={057bc8bd-9c2b-48ce-b6e9-970049c158b9}</author>
    <author>tc={0581cb5c-164b-46ac-947b-25ca6c2fe839}</author>
    <author>tc={0582e0a6-6854-4882-a51c-a2ec9f6b6725}</author>
    <author>tc={0585b1d7-6934-4127-8b7c-ed945278d233}</author>
    <author>tc={05aa8904-71b4-48d7-bb18-53e53756fac2}</author>
    <author>tc={05bd9438-25d4-4bad-86ac-36be99249281}</author>
    <author>tc={0645566e-57eb-4e82-bf61-5eeca758c8a7}</author>
    <author>tc={0674eaa4-704e-4c13-b688-34bf6eb087a6}</author>
    <author>tc={06a7aa48-8560-4ecc-9ff7-6fb7f37ae09a}</author>
    <author>tc={07028fbb-f4ec-4efb-8bdc-f656fd824ce5}</author>
    <author>tc={071c43ad-97eb-40ff-9f73-a2c86849ce1c}</author>
    <author>tc={07461c09-0227-4725-802a-fc7cafa3c978}</author>
    <author>tc={0753c2cd-e9c8-49d4-ba22-32032a0c8e08}</author>
    <author>tc={075b712d-9344-461a-b6d9-b8b7ef2b9bba}</author>
    <author>tc={079190c5-e075-43b0-89cb-75c0d226c7db}</author>
    <author>tc={07b0d929-aacf-42c8-9b1f-f5166f0f5a9f}</author>
    <author>tc={07b20d99-c4c4-4993-aa68-077a2469910d}</author>
    <author>tc={07f669a6-f0c8-46b5-8bab-76b43dadafee}</author>
    <author>tc={0825cf26-68ec-4144-92cd-826c1d7d276d}</author>
    <author>tc={0837b40a-f208-40ac-8736-2c6d387136f2}</author>
    <author>tc={088d2e40-29d6-4be2-a617-3b5da1904ec2}</author>
    <author>tc={08938472-4c21-44d5-824d-700cf73a1db1}</author>
    <author>tc={08dfe65f-b457-4ca7-9c06-c2e56f16bb21}</author>
    <author>tc={09062b1f-e8f7-4a8a-a688-594abd45c595}</author>
    <author>tc={094855c8-4efc-4490-b1b4-bd3b45a1d30a}</author>
    <author>tc={09a5ca48-9380-4c15-8167-e38e4bcd08f3}</author>
    <author>tc={09a62c9f-7d09-4c2d-8552-4d4ac51c3a94}</author>
    <author>tc={09b2d8ec-6536-474a-9498-ff39471f4eab}</author>
    <author>tc={09cfc1a9-83dc-4178-b013-254ec68c6170}</author>
    <author>tc={09e6dbb4-3c98-4c37-8cde-1704dd427d84}</author>
    <author>tc={09fc49bd-de42-49a4-ba32-4a5a9f4e1081}</author>
    <author>tc={0a092d7e-a033-4956-b650-b5fe69cbd1d0}</author>
    <author>tc={0a291ab0-8fdc-403f-9d7b-b09a02eedd70}</author>
    <author>tc={0a38791a-6304-4065-8263-9052beec9112}</author>
    <author>tc={0a6c3784-7413-491b-9c15-14c57344d365}</author>
    <author>tc={0a849709-57c0-461a-a3a7-de44be70a6a0}</author>
    <author>tc={0ab0856c-7885-45d0-9e8c-f8b6252faae4}</author>
    <author>tc={0abdc532-0ce4-4309-bc44-41944365f052}</author>
    <author>tc={0adb4a30-cd24-49d3-8cd8-5a19b29a7978}</author>
    <author>tc={0b50f18d-e9dd-4c6e-a175-1f2c81ea18ac}</author>
    <author>tc={0b87c2e3-9a4f-48d4-87b2-016ba5f7791a}</author>
    <author>tc={0b889670-ae82-4a37-b219-a246dbe2537d}</author>
    <author>tc={0bb5c7d1-4671-40d3-bae3-5374efc33033}</author>
    <author>tc={0bdf9e22-0b4e-4445-bc84-bc4daedd3722}</author>
    <author>tc={0becf766-90a1-4bff-b216-02f8c60050ab}</author>
    <author>tc={0c429874-e697-49dd-b174-0840a0b72b6b}</author>
    <author>tc={0c81ab47-e524-43af-ae5e-83a1f1c9706c}</author>
    <author>tc={0ca1b3b1-a5c4-40c2-a0b3-0d2126bd62ae}</author>
    <author>tc={0cacd9e6-6da3-430c-bbc2-f8ef3cb6e957}</author>
    <author>tc={0cf0a308-4205-4619-914e-823af009c459}</author>
    <author>tc={0d4e466e-0f37-4e52-b0d9-75ef9503f9d4}</author>
    <author>tc={0d9e1f27-b743-4cb0-ba5f-eb080278adba}</author>
    <author>tc={0dad7437-8c77-4e25-b68f-1c5fb78bb1dd}</author>
    <author>tc={0dc440a7-69b1-4ef0-acac-5d7fa527e5df}</author>
    <author>tc={0dcbcc18-f476-4c4e-a590-8a320f55828f}</author>
    <author>tc={0e196dbe-7eaa-405b-9bc1-188de298db4a}</author>
    <author>tc={0e1fc97b-3576-416f-9025-e65ce464568c}</author>
    <author>tc={0e254b71-0576-4b8a-b3eb-7be4847c1434}</author>
    <author>tc={0e627d0f-2c07-4a1e-82fb-dc30b183d01a}</author>
    <author>tc={0e82cb18-67d5-4555-bed0-82e5406ba1aa}</author>
    <author>tc={0eb9da66-4f55-42c4-9822-be97d912a531}</author>
    <author>tc={1015a564-6cb9-4169-b70f-0a81305a505e}</author>
    <author>tc={104f3a21-8098-435a-8ab7-18cd74b20d6c}</author>
    <author>tc={105c2a16-e963-4e37-906f-ce5594585d46}</author>
    <author>tc={1068db93-5e8b-49c1-80e9-3a647513ff11}</author>
    <author>tc={1079b910-c105-43e3-a13e-654662689043}</author>
    <author>tc={10b3ecab-7304-481d-a92c-dd7aa47cb7a3}</author>
    <author>tc={10d2247a-f753-47ed-a8e1-7a6b5fcd6819}</author>
    <author>tc={10fc7b43-c60c-4a29-806a-2bb50c1c2092}</author>
    <author>tc={114aee5e-85da-4ce3-8e78-940c80d436ff}</author>
    <author>tc={114edef7-d2f6-4007-bc97-18fe40bcd1bf}</author>
    <author>tc={11652c37-f0c0-45a5-b6de-5859db537083}</author>
    <author>tc={1165fd76-b6c0-4a74-87d6-ec53b1bf240e}</author>
    <author>tc={117865bf-da99-4b62-ac8e-8cd10d9b447e}</author>
    <author>tc={11a228a3-6f48-483d-80be-a5bb2ce1f103}</author>
    <author>tc={11b1e817-9723-449b-a771-b6b7d7995785}</author>
    <author>tc={11bc8e99-ddc8-488a-88b9-aa79eaec6920}</author>
    <author>tc={11ddbec7-838d-4db9-99ce-96fe4669580e}</author>
    <author>tc={11e99ac3-808d-4de6-b8f0-cdde42c9130c}</author>
    <author>tc={1203b06e-c6d0-4c86-865d-d877e4df9e26}</author>
    <author>tc={12044223-8317-478e-a930-e38c88cc69ef}</author>
    <author>tc={1224d67e-e609-4bcf-878d-afbf53c91756}</author>
    <author>tc={127827c3-cdbb-4082-8088-010f97018110}</author>
    <author>tc={128c6ea2-5990-4ea2-94a3-b2abde0fae8f}</author>
    <author>tc={12962199-69a3-425c-ad1e-7bb9ff364644}</author>
    <author>tc={130b9e7f-5f8a-4fd1-8890-eed3f0baa2de}</author>
    <author>tc={130d6eb4-2b96-487c-aad2-1eb2643630d9}</author>
    <author>tc={130ea8b5-a00d-4a99-9a37-e12e9a3dcc5a}</author>
    <author>tc={13487ae9-b6ed-4cd1-af8a-0abef63f5e69}</author>
    <author>tc={1348f233-cd02-4a0a-8302-4982f47d65c3}</author>
    <author>tc={134f2af3-ec15-4faf-b97b-28b4afb68a24}</author>
    <author>tc={1351acae-a455-4b9e-9fb5-6688cca2aae8}</author>
    <author>tc={137ec85e-0230-414f-8e37-8a1e6290fedb}</author>
    <author>tc={1384736e-a23b-486e-aa79-3278ab85a86e}</author>
    <author>tc={138fe2e4-3387-44c9-86fc-b71a88477bf4}</author>
    <author>tc={13974be6-93c9-4ecb-abf3-83520a1cc65e}</author>
    <author>tc={140b86b6-9666-4ff4-916f-d3283069b70f}</author>
    <author>tc={1413f641-fd7c-44ee-8dc4-e59396072b44}</author>
    <author>tc={143723d9-0e45-4ea2-b9f6-2a91ccd82696}</author>
    <author>tc={143e94be-6e7f-4839-9a10-59ec015183c5}</author>
    <author>tc={1494b1af-2671-44c6-8bdb-f8d36ad0f9a1}</author>
    <author>tc={14b1cb3e-7db0-4b6e-bfd3-02358dd4ae14}</author>
    <author>tc={14b374bb-91e0-4f19-a7e2-cec4ce6176e0}</author>
    <author>tc={14c1ba0c-8df6-43ce-bb87-319e753b21f6}</author>
    <author>tc={14c8ce4b-18fa-4429-80c0-f8f2b0ee1595}</author>
    <author>tc={14d7edda-d501-4f61-b1a1-c23293f9bfa2}</author>
    <author>tc={1527e432-4df6-494e-973a-318f67a4cab7}</author>
    <author>tc={152f72d8-81b8-4f0e-bb6f-3b7275d2de89}</author>
    <author>tc={15b0a2bf-697e-4f21-bddc-70f64b1a2cd2}</author>
    <author>tc={15c15831-b718-468d-81fa-107daf116b94}</author>
    <author>tc={15ea45eb-83df-430a-8b3e-d6842a4ecabd}</author>
    <author>tc={1617c20f-864e-4997-9829-d53b1b05af13}</author>
    <author>tc={161e0817-a251-4293-aa8c-69cb5040fd38}</author>
    <author>tc={1620a1a4-b286-4ed8-b263-5552a350f6ec}</author>
    <author>tc={16486cc8-5ac9-4f92-8bdb-26ef6bb980bd}</author>
    <author>tc={1658eea7-d116-4a3e-baf2-11fff6da207f}</author>
    <author>tc={16892cf5-dfd2-4eba-a88d-8aac96199263}</author>
    <author>tc={16948e32-990b-4eb9-b5fb-9b89752a67a2}</author>
    <author>tc={16dc5df6-a1db-42da-b951-2aed9578c5b8}</author>
    <author>tc={16ea0e44-8621-4166-b230-17cce7b6146a}</author>
    <author>tc={16f48f9f-2c29-4efa-bb97-d1cfb1db0ff9}</author>
    <author>tc={1700b555-7b4d-4565-a449-64accbffbd3a}</author>
    <author>tc={1703ebca-d4b0-45da-a5a0-bb8cb75c12f8}</author>
    <author>tc={171bd7a5-33da-4e7e-b5eb-367c0aecc583}</author>
    <author>tc={173c67b8-4488-47de-8c7e-6364a6b9871e}</author>
    <author>tc={17890a76-f583-4dcf-a1e4-fbaf21f5c59a}</author>
    <author>tc={1792e2da-8c26-4f8f-9150-56b44ba707b5}</author>
    <author>tc={17ce900f-7def-4660-bff7-5f744ad11db6}</author>
    <author>tc={17f02074-2d64-44de-a138-2af287678a80}</author>
    <author>tc={17f8d41b-7f1d-4271-b4e3-74d57330fe87}</author>
    <author>tc={17fa6688-8720-4675-a846-095f3e1de28d}</author>
    <author>tc={1811716e-804f-40fc-a583-2fa0d5ff86d9}</author>
    <author>tc={184ca5cb-cb74-4522-b3e8-b7061fd820f2}</author>
    <author>tc={189c57d2-cf19-4275-8856-55f1eb3fd59f}</author>
    <author>tc={18c43b6d-711c-4c57-a1f0-8ae85f1ff9ec}</author>
    <author>tc={19116ca5-83b6-4c92-8a4c-ea4b91b903ce}</author>
    <author>tc={1919cd2f-edb7-415f-ab79-18ee1e29ba38}</author>
    <author>tc={192c5741-d088-4ff7-9344-4a38cc027494}</author>
    <author>tc={193b4efb-51d5-436c-a8e2-faca481a5bf3}</author>
    <author>tc={196b4a70-a7ce-4aa8-877b-ff47777d036e}</author>
    <author>tc={19825718-b263-4af3-b222-da0f1ad30140}</author>
    <author>tc={198fce03-9989-4572-9009-a6ea5b352373}</author>
    <author>tc={1999133b-cd13-4053-8f9f-aaa6ea682be6}</author>
    <author>tc={199a48f9-8726-49ca-b854-1154345151ae}</author>
    <author>tc={19a6cd1e-e581-444f-a231-d4ad85778b2b}</author>
    <author>tc={19b96d1e-1c9d-464b-b634-c402c27ec7a6}</author>
    <author>tc={1a088bd0-4f20-47a3-881a-7560985d6be9}</author>
    <author>tc={1a08e39d-50c6-477e-b76c-b9d0bb77d0e3}</author>
    <author>tc={1a884d38-195f-453b-9246-2a9d6809b71e}</author>
    <author>tc={1ab42776-311f-4d7b-b584-d1284ab0856b}</author>
    <author>tc={1b085563-c81a-4871-b88f-8833857742b3}</author>
    <author>tc={1b2f63ab-a928-40c6-88e3-f57b3c287f8d}</author>
    <author>tc={1b3c7ced-ee1b-46b5-a910-e3750ec206ec}</author>
    <author>tc={1b576b90-f1b5-48bf-9cde-d78fbc07cd56}</author>
    <author>tc={1b88aa22-8a80-413a-b7c8-4b351aef72e4}</author>
    <author>tc={1bcbfa9c-1712-4124-a623-131e6464a3bf}</author>
    <author>tc={1bd006b8-637d-4e19-9328-d499d3521fb1}</author>
    <author>tc={1bd5d0d8-17c8-4b21-ade0-f5e7b59f4914}</author>
    <author>tc={1bea5f45-1401-40e8-82a8-7436612dc02a}</author>
    <author>tc={1c09e4ac-ebb9-445e-a450-bf300c4d5d76}</author>
    <author>tc={1c25e9f2-b001-43c9-a051-b68a71ff98cb}</author>
    <author>tc={1c453fb2-1c37-4ed9-8734-02c3ee562d96}</author>
    <author>tc={1c59143c-0514-4933-8ff3-638bcea33814}</author>
    <author>tc={1c7120f8-c668-437b-9f81-c2b0362301be}</author>
    <author>tc={1c9cc61c-cd9f-464a-91b4-c0dc2ebaeacf}</author>
    <author>tc={1cc841d5-9a09-4b73-8511-b79b7d63a2ea}</author>
    <author>tc={1cd1ad7e-0db2-494e-8fab-c61719c0ac9e}</author>
    <author>tc={1d143345-3b93-44b9-9173-92dbc24b3fa0}</author>
    <author>tc={1d1a89c8-e045-4fa0-8185-a8319f1efb1d}</author>
    <author>tc={1d60c045-ba69-4dce-a6a3-783162091afe}</author>
    <author>tc={1d6f7036-a4e9-43fb-ba1e-3ca324a9e021}</author>
    <author>tc={1d890e2e-2d2a-4553-a4ae-a89c77be305e}</author>
    <author>tc={1da0b8cb-24dd-4806-a82f-c77ddd33fb7b}</author>
    <author>tc={1dd1b4ea-59d7-4e57-b19c-a0215d4660bc}</author>
    <author>tc={1dd9b510-8997-41d0-b352-31aaf65452d1}</author>
    <author>tc={1df58627-e9ba-44bc-b7f6-b78d8cdc6dd5}</author>
    <author>tc={1e2db0f0-ac24-4a1b-96c8-62c0cf1fc98c}</author>
    <author>tc={1e4ba421-5083-4e67-877d-a5c3b59947d5}</author>
    <author>tc={1e59620a-eac6-4b95-acbc-3f13ded4b3b6}</author>
    <author>tc={1e7e76eb-4761-4528-94d5-ab08548d6273}</author>
    <author>tc={1ed3a8fb-edb6-4240-b8f9-ecf4297df561}</author>
    <author>tc={1ee4d2c9-5333-486c-b2f0-8790430520a7}</author>
    <author>tc={1ef159ec-e44f-49fa-bdd3-184897088b7a}</author>
    <author>tc={1f041374-28cf-4597-a283-6216390d5b70}</author>
    <author>tc={1f0d9cbe-8ebe-4870-9bca-d15ac8fe31ca}</author>
    <author>tc={1f24a14b-2bd6-4dec-89ae-61f709b02a78}</author>
    <author>tc={1f3381a7-6836-498c-b4e9-9ce8abf3c18d}</author>
    <author>tc={1f5712fe-ce11-4101-aee6-0d4c4bbd4bce}</author>
    <author>tc={1f89f57c-307f-420a-ad64-3bc849b8ffaf}</author>
    <author>tc={20294526-e177-47e7-a4a5-8e9d61b5a767}</author>
    <author>tc={202c1142-a49a-424f-aef2-c6f8dd1b2caa}</author>
    <author>tc={2041ebd9-1423-4803-80b3-04c0c929ea40}</author>
    <author>tc={2048c634-c910-44b9-9b39-2694796ef492}</author>
    <author>tc={2083569b-0951-4379-b75e-07cbd8f40137}</author>
    <author>tc={208ef366-17a6-4517-90f2-fa039d4b6c93}</author>
    <author>tc={20e0fe28-9615-4716-b952-e878f19d9082}</author>
    <author>tc={20e30ea3-2368-4a14-ba16-510d5ccb43b6}</author>
    <author>tc={210a56d7-15db-455e-ba9d-db25c4908354}</author>
    <author>tc={210f96a6-4b44-4155-b3c1-dfcd8b98e028}</author>
    <author>tc={2159d6a7-4c3a-4f12-8924-ee190dd905d6}</author>
    <author>tc={2162d20c-030c-4682-8241-7410000a2e3e}</author>
    <author>tc={216767fa-4eb9-4e76-a3dd-b5cbfc03ddb1}</author>
    <author>tc={218dbda0-d6ff-4265-b980-f151e4b2a746}</author>
    <author>tc={2199ebec-ed09-4270-8126-69a817a96f5f}</author>
    <author>tc={21ad093f-984c-4e81-bee3-846e1cdd3556}</author>
    <author>tc={21bd3c6e-9585-4efa-9cbe-4303fbf17a7e}</author>
    <author>tc={221f736b-dcbe-485a-9c5e-b99885c0b93f}</author>
    <author>tc={224a8513-fcbd-49af-8c2b-075b03110e61}</author>
    <author>tc={22a0bb06-a83c-493a-bcf2-234fe3897b17}</author>
    <author>tc={22a97f48-a2f7-445c-ba2e-57cb5a87c8b3}</author>
    <author>tc={22ae33ba-c6a8-4fcc-9547-fe0da673405e}</author>
    <author>tc={22c7ce97-f702-479d-89e4-fce1a93a3ab0}</author>
    <author>tc={23760fbc-7192-4eb0-9d8b-bcb00ea90950}</author>
    <author>tc={2387545e-a421-4c7b-8293-9c3a66f6afd5}</author>
    <author>tc={23a9ddae-2460-4e67-ae15-758634d91a12}</author>
    <author>tc={2421cb1d-2585-4246-a170-e0ceab0e2644}</author>
    <author>tc={242fd438-7f94-412a-8a3b-c638d57ad02e}</author>
    <author>tc={24326955-4aa6-4666-890b-ec6ae4d52dce}</author>
    <author>tc={24a9292a-12d0-4dcf-860d-606ed992df9c}</author>
    <author>tc={24f49493-5aca-412c-b062-c9730976f062}</author>
    <author>tc={25222fa8-a55b-4af4-a9e8-3085afc00acf}</author>
    <author>tc={25296818-ff48-406f-b30c-a0383552ef7f}</author>
    <author>tc={25503a94-b3df-4463-807b-24440f532d87}</author>
    <author>tc={25542604-9dee-4de1-b58b-2be01c85c7c1}</author>
    <author>tc={259348b7-e688-43be-99b4-a7b9f6092b08}</author>
    <author>tc={2598d687-381e-4c0e-aedc-484a24941357}</author>
    <author>tc={25eeff9b-15e1-4262-bfdb-5a46c32219ab}</author>
    <author>tc={2681f867-5327-4363-97cc-67c002f40a0a}</author>
    <author>tc={26931f7d-9d47-4f8d-ae59-9bb13d39a5be}</author>
    <author>tc={26c0e8d3-19d0-4d33-8717-488328f3e954}</author>
    <author>tc={26fc9c6f-964f-4d8d-9bb4-fb2f5430b944}</author>
    <author>tc={270566bd-d1df-408a-8c8e-6b1e5a190fa2}</author>
    <author>tc={27229955-3ac6-45e6-8465-a32838be92a1}</author>
    <author>tc={273d6d9b-7303-44c0-b9a5-2aa5793b710b}</author>
    <author>tc={278a050c-3344-40bd-b8f1-377c40d60f61}</author>
    <author>tc={279fb920-e88a-403a-8b53-80c9ae76480f}</author>
    <author>tc={27dc35ee-d9c0-44ef-b4cc-cb7f92299828}</author>
    <author>tc={27f60848-11d6-42d5-852d-3cfe491aad5d}</author>
    <author>tc={280daa8d-75e9-40d3-91c5-bcd319089ef8}</author>
    <author>tc={281a3f0b-5a38-4cef-a74c-d50f7d1b5e3b}</author>
    <author>tc={28212a9c-542d-4cab-a216-445d947a4288}</author>
    <author>tc={28333c13-c72c-46ab-a806-852c9bfb31d4}</author>
    <author>tc={284768f8-823e-4d33-97b3-5eab68db6fa6}</author>
    <author>tc={284e4e3e-1839-48e3-8673-247861cc0247}</author>
    <author>tc={28866c38-b5be-42a6-96fc-a1aa1a410fcb}</author>
    <author>tc={28d0aab2-66f0-4b88-b6f9-a579dd1725ca}</author>
    <author>tc={28eddaae-8a35-45b4-bf5b-028f1401add4}</author>
    <author>tc={28f18abe-1bc6-4bca-aea6-63557c1f1a81}</author>
    <author>tc={28fece5b-1fa8-4f66-9fed-0e3ba4687f5b}</author>
    <author>tc={29299925-b542-4061-933a-43a9a0f8d400}</author>
    <author>tc={29d8ee26-a8d5-4e7c-89c7-82ebd87cb608}</author>
    <author>tc={2a2da3bf-e320-4bb1-ba74-db7d8792e03e}</author>
    <author>tc={2a63de77-dd17-4fa2-b077-411ac7d6114d}</author>
    <author>tc={2a8d0d19-9715-408a-973d-e2f42eb336ee}</author>
    <author>tc={2a8eb259-5cfd-4b28-bd23-26b4c68b83c0}</author>
    <author>tc={2ad524fa-1fbf-4fff-9086-18a7ac13bd70}</author>
    <author>tc={2af08b8a-838b-419f-aacc-05f4497357f6}</author>
    <author>tc={2b3187dc-8739-4c01-80da-e73427569b91}</author>
    <author>tc={2b480b08-081c-48f8-8a2a-d34430151b95}</author>
    <author>tc={2b662587-cb2e-4036-9e33-a287be08b972}</author>
    <author>tc={2b6da986-38e0-45a0-a1f7-ddd978ea38d3}</author>
    <author>tc={2bf1a7c0-b941-4a66-bf32-a6995fa5e339}</author>
    <author>tc={2c0e6805-0bb9-4bcd-9ca4-a0d573f3a511}</author>
    <author>tc={2c19c9cb-f44b-480a-a0f1-1e1562f51aa7}</author>
    <author>tc={2c241f00-4f9f-4ef9-b214-9993de2c8f18}</author>
    <author>tc={2c94b284-9a33-48e5-a51b-1cccf25e1a6e}</author>
    <author>tc={2ca8dffa-dd33-4f81-8966-adfc107a4277}</author>
    <author>tc={2ca97f9a-588f-4bae-b3c5-4b8040eb8350}</author>
    <author>tc={2caeebed-b0f1-4b04-9609-ac3a4d095123}</author>
    <author>tc={2cd9cda5-649b-498b-8cc5-97b7962fd33a}</author>
    <author>tc={2cec5ffa-aa42-4193-9a23-cd776d2c904f}</author>
    <author>tc={2cef5785-ce7c-4cc6-b8f1-ab9faba928c1}</author>
    <author>tc={2d160525-fdd7-4296-bf12-58911d7c5fb6}</author>
    <author>tc={2d46ba48-b51d-4115-8c25-df586d76efc1}</author>
    <author>tc={2d6da9ed-5942-4b62-afe2-7286bff63ebb}</author>
    <author>tc={2d6db7b8-e82d-478a-ba5e-3cf281d416d9}</author>
    <author>tc={2daea1c2-aead-421d-806f-daa5e7c1b10f}</author>
    <author>tc={2dd1bc07-f59a-4231-a3d3-b579fb68a81d}</author>
    <author>tc={2de90dff-9507-45ec-8e20-48b353ff4d67}</author>
    <author>tc={2de94e1b-fe17-48a3-b768-865732380c76}</author>
    <author>tc={2e4a0c4a-542d-4396-a9a6-e8680a67e694}</author>
    <author>tc={2e5999bc-4a67-42f4-ad7a-023a8c0bcd77}</author>
    <author>tc={2e92e0cd-836f-4d56-b095-0e19d1eb8704}</author>
    <author>tc={2e97807f-a6b8-47be-80c8-30d6bd2bfcb7}</author>
    <author>tc={2e9a8fee-1aaf-45b9-8509-60c01d41b62e}</author>
    <author>tc={2ea1ad5e-4264-4620-86c2-430720770fa9}</author>
    <author>tc={2ed99762-a3b0-4b09-94c4-880a00559b49}</author>
    <author>tc={2ef4c0d1-6b36-4932-9c19-a76889fadb33}</author>
    <author>tc={2f32254f-766d-482b-a167-3b3b29c8eede}</author>
    <author>tc={2f77818c-00f5-43d9-bacf-5798867095ee}</author>
    <author>tc={2fe0f470-ca31-4b4e-ad66-c3a14ab0921d}</author>
    <author>tc={2ffc2a8a-19c3-4310-8c8f-0bace20272b0}</author>
    <author>tc={3031cc89-340a-4537-9e37-92a0290759ed}</author>
    <author>tc={3036c94f-a87e-4a2b-8fb1-fd30bc2754c4}</author>
    <author>tc={3042e204-0483-4112-b557-22dce5ab7525}</author>
    <author>tc={305425e6-4b3d-4ae9-8538-e98e9af4eb67}</author>
    <author>tc={3056a984-a4f8-4ee3-a67c-c5344cc24af0}</author>
    <author>tc={308c6e85-bbb9-4334-962a-d2b0ee1a85e4}</author>
    <author>tc={30a84af2-e830-4a1a-8e1c-0bf108a396a2}</author>
    <author>tc={30bdd0b6-b380-45ac-90b4-17887c522d26}</author>
    <author>tc={315fed17-2741-4b56-99c1-a22dfadaf710}</author>
    <author>tc={3161456b-f69a-49fb-9afe-0ae530ef7075}</author>
    <author>tc={31651ebd-293c-429c-874a-ec55fc9fa590}</author>
    <author>tc={31bf6c3f-910d-4e3f-b00e-56cce856c0e6}</author>
    <author>tc={32528933-952d-4c73-ab16-e5152453a79d}</author>
    <author>tc={3287e0a1-92a8-47a7-9833-20418c908d43}</author>
    <author>tc={32a91629-9caa-46cb-9bd9-b8a075e55a6d}</author>
    <author>tc={32dcf1d1-5d8c-41d6-8817-39d7b99b9aef}</author>
    <author>tc={32e2e9f1-cf7a-4218-ba6f-7ae307401c35}</author>
    <author>tc={330cdcf8-d0cd-405a-9028-5f468fc477e8}</author>
    <author>tc={33663ef7-234c-45a0-ae00-26233deedade}</author>
    <author>tc={33b76d45-5707-492f-97bd-c89219599c1f}</author>
    <author>tc={3403973d-de39-4eb6-b315-85810959b6db}</author>
    <author>tc={3404e88a-25c3-473e-953a-53214b161c1c}</author>
    <author>tc={3414e6b4-9274-4de1-90ac-28a37edeec67}</author>
    <author>tc={341e3f42-06ec-4de4-a0a6-5e435818aa9b}</author>
    <author>tc={3469126d-2950-4a8b-93e5-a57dd6a64485}</author>
    <author>tc={3486d784-ed4f-4f1c-8544-5151d32345b2}</author>
    <author>tc={348b6892-87d4-4739-9d42-aa752fb05508}</author>
    <author>tc={34ad5a32-602c-4810-9ed4-5c6aec3af7db}</author>
    <author>tc={34b3bcdf-ad2d-4326-829b-308bb30f8fca}</author>
    <author>tc={34bb225a-222f-4cb3-8472-b32320834e08}</author>
    <author>tc={34bd84ca-9d75-4e99-a780-6a0128bfa2c4}</author>
    <author>tc={34c506ba-cf25-473c-823a-944794361184}</author>
    <author>tc={351cfff9-2de9-47f1-b544-de2ac186aef5}</author>
    <author>tc={35291b8a-d6e8-4924-9fde-fb1915e87eeb}</author>
    <author>tc={35515677-d8cd-4970-9cf4-f0f239058612}</author>
    <author>tc={35536c99-7287-4b83-988a-380d872d22ea}</author>
    <author>tc={355b1731-d933-4143-985d-628ce5caa951}</author>
    <author>tc={35838c99-8790-4e86-ba5b-75f7825ada4f}</author>
    <author>tc={35877d71-0d08-40e5-a5e4-4372273410f2}</author>
    <author>tc={35a03c2e-dbc3-4b1a-b20a-ef980574b36d}</author>
    <author>tc={35dd65cf-f0fd-448d-8079-f8f7dad7d471}</author>
    <author>tc={35f9b709-46c8-486e-bf3a-16dbab176148}</author>
    <author>tc={362a19f2-91b5-4058-85a5-49604fb3b803}</author>
    <author>tc={364e5291-4f7e-490d-bca9-a1d59fc8f42b}</author>
    <author>tc={366d23df-d0c5-411d-8e38-5b62c7048598}</author>
    <author>tc={367359a0-c8e4-47ab-9325-1f4e60cbf6c1}</author>
    <author>tc={368e3d20-4b3b-43c9-8303-88ce6eec2666}</author>
    <author>tc={36a252d9-63f7-4e5b-b21d-2f15b6e78a2c}</author>
    <author>tc={36e1a400-6614-47c6-a6fe-213d04848c78}</author>
    <author>tc={3752e6b5-0d0b-47ac-ba9e-8d7d365407c9}</author>
    <author>tc={376465e6-ed19-4f5e-8405-d7773c5bd239}</author>
    <author>tc={3780ae1d-d7b9-4e83-8244-abb91bdeadf8}</author>
    <author>tc={378e9214-e915-4ee6-90a9-67be92993df4}</author>
    <author>tc={37a7b44e-92ac-47ef-8192-4d5f03e699c5}</author>
    <author>tc={37c90c22-1a43-4aa7-83a5-5ad8e1d8fd0a}</author>
    <author>tc={3802050b-0ed0-4254-ab77-998c4fcbf9f6}</author>
    <author>tc={380e5201-8a55-455d-8205-654be3f7fc58}</author>
    <author>tc={384627cb-76e0-4083-b5f4-4da138a48537}</author>
    <author>tc={3854cce0-b116-4136-8c89-2b1a0ea6c32e}</author>
    <author>tc={38be9013-25ad-40cd-a930-dca7c83f4b08}</author>
    <author>tc={38d0f233-c40e-4f3f-b5bd-b5ce7d56f121}</author>
    <author>tc={394e82d0-447d-40b4-be03-6a88fe4c30cc}</author>
    <author>tc={3976db44-7e71-4321-89e5-dc39f83f8d5c}</author>
    <author>tc={39806320-5029-4f99-814e-c45523f518c4}</author>
    <author>tc={39851b5d-d725-4d24-ad75-d3118ff93dde}</author>
    <author>tc={398f95b1-7db3-41cf-9f67-8291ab3b54b0}</author>
    <author>tc={39c34dcc-8630-4d91-9c3e-47c58fdd1f8e}</author>
    <author>tc={39fcccf5-2f94-4afc-9039-76f271e45e3d}</author>
    <author>tc={3a08487a-60d7-4079-966a-fa1200d0a67a}</author>
    <author>tc={3a75203e-97e1-44b9-b17e-dcd84689f89f}</author>
    <author>tc={3a7ccc61-1e55-4e67-9b5f-2008713dc699}</author>
    <author>tc={3aa027fb-1e75-4ab9-b61d-eca83e5ac649}</author>
    <author>tc={3af584db-a075-4991-8336-88756a405edb}</author>
    <author>tc={3b24dc12-ae69-4233-bd4a-78646df91226}</author>
    <author>tc={3b6584dd-fdcc-45d3-bed0-94c7fb39843b}</author>
    <author>tc={3ba3c6dd-6505-4bcd-99d1-2c37f1759e73}</author>
    <author>tc={3baeddce-e88f-4665-9ab5-52a0aed74bf2}</author>
    <author>tc={3bf64bf2-fbdf-4cc5-a22b-b4ccf9ee6de2}</author>
    <author>tc={3c11b87b-9397-404a-b434-bc69c272bae3}</author>
    <author>tc={3c3c278c-5798-442e-8cf2-d1bb47603aa0}</author>
    <author>tc={3cf3f895-ea61-40ea-8375-a6a96f340bc9}</author>
    <author>tc={3cf67e56-484e-4598-b862-81e14de89d0d}</author>
    <author>tc={3d10e526-022e-4232-9b3a-445b670850e7}</author>
    <author>tc={3d58bb91-0f2c-457a-a2da-2f5867555ea5}</author>
    <author>tc={3d5b9e82-f0cd-49e2-b5c7-25a1571c014d}</author>
    <author>tc={3ea332d2-f59a-4a6d-89eb-e190be75f9b3}</author>
    <author>tc={3eac2397-2514-4b7e-9f1a-f71f2d87a247}</author>
    <author>tc={3eb530c1-593a-47ab-b040-37fe2e8c53b3}</author>
    <author>tc={3ef46208-114f-4bae-b126-ab884d2e350a}</author>
    <author>tc={3f07b9b6-9ac7-40ff-af63-617b31f4842d}</author>
    <author>tc={3f12f57b-b37c-43a8-a057-6313d89a7d51}</author>
    <author>tc={3f70782c-4bf6-49a8-a615-e55963409185}</author>
    <author>tc={3f88963c-223f-4f59-8dc8-1ea30918ee53}</author>
    <author>tc={3fc51963-aec4-42bf-ac2a-2f56dc0bb017}</author>
    <author>tc={4002400e-e91e-4c56-a1ec-808769efa9f9}</author>
    <author>tc={4012b279-37b1-438c-a948-c99d45c417ab}</author>
    <author>tc={405f34b4-70ec-45d2-9835-d12e6bef6159}</author>
    <author>tc={406c9d07-a488-4224-829c-ade8b0c8eb56}</author>
    <author>tc={40a772f6-2ca0-4501-9c2b-d90fa4df5536}</author>
    <author>tc={40dab98f-c744-484f-a76d-184ccbcb13fa}</author>
    <author>tc={40e5dbad-f2b9-4b43-ac65-7a8b3727656a}</author>
    <author>tc={40fedb9f-fedc-49b6-9cc8-9a7e5479f577}</author>
    <author>tc={410eed0f-0587-481f-b7aa-9c5974c01b8d}</author>
    <author>tc={41153f46-15cc-4c01-983e-39fbb5d9a38c}</author>
    <author>tc={41195a8b-7549-4209-be5c-32b7f8abd300}</author>
    <author>tc={4145e1db-7ad2-4b57-9b76-02982ae99d0f}</author>
    <author>tc={417b3e4b-e7fa-4a73-8670-512bae04f11b}</author>
    <author>tc={417c8d52-11bb-4971-8a52-40cb5f0f3de6}</author>
    <author>tc={41a922ed-1cc4-4383-a64c-5f73b6aa4150}</author>
    <author>tc={41aa1704-0587-434e-a6fc-75ac398ff315}</author>
    <author>tc={41bfd6e0-4b9b-483c-9ec3-78f1ad45578d}</author>
    <author>tc={41c8c8d1-0b0f-4932-bb94-07847aa1ed31}</author>
    <author>tc={41cac770-0396-4e7c-b6f1-857dddb8fa61}</author>
    <author>tc={41f62be1-dfe5-46b3-83d1-b3c870bf1ca8}</author>
    <author>tc={421c6fb0-881e-4271-b31a-80f33894844d}</author>
    <author>tc={423a811b-edb2-45b4-9ffd-2900124b986f}</author>
    <author>tc={4247d08e-b094-4025-b4bb-0df5f35d4c44}</author>
    <author>tc={429f0b22-f587-417f-9754-0239668a6389}</author>
    <author>tc={42ecf665-458c-446e-9ade-1de06d7b6539}</author>
    <author>tc={42f54a8e-be49-4d24-b142-597d90e4ce66}</author>
    <author>tc={436ed369-83b5-4e0f-bd74-351825410f36}</author>
    <author>tc={43a11434-be92-4841-912d-1c54e3f6cdaf}</author>
    <author>tc={43ae77c0-07c6-482c-bd1c-f908ec5be47a}</author>
    <author>tc={44205766-0e6d-4512-9918-e453340e0abe}</author>
    <author>tc={442b7fd7-c485-440e-ac61-743d67c38d7f}</author>
    <author>tc={44cbd6d7-08da-40cd-a29a-9bad795edd6e}</author>
    <author>tc={44e8d0cf-1628-4c8d-a27b-07cee01de0cf}</author>
    <author>tc={45019564-37b1-4915-8534-e2f9379eedc3}</author>
    <author>tc={4562debd-a518-406a-934f-d677fa099568}</author>
    <author>tc={45b745cc-9bfc-40eb-9b5d-e136f22a4c69}</author>
    <author>tc={45e2ebfc-327b-4e56-acfd-ff0ac34f67b0}</author>
    <author>tc={46346c05-b86f-4c9a-9895-aa194f866feb}</author>
    <author>tc={466ff46b-bea5-4d86-b5c4-a0e14225a913}</author>
    <author>tc={46d31bdf-bd67-4fb7-9906-b0ce98905c70}</author>
    <author>tc={46ea9a47-80b7-475a-9c9c-2b987eb7b653}</author>
    <author>tc={470f7a76-d6df-4542-9c76-08c5f843c2e6}</author>
    <author>tc={475fd46f-3291-4838-be75-543acdd97eb5}</author>
    <author>tc={478f3749-17ca-479b-b485-19e8f417a1c3}</author>
    <author>tc={481f7dd5-828d-4d47-890a-f47a95b4dd02}</author>
    <author>tc={482a0f0d-4652-4a2d-aee1-27f1ed0010ae}</author>
    <author>tc={48404ea8-60e5-4a36-8576-a3867e74a728}</author>
    <author>tc={4846da06-22fc-4fa6-b284-2c595c884b20}</author>
    <author>tc={486134df-916d-4d4c-8d78-08e1c6266774}</author>
    <author>tc={48619b17-a7cf-4abb-bb14-e8342a08f0af}</author>
    <author>tc={4867c856-ccf6-4cf4-8570-6abcf5552fd5}</author>
    <author>tc={48d65c7c-cb85-416c-af1b-4365ae39687c}</author>
    <author>tc={490ba730-44ec-415f-8c25-a74b504cf806}</author>
    <author>tc={490c1373-dad1-4fb6-9ebe-b73a3aceb241}</author>
    <author>tc={494dad17-2bde-4151-9436-888ded25f376}</author>
    <author>tc={49e87b6f-60a0-40b3-aac2-56e5c6de30ef}</author>
    <author>tc={49ed91f9-a8a0-48a8-bcfd-8134fabcb532}</author>
    <author>tc={4a51e2f5-40d3-436f-a1d4-271f85036689}</author>
    <author>tc={4acd05eb-4dfe-4e64-a0cb-bff9f03f6444}</author>
    <author>tc={4b08c7ef-30de-4b10-b160-c0618dd26826}</author>
    <author>tc={4b4d4723-17b2-4789-bddd-97a56cc03476}</author>
    <author>tc={4be4bf6f-af3a-4793-b8d7-c78305ec1b54}</author>
    <author>tc={4c000c67-4c37-4ddd-94ca-50b064854a90}</author>
    <author>tc={4c4d779b-5874-4e0a-9481-6cf2988a2e23}</author>
    <author>tc={4c593cae-4076-4c6a-97bb-f0462bb77902}</author>
    <author>tc={4c7e7f96-4e37-49bf-846a-20b753c50c7f}</author>
    <author>tc={4c86bf89-5c49-4dc0-8b83-706693db20f8}</author>
    <author>tc={4cbf674b-0677-45ee-8cac-630f36b97d45}</author>
    <author>tc={4d6d43fa-f3de-4395-935b-62f2d2ed7178}</author>
    <author>tc={4d86bffc-ae1a-4b66-abb9-0ea70e3bdb6a}</author>
    <author>tc={4d92813f-c25d-4389-8250-ebb741c9740c}</author>
    <author>tc={4dd21d0c-1034-4e1e-ab7b-60edfe21a54d}</author>
    <author>tc={4dd88d83-1ef7-4adc-b914-751c2eb2db98}</author>
    <author>tc={4dff4201-9af1-4356-97ca-ac6ec2b4af26}</author>
    <author>tc={4e385b0c-9033-49dd-81f9-97420567ad4b}</author>
    <author>tc={4e3f38fc-e8f5-4ffc-9f64-925c330702f8}</author>
    <author>tc={4e445ed8-6c88-45a6-bbb4-c9fa7e79f5d3}</author>
    <author>tc={4e77d18d-7c6c-4393-83d2-21697e7f5cdd}</author>
    <author>tc={4e9c1536-2a3e-44bb-9079-126aa85b7455}</author>
    <author>tc={4edbbdae-80e0-4462-a10d-c1fd6aa822e3}</author>
    <author>tc={4ef81fd3-b5b3-46bc-bf84-2560938b937f}</author>
    <author>tc={4f5c0ce4-adbb-47e3-b521-96b7d193be5a}</author>
    <author>tc={4f8cf7a7-2c22-4e1b-acee-60af6f8d44a6}</author>
    <author>tc={4f8fe1fc-14e7-4385-a518-bbbea1fc3aa5}</author>
    <author>tc={4f9e1f35-9aca-466b-9996-4b0b79d57e4a}</author>
    <author>tc={4fc7cae9-de33-438e-b7ca-d7076732a901}</author>
    <author>tc={4fcf9d0f-8658-4c28-9035-6fc10f9356ea}</author>
    <author>tc={4fda2c12-01e3-4711-8d50-ea3e4669ecb3}</author>
    <author>tc={4fe04aca-24b2-4087-b6ed-a8dcb2d462ea}</author>
    <author>tc={4fe50f5e-f4df-4ca1-9630-5e33f23fdf66}</author>
    <author>tc={4fec4253-4de0-48d9-a3ea-1bcc04a1ba1d}</author>
    <author>tc={50bc6732-16fd-435e-8a1f-2006ce0b6bdb}</author>
    <author>tc={50c1bc1c-cf63-435d-8a31-f2d164704dcb}</author>
    <author>tc={50f83b5f-cc89-4c77-be26-deef009a9ff3}</author>
    <author>tc={5138f0a3-d29d-4bd2-90c2-cea371459c03}</author>
    <author>tc={5155df50-5a42-4eb9-b9a6-03f8b36561b2}</author>
    <author>tc={5163e82a-b26f-4460-8309-7b28b7cbc143}</author>
    <author>tc={51afe2c1-f359-44b0-92d9-874a087cdf27}</author>
    <author>tc={51dfe81d-6f00-4bdd-8820-64fff7f9e6bc}</author>
    <author>tc={5208df24-097e-427f-b5cd-51ce810c2395}</author>
    <author>tc={5212699d-2d79-44d8-8fcf-02cd9419f709}</author>
    <author>tc={521617d8-8cec-4dee-b7d2-a39e2e9dd07e}</author>
    <author>tc={5218b2d3-6bad-414e-a157-d6a7945de206}</author>
    <author>tc={52370da2-fcb1-4bd4-984f-59ecd296ad4f}</author>
    <author>tc={523e8cc6-5289-46f9-9f84-1576c1166184}</author>
    <author>tc={5278adb1-9bd6-4462-b39c-6fb243254e05}</author>
    <author>tc={52d05653-33f4-4b13-a5bd-ac03d76ce5b7}</author>
    <author>tc={52d69c67-8913-40e8-ab16-dddc6cba127e}</author>
    <author>tc={52ff2d5f-4017-425b-a955-1c3dea826f96}</author>
    <author>tc={532397c5-5f5b-49eb-a9d5-31ab30ce2a46}</author>
    <author>tc={532fbbb2-6b65-4ab7-a74e-09dabb6f34c3}</author>
    <author>tc={5339365c-24cc-46c1-831f-507328ff0f26}</author>
    <author>tc={533acd45-1ee2-474f-a941-c6d8401f3ef5}</author>
    <author>tc={533d3815-b67f-4305-9830-84a58994c579}</author>
    <author>tc={53ce898d-6352-4a09-89c4-9330581a7707}</author>
    <author>tc={53fd6b6c-7b77-4f36-8b84-bbd731581d45}</author>
    <author>tc={5419d831-a7aa-4f9b-a477-42c67ebda045}</author>
    <author>tc={54202c50-894e-427f-9c40-47f431c1fd7b}</author>
    <author>tc={54698246-a86e-4e9f-961b-3f324dc59a56}</author>
    <author>tc={5483432e-f1a1-4dbe-8e2d-5f231763cae8}</author>
    <author>tc={54b6c205-4d97-4b21-b315-10757da94907}</author>
    <author>tc={54b9b79a-a41e-417a-ac4d-7cd5c1f758cf}</author>
    <author>tc={54e4e167-e6e6-4069-800e-04010f0e5ff4}</author>
    <author>tc={54e618e5-0efd-47f2-b026-e77363d35da8}</author>
    <author>tc={54eb41cc-208b-4b34-a628-e9bbcf9307ab}</author>
    <author>tc={54f446dd-5ab3-43c8-a8f5-a011ee63dc37}</author>
    <author>tc={54fad6fe-0662-47d0-b466-1334a66dff07}</author>
    <author>tc={550bc176-ab2d-4e08-b979-fbf5dc25d4d1}</author>
    <author>tc={552e8f0e-7edd-447d-b28e-72b36bab7029}</author>
    <author>tc={55726655-4b77-4ad8-b818-5ff6e853f211}</author>
    <author>tc={55ba4408-0493-4e97-9321-b1803f79fc85}</author>
    <author>tc={55be5316-8a44-4be4-8d3a-c29fc92e0ac3}</author>
    <author>tc={564086e0-5857-4df7-abe5-50cb1d9662e0}</author>
    <author>tc={569c04df-3920-4812-bfc1-3a489739573c}</author>
    <author>tc={56a48af3-092a-460f-a2b2-7712137b84b2}</author>
    <author>tc={56a815f0-5dd6-4917-8a03-808c190cfdaf}</author>
    <author>tc={56c0a065-43d4-436b-a0e2-887a8fb16670}</author>
    <author>tc={56c59cd4-ed01-4de4-8e3e-374845d06aab}</author>
    <author>tc={56d7e841-f62f-479d-84f1-0bc83927c972}</author>
    <author>tc={56e6dcad-3706-4c1c-9551-366f66b2fe75}</author>
    <author>tc={56e75438-8b60-4591-83b7-ff4982ad4d93}</author>
    <author>tc={56ea3712-9ded-4ab5-8764-d84bc38c1b76}</author>
    <author>tc={5787349f-44e9-4526-b6b8-41e930a3d1f0}</author>
    <author>tc={579a0c63-0dd6-4242-b620-2db26299875d}</author>
    <author>tc={57b15645-ec6d-4264-8dcb-c5a437ebfa7e}</author>
    <author>tc={57c9c6df-79ee-4664-b171-d7affdfe13b1}</author>
    <author>tc={57d8e98c-b5f2-423c-ac26-deafa0edd888}</author>
    <author>tc={57e2382b-3acb-4d5c-8229-a960ea5b912b}</author>
    <author>tc={5810be71-250c-4547-a1d1-6b5d46b962a9}</author>
    <author>tc={583cf928-8399-4342-bc47-53343981f986}</author>
    <author>tc={586bef92-a625-4a1d-a3fb-29d4d27508be}</author>
    <author>tc={5886364d-41bb-470b-80b8-2f930e8b1e60}</author>
    <author>tc={58b85491-d7f6-416a-b582-8ddf15b38de9}</author>
    <author>tc={58e42994-d3bd-48a6-bda3-89b6580510e4}</author>
    <author>tc={58ebf013-10ad-43ec-a93e-c06aab79b98d}</author>
    <author>tc={5908ed69-a5a1-4df1-a8d7-8de1a7d107e6}</author>
    <author>tc={59091a20-4375-4f92-a6b0-2693a7be0372}</author>
    <author>tc={590c5551-2dd9-4974-879b-a76e82f77d03}</author>
    <author>tc={594b0c53-1e2b-490b-9448-ab9602ab3833}</author>
    <author>tc={59633173-c91e-4478-9fd4-4e57040d2414}</author>
    <author>tc={59d65cdc-a1f6-4741-b1b5-0554535f6722}</author>
    <author>tc={59de6699-25b3-47ce-9875-3403f5efb5e6}</author>
    <author>tc={5a2c762b-e1d5-4828-aea3-0d7cb64d9faf}</author>
    <author>tc={5a51a7f9-ceb2-447f-b3b3-6010febdb5d9}</author>
    <author>tc={5a5d253f-a0c3-4e4b-b437-5644dbbdec9f}</author>
    <author>tc={5a5f4c36-ff41-405c-89f8-72b36323752c}</author>
    <author>tc={5a7215aa-6886-4061-b077-84b5b3ed1a43}</author>
    <author>tc={5a726e03-e48c-422a-a3b9-c641942ea97b}</author>
    <author>tc={5a9a7014-a622-47a7-8855-8154877cbccb}</author>
    <author>tc={5aaf9c9f-318e-4d4c-b53b-87ba9db27d0c}</author>
    <author>tc={5ac28f5a-7538-4bcf-93da-ccce5c756bfa}</author>
    <author>tc={5ae76c7a-d089-437c-b10e-4e0b75a6bb71}</author>
    <author>tc={5b2bfd86-fdb6-4966-a0da-01b6f9aa17b1}</author>
    <author>tc={5b4c71b5-7e3b-4f32-badf-cb65c01aa9e8}</author>
    <author>tc={5b6b7237-8c47-4c14-b24b-d58d444dfb8d}</author>
    <author>tc={5b9bc484-c7d5-4129-92d0-08b88cfb0f9b}</author>
    <author>tc={5bd5fe88-23bd-4223-b3fd-5a46c5f6b58a}</author>
    <author>tc={5c0e7731-fdc2-42c8-8919-de61662d266b}</author>
    <author>tc={5c37b2bf-d21f-4fa1-b665-8b5240b9a085}</author>
    <author>tc={5c6a60b3-bb1f-4483-918c-5728032205ef}</author>
    <author>tc={5c72c19a-0ad7-4b6e-9804-46b409415487}</author>
    <author>tc={5c7a6e65-fe5c-429f-b279-d02fad2aed47}</author>
    <author>tc={5ce0113b-55e7-4161-946f-c9c668759a59}</author>
    <author>tc={5ce66629-de34-4fcb-a7b8-1e8f622f94c7}</author>
    <author>tc={5d04465f-8fd4-4638-aaa1-16f6c127bb06}</author>
    <author>tc={5d0ec40a-9b57-4c17-90ad-930aed0a0228}</author>
    <author>tc={5d1ade08-b3d9-49fa-ba3a-468033001e40}</author>
    <author>tc={5d902c1a-85fb-4096-9c1f-65e835b79c7f}</author>
    <author>tc={5dbd4104-06ce-4127-8f08-4887cd713f79}</author>
    <author>tc={5dcc9adc-8655-4927-9b56-5b4606bab9ec}</author>
    <author>tc={5ddfe8b7-db2c-44bf-8d73-f3b050c6c03b}</author>
    <author>tc={5e1a84f5-c345-4134-8216-dd12d37a52fe}</author>
    <author>tc={5e1a855e-bb32-49a6-ad1a-bf54960e4194}</author>
    <author>tc={5e8fb484-ee31-400d-adff-75c23055309b}</author>
    <author>tc={5e911890-4da8-44cf-a54e-8f36ac973b69}</author>
    <author>tc={5f2c7873-ed8a-4e98-b574-e2ece1ee983d}</author>
    <author>tc={5f3502c6-80fc-432a-b533-87ac59f58d59}</author>
    <author>tc={5f524e5f-4484-4fa7-a37d-289bab4dec85}</author>
    <author>tc={5f5d21dd-0221-4383-a67f-0a9ac1e8c2d5}</author>
    <author>tc={5f638b52-bd02-47f0-b621-6fd448de5e0a}</author>
    <author>tc={5f810e41-e19b-40a1-b997-04cd83e51f65}</author>
    <author>tc={5fdf6f1f-7c32-4274-8257-dba850722e3a}</author>
    <author>tc={5ff7dc3c-47a7-4c3c-b810-6387a565cd1a}</author>
    <author>tc={606fb473-e561-477c-87fa-b0cf026f3eaa}</author>
    <author>tc={609edc0e-c350-487a-8ccf-47bb7f799a47}</author>
    <author>tc={60fae634-ac20-4d0e-b2ba-874adbc7ec97}</author>
    <author>tc={60fbbde2-aea2-4074-8e13-7339b41c5923}</author>
    <author>tc={6137c335-11a6-4ce6-80e8-5f725b001ca5}</author>
    <author>tc={61595013-bc48-427a-a0de-ac2c31974d1b}</author>
    <author>tc={61bb03ee-2c2c-4d9e-91ff-96259f4faaad}</author>
    <author>tc={61dab3bf-488d-4f9c-8617-dfda44c960d8}</author>
    <author>tc={61e0d437-7aba-494c-9133-e01b92837966}</author>
    <author>tc={622b26d1-1488-4a48-82db-76bc56d070ea}</author>
    <author>tc={6268d834-3b19-4077-9fbd-9f9a7d6759a0}</author>
    <author>tc={629b74de-1df9-4285-8ee3-007d0cb5b918}</author>
    <author>tc={62aff22d-a746-4bf0-a527-32b9780baa4c}</author>
    <author>tc={62fa06e5-8b02-4d87-a447-813743b47617}</author>
    <author>tc={6313b21c-aafc-4174-9773-fe068b6b60b4}</author>
    <author>tc={6345610d-69b9-447e-a42d-5e34b1bdf5e7}</author>
    <author>tc={63692b1b-0dca-4bc1-b4cc-4acf8d05d06b}</author>
    <author>tc={63c2bfbd-1098-4b36-a342-3864d49af437}</author>
    <author>tc={63ca1333-a0f5-4c93-8597-72645ae329ef}</author>
    <author>tc={645a1001-f35c-44ad-b548-4c32f2dd0fb2}</author>
    <author>tc={64f2340c-8087-45a4-b035-eaaa708a6644}</author>
    <author>tc={655ca13a-96c2-4db5-b00b-f86d86abd2f1}</author>
    <author>tc={656712d7-88ee-4360-948b-15b2023b7aa9}</author>
    <author>tc={658a6fac-deb4-4056-89d1-58a95f8adcb2}</author>
    <author>tc={65b4033b-70b6-4e1d-8cdc-f57b6235eef5}</author>
    <author>tc={65b56016-6e33-47a9-aad6-e6bedc31f54c}</author>
    <author>tc={65cb4114-97fd-4039-a5fd-9b6dded86913}</author>
    <author>tc={65ee7cab-1005-4b31-8786-2c74a0815a16}</author>
    <author>tc={65fcae9f-11e3-46d9-9697-3e24248aeb35}</author>
    <author>tc={6625a4c9-ab11-476b-beaf-85035bf492a5}</author>
    <author>tc={664c0059-9d96-4715-a964-5ba0900643c7}</author>
    <author>tc={66509a77-1dca-4742-a1ab-d153cc65252e}</author>
    <author>tc={667220f8-f9ad-42d6-a15f-6bfe84ca19da}</author>
    <author>tc={667468c6-199c-4c9c-a3c8-c311bfe5c64c}</author>
    <author>tc={66853649-6be6-47d8-9550-7fede32298c7}</author>
    <author>tc={668b0ddd-6581-4476-82d9-031d1bfecab5}</author>
    <author>tc={66da036a-1b23-4b91-82eb-bbf74d4414f7}</author>
    <author>tc={66de301a-3b06-43c5-ab6d-61451adeb1e4}</author>
    <author>tc={66fe9bd0-e225-45b4-913d-adb6fd8f726e}</author>
    <author>tc={674a6974-6ad3-4d96-865c-17ef7642c8f4}</author>
    <author>tc={6758a0af-99a1-4175-957d-30df0b17f847}</author>
    <author>tc={675981a6-430c-4212-8a0d-4d1fccb55527}</author>
    <author>tc={677faab9-d04e-45e6-ba2a-3a2fc6b2f540}</author>
    <author>tc={6787ad03-0e19-4ec6-a381-38adeba5fb96}</author>
    <author>tc={6790401a-224a-47a7-9c03-64da5ab839f0}</author>
    <author>tc={67cc6657-71e4-44ed-931a-00698fb30e0c}</author>
    <author>tc={67e470f6-1c58-4c7f-8265-e8732c620ca6}</author>
    <author>tc={67f655b8-82ff-4c06-892e-46227fb485ed}</author>
    <author>tc={680b1e88-fddf-4e43-9e50-3261e83c82a9}</author>
    <author>tc={681d42c4-b62f-45a8-8f5c-a310c7e6242c}</author>
    <author>tc={681f5553-4e36-4296-931d-b46ae3dae71d}</author>
    <author>tc={68367002-3547-44df-a850-36015a81c9b9}</author>
    <author>tc={683fbaa7-8ff6-4aea-bca3-feb48c3fdbba}</author>
    <author>tc={689e7737-ef77-415d-9680-d7dfc7231d38}</author>
    <author>tc={68a62da1-de0d-4d11-b84d-cb6640a4f145}</author>
    <author>tc={68bb36b3-d39c-4d1e-806f-c26544ef34b2}</author>
    <author>tc={68c8d855-4625-482d-a5e0-9dd69ec61cd9}</author>
    <author>tc={68d28c37-5565-4c6c-b5fd-8062300c496b}</author>
    <author>tc={68dd274c-ab4b-4acf-a067-e320d1289659}</author>
    <author>tc={68ea38b5-bb11-4138-bbe4-31f70307dac1}</author>
    <author>tc={68f3f1e8-686f-4767-9f0f-ebd124b4492b}</author>
    <author>tc={691b6375-fcab-403a-8b0a-c0a787e2f5b1}</author>
    <author>tc={69221d17-194f-4a02-9cb3-3c0bddeb843d}</author>
    <author>tc={6941c9ba-a609-45ac-bff3-8e2b52d8e955}</author>
    <author>tc={6952d6d7-313f-48f5-a43b-03d9d8595fe3}</author>
    <author>tc={696e3a8c-6219-464e-97a7-0c71e08993e4}</author>
    <author>tc={699710ce-f388-41f0-92a2-1cef6579c1aa}</author>
    <author>tc={69e0a1c8-086e-4e97-a659-60cdc18c5025}</author>
    <author>tc={69f204b2-e6e6-4060-97e4-0c1852f62efa}</author>
    <author>tc={6a577779-af86-4f00-9726-213137b04d56}</author>
    <author>tc={6a7a1a70-1cda-42ee-aa17-34acc287939b}</author>
    <author>tc={6a87380c-af7c-481b-be31-ccbf907d5047}</author>
    <author>tc={6a9117b9-3aeb-4011-be04-416e0ffd2faa}</author>
    <author>tc={6aa0750e-09b0-4129-938d-713add460e0f}</author>
    <author>tc={6ab8135a-f4b4-4113-808d-4e64a9893bc6}</author>
    <author>tc={6ad1efd9-cc7d-49ee-a694-2e7051d933b7}</author>
    <author>tc={6b19e2d1-0193-40ab-b26d-bd2b7c88e0ca}</author>
    <author>tc={6b6085cb-13ba-4669-b38b-4940b6569b03}</author>
    <author>tc={6bc6f4c2-3a34-4b54-8535-531bd7b0225b}</author>
    <author>tc={6bd676ae-d299-4ae7-a485-82dfc58f61b4}</author>
    <author>tc={6c01257c-fb2e-4592-b6c6-500bb18f1e8b}</author>
    <author>tc={6c491b97-b442-46d6-8113-8150a15fa097}</author>
    <author>tc={6c5b4d87-c33f-4e11-bd57-df13335194d6}</author>
    <author>tc={6c6c46c6-0c24-4abc-8713-32cf731420d8}</author>
    <author>tc={6c7a34c3-9f0f-4c25-bcd4-f7e73724e99d}</author>
    <author>tc={6c81df17-ed3d-41c1-a220-2cd3bfb65fb7}</author>
    <author>tc={6c83b345-3727-4dd1-92e4-34793df92628}</author>
    <author>tc={6cd815f2-9bda-4efc-b57c-84343f7cca93}</author>
    <author>tc={6ce642a8-c00c-44fe-9c03-6f11c12ed0c7}</author>
    <author>tc={6cfdf5bb-8513-4057-aba1-a99022480702}</author>
    <author>tc={6d4f4bd2-2b7a-4b82-8f41-bc8fd139e6ef}</author>
    <author>tc={6db6e1a3-8df8-4b0f-be41-e18d6aa422d7}</author>
    <author>tc={6dbcc5a4-fa30-4f51-a413-4b2f032277b0}</author>
    <author>tc={6dc384c0-094b-408f-a38f-e0658a2f09f3}</author>
    <author>tc={6dc3aeca-85c5-4e59-a81d-85fdbf6f3170}</author>
    <author>tc={6de1771a-6ac4-480d-9a1c-e4be235acaa8}</author>
    <author>tc={6e00f91c-91d7-411f-b8ad-85a799d8fedb}</author>
    <author>tc={6e69d804-4f45-479b-85da-5c0a12459dce}</author>
    <author>tc={6e8c2784-cae3-4ddf-9c3f-93874340d9e1}</author>
    <author>tc={6eb8a38a-0a50-4064-818d-f9744c920576}</author>
    <author>tc={6ebcf292-f432-4cbf-b645-54b79782e86a}</author>
    <author>tc={6ec62a4e-5c17-4721-8a96-73ef99933bfb}</author>
    <author>tc={6ef69f90-0ffa-40b6-8c84-e2e0c9623b84}</author>
    <author>tc={6f22f95b-25fc-4f44-aaea-bce4271a68fb}</author>
    <author>tc={6f553625-1c05-4f15-bb10-0c94b6d6e51b}</author>
    <author>tc={6f5f1ad6-6df8-4d8c-8740-4c772be48a62}</author>
    <author>tc={6fb98ac7-4355-4837-bcdb-61e44731a8fc}</author>
    <author>tc={6fff955f-b2e0-42b5-9d97-b41e707846d2}</author>
    <author>tc={7001e3c4-b76a-4fde-953c-f69c15dad447}</author>
    <author>tc={7028ddb0-6677-436f-8f42-9aa557d38d44}</author>
    <author>tc={7039cc16-c0c4-4fe2-ace3-55522eed0519}</author>
    <author>tc={704ec6f0-a629-4e57-b784-16fa842bc566}</author>
    <author>tc={7050653d-269f-49b0-92ea-0479c688a6da}</author>
    <author>tc={706e48e4-20bf-4a99-b0c1-0c25f5c75cbc}</author>
    <author>tc={70a8b038-74cf-4b99-9f35-5dcbc65c1fab}</author>
    <author>tc={70a8b988-aa4e-42d6-8439-21008fb6fcfb}</author>
    <author>tc={70a916e4-7a97-4791-9570-55e6813b79d7}</author>
    <author>tc={71079c9e-1350-4352-9f4c-ee0eae0cabd3}</author>
    <author>tc={7122e33d-49e6-43d6-ac7a-6aa33fcbc059}</author>
    <author>tc={716a51db-76a5-4e5a-836f-e1f66f3a814e}</author>
    <author>tc={719d1777-aebb-4574-bdc1-a88a6ac677dc}</author>
    <author>tc={71aaf9ec-9543-456a-9ad8-912be748b252}</author>
    <author>tc={71abad24-c5f7-4434-947a-0e7b456c9380}</author>
    <author>tc={71cfa3e4-985a-4b69-9087-c7932cbeb684}</author>
    <author>tc={71eba383-4966-41c5-bbc9-0cad8a26bd67}</author>
    <author>tc={720d22d3-f9b6-44f8-94a9-5bd0e9cc3832}</author>
    <author>tc={7219ea81-5761-45d6-85a3-710b306d1752}</author>
    <author>tc={722c1917-f99d-4010-ad51-d5ab03a24f9c}</author>
    <author>tc={723bb9f7-c99f-4e26-9032-cd967a45fb36}</author>
    <author>tc={725d10ea-9aaa-42a8-bfe8-4f1d1445f1a5}</author>
    <author>tc={7267cd75-ffef-4653-8589-ef88fc65cc5a}</author>
    <author>tc={72766d01-e6ec-47a3-891e-feeee2b74d5d}</author>
    <author>tc={72827642-4334-45a8-9586-809c9ded31ac}</author>
    <author>tc={72c88238-2128-47a4-91bc-0e54895ee2d2}</author>
    <author>tc={72ce96be-a7a5-47e9-8162-0cf11d3ee534}</author>
    <author>tc={7316a516-d50f-45e0-b2c2-5afcc810d660}</author>
    <author>tc={7333d358-a1fe-4d31-9a45-05e5b72a36e1}</author>
    <author>tc={7333fd00-0f63-42a9-82a3-fe25a641446a}</author>
    <author>tc={733dd650-7026-465d-ad44-44c1ec66a391}</author>
    <author>tc={734fe155-a8fd-40ef-a2e4-6a58375e3423}</author>
    <author>tc={736eee5b-b94b-484a-9113-dbb13ae067ad}</author>
    <author>tc={737bbf33-b637-4174-8b39-3299583bd9ec}</author>
    <author>tc={738a303c-7b02-47cb-9b78-eea6c6341c21}</author>
    <author>tc={738de23f-f816-42b9-a84c-9629f0b7192e}</author>
    <author>tc={738eccf7-cb66-4253-ad63-e9a41bdba82f}</author>
    <author>tc={73e61f22-d61c-435d-8cfe-e24a4940e8c5}</author>
    <author>tc={741a7555-58aa-497e-895f-07e5c8a2ec36}</author>
    <author>tc={744fbef6-bd3d-4395-8e26-6be2f9f4f514}</author>
    <author>tc={74638844-76dd-43b2-b444-cb0dd4524401}</author>
    <author>tc={7542eec2-f21c-4b5e-be31-6db70a6a976c}</author>
    <author>tc={7584ae82-0a96-49bc-9d57-c6825b793497}</author>
    <author>tc={7593f0b2-0ac3-458b-b74a-ce4e506cd826}</author>
    <author>tc={765e1285-de51-41da-9f78-b0b1e8553818}</author>
    <author>tc={767d92ed-2530-426a-a7e4-e7f420c38884}</author>
    <author>tc={76f19ed7-7e86-4deb-bb77-60e799d4e004}</author>
    <author>tc={7710dc69-7ad9-4775-8b7d-b9afd2323291}</author>
    <author>tc={77532525-6042-4be5-8978-1bb66fa79353}</author>
    <author>tc={7754a8af-e97b-4cc4-9fee-bb5f2e9638c5}</author>
    <author>tc={77a5cb2c-aaaf-42c1-893f-ccd7ec93ea05}</author>
    <author>tc={78280bc9-59aa-4c7b-8582-fa04e1604f85}</author>
    <author>tc={784e05af-55ee-4514-9297-9f08c211733d}</author>
    <author>tc={784e17e8-5217-46f6-b428-8b67a407464b}</author>
    <author>tc={7877272b-7dac-43e2-a2ae-6893a23a30a7}</author>
    <author>tc={7885404b-5b8e-485c-9f43-66a77d4717f3}</author>
    <author>tc={789db3a3-f4c3-4f84-9c3f-3dd13e369e72}</author>
    <author>tc={78dfbd61-b418-499a-9206-c85f2a98a49d}</author>
    <author>tc={78e2161b-5c24-4ccc-b17b-2b29bced63d3}</author>
    <author>tc={78e984a4-b404-4db1-b9fe-e0888863a604}</author>
    <author>tc={79736454-806e-4217-853d-2830d3639412}</author>
    <author>tc={79b99346-7d13-4e84-aec1-8b45bf6f7182}</author>
    <author>tc={79d33ef5-09c2-471a-a91e-02dc111a3070}</author>
    <author>tc={79e6f0bd-d930-4564-8f85-edf55057a4d5}</author>
    <author>tc={79fec15e-d9bb-43aa-a062-5654b80dbd22}</author>
    <author>tc={7a0b6b76-9838-40b6-b41e-3e1a13d2eef4}</author>
    <author>tc={7a1b91c1-719d-4b43-b2aa-658ada7b0ef1}</author>
    <author>tc={7a688c7a-ba5e-41d1-b5dc-cb219522685b}</author>
    <author>tc={7aa18af5-9a1f-4c56-9a21-ac3efd9ce644}</author>
    <author>tc={7ab6d47f-2dda-4737-b1f3-ac67173b53ff}</author>
    <author>tc={7af4166b-8b13-4487-a3cc-6adf6ec1552e}</author>
    <author>tc={7b0aaf09-0797-412e-8790-63cd2eeab008}</author>
    <author>tc={7b542d2a-a00a-42b4-adc4-f78ce6f4c07e}</author>
    <author>tc={7b8bec2f-ff00-4f8e-a10a-bfb455c2a39b}</author>
    <author>tc={7b9d1e31-ab60-4fc3-8fd8-03bc8bb3d061}</author>
    <author>tc={7bd66679-79ba-4128-a9e4-d5195572cccc}</author>
    <author>tc={7bee2063-510e-4eed-b510-831d6682ea91}</author>
    <author>tc={7bf10915-2f6e-42ab-ae11-48f4d5a8626b}</author>
    <author>tc={7c1eef3a-e480-4832-9cc4-68596701039e}</author>
    <author>tc={7c5c1785-a4c9-44da-ac04-710c79e38a5b}</author>
    <author>tc={7c71454f-ba15-4e6f-bc06-7710b54675cf}</author>
    <author>tc={7ca9dee6-4772-4a86-be10-c11c7ed925bd}</author>
    <author>tc={7cb779c9-9db8-4a63-9a75-11888ae62489}</author>
    <author>tc={7d3be879-6be9-4f03-a60d-803a33e69297}</author>
    <author>tc={7d40e882-6807-45c2-b1f4-8df5f530af3f}</author>
    <author>tc={7d55c27f-cd83-46a6-9714-1dfa5a994d74}</author>
    <author>tc={7d77d319-71e9-4702-807d-ec0464f547af}</author>
    <author>tc={7d8eb5f3-743a-4711-b36d-94070a835285}</author>
    <author>tc={7da7ca91-d36b-431c-b5eb-481b02ce79a2}</author>
    <author>tc={7dd031ff-ff21-4061-81c1-8ca35ce30712}</author>
    <author>tc={7e152da5-8abf-426a-99cf-9b1500ea5e4f}</author>
    <author>tc={7e78d88e-dbe4-450f-9f74-19d09a01b4d9}</author>
    <author>tc={7e96ea85-e1c4-4719-9e5e-3e233414cbb0}</author>
    <author>tc={7e9e030e-9f6b-4452-a6e1-56f0524691bc}</author>
    <author>tc={7ea55020-e741-4fb6-b9bb-a7e3d6822f30}</author>
    <author>tc={7eac4742-3ba5-4943-8648-67d2343af771}</author>
    <author>tc={7eb93877-2255-4c05-8f96-2db136170e3e}</author>
    <author>tc={7ece10c9-7308-47ba-9b37-621beccb0a7d}</author>
    <author>tc={7ed979ee-bd98-43ac-8037-2daa8fb52254}</author>
    <author>tc={7f2698dc-d72b-46bd-bdda-b3c52046a259}</author>
    <author>tc={7f846871-01ab-467e-bbdf-f392eee2e344}</author>
    <author>tc={7f86c386-568c-4ab8-8ab9-51ee6deabfa5}</author>
    <author>tc={7fa7b438-fa54-41c7-bd98-2ba9045b64c6}</author>
    <author>tc={7fd9d952-539a-4b56-8dd1-eba5b9532ed8}</author>
    <author>tc={7fde2a80-494d-4e79-9416-9c8911f62021}</author>
    <author>tc={7ffb2323-3f83-4e6c-b8fb-4804f029dc82}</author>
    <author>tc={7ffce649-1065-4c15-a153-678c481eabf3}</author>
    <author>tc={8000244f-85a4-48ac-8f65-2dc037f31390}</author>
    <author>tc={806fc9cb-6cb9-455d-830e-6b513991e084}</author>
    <author>tc={8089f1c4-e5d0-47b7-b931-95ae1acbe92e}</author>
    <author>tc={80e5272d-7e14-4cf4-8aac-dceb728e19ea}</author>
    <author>tc={810206bd-7e04-4b3d-911a-1360e52c5f3b}</author>
    <author>tc={810f54b9-4ed4-47a2-a134-b6dd91b134be}</author>
    <author>tc={81562049-5c9a-442a-9b67-d2bcef2c6922}</author>
    <author>tc={81928f5e-5e0c-4b5f-9cb3-63b7f9c29edf}</author>
    <author>tc={81b6b00c-cabb-4628-9416-56a4bc93b4de}</author>
    <author>tc={81d02210-072a-4887-944f-93f51a42e938}</author>
    <author>tc={81fbbd8a-8498-439b-8b69-70abd29d5d87}</author>
    <author>tc={81fcf100-0211-455e-93fa-8585e99d8c92}</author>
    <author>tc={82027386-5326-4ddc-ac90-742e6f2c6e5e}</author>
    <author>tc={822ff5ea-3ad4-4f84-94f4-534d3f0c9d5a}</author>
    <author>tc={833744bb-ea43-460c-856c-c4fd7d96eaec}</author>
    <author>tc={833d163d-7928-42d7-bd78-07007d946a5a}</author>
    <author>tc={833fca29-0a5b-4812-b2bf-3ce068d5ca8c}</author>
    <author>tc={8367464a-49ce-425c-bbe1-70af08357f9b}</author>
    <author>tc={83b3b507-abb7-4479-a8b5-9052f4fc582e}</author>
    <author>tc={83c5a074-9400-425d-89d0-3e05b8179d09}</author>
    <author>tc={83fbb7a3-ca4c-4066-a80f-6b1d501202bd}</author>
    <author>tc={8408c891-eec3-43c5-9062-2d56e9654353}</author>
    <author>tc={840ebcbf-8b28-4a76-a349-a080e2cdc465}</author>
    <author>tc={84358b60-8591-4622-b74f-3d9074522722}</author>
    <author>tc={8451923e-5d4c-46c7-a519-ef0d25e06b8f}</author>
    <author>tc={8456a63e-d3a2-4fa9-9299-efcbb903cc54}</author>
    <author>tc={84620ea0-c370-49a5-8c2f-981135fa76af}</author>
    <author>tc={848ace91-5f63-4c0e-91df-926bc3dc1b1f}</author>
    <author>tc={84d865c4-2e6b-4786-92fb-6ffd4670e203}</author>
    <author>tc={84f9a375-118d-4d32-9e79-a4b1c7b3230b}</author>
    <author>tc={85178532-01de-4639-b6af-3e6a6048f9bf}</author>
    <author>tc={851e0f77-a26a-4077-8da9-b39f6899f149}</author>
    <author>tc={85626c8f-7bac-46f7-b97d-9a3926d0ef0e}</author>
    <author>tc={8572fb30-d136-42b7-ac0c-65f86a4bfa4b}</author>
    <author>tc={859907da-1eb9-4888-8546-78ba09b127ee}</author>
    <author>tc={85b73349-4643-4f82-bb80-89c3fc85f23f}</author>
    <author>tc={85c2fa59-bb4f-4060-a0bc-1c9ac701c722}</author>
    <author>tc={86062009-029c-4120-87e3-11fc49c1bb94}</author>
    <author>tc={861c1cf0-f666-40de-a77c-84b9450f28c2}</author>
    <author>tc={863dde9a-4520-447f-8587-297e3e6a5265}</author>
    <author>tc={864eb08d-cebb-4297-abdb-31f2c8c66396}</author>
    <author>tc={86a8b74f-80ef-4c80-8384-2a083074cfcb}</author>
    <author>tc={86c19f05-ee21-4650-8adb-c6d5b309f01f}</author>
    <author>tc={86d65253-2d52-4766-84a9-00ab0de26487}</author>
    <author>tc={86ef2f04-9974-4576-a6dd-544fd9c08848}</author>
    <author>tc={8713c108-87af-4feb-9022-7f6b8228e1f9}</author>
    <author>tc={874e20e9-7a73-4a31-94f9-7f0c88a6f905}</author>
    <author>tc={8774df85-02ce-43e1-8d9b-4dd7a0202190}</author>
    <author>tc={878444f9-dab3-4f8d-ac33-9af0d2d74a7d}</author>
    <author>tc={883e43fe-4f06-4459-b490-89719b52600d}</author>
    <author>tc={8841b03e-b2f2-487d-a524-ee1a5a0426e4}</author>
    <author>tc={885e716b-4262-414e-9f57-4c04637dd142}</author>
    <author>tc={88aa27d6-2a23-491f-afd5-2abaf0ce7af4}</author>
    <author>tc={88bae3ba-a69b-4a8f-9a0d-9db231df09d2}</author>
    <author>tc={88ec5869-2969-48b5-8535-9b3c277dbcfe}</author>
    <author>tc={89261f32-4772-4a5a-8c8f-92848f53f73c}</author>
    <author>tc={8954222c-2315-46df-8017-fd03bd58ae94}</author>
    <author>tc={8995dbd4-87ce-4636-aceb-b9e467ba1eb8}</author>
    <author>tc={8998cb08-cfeb-4190-9707-413105d35dec}</author>
    <author>tc={89a173ab-953e-4aeb-b2ba-2357b9bdeb6f}</author>
    <author>tc={89a78de9-19f5-4312-8375-70a76852b2ad}</author>
    <author>tc={89e9aa00-dc16-4e93-8576-cc2c812313b9}</author>
    <author>tc={8a018e3c-f500-44ce-a2dc-ab9a2e4370c4}</author>
    <author>tc={8a4eef5b-9ed4-42ac-a735-5d3a602c5bd0}</author>
    <author>tc={8a529673-9831-4caa-b7b4-bda9fc07323e}</author>
    <author>tc={8a6783b7-acca-48eb-949b-8c7302898762}</author>
    <author>tc={8a6c1945-5aa8-4add-a2a6-feb51599ed70}</author>
    <author>tc={8a6ddb00-2e08-4c88-b93d-20745b35d216}</author>
    <author>tc={8a768850-eb42-4ae4-866d-ce9ed5a13462}</author>
    <author>tc={8a9e9bd2-64be-4a86-bd79-d1040f4ec982}</author>
    <author>tc={8ad7ce4d-763a-428d-9082-90dff0313925}</author>
    <author>tc={8adcc265-83d2-4d3c-afc0-420c01f9df9c}</author>
    <author>tc={8b1e0608-7e3b-4807-9d7e-f36eb5fa43be}</author>
    <author>tc={8b3c8601-6d9f-4dd9-adfd-e257c24bdc6d}</author>
    <author>tc={8b578280-6238-4e93-9fb3-a256bd0ec0cc}</author>
    <author>tc={8b635541-8f8e-434d-8536-96c35807ea2b}</author>
    <author>tc={8ba69db7-5997-4b13-be45-8c9c7e9b909e}</author>
    <author>tc={8bcad69f-cc56-4a87-b81b-52b518debf11}</author>
    <author>tc={8bdaa9e1-14b7-4aa9-9387-16ce5d5b148e}</author>
    <author>tc={8c6e9034-a545-45c2-9235-5c7a824c4d06}</author>
    <author>tc={8c71cfd6-20c9-4079-87b0-e604e52fcfcb}</author>
    <author>tc={8cac93ac-f177-4472-83ea-c95de5524fde}</author>
    <author>tc={8cd562c6-ab7f-4f38-9fb7-9156f19c1998}</author>
    <author>tc={8d2a58bd-f47a-4ac9-9a62-288731b96249}</author>
    <author>tc={8d2fc4bb-d175-49e2-9019-eecd7a234a5d}</author>
    <author>tc={8d3547fe-edef-41d0-8e68-01f92c2293dc}</author>
    <author>tc={8d404455-ffbe-4900-9bf7-c0e2c8d320c9}</author>
    <author>tc={8d58000a-9736-48d1-b38f-7956cdca54d8}</author>
    <author>tc={8d73d377-dec3-4df4-ad98-a2577b482d65}</author>
    <author>tc={8d8851a9-224a-4e46-b419-1a6182c36285}</author>
    <author>tc={8d90a1f4-dfef-4206-a983-2ff5e01ce55d}</author>
    <author>tc={8d99f165-3abb-49c5-8205-3cd98b82277e}</author>
    <author>tc={8dabd7fb-c2c9-475d-8f0c-719ab85b8d95}</author>
    <author>tc={8de306a1-9f26-41b6-b5ab-56ce4b8de9da}</author>
    <author>tc={8e252d8f-5250-4c64-8cce-9dce16035d32}</author>
    <author>tc={8e8a7249-6234-4822-9fa3-2f9725656ba4}</author>
    <author>tc={8ed293e4-10e9-4823-a2a8-a15d280581d3}</author>
    <author>tc={8f0f98cc-5090-4a14-8fd7-cfedb60a9a82}</author>
    <author>tc={8f12398b-b904-4638-833c-bdaaf1788fae}</author>
    <author>tc={8f15865c-ab4c-454e-9ad3-de0997247b7d}</author>
    <author>tc={8f30c07c-aef3-4c69-9257-2579e8222339}</author>
    <author>tc={8f4e29ec-11b1-4f1f-b144-0f5cecd83baf}</author>
    <author>tc={8f4fcdc5-08b4-4771-9c3f-5c630547148c}</author>
    <author>tc={8f655ed4-c412-4e02-8a87-7e23e1526e5d}</author>
    <author>tc={8f68cfca-d178-4ae4-ac66-850f9c6fe18c}</author>
    <author>tc={8f9ec32d-eb18-4998-9ac4-5b017a83cf98}</author>
    <author>tc={8faa2019-b863-486a-b168-4baa33c05481}</author>
    <author>tc={8fc07a79-e151-480c-9d6d-1fa6ae1e1fb5}</author>
    <author>tc={8ff0d6d9-b630-4c51-92db-1c985c3c1676}</author>
    <author>tc={904cef56-77df-4c8a-acf9-8bc98c2d9daf}</author>
    <author>tc={908218dc-d777-4dce-abf6-12b36f29e365}</author>
    <author>tc={908b8502-07da-4c7c-b3ed-f1586fc61b5a}</author>
    <author>tc={90986ca2-2f88-47ae-9e45-df48a6de7f31}</author>
    <author>tc={90f004d2-d8a2-4109-a5c6-cfaa39f2f618}</author>
    <author>tc={90fe1a31-7ab8-443c-b29a-cc6e419631e2}</author>
    <author>tc={91808f14-3fe5-4be8-aa78-eaf7d2e301f1}</author>
    <author>tc={9187890b-b64b-4adf-9821-e965c07fbfe5}</author>
    <author>tc={919161d9-2a3e-4835-bfc1-ac1b50a6b2e1}</author>
    <author>tc={921ce92b-50c0-4462-8b0a-41a90c1bc2bc}</author>
    <author>tc={92452353-30cb-421d-80dd-b17e15f95df8}</author>
    <author>tc={9286a57e-3350-4ff3-b08d-284fa79e8150}</author>
    <author>tc={928c6297-5161-4243-8fbd-c72355ef1662}</author>
    <author>tc={92b5c22b-7e0d-43b8-a2e9-221b58a291d4}</author>
    <author>tc={92f508a4-370e-4a2a-bf3a-4f7b3c9e8959}</author>
    <author>tc={92f66637-4710-4062-bacc-f4ad1c0b21b1}</author>
    <author>tc={934342b0-e07e-4383-a24c-3906cf0681a4}</author>
    <author>tc={9343f9cd-5b7f-4cd2-b8c5-e62ebcc423ff}</author>
    <author>tc={937c5599-a1f0-46aa-b774-a30a532af631}</author>
    <author>tc={93acd107-95bb-468d-b494-063e2b107c8b}</author>
    <author>tc={93af93b8-cdab-482c-a1bc-6e4a8db46b9e}</author>
    <author>tc={93b5a919-061f-40b4-b2cc-50850cb5d445}</author>
    <author>tc={93eaf721-f6b1-44c4-b704-716cf3014523}</author>
    <author>tc={940acbb5-81b5-4f11-ae5b-a62bd7dbc75c}</author>
    <author>tc={948a509f-b07e-431c-b67b-2901c78cbf07}</author>
    <author>tc={94a5d971-a87f-442a-a85b-f9e32bfb0a80}</author>
    <author>tc={94c75cc0-6f37-4ffc-8310-2bf8cce316ba}</author>
    <author>tc={94cbb838-d9c0-453e-9426-7a7bf0997aa0}</author>
    <author>tc={94cfb714-74e5-4969-8f1c-1ddcceeed3f5}</author>
    <author>tc={94ebdef9-5cf3-4ba3-967b-499f5df11e81}</author>
    <author>tc={9584ac7b-ecac-4681-a110-d5148dc94f22}</author>
    <author>tc={958d7e6c-c551-4d5a-a0b6-099fc3b4d3fc}</author>
    <author>tc={95a03917-fdd9-4d67-8c4c-7d49e592cd41}</author>
    <author>tc={95f5676b-5d4c-4714-bdaf-9d846389be42}</author>
    <author>tc={96a7867c-ce3b-435e-b20c-06620367b61c}</author>
    <author>tc={96c60dff-b2b6-4e34-9d1f-fd634bc54ffd}</author>
    <author>tc={96cf727d-a983-47de-9ab1-2b280620a6b1}</author>
    <author>tc={96f236db-7dc7-46a0-bbca-f62c58493f6b}</author>
    <author>tc={96f73223-ec61-446f-bdfa-d1fe2b5dc128}</author>
    <author>tc={971635cb-d7c4-474d-9ebd-19d2b02fb36f}</author>
    <author>tc={97243796-ff5c-43d8-9270-d1c89779d580}</author>
    <author>tc={972e185d-b59c-4eff-8892-d1b1d3c9928c}</author>
    <author>tc={97447975-e0e4-46fb-afa1-a11d3feefd16}</author>
    <author>tc={9766bd27-7ff5-4a43-9466-bda2716447ed}</author>
    <author>tc={976cc86d-cb25-4edd-91a1-ba4813e4515a}</author>
    <author>tc={9794745c-8566-43c4-9d59-93f31367699f}</author>
    <author>tc={97b4a716-4d1c-4b45-b1ff-73cae4861ffb}</author>
    <author>tc={97b4eaff-3a7d-44ed-ad71-08453541583e}</author>
    <author>tc={97bad62e-fc69-45a4-be7b-6087c5aef122}</author>
    <author>tc={97be9d1a-e5e6-40f8-9cf9-a52c3092467f}</author>
    <author>tc={97d42335-0899-476f-b647-a49c5d7a60a2}</author>
    <author>tc={97f52759-d25c-429d-ae89-6bdd898b3e63}</author>
    <author>tc={981f6775-30ee-4dd1-9c6f-8ba8d2179adc}</author>
    <author>tc={9827d591-1b18-4d8f-9885-e0a240e9cc4a}</author>
    <author>tc={98cf3c5c-e3bc-4f08-994c-5a8ab9b74a04}</author>
    <author>tc={98f9dcc6-98aa-42de-a606-a5e626ca90f2}</author>
    <author>tc={98fa9557-fbb0-4f59-bb66-ad5ef641c940}</author>
    <author>tc={991c2671-64f2-4444-8c2c-b07ebcdf705d}</author>
    <author>tc={9966f7cb-cc45-4a28-af94-1754f2962995}</author>
    <author>tc={996a5524-aa4b-4d17-a9e0-2f3d095b3f13}</author>
    <author>tc={9970ba3e-ea52-429f-b551-f2ae912cbf70}</author>
    <author>tc={9993429f-fcb0-4e13-9e5d-6432195e0876}</author>
    <author>tc={999c077d-e776-4d85-9416-e9cbe5a20c3f}</author>
    <author>tc={99d4aaaa-d113-445b-9c98-db4d58122e4f}</author>
    <author>tc={9a1696c8-9f5a-40d8-9c85-e5d6ca8c79b4}</author>
    <author>tc={9a6d7de7-7381-4241-ab21-391d77eec55e}</author>
    <author>tc={9a79f951-6e5e-4e0d-8062-78909adb7129}</author>
    <author>tc={9a8d049d-5eb4-4174-a596-b8f06ce6f2c8}</author>
    <author>tc={9a9a48fd-ff76-47d6-977e-4293047562bf}</author>
    <author>tc={9a9cfd18-eec8-4269-b83b-224e49f875a2}</author>
    <author>tc={9aba1390-25b2-4375-b282-138bb567e8bd}</author>
    <author>tc={9b3786c1-05d0-4957-8f7b-64b3b915a784}</author>
    <author>tc={9b66d483-2923-4714-8944-88523a4b982e}</author>
    <author>tc={9b9a7499-9383-46a6-b8e0-6b525ce975f6}</author>
    <author>tc={9beeaf50-c783-44a3-83ce-191e53d28d58}</author>
    <author>tc={9c075a7f-bf6d-4c00-87cf-ff1e67244ab1}</author>
    <author>tc={9c0ccdfe-10f6-4d2e-a3ac-68f4b54e4d17}</author>
    <author>tc={9c6186fb-ab21-4f06-83c1-c7f21bcdbb0d}</author>
    <author>tc={9c7411b3-7d59-464d-96c9-4cf7c3843545}</author>
    <author>tc={9c933119-3a0a-40e7-b23e-3b4e6dd49011}</author>
    <author>tc={9ca614b3-fea1-493e-a6bb-2ec1be2cd8f1}</author>
    <author>tc={9cd10288-1d99-4178-8dab-be08a2833e5a}</author>
    <author>tc={9d2a25ba-8832-411c-8227-d0a2a151a547}</author>
    <author>tc={9d38e6d0-0e59-4c9f-8c03-88531ec07dc3}</author>
    <author>tc={9d47ef33-70bc-49a9-abd8-dedd367dfb9b}</author>
    <author>tc={9d4c4476-0149-4e53-be29-697bdc253d5c}</author>
    <author>tc={9d60364d-3247-4f5a-9b87-edcbd14e0934}</author>
    <author>tc={9db9e114-e6b4-4076-adc3-23c0a1732ad3}</author>
    <author>tc={9dcf5426-afd4-4b0f-a776-eea05c49ceca}</author>
    <author>tc={9e1c5f2d-ab40-4541-8258-62c904e68191}</author>
    <author>tc={9e75f383-1e02-4ea8-8c4f-fab935652322}</author>
    <author>tc={9ee1ec72-a693-4d5c-b7ae-36543191547a}</author>
    <author>tc={9f205137-0776-45e7-9bcb-9e43beb4421b}</author>
    <author>tc={9f815d3c-5cad-4368-abca-f5a13d4a90bf}</author>
    <author>tc={9f9c00fc-b632-4360-bab7-0beab5b64e32}</author>
    <author>tc={9f9ff828-bb9f-410e-83b6-336f805e0c95}</author>
    <author>tc={9ff3b75d-249d-4c59-90ae-cb9659a772e5}</author>
    <author>tc={a035d052-da68-42ee-8053-6079340a6b24}</author>
    <author>tc={a0468119-d933-44ea-9c6f-1b6bf7a29f1a}</author>
    <author>tc={a05683df-24d4-4fe3-a467-8c4488375359}</author>
    <author>tc={a0638ac4-c07f-4349-b7ab-f2e278a12905}</author>
    <author>tc={a06f7cb8-de18-4698-9204-5484d71c3591}</author>
    <author>tc={a0abe6d0-0edd-4a3f-ac51-f2d4d3970828}</author>
    <author>tc={a0b86f6b-0e5a-44e4-acdc-d5e93663e20f}</author>
    <author>tc={a0c2227c-9efe-461b-af95-5f72f134db44}</author>
    <author>tc={a0c87104-b2d2-4fc3-94c4-3a9487855a0d}</author>
    <author>tc={a0eb0792-d5fa-4231-9d18-64cb13f59088}</author>
    <author>tc={a12b88ac-fe0c-44fa-ad60-b960b50aed19}</author>
    <author>tc={a1514616-2f2e-4e29-8ded-5aceec1f785e}</author>
    <author>tc={a1cba5fe-0ca1-4c1f-bd70-50572c79e268}</author>
    <author>tc={a1d55d52-e850-4002-9f6b-8b75cc587e29}</author>
    <author>tc={a1e612ec-a4df-4b0b-af12-5ec9ad9f747f}</author>
    <author>tc={a2243d0d-121f-4b34-999b-f336ac127fc6}</author>
    <author>tc={a22fcf0a-fee7-4f4e-a9ed-8e585906ce35}</author>
    <author>tc={a24645b0-1f2d-44a1-a53e-8804d66341ea}</author>
    <author>tc={a2605d96-624a-45c0-8012-00ee46465665}</author>
    <author>tc={a2d78258-9aa1-460a-812e-f0d4f5464caa}</author>
    <author>tc={a317bc4c-a099-4c8e-8a16-409888b7c5d3}</author>
    <author>tc={a324d272-a96f-46e5-88d4-a87e019beb80}</author>
    <author>tc={a33feaee-c52e-465e-8161-55c332104231}</author>
    <author>tc={a3831610-4f61-4ff9-8648-6e35d691574e}</author>
    <author>tc={a3a6804b-08b1-4777-a287-c8688c248bd1}</author>
    <author>tc={a3a82f37-73e1-4a51-8af9-f77e84a45fd6}</author>
    <author>tc={a3b0d03a-3d03-4fb6-8017-75686550483f}</author>
    <author>tc={a3e91dd5-9eac-41ac-9da7-2e5be9d306ba}</author>
    <author>tc={a3f68238-c810-4a18-9014-25eaf8dba92f}</author>
    <author>tc={a3fb0925-fcdb-4a89-8c7e-13d115aa112d}</author>
    <author>tc={a3fe10ea-d1e7-4420-bb4b-23070d1c86fa}</author>
    <author>tc={a424af71-1b00-49c8-ae69-3ed4fd12d925}</author>
    <author>tc={a4349288-2694-4491-82fd-cb0fc86e6239}</author>
    <author>tc={a47775ba-533a-4ede-be45-a7debb394157}</author>
    <author>tc={a48699ca-fccd-4af9-8a07-df751386873f}</author>
    <author>tc={a4c1aa9c-bbdc-4423-aeed-74cb10663886}</author>
    <author>tc={a4c33164-1937-4746-a029-969f74159d76}</author>
    <author>tc={a4ea05b8-9316-49d8-930e-afcc4f21647e}</author>
    <author>tc={a5057067-d277-4c4d-a288-309cd9fade8a}</author>
    <author>tc={a538259c-34c5-49b2-aed6-12cad5719e58}</author>
    <author>tc={a571a5f5-b90b-4a9e-9c6b-d1ed0dc1884a}</author>
    <author>tc={a5779669-13b9-4cc9-a979-4cec260bbc7f}</author>
    <author>tc={a592dd61-e49a-4784-8678-545a8d77d628}</author>
    <author>tc={a5c8367c-7aa2-47b9-917e-0a31691ec9d0}</author>
    <author>tc={a603ffe6-0fb2-4e3f-b97f-5fc77fb014b1}</author>
    <author>tc={a64e2554-15a1-4f15-ad56-1df783ed8d15}</author>
    <author>tc={a66836a1-4e87-4aa7-a787-518010cc37e5}</author>
    <author>tc={a687d47e-b098-425d-bf52-ccdd430220ac}</author>
    <author>tc={a6d93149-fe12-4203-97c1-f03573995eb4}</author>
    <author>tc={a6f71d4e-88bd-49cc-9fc0-9be72011cc88}</author>
    <author>tc={a6f72647-ed13-41b1-be7a-788f89691b0a}</author>
    <author>tc={a710231c-ac36-4729-941b-317c20e39a6f}</author>
    <author>tc={a738686d-1465-48d3-93a4-1c6ab421b9f3}</author>
    <author>tc={a7c441b4-6df2-4915-9f0b-c347d24623f5}</author>
    <author>tc={a8293963-a029-43cf-8135-95be35cdd5ba}</author>
    <author>tc={a83e3cf1-d88d-4d53-a80e-39354182ef04}</author>
    <author>tc={a8443e3a-947f-4d42-abb6-9faea6a4ee6c}</author>
    <author>tc={a846d64d-2f67-42e0-ab62-e825ddb07313}</author>
    <author>tc={a8d1fcfa-613b-48e2-b47a-f07396932c9f}</author>
    <author>tc={a8d8588a-c84f-4f20-9281-a237e5f08d83}</author>
    <author>tc={a90a12ec-7ee0-4e53-b006-13704c67f520}</author>
    <author>tc={a912c75c-2239-41bb-805f-93b6b988a260}</author>
    <author>tc={a93063b0-d831-4a19-8685-559faf356076}</author>
    <author>tc={a9456a1a-c856-476a-adc3-5524552d7509}</author>
    <author>tc={a94afea9-2920-4765-b6f1-9ff064360cc5}</author>
    <author>tc={a94ea441-dcd0-4c62-96bc-d442bda67f8f}</author>
    <author>tc={a9aa683e-3d0e-43c7-ab54-b47249ab3a36}</author>
    <author>tc={a9ed42ad-854d-4a18-aeca-f9aa12d8de3e}</author>
    <author>tc={ab5cca9e-0cfb-4fd4-9b3d-743976708bfa}</author>
    <author>tc={ab6bad5a-b57a-4339-badf-b71faace7bc6}</author>
    <author>tc={ab8e2741-c08c-4ad6-b85e-ef0e53bfe00a}</author>
    <author>tc={aba82d43-eb66-4bba-b6a6-a13e38c02023}</author>
    <author>tc={abc2f92e-67b9-48ae-9593-525a70b33fdf}</author>
    <author>tc={abd5dd87-6932-45b5-a459-5b7d016bfa1e}</author>
    <author>tc={abdf81a8-96f7-4875-a287-218a6f00f30d}</author>
    <author>tc={abff2942-2cf2-4285-be7b-1fa2547290f9}</author>
    <author>tc={ac0fcd47-9ee7-45aa-8094-4cb25ea9a245}</author>
    <author>tc={ac6f070d-2504-4047-89eb-1b1a5a4b6086}</author>
    <author>tc={ac89eea0-df92-405a-8e2d-5f41aedf994e}</author>
    <author>tc={ac9caf55-865a-47e6-9cc9-35d7bc42ba7a}</author>
    <author>tc={aca46acb-f35d-487c-8f3e-e692ae4e59f5}</author>
    <author>tc={acb7db95-3822-4445-91a5-d6a6c2420e9e}</author>
    <author>tc={acd987d2-8e60-4337-b67a-803a1e8c7e61}</author>
    <author>tc={ad43010e-3c45-44ee-8816-8d90320b359e}</author>
    <author>tc={ad8e6c5c-783e-4171-8983-0f026f800871}</author>
    <author>tc={ad9d923e-212c-46e4-b8af-76b84cfd8e0c}</author>
    <author>tc={adce4ee0-337e-48e7-9cd8-dccec8c9707e}</author>
    <author>tc={ae06aa5b-ffbb-472f-8eca-9947ab6732bb}</author>
    <author>tc={ae27157c-b030-4376-baf1-a0a44dfbebf0}</author>
    <author>tc={ae611eac-ec09-4fab-a1bf-09b434e386f1}</author>
    <author>tc={ae683769-2eb8-49ff-a496-ac1091720b97}</author>
    <author>tc={ae7bf284-545e-4384-92a1-fd913edff3ba}</author>
    <author>tc={aea04097-8f06-466a-b8bb-a0f0cf319308}</author>
    <author>tc={aea18d6b-20d1-44fc-99a2-dbc7b23c3863}</author>
    <author>tc={aecd2e35-2560-4837-a999-86858730b459}</author>
    <author>tc={aedf72e2-4ec5-4a71-9c1a-25f30b33b884}</author>
    <author>tc={aee94cfe-5be8-4d60-9f10-7fc085d05609}</author>
    <author>tc={af0235ac-7601-4ab6-85c9-28092ef64d17}</author>
    <author>tc={af149a4a-6065-4438-9709-c0d6ffa8202f}</author>
    <author>tc={af768cba-d4a8-4b7e-9754-23c96ddfeecc}</author>
    <author>tc={afb38fba-697d-43ed-a270-bceb92e6b00c}</author>
    <author>tc={afc1e08b-22a4-4db0-847d-a60ce628689a}</author>
    <author>tc={afc7b990-ebaa-453a-a4eb-910931d57c81}</author>
    <author>tc={afeca89f-8e90-4e8e-b27d-d6998d4f4abe}</author>
    <author>tc={b0b52f09-9d0c-45a9-84ae-8279cfb065a8}</author>
    <author>tc={b0cbb2fa-34df-4ed0-8884-c8d41e8d7cc8}</author>
    <author>tc={b0d96e37-b324-4b45-adc6-0fc6a6b778c0}</author>
    <author>tc={b0fb98ad-d291-4a6a-8d95-e5aa4593130e}</author>
    <author>tc={b1088604-46fd-43b5-958f-c084ddb4464e}</author>
    <author>tc={b1195ce8-1f9e-4439-bfac-4dc55c53d4cd}</author>
    <author>tc={b13807e4-69d9-44b0-a006-87d3c5f86928}</author>
    <author>tc={b17df83a-fb7a-4d35-b780-1929e8d69e73}</author>
    <author>tc={b1cdeae7-1f7c-4ebb-a2f4-282552dc3d6d}</author>
    <author>tc={b2087338-077a-4535-9870-4de841d05635}</author>
    <author>tc={b219e22c-7bfa-4781-bfee-9d7f08aa823d}</author>
    <author>tc={b22fc52f-9885-4347-a6af-f6ad877782b5}</author>
    <author>tc={b264c558-b123-4ea4-b14c-e3c5684d3dc3}</author>
    <author>tc={b27b7bb6-9660-4f19-98b8-e3d645071026}</author>
    <author>tc={b281e73c-13f0-48ce-b343-9f99e626a923}</author>
    <author>tc={b2923799-d792-422d-8a78-85372a03babb}</author>
    <author>tc={b2b52662-c501-4cce-91f0-ea0a120b18e8}</author>
    <author>tc={b2f0ba1d-8fe7-4c42-aef2-1a54a8904496}</author>
    <author>tc={b3057501-fb59-4073-a5ab-23647775ee6a}</author>
    <author>tc={b30c541e-9c2c-4d60-be96-55158b5ccb2e}</author>
    <author>tc={b39e4b06-c05c-43e1-9eb6-3719cdc741a8}</author>
    <author>tc={b3a4dc8a-6011-495c-85a6-fc1af24d87a9}</author>
    <author>tc={b3c03694-74da-45f9-8bef-ebc66568d2f8}</author>
    <author>tc={b42f62e6-5c08-4471-b8c4-476df3c24054}</author>
    <author>tc={b42fb675-a15f-4c54-bc08-3367bb8f9738}</author>
    <author>tc={b465f669-8c7c-4e7d-886e-c13a8726e1d2}</author>
    <author>tc={b47ec535-24d7-43d5-9542-bfcc0ecbfd3b}</author>
    <author>tc={b48b3260-2d07-4333-b3a9-a899813a81cb}</author>
    <author>tc={b4accf1d-2588-453d-9691-515c9d0bf519}</author>
    <author>tc={b4dfba4d-ff4c-4b3a-b51c-81411d74600b}</author>
    <author>tc={b518312f-9dbc-4759-80d5-647792d116e8}</author>
    <author>tc={b5433663-c2b6-4245-9c53-6f147e3ac74a}</author>
    <author>tc={b5bcd278-f5a8-46ae-9615-bfe4fdf2739a}</author>
    <author>tc={b5bcd49a-8ede-490c-a6c5-b6a3f1966636}</author>
    <author>tc={b63a7a76-5503-4b72-8efd-66becfa9dba7}</author>
    <author>tc={b640029a-71c7-4ee7-a248-b0ef5705c2c9}</author>
    <author>tc={b6576fa6-2780-4b06-891a-0e9718811cdd}</author>
    <author>tc={b675c0cf-3ac8-40d4-96ca-79f71f6b6056}</author>
    <author>tc={b6a7db80-5573-43f0-aab3-eaf07090e83d}</author>
    <author>tc={b6b070dc-43dc-489d-b664-5c465343d070}</author>
    <author>tc={b6d341e2-ad88-4921-8190-ed77853beac4}</author>
    <author>tc={b6e1a3f7-837b-4ccd-aa8b-e114f91ada42}</author>
    <author>tc={b6e1aa07-537c-41de-9042-18b0ad1e2c5f}</author>
    <author>tc={b6e406a7-4586-43b2-b8f8-54672c2ebc34}</author>
    <author>tc={b6edb9b9-59a0-4acc-ae08-fb22249eafb3}</author>
    <author>tc={b789999d-655c-4cce-a7ae-c7c50719f9d1}</author>
    <author>tc={b78d6520-0806-4a6a-a573-d9d4336f3a5c}</author>
    <author>tc={b791a26e-c4b9-4ad0-9390-3898a2ffa944}</author>
    <author>tc={b7961fc0-953f-421d-83b1-9cad346e6cd2}</author>
    <author>tc={b814b796-a605-4fe0-b32c-f3f78e47a3e7}</author>
    <author>tc={b8174b9a-4663-4be4-b0d0-a6909189dcce}</author>
    <author>tc={b85879de-c437-4e1f-b842-25ff0c96ee20}</author>
    <author>tc={b89dc175-b3c8-4db3-9b8d-8d86be564f65}</author>
    <author>tc={b8b20e20-c40b-45d8-b100-bc22bff84d42}</author>
    <author>tc={b8c0404a-5135-4cf9-ae21-4e51c60b6eaf}</author>
    <author>tc={b91213a0-e33a-4d95-92f3-9afc1f7a80f2}</author>
    <author>tc={b91da866-179b-4d17-a1a4-80be29b0d1a3}</author>
    <author>tc={b922c763-5eb5-41ae-8199-93d24ee62061}</author>
    <author>tc={b9671d15-88b0-4479-915b-8ed5feab0d8f}</author>
    <author>tc={b9723fcb-e2c0-4ff8-a9c8-b558142551e8}</author>
    <author>tc={b9a6c4d5-d70d-4bfa-a26e-bb63525711ac}</author>
    <author>tc={b9bad689-fd36-4c89-ba38-a957cd5f8768}</author>
    <author>tc={ba2f77c6-f58e-4eb6-ade8-c928e3d30ba2}</author>
    <author>tc={ba2ffd66-6cf4-4d43-bedc-d2f5a2c53106}</author>
    <author>tc={ba7e3043-2b48-4644-8317-062f838861c5}</author>
    <author>tc={baae93ec-caa5-49d8-a735-85a11185e63e}</author>
    <author>tc={bab8c991-1f92-4ae4-ba4a-72f5cb27bf06}</author>
    <author>tc={bad68421-d542-4658-9aaa-a98919e78c8a}</author>
    <author>tc={bb0b6223-dce5-4dce-b704-879341844f1c}</author>
    <author>tc={bb18c1b3-0ba6-4b87-be66-b2a350ad42ea}</author>
    <author>tc={bb322d10-d1c9-403d-b1c0-e59c78d7e65c}</author>
    <author>tc={bb5a3b67-d525-4674-ac8f-77ab2f2df299}</author>
    <author>tc={bba0ebb5-2278-49a4-a6e4-bc09c1a7665b}</author>
    <author>tc={bbb1e5c4-6d28-4e03-9b51-9772d74d59bd}</author>
    <author>tc={bbb638f5-9d68-4f3b-aab4-870c742d708f}</author>
    <author>tc={bbe4d24f-629a-426c-9851-b22e0df6bda1}</author>
    <author>tc={bbf09d88-721f-41d5-8b78-c841c05b763b}</author>
    <author>tc={bc06a83f-f0f1-4f75-9c88-8531441db268}</author>
    <author>tc={bc42d756-b966-4736-bc57-5f5c5cb76f7a}</author>
    <author>tc={bc46c1b9-0805-4fbc-9472-be3d152aaf74}</author>
    <author>tc={bc47c76a-a094-401d-b9cd-8e1d95d6d563}</author>
    <author>tc={bc822459-1807-4947-8a61-1b9e7db0fdf7}</author>
    <author>tc={bc9991a1-1dfe-4868-9d92-0409be8b1d7f}</author>
    <author>tc={bcabd031-2476-40ae-bb93-4c53a8059da6}</author>
    <author>tc={bcdbe992-7b09-436f-a3b6-487d669883da}</author>
    <author>tc={bd12413c-6c28-4635-9b39-144452d494d3}</author>
    <author>tc={bd131f70-3acd-4dcb-ab2a-e3a7b60220f2}</author>
    <author>tc={bd2da0cd-0b18-4151-9d03-94ef80a6113b}</author>
    <author>tc={bd5cfd45-47d7-457e-830b-342261981098}</author>
    <author>tc={bd6d465c-ae32-4bd7-b54a-7410729f50b7}</author>
    <author>tc={bd90378b-9b8b-4c0c-aa42-d5d82202dbf3}</author>
    <author>tc={bd9b9705-e6b5-4a32-9f01-63a8c6c38ece}</author>
    <author>tc={be19006b-60d0-441b-8e9a-bcc054820b6e}</author>
    <author>tc={be196eba-7ddf-4fb8-9f8c-32ffbf8125c2}</author>
    <author>tc={be28d9de-71ec-45b1-8f93-a4845c59f4af}</author>
    <author>tc={be7506f2-efc6-447d-80c4-3963836d7402}</author>
    <author>tc={be8b4a3a-fb6c-4889-8271-22a822a41f59}</author>
    <author>tc={bf15783a-0150-411b-aa19-cf416b31e65d}</author>
    <author>tc={bf3ffb33-8aec-4e82-8174-1f1a802cc779}</author>
    <author>tc={bf4cad7f-a264-4735-bca3-4ed88397fb66}</author>
    <author>tc={bf8db6f0-bdc4-42a5-894f-5d99abfee7e0}</author>
    <author>tc={bfa14ad6-316e-491a-aa1c-51555d24d609}</author>
    <author>tc={bfab3ee4-9124-4d52-a0d9-9858ffe7107f}</author>
    <author>tc={bfd9338a-2950-49b4-8712-421dc691a486}</author>
    <author>tc={bfda5716-bbc4-434d-be20-c23de3211a93}</author>
    <author>tc={bfe4e1a1-dfb9-4fcc-9fe0-646ff6951927}</author>
    <author>tc={bff7dc76-6323-41b9-b031-2fa97a999025}</author>
    <author>tc={c011009f-5891-4804-a472-aaee32ada3bc}</author>
    <author>tc={c0110dc1-e6b6-4cdf-aa7f-4f97ce593957}</author>
    <author>tc={c02b8ee2-2673-422b-ae9b-2b9e976abd67}</author>
    <author>tc={c02eee76-ed37-4a44-94a5-d75759cdd1e4}</author>
    <author>tc={c050c602-7122-4306-b69b-48f3c4314688}</author>
    <author>tc={c060502a-002e-496f-ab75-dff066eb643a}</author>
    <author>tc={c066ecbd-ffce-4bcb-ad23-1804d746daea}</author>
    <author>tc={c06d1c9a-9ae0-416c-ba0f-dd35a0a2d4a9}</author>
    <author>tc={c0803f4e-9076-4153-8969-4baa1ac87f70}</author>
    <author>tc={c08f35c5-cb5b-41ec-92cb-963745073b41}</author>
    <author>tc={c09c6de1-1499-485d-8872-3d95b09d8058}</author>
    <author>tc={c0e8cbb9-71b2-4ed2-a1f7-c8070e1250b2}</author>
    <author>tc={c10121b4-1560-4076-afe6-9b1c5852af19}</author>
    <author>tc={c120204e-7f51-4112-a10e-63d4558c34d3}</author>
    <author>tc={c1752b65-3c42-4588-b347-a1290b147068}</author>
    <author>tc={c1eed5a4-12ee-4767-9049-daf909b25ac0}</author>
    <author>tc={c21278a1-1784-4712-8ebb-1ccf9aeb3592}</author>
    <author>tc={c2507829-0d24-4f03-9477-6f9066a5a168}</author>
    <author>tc={c2997220-f018-47ff-b315-ddb51bedab4b}</author>
    <author>tc={c2b01a68-0dec-45e1-b9dc-feb90f7ef66a}</author>
    <author>tc={c2f2621e-790c-4516-b569-10ccc98c7ad4}</author>
    <author>tc={c3039ff7-2771-4085-8056-79e04da6b9bd}</author>
    <author>tc={c32ecc93-256f-406a-b8c0-044628051c9d}</author>
    <author>tc={c34f7533-afc0-441f-8dcc-500357a6d960}</author>
    <author>tc={c378eb8a-c314-44f4-8629-468fc8a9be46}</author>
    <author>tc={c3b7c719-cd49-4fef-88bf-f2901eb477fb}</author>
    <author>tc={c3e249e0-78ce-43f0-bbd0-5519767f7e56}</author>
    <author>tc={c3e9e4d7-fc80-4960-bc3b-806f79de328e}</author>
    <author>tc={c44ec410-b9e3-4d44-8b31-fa42431a34a0}</author>
    <author>tc={c4504589-af28-4fdd-b646-0226b6f8a51a}</author>
    <author>tc={c4a12c55-ad1e-4b60-9dda-18c335a1073d}</author>
    <author>tc={c4a6d65e-6370-4ce7-872e-635ca5b23c5f}</author>
    <author>tc={c4d961ca-602b-42b1-ac12-ee2260c64a1b}</author>
    <author>tc={c523f83a-3ed3-46c1-b1fa-5d437ef26ed8}</author>
    <author>tc={c533a69e-786d-4b4b-8704-efcac9e57e4d}</author>
    <author>tc={c5391e99-047d-4a24-9635-30e32f4587ab}</author>
    <author>tc={c53e88e2-8a89-4077-bfae-82d82370e5ae}</author>
    <author>tc={c581a833-b1bf-4bfe-bf9e-0951ebe4c49e}</author>
    <author>tc={c60c987c-e7f9-4a73-b8e0-f70f0a728281}</author>
    <author>tc={c668bd19-b70e-43d3-82e6-fd96aff9aa7f}</author>
    <author>tc={c687db2d-6f82-425b-a3ef-0d7a6e0f1354}</author>
    <author>tc={c6d5ab99-b1f1-4a53-8349-6e7cd02b49b2}</author>
    <author>tc={c7529282-29bb-41c7-acc9-e0819037aab8}</author>
    <author>tc={c760b27e-d725-4c06-bc48-96b4a651278d}</author>
    <author>tc={c7999677-cd63-4bc9-a974-487435e2f8e7}</author>
    <author>tc={c7a167bb-050c-4250-a562-ad12f92d448c}</author>
    <author>tc={c7b1115d-37e6-4390-b5f9-4b0da6a3a93f}</author>
    <author>tc={c7ba8377-ffe2-4ac1-b113-af6d0ffc8599}</author>
    <author>tc={c83bbd5f-f552-41a5-8cf7-460baf5911a2}</author>
    <author>tc={c870a812-0394-4cb2-b4b3-87b8b5dac8f1}</author>
    <author>tc={c8748441-c7d2-4067-9d57-8b5c76da8eb9}</author>
    <author>tc={c882832d-f323-4d26-bea4-5e23e0c2275e}</author>
    <author>tc={c8f84e3a-10b3-41e8-ad33-31a8a65835c5}</author>
    <author>tc={c90ba583-1a3d-46dc-9179-54ec219e609f}</author>
    <author>tc={c934bba5-3aee-49bd-b305-e4d9dd21d119}</author>
    <author>tc={c93c9bec-bf08-4721-a70d-8d9871f115ef}</author>
    <author>tc={c97368c0-7b23-4d45-948a-80439295a795}</author>
    <author>tc={c97b694d-6e79-421a-9f06-7a603862fbc6}</author>
    <author>tc={c98f67c6-b936-489e-9ce5-d0604dc27e9e}</author>
    <author>tc={c9901fc8-1ecc-4b67-8714-817907a621f7}</author>
    <author>tc={c99a1931-8bd0-4b3b-b98d-0e132637ef45}</author>
    <author>tc={c9f1876b-3e55-41bb-8c28-1df7df79b622}</author>
    <author>tc={ca169753-a23b-4099-a7aa-c63673cd93ce}</author>
    <author>tc={ca198a29-c18c-41f3-9f8c-7d20e7ecaf62}</author>
    <author>tc={ca246db1-aa52-4b22-901d-a37ef01491c4}</author>
    <author>tc={ca4250c5-196f-4f38-acda-7964558eeb2c}</author>
    <author>tc={ca5390ba-5d0c-446d-b8a6-34208b5df928}</author>
    <author>tc={caa3ff23-a4e9-40cb-a065-2d0d16862a10}</author>
    <author>tc={cac226ad-8669-4062-8f03-c93637119e2e}</author>
    <author>tc={cad5462d-29c9-42f4-b71a-d9f60a7b131c}</author>
    <author>tc={cadc46c5-c943-44f5-a0c3-431152aed663}</author>
    <author>tc={caeac3f4-6df2-4716-93cd-fd2ea34ef45d}</author>
    <author>tc={cb08505c-6201-4a0b-902b-6e523b19ca5b}</author>
    <author>tc={cb0f3ca2-e01f-422e-a2a8-a2e9dfdb427c}</author>
    <author>tc={cb186b26-2601-470c-9897-20781d8702d2}</author>
    <author>tc={cb39b702-f02e-4efb-bf03-73d54dfeea18}</author>
    <author>tc={cb69998e-6466-4079-8637-26dbbdacd3dd}</author>
    <author>tc={cba7cb1f-4dfd-4194-b3d0-69cf72dc69f3}</author>
    <author>tc={cbd5c555-fbe4-49bd-bde0-bfb251cde875}</author>
    <author>tc={cbe74ff1-f562-4ff3-acf1-9f8a75a24d8f}</author>
    <author>tc={cbe95f8b-f3c2-4768-b27f-77c9bd2a4020}</author>
    <author>tc={cbe9d1ae-8d69-438f-bc01-836af8ce8b25}</author>
    <author>tc={cc023076-b8d5-4b17-b777-9b49cc2a6f72}</author>
    <author>tc={cc1e1416-076f-48fc-afd2-22e30ca731b5}</author>
    <author>tc={cc5d8cd0-d88b-42bd-a095-0e2e3be448f1}</author>
    <author>tc={cc7208f4-661b-48f0-b54b-dc55203ad66f}</author>
    <author>tc={cc7629ac-eca6-4def-86a8-1ced7e612026}</author>
    <author>tc={cc78fb8d-5f98-4c80-89c2-1137dce9c42e}</author>
    <author>tc={cc7d9be6-62c3-4e5b-9aa8-a27d686c9295}</author>
    <author>tc={cc8231f4-4000-494a-aff8-f85a29205cf5}</author>
    <author>tc={cc84a7e5-88e8-4ed6-95fc-1be4e7c739f4}</author>
    <author>tc={cc8a6b2f-2b70-4f6b-b0a7-adf40549a5b9}</author>
    <author>tc={ccb742bf-efeb-49bd-b360-7664ef0484e1}</author>
    <author>tc={ccc59e85-de37-4f71-938e-aa59e0db74bf}</author>
    <author>tc={ccfcd918-bc31-4c67-abb1-a4a9a0c2beb4}</author>
    <author>tc={cd07bebd-4b86-49e1-ae0b-6f2a1afac9c2}</author>
    <author>tc={cd3847a9-e639-4511-95a2-ca68891f2f1b}</author>
    <author>tc={cd3fc9e0-7539-4d79-9831-f8ffad03ab52}</author>
    <author>tc={cdc7b888-6a37-41e0-bb8e-23d00aff2ec4}</author>
    <author>tc={cdfc9c24-1145-45bc-9672-468bebf17881}</author>
    <author>tc={ce091abb-73ad-4e8d-803b-a60abb5f38e2}</author>
    <author>tc={ceeda78c-6631-4eb8-abe9-55a5f863f3e1}</author>
    <author>tc={ceefcfbb-9afa-4bfa-bdd2-5bced7a1757c}</author>
    <author>tc={cf5e2aef-c308-46ff-b011-eb65d575c5b0}</author>
    <author>tc={cf651f74-50a7-4c50-affd-56ee95e58726}</author>
    <author>tc={cf825ebb-f308-4ee5-a9ab-54256fb5b107}</author>
    <author>tc={cfe246ab-5663-4509-80cb-65db09e08341}</author>
    <author>tc={cfe642f2-f490-4f51-801f-af67ec0cb76c}</author>
    <author>tc={cffd3760-0e34-4369-8175-456716fcddde}</author>
    <author>tc={d00724b4-e1f3-4b74-b0a5-261ba1cc8f97}</author>
    <author>tc={d0a0a8ab-4095-4c41-b544-afb6a442c1d2}</author>
    <author>tc={d0cf7355-b3ac-4b9b-a2ca-ce49404353f0}</author>
    <author>tc={d103653a-114c-4357-bb06-4ddd854c3c70}</author>
    <author>tc={d10b6584-0350-4209-b87f-7b46f42611f7}</author>
    <author>tc={d110a24d-e286-4a39-8b4e-0954abc985aa}</author>
    <author>tc={d155dca8-3004-436e-b645-0b27c00e75d0}</author>
    <author>tc={d176d658-76fc-45e5-99fd-c470dd9a180c}</author>
    <author>tc={d17a38fa-7272-48d8-8d46-ac19fa71945c}</author>
    <author>tc={d1ba4006-8689-498c-8c08-294a9af2567e}</author>
    <author>tc={d1c4518d-a6fd-4d81-94e6-6adf57d21d10}</author>
    <author>tc={d1ef0c6e-ac9b-472d-a81d-eed557f92b01}</author>
    <author>tc={d236a18d-f708-44db-a989-4082f2c2a123}</author>
    <author>tc={d2551460-ce1b-458c-b1b2-b6ff72854d96}</author>
    <author>tc={d2a3bf2d-4237-41c4-a6cc-5a49d12287fa}</author>
    <author>tc={d2aa7a6c-86a7-4994-b0ce-16558c572763}</author>
    <author>tc={d2cbee33-0498-4083-b513-a860a28391d5}</author>
    <author>tc={d305ada0-a0e2-4895-9358-1f4d210619dd}</author>
    <author>tc={d31c7751-8215-4faa-bc96-3f817f478997}</author>
    <author>tc={d31e2b5c-200e-42a6-be2e-45f54fdb71a4}</author>
    <author>tc={d3f788fc-6714-4f28-9ae0-c15e890436a1}</author>
    <author>tc={d4479333-cb24-4a55-8793-293458776752}</author>
    <author>tc={d45039f1-e1ec-4d78-acfe-d2e099cd048f}</author>
    <author>tc={d45fea68-99c4-41db-abfe-c8290fef3d27}</author>
    <author>tc={d482b8b6-851c-4d75-b15d-91f3d76b96f6}</author>
    <author>tc={d48d04f1-a95f-4550-83e8-4ef3826de928}</author>
    <author>tc={d49f1948-81bb-4b8a-ba15-87e07a91fc17}</author>
    <author>tc={d4a4e94e-e721-4f54-9946-3c89cce96fed}</author>
    <author>tc={d50a018d-cf14-4b42-a22a-b0bc0025369f}</author>
    <author>tc={d510787b-efd8-408f-b29b-632f69bd4562}</author>
    <author>tc={d524733c-1d10-4493-8c5b-7471f0e0463e}</author>
    <author>tc={d53051a8-012c-419a-a6c0-253d7fcf829e}</author>
    <author>tc={d549ba4a-1769-489b-92e2-7e27da9aff7e}</author>
    <author>tc={d590a167-4e08-4284-896e-03ca919ac3a6}</author>
    <author>tc={d5a9ba74-2dd3-4abd-97bb-528f15c6080c}</author>
    <author>tc={d5b20e6a-d3e3-45eb-885b-1343bfc80404}</author>
    <author>tc={d5c01b70-f652-4439-bdd1-dce605e72ffa}</author>
    <author>tc={d5cb4bdb-64bd-43ad-becc-68e4cc1ee61f}</author>
    <author>tc={d6a5239f-650b-4cc4-b4cd-a42c3038cc19}</author>
    <author>tc={d6b7caab-df4a-45a0-84a6-81febc6722e8}</author>
    <author>tc={d6b85507-dbfa-4933-9d70-5bcb6e985b14}</author>
    <author>tc={d700e262-391c-4554-8b24-0b7993d86f9b}</author>
    <author>tc={d7386555-2cda-4197-8700-992871f819db}</author>
    <author>tc={d75bd1e9-36e6-4577-843b-6388f89f7e36}</author>
    <author>tc={d7e17c82-68de-482a-b3c2-4efa85e12f7a}</author>
    <author>tc={d7f63f51-e9dd-4938-a1be-fcbf79741002}</author>
    <author>tc={d8187e88-a236-4f25-8ffb-bd2de81a2c46}</author>
    <author>tc={d83d1138-4076-4b54-b125-34f5ef1fa1a8}</author>
    <author>tc={d8652e93-4f35-4c57-bafb-fed1039cebb7}</author>
    <author>tc={d88427a9-eb01-429d-b96a-d300e29d013e}</author>
    <author>tc={d89c5fc6-a105-4df8-b361-80f9cd71a07f}</author>
    <author>tc={d8f07e80-e240-4252-a0fb-49470aa7cf7f}</author>
    <author>tc={d91094c9-177a-488b-af86-bae0197f2af7}</author>
    <author>tc={d916517c-9dcd-47f6-9a9a-e885c4f8f65b}</author>
    <author>tc={d93a0a90-2bdb-42dd-8d29-0f0ac8e4b0e7}</author>
    <author>tc={d94f0e2a-d58e-47dd-9561-bdb2de635e6d}</author>
    <author>tc={d985658e-281a-4911-a768-1ef4be4c5ae3}</author>
    <author>tc={d9bface9-de5a-4a0d-a449-206f7c7b77c0}</author>
    <author>tc={d9c1dea7-1963-4912-be5b-212ea3f73f87}</author>
    <author>tc={d9d04f96-da75-4448-b174-126394220c8f}</author>
    <author>tc={d9d446a9-0004-41ea-bd92-aa2465a4c49b}</author>
    <author>tc={da042eee-fcf4-48f4-97b9-61975f8c5e19}</author>
    <author>tc={da071d09-6862-4dab-9109-5c0e0f9b8313}</author>
    <author>tc={da673405-abf0-4ade-91ee-3aa877d9deb3}</author>
    <author>tc={da730da6-0225-408c-9766-c2c29c3939ec}</author>
    <author>tc={da750656-f1d4-4fbe-80de-9b98b58245bd}</author>
    <author>tc={da7d7aee-9494-4de7-9198-ba5b451c5f59}</author>
    <author>tc={da841b43-cd96-4fb6-8999-f7559f73cd31}</author>
    <author>tc={dad164c5-3d20-463c-a031-1f4cf2a9ae13}</author>
    <author>tc={dadcd1d4-bb68-4d35-b127-80841ddd39fc}</author>
    <author>tc={db0824d6-ece5-4222-a009-f4c0d9169f9b}</author>
    <author>tc={db176618-1094-4d57-9729-3c7c65f7c828}</author>
    <author>tc={db34c907-c708-41f6-af3d-fc4a953fe248}</author>
    <author>tc={db6212be-ef20-405a-a8e9-feebe7be6910}</author>
    <author>tc={db8d836b-c604-4c7b-bf7e-ca94b47fb3a8}</author>
    <author>tc={db909ad1-12ea-4879-bb0d-909501e57753}</author>
    <author>tc={dbaca5a9-44b8-45e2-9a96-1cace5c283f4}</author>
    <author>tc={dbf7c297-cdfe-4064-a528-38cdc336b4ad}</author>
    <author>tc={dc18cf34-36ec-406d-b884-b6b27a406ddc}</author>
    <author>tc={dc1ba1da-e64d-4066-87e6-aab688d957dc}</author>
    <author>tc={dc2d53e9-5169-40eb-8c5a-6646c6690c59}</author>
    <author>tc={dc612c74-dcaf-4370-a3ba-94cb048a0b52}</author>
    <author>tc={dc866654-0132-48b3-88d4-76afdafd9365}</author>
    <author>tc={dcb51f86-5b86-4fca-a22c-d832077fda3f}</author>
    <author>tc={dce2ee4a-e11e-4067-9d44-720f9eacefcc}</author>
    <author>tc={dd0c23c4-8246-4710-9d4a-37aee503dbb4}</author>
    <author>tc={dd1cce21-655c-47b3-92e8-19a6c76c625e}</author>
    <author>tc={dd536f44-34f0-4616-9ef2-c35caaa45c99}</author>
    <author>tc={dd59b7e5-5239-4650-be22-386583259896}</author>
    <author>tc={dda29a8e-3281-427e-ae19-58179d2f994a}</author>
    <author>tc={ddcc2ce4-b357-4686-a0b1-7f42bd88b306}</author>
    <author>tc={de22d41a-a466-4860-bc71-b0d174c4cc84}</author>
    <author>tc={de5db434-f4d1-438e-9c8b-6036e53fe1be}</author>
    <author>tc={de8f6e9f-069a-4c2d-bd66-01794cbc144b}</author>
    <author>tc={dea69e5a-b343-472c-93f3-98e69508528a}</author>
    <author>tc={decd50a9-a459-4241-9a8a-f21a1b5d52e8}</author>
    <author>tc={deedfb98-692f-4e79-922a-862aadf140a5}</author>
    <author>tc={df59bbc4-2a18-4e7e-b679-0da675c57fbe}</author>
    <author>tc={df7652c4-ee63-4d11-b401-bfc002cec8eb}</author>
    <author>tc={df7676d1-6456-4091-ae7a-1ad4f75cd49c}</author>
    <author>tc={df91f309-f09b-4539-9ef1-9414695a04d5}</author>
    <author>tc={dfa457d7-45e3-46ac-9f14-ba590e35d78b}</author>
    <author>tc={dfcc0dc7-3aef-4d49-be4b-5898f0f37e7d}</author>
    <author>tc={dfd3acf1-a3a9-490c-a32d-fe823e780aad}</author>
    <author>tc={dff94d40-2a7d-432f-9999-6818f8a7e4df}</author>
    <author>tc={e00b983b-7e51-4ea6-b496-fe34f1331d06}</author>
    <author>tc={e01c46d4-963f-454c-97ca-0b09ea03b96e}</author>
    <author>tc={e021e391-a55c-4053-81b2-01a215c07a2c}</author>
    <author>tc={e047ab23-8d26-462e-a059-c353f88d841f}</author>
    <author>tc={e060d7aa-7e03-4765-aea9-396fc7a5bc2d}</author>
    <author>tc={e0701b10-cd79-4691-8123-af9218e41426}</author>
    <author>tc={e09bd78f-90b7-46bb-a9e7-5adda4cd25f4}</author>
    <author>tc={e0a753f0-cb3f-4bc9-9726-8cec7484b81a}</author>
    <author>tc={e0b709fd-d41a-4c91-9591-682952f77a8b}</author>
    <author>tc={e0d95576-3f57-41cd-b220-0417a39d5392}</author>
    <author>tc={e0f5ead1-27d8-452f-987e-4967ba1b1a9f}</author>
    <author>tc={e0fc94ec-5419-4221-a7e3-57eb406d31bf}</author>
    <author>tc={e103327b-7533-413c-99f0-cc52c3c5708c}</author>
    <author>tc={e105b86e-15ed-499b-9fb1-1c0476e18906}</author>
    <author>tc={e10ce315-d0a1-4cf3-9bff-1c2e1a378162}</author>
    <author>tc={e13411a6-a0ad-4fe6-8cdf-6e0e43d3cb0c}</author>
    <author>tc={e144c1e3-3724-481a-b96e-dae790b8bdb6}</author>
    <author>tc={e151ebcc-c90b-47af-8027-532b3d6f7f7a}</author>
    <author>tc={e1a9b12b-2224-4a23-b6c5-bdd3951b4c2c}</author>
    <author>tc={e1b05047-c01e-422b-8e28-883b4337870b}</author>
    <author>tc={e1ced537-6dc0-41d2-adb5-90716ee3f149}</author>
    <author>tc={e1eeaab1-0f13-4959-8abc-6c8a10d5b519}</author>
    <author>tc={e1fd3c71-c436-49a3-a422-d77443722262}</author>
    <author>tc={e207db66-df94-4228-bccf-35837dbc2b83}</author>
    <author>tc={e2867f31-b5d3-42db-a708-63a33c517f18}</author>
    <author>tc={e2d28128-5355-4392-807a-df3ad45ec653}</author>
    <author>tc={e300eb2d-0ecc-4ce4-9134-b4d17baef60b}</author>
    <author>tc={e3064f93-a524-4cef-9803-aa1aa51ea185}</author>
    <author>tc={e3147798-16f0-4349-add2-01bd684167b5}</author>
    <author>tc={e31afb09-6a05-49c1-8ba6-6fa1640e51a4}</author>
    <author>tc={e35486e0-011b-4650-8893-2fced437453f}</author>
    <author>tc={e3a71b50-5640-452e-9f51-9b5366fee361}</author>
    <author>tc={e3d29f52-daba-4c85-b79b-b95b18ddc295}</author>
    <author>tc={e418d4f5-b594-4b3d-8899-95e955e414a3}</author>
    <author>tc={e47619c1-8705-412a-b059-554fe3a4b6e0}</author>
    <author>tc={e487ad61-853a-4c21-ba61-8355cabd4f86}</author>
    <author>tc={e49fe588-576d-4135-973e-0baf3dcd802a}</author>
    <author>tc={e4b07bb0-3975-4d95-9088-307660af9b8c}</author>
    <author>tc={e4b18d6c-6fbf-4142-b475-5d9e8ac2db7e}</author>
    <author>tc={e4b20610-347c-4f64-a615-33bff2024e86}</author>
    <author>tc={e4b87e75-fa0f-486e-9c6a-1f086d8eb658}</author>
    <author>tc={e4d486e7-9e0d-4a1b-823c-901571a65ece}</author>
    <author>tc={e58efea4-ab9d-4b27-8dc3-317a89235070}</author>
    <author>tc={e5a15888-06d0-4d1b-a80f-9a3f3ffd2681}</author>
    <author>tc={e5b2d29b-4209-4d62-a2c0-aded38af2022}</author>
    <author>tc={e5e4fbd1-210e-4a4a-ac4c-5aeb25c1b6f0}</author>
    <author>tc={e5eceb20-8a4f-4953-8a0e-30444965495d}</author>
    <author>tc={e61ce8b7-3734-4dd6-b32b-38b438528dee}</author>
    <author>tc={e645a6a0-fa23-4b2b-a21a-308329efd05d}</author>
    <author>tc={e6508ff0-50ba-4837-a702-178a60637a7e}</author>
    <author>tc={e666cc32-6347-440f-9608-fd14ef4c217c}</author>
    <author>tc={e7102d1e-52be-4299-bd5a-c81ec6efa80d}</author>
    <author>tc={e72958e3-a33b-4fc3-84b3-8eb4427504e0}</author>
    <author>tc={e76309ed-f052-4a66-b70e-b3a43d4e5706}</author>
    <author>tc={e7669371-ad7d-435d-94de-d8e63c3aba80}</author>
    <author>tc={e8075b6a-3fd6-4bdd-aedf-16529e600f19}</author>
    <author>tc={e82a122f-123c-4f46-8648-31b219ac8f06}</author>
    <author>tc={e83dbb2a-44a5-4d42-8371-9851a827c963}</author>
    <author>tc={e884335b-3191-49a6-92c8-4f22aab80de8}</author>
    <author>tc={e8f13f3b-845b-44a5-ba02-4d9e959a554f}</author>
    <author>tc={e90db661-81c1-4eb5-a947-0ded325592ec}</author>
    <author>tc={e93091de-8a2d-49f4-8170-6ebf1ab48f32}</author>
    <author>tc={e9a7d833-9add-4085-b320-ab6e6000e823}</author>
    <author>tc={e9ad0723-d739-45c0-aa6d-e4916fe66c97}</author>
    <author>tc={e9b155b8-bdd0-415c-aa6d-43717e01d393}</author>
    <author>tc={e9b5ceff-5854-436f-a7d1-bf9c30b1b8ee}</author>
    <author>tc={e9e819b0-e3c0-4e07-8380-c1cbc5260433}</author>
    <author>tc={ea0a466f-b2ee-4edf-a380-7bc846e880c5}</author>
    <author>tc={ea0d2dc8-3472-4862-9e64-5a4514daa5ab}</author>
    <author>tc={ea2feea7-9423-4a27-89df-efe1d67866e3}</author>
    <author>tc={ea5bcb5a-e04e-4999-b0e6-6d20c5a800e0}</author>
    <author>tc={eb1a52c5-6934-4fde-9baf-ee22cc8259a6}</author>
    <author>tc={eb1abfcb-55c5-46b6-a334-23ec8da1c16c}</author>
    <author>tc={eb25c24f-86e1-4336-8304-37378f69b212}</author>
    <author>tc={eb3c2dff-72f0-4381-8481-c6c7d2bfa86b}</author>
    <author>tc={eb8e396e-7259-48ef-b8ee-21239ba8ea9c}</author>
    <author>tc={ebd9958e-9725-4f9f-b5b4-dd06d628877e}</author>
    <author>tc={ebdf55f0-0efc-411b-be3e-9cc69c311f77}</author>
    <author>tc={ebe5e06f-6e21-432b-a76a-d3bad955564f}</author>
    <author>tc={ec0ea978-4e2d-4eda-907e-bd314fa8de1c}</author>
    <author>tc={ec240bfb-aa57-4ab3-9fea-7c719085d164}</author>
    <author>tc={ec34f135-9750-45d8-bbdf-2a110f71056f}</author>
    <author>tc={ed0af116-f2d6-4100-a2ad-f8ab7c780490}</author>
    <author>tc={ed783d93-4c0c-443f-8ba8-663ed2de19b5}</author>
    <author>tc={edb9b80d-ee4a-4c03-901f-17c29040a781}</author>
    <author>tc={edc398d4-197f-47f4-b2c6-87dc1cdccbbb}</author>
    <author>tc={ee1e4055-ac4e-40b0-8e43-34ce2b038a5b}</author>
    <author>tc={ee34eb0b-b919-461f-b210-1dbf031c9d21}</author>
    <author>tc={ee384eb3-157e-4560-bc82-4f7297f0bdb4}</author>
    <author>tc={ee3f8126-92b5-4ce2-8ff9-914f3af797a1}</author>
    <author>tc={ee4bf730-c4f8-49bd-9d03-de9a439a8753}</author>
    <author>tc={eecd857b-c39e-4826-9001-0c770aefec11}</author>
    <author>tc={eef5b781-7b38-443d-a630-b7081975b083}</author>
    <author>tc={eef6bb9f-03b3-4551-8451-5c04ed80e068}</author>
    <author>tc={eef6e22c-e979-4588-9e74-4412a1b1b147}</author>
    <author>tc={ef45e826-6f67-427e-8606-919964803f39}</author>
    <author>tc={efc99fe4-ffec-41c5-8cf8-da49aa638c45}</author>
    <author>tc={eff4f31b-c162-4a42-9812-dec4f7732632}</author>
    <author>tc={f0243904-a3f6-4807-bf57-1fcfd7340942}</author>
    <author>tc={f076ced9-24c6-4e4a-8dc4-83e1e05e5455}</author>
    <author>tc={f08b5543-2891-418e-8f99-76b461eb6cf8}</author>
    <author>tc={f09a210b-65aa-4145-9b27-88d099a186d4}</author>
    <author>tc={f0bebd60-ce7d-4045-8084-29c3e76213a8}</author>
    <author>tc={f0c7007f-47c5-458e-9d69-5f10c1e3531b}</author>
    <author>tc={f0ef3689-e5d6-4800-838c-c4a289a34562}</author>
    <author>tc={f0fc7a34-d4f0-4d37-a59f-a4884c4b142c}</author>
    <author>tc={f15a9966-7a4d-47bb-bebb-5b299ecdf14c}</author>
    <author>tc={f1892047-97dd-45ec-b189-400cdc7601ce}</author>
    <author>tc={f1ab1648-6659-431a-94b2-5e34c3b1c702}</author>
    <author>tc={f1f839e6-c223-4fde-8bc6-c1aa3a0c6ef3}</author>
    <author>tc={f22e76fa-63f9-4c74-9697-248049fa4463}</author>
    <author>tc={f23b5cf7-0f31-447b-a2cf-096879313b93}</author>
    <author>tc={f248defe-4fc8-4853-bd65-74de6ad77857}</author>
    <author>tc={f286072d-52db-4abb-bc75-bb7a214c80ba}</author>
    <author>tc={f28f458a-95cf-40fb-b883-f79866073913}</author>
    <author>tc={f2a088db-211e-49d0-904b-87f4bd70c850}</author>
    <author>tc={f2e79dee-d0e6-48c5-979b-ae2a4f540ab8}</author>
    <author>tc={f2e8ce21-fb78-43af-8a09-a79648fb63a2}</author>
    <author>tc={f34ec27c-c148-4f70-99a7-3626ea4ccea2}</author>
    <author>tc={f3602f6d-1bfb-427f-8655-ce80db335b62}</author>
    <author>tc={f3702260-83f5-4b30-81e9-8caa5f317cc9}</author>
    <author>tc={f3b529b7-6351-43b7-a4ca-ce99fe6843a0}</author>
    <author>tc={f3d775de-f2e3-4b74-a81c-0836405ad6ab}</author>
    <author>tc={f41fcd6a-2578-4885-83d9-549d1b09fc15}</author>
    <author>tc={f467a6d6-af41-4cba-89a8-08104c398d0f}</author>
    <author>tc={f4c72a73-953c-4336-96fc-8e7390b67e1f}</author>
    <author>tc={f4dd16c3-dc91-4e44-b24c-3762c2be4e88}</author>
    <author>tc={f5056e7c-e20e-4655-a5da-73cb66b26eca}</author>
    <author>tc={f557d683-edc2-458d-9c1f-2c0ba8ac76fa}</author>
    <author>tc={f58a51d0-34e2-4441-91dd-98629eaeac6b}</author>
    <author>tc={f593d466-84ae-448e-a7a6-483971817d62}</author>
    <author>tc={f59a70ae-fae6-4d6a-9229-dcfd6af6e96c}</author>
    <author>tc={f5cf2cbc-85c9-48d9-8526-37e4d216fbdd}</author>
    <author>tc={f6207213-3c35-43d4-9fb4-588962e68917}</author>
    <author>tc={f667bd82-d611-45fd-9cd6-9c39829dbdc3}</author>
    <author>tc={f6692887-2227-4d40-bcae-b3506b63e729}</author>
    <author>tc={f6761520-b359-4db7-9ec4-f4539d6032d2}</author>
    <author>tc={f687c34e-7e7c-42ee-b4e2-82d19ee60d09}</author>
    <author>tc={f6a2b877-f00e-4bcb-b6da-8319f79c75c0}</author>
    <author>tc={f6a328d6-49d9-4ba5-a79a-b7406187f465}</author>
    <author>tc={f6a4f558-2730-415a-b2a5-dcb3f96f1dae}</author>
    <author>tc={f6a7a2ab-320f-46a6-9047-ec6a343b0d31}</author>
    <author>tc={f6ff1a51-f029-48e2-a7c2-5b47203ec355}</author>
    <author>tc={f6ffb2b0-bccd-4150-a760-b3b05144601d}</author>
    <author>tc={f7092542-ac3f-4029-8151-8fb76b19308d}</author>
    <author>tc={f7333655-5561-49aa-a6ac-d642304552b0}</author>
    <author>tc={f747a126-e879-42b6-9a36-9e2f1f7ea8ad}</author>
    <author>tc={f7487702-acb7-43c6-9fd9-e17172e70d05}</author>
    <author>tc={f7726f56-9aa7-4a35-9902-44fb99c7979b}</author>
    <author>tc={f776115f-70da-4874-9d1e-c676f7e0dc2d}</author>
    <author>tc={f77ee3c5-f940-4e79-b236-5898309093ee}</author>
    <author>tc={f78dffa7-f350-4502-b8e7-ff8282d843a3}</author>
    <author>tc={f79491e3-03e6-4a00-9129-0e8ec1f8d5e4}</author>
    <author>tc={f7cbe241-3118-47f5-a0f6-ed8db2b5c0d7}</author>
    <author>tc={f7d935c3-acc1-4e3b-bfc3-52eaa7a1e725}</author>
    <author>tc={f7f1e3d8-fac0-4199-a8ba-b0eaeb2fc0a6}</author>
    <author>tc={f81f6787-d98b-41cd-a793-134a936c71b4}</author>
    <author>tc={f824e280-c17f-417b-b4e2-e6e689f4211e}</author>
    <author>tc={f894731c-2a37-41a4-afe6-f4af7a3a667b}</author>
    <author>tc={f8ce94d7-1dcc-41fa-b394-cedc48cdc770}</author>
    <author>tc={f8d9206f-62a8-4039-a52a-be3ebb895cf3}</author>
    <author>tc={f9015439-4279-433d-84e2-a2eedcbcb04e}</author>
    <author>tc={f96a9dda-d183-490a-9339-f0646ef86388}</author>
    <author>tc={f9834ab5-0822-404a-9d70-7efcc808df5d}</author>
    <author>tc={f984f067-9692-4a86-932e-a98f4ca71739}</author>
    <author>tc={f98f7209-9f9f-4e9e-96f6-a86ebdd2fb4a}</author>
    <author>tc={f9ba21ab-c0ee-4e7a-94c0-3051c6828cf2}</author>
    <author>tc={f9ec93ef-6851-4f30-a4e7-2e5e77a21655}</author>
    <author>tc={fa527ab0-88f0-434f-bafc-a5e4e5914cd7}</author>
    <author>tc={fa53ad19-2c98-48ba-a1f4-0aa8485eb4a4}</author>
    <author>tc={fa90c521-4ac3-4808-91c2-619b8c89c9f7}</author>
    <author>tc={fab9197c-9e43-4541-b556-bb1fc5360af2}</author>
    <author>tc={facf03ad-01eb-4ab4-a6c3-1fcaeaa67b5d}</author>
    <author>tc={fb2d0e9f-8b53-4105-9a25-d8d99f25dfb1}</author>
    <author>tc={fb566b1b-7d9e-441e-a732-dee625ba74d6}</author>
    <author>tc={fb5c25b5-8166-4130-8923-c42e2f5fcc5e}</author>
    <author>tc={fb928d30-e1a5-4c56-8c37-713fb599ae75}</author>
    <author>tc={fba1ec5c-a4be-4d74-8dcc-ac747b72b782}</author>
    <author>tc={fba3d9c1-65ab-4305-b49a-859bd095d89a}</author>
    <author>tc={fbaffef6-a6c7-4f61-aef1-add595818533}</author>
    <author>tc={fbd118fc-6691-475b-934d-2ad7440ef072}</author>
    <author>tc={fbeb4728-41ad-453b-a686-47c8aeee429d}</author>
    <author>tc={fbf5218d-305f-42e2-859e-37c3fc4e8473}</author>
    <author>tc={fc41262a-8471-4cb6-8403-be4ba2dc076d}</author>
    <author>tc={fc558a6f-11b6-4f2c-93d3-d4709617ef7e}</author>
    <author>tc={fc55f370-96af-420b-af6f-098439f15dec}</author>
    <author>tc={fcea62f7-c221-401c-a7eb-478976395953}</author>
    <author>tc={fcf38d50-49f4-4325-95ac-3b9b7059dc17}</author>
    <author>tc={fd2ed920-b563-4504-bd90-aa06cf4f2603}</author>
    <author>tc={fdafde79-ef9d-4504-a418-e12fab3601c3}</author>
    <author>tc={fdea1fdf-e6fa-41c4-8cbd-d66d0f1a10ec}</author>
    <author>tc={fdf71b83-a094-4a78-ab80-002ab99cf200}</author>
    <author>tc={fdf85843-9461-4b3a-81c7-f100dd355cb8}</author>
    <author>tc={fe04cd83-837b-4d7e-93ee-ff36ddbfd3d4}</author>
    <author>tc={fe49f57c-0b66-4276-a42d-9a2425d9fda5}</author>
    <author>tc={fe7b0950-59b8-4a60-a6d7-6f487d8279c6}</author>
    <author>tc={fe82c311-536e-4fd3-8ce2-2a73b20dd300}</author>
    <author>tc={fea8bbd6-5c53-4fa0-87a3-25ff54e157d1}</author>
    <author>tc={ff2845ff-1b66-4e3e-bca1-7eb9ab1d2f56}</author>
    <author>tc={ffa5f660-c573-4a38-be18-85b26b93fd69}</author>
    <author>tc={ffb17d80-985e-4ea7-a352-8c97135216a9}</author>
    <author>tc={ffdd5c02-5824-42d3-9ef4-97489fb64236}</author>
    <author>tc={fff0aeb8-6212-4fd7-a473-bd204cac0049}</author>
  </authors>
  <commentList>
    <comment authorId="0" ref="AL220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1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
</t>
      </text>
    </comment>
    <comment authorId="0" ref="AL222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3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4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5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6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7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8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29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30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31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32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33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AL234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X805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X806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AC891">
      <text>
        <t xml:space="preserve">Kelly Mendes:
Data de instalação</t>
      </text>
    </comment>
    <comment authorId="0" ref="AC892">
      <text>
        <t xml:space="preserve">Kelly Mendes:
Data de instalação</t>
      </text>
    </comment>
    <comment authorId="0" ref="AC893">
      <text>
        <t xml:space="preserve">Kelly Mendes:
Data de instalação</t>
      </text>
    </comment>
    <comment authorId="0" ref="AC917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2º Termo Adt</t>
      </text>
    </comment>
    <comment authorId="0" ref="X1016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1º Termo Adt</t>
      </text>
    </comment>
    <comment authorId="0" ref="X1017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1º Termo Adt</t>
      </text>
    </comment>
    <comment authorId="0" ref="AC1323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25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27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28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29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3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31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32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AC1333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do 5º Temo Adt</t>
      </text>
    </comment>
    <comment authorId="0" ref="X1389">
      <text>
        <t xml:space="preserve">Kelly Mendes:
Data mencionada no 1º aditivo </t>
      </text>
    </comment>
    <comment authorId="0" ref="X139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X1391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X1392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X1393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X1394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mencionada no RP</t>
      </text>
    </comment>
    <comment authorId="0" ref="S1483">
      <text>
        <t xml:space="preserve">Kelly Mendes:
Data de instalação</t>
      </text>
    </comment>
    <comment authorId="0" ref="S1484">
      <text>
        <t xml:space="preserve">Kelly Mendes:
data de instalação</t>
      </text>
    </comment>
    <comment authorId="0" ref="S1485">
      <text>
        <t xml:space="preserve">Kelly Mendes:
Data de instalação</t>
      </text>
    </comment>
    <comment authorId="0" ref="S1486">
      <text>
        <t xml:space="preserve">Kelly Mendes:
Data de instalação</t>
      </text>
    </comment>
    <comment authorId="0" ref="S1487">
      <text>
        <t xml:space="preserve">Kelly Mendes:
Data de instalação</t>
      </text>
    </comment>
    <comment authorId="0" ref="S1488">
      <text>
        <t xml:space="preserve">Kelly Mendes:
Data de instalação</t>
      </text>
    </comment>
    <comment authorId="0" ref="S1489">
      <text>
        <t xml:space="preserve">Kelly Mendes:
Data de instalação
</t>
      </text>
    </comment>
    <comment authorId="0" ref="S1652">
      <text>
        <t xml:space="preserve">Kelly Mendes:
Data de instalação</t>
      </text>
    </comment>
    <comment authorId="0" ref="S1653">
      <text>
        <t xml:space="preserve">Kelly Mendes:
Data da instalação</t>
      </text>
    </comment>
    <comment authorId="0" ref="S1654">
      <text>
        <t xml:space="preserve">Kelly Mendes:
Data de instalação</t>
      </text>
    </comment>
    <comment authorId="1" xr:uid="{007c4db0-9872-40dd-a5fd-fba63f57acd6}" ref="X11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2" xr:uid="{008cdd42-ef69-417b-bbbd-dfab8cfe68b4}" ref="S3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" xr:uid="{00c0a1cc-47d1-442f-baa0-71bbc9c58c43}" ref="S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" xr:uid="{00c39ec8-7153-473a-82dd-88ffcf23f21e}" ref="X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" xr:uid="{00dab997-3cad-4116-a52b-d94326f76568}" ref="S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" xr:uid="{00e1a174-c3f5-410b-ae96-c05d0a74bd74}" ref="AC6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" xr:uid="{0123d78d-616c-444b-afec-3263f9d348ce}" ref="S7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" xr:uid="{013fc0a9-a4b3-4f6c-a4e4-903aa1902957}" ref="S9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" xr:uid="{01baef73-7dde-4756-bd5c-cc7a2fa93a2f}" ref="AC12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0" xr:uid="{02040980-aaeb-4840-9cef-77acdebef51e}" ref="S2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" xr:uid="{02544eab-b815-408e-acfa-c157606d0a27}" ref="S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" xr:uid="{027eee55-135b-4ace-aa12-c730ace5f7aa}" ref="S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" xr:uid="{029d5d68-7e70-4ac4-a42a-a7067384cf77}" ref="S14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" xr:uid="{0307688a-c49f-4f4b-ad4a-db1f99cb2cb4}" ref="S3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" xr:uid="{0314d5fc-792a-452b-b7d1-b6f5075c7277}" ref="X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" xr:uid="{031ff944-45fc-46bf-84f7-9e8b06d83384}" ref="S2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" xr:uid="{039ccfb3-510a-41b6-86f3-025150411afd}" ref="S9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" xr:uid="{03a7033b-4008-4722-8482-c292c6ffa4c4}" ref="AC7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" xr:uid="{03c88444-999c-4811-b988-ce637582a6f7}" ref="AC12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0" xr:uid="{040f7e0b-2a97-4b6f-90ae-119cd69ff9d4}" ref="X11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21" xr:uid="{0412456d-4e60-4606-9736-729ce50beb10}" ref="X2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22" xr:uid="{042fb83a-be08-4deb-b16b-c674ab71a5a1}" ref="AC5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23" xr:uid="{04530913-04a2-45aa-9e56-cb726db18f7b}" ref="X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4" xr:uid="{046189d7-b956-487c-8235-702e10d75297}" ref="AC11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25" xr:uid="{04746b3f-859e-41ed-a7f6-3aa428669b45}" ref="S9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" xr:uid="{04c07887-194d-4c8b-93ab-4bb7b03c75f3}" ref="S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7" xr:uid="{04f3d89c-af93-4875-8c2a-50a524c0cc3b}" ref="X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8" xr:uid="{05047661-aeba-4041-bfbd-6e46f2f71e96}" ref="AC1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9" xr:uid="{05087965-652e-402b-81cb-30bedf9282d4}" ref="S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0" xr:uid="{050e3b2d-a18c-468c-8423-d81873a638ff}" ref="S4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31" xr:uid="{053dd553-2023-45cd-8f12-ea92d45a8d54}" ref="S4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2" xr:uid="{057bc8bd-9c2b-48ce-b6e9-970049c158b9}" ref="S3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" xr:uid="{0581cb5c-164b-46ac-947b-25ca6c2fe839}" ref="AC5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34" xr:uid="{0582e0a6-6854-4882-a51c-a2ec9f6b6725}" ref="S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" xr:uid="{0585b1d7-6934-4127-8b7c-ed945278d233}" ref="AC13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36" xr:uid="{05aa8904-71b4-48d7-bb18-53e53756fac2}" ref="S7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" xr:uid="{05bd9438-25d4-4bad-86ac-36be99249281}" ref="AC7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" xr:uid="{0645566e-57eb-4e82-bf61-5eeca758c8a7}" ref="AC11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39" xr:uid="{0674eaa4-704e-4c13-b688-34bf6eb087a6}" ref="S4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0" xr:uid="{06a7aa48-8560-4ecc-9ff7-6fb7f37ae09a}" ref="S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" xr:uid="{07028fbb-f4ec-4efb-8bdc-f656fd824ce5}" ref="S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" xr:uid="{071c43ad-97eb-40ff-9f73-a2c86849ce1c}" ref="S3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3" xr:uid="{07461c09-0227-4725-802a-fc7cafa3c978}" ref="AC1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44" xr:uid="{0753c2cd-e9c8-49d4-ba22-32032a0c8e08}" ref="S15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5" xr:uid="{075b712d-9344-461a-b6d9-b8b7ef2b9bba}" ref="S14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6" xr:uid="{079190c5-e075-43b0-89cb-75c0d226c7db}" ref="X2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47" xr:uid="{07b0d929-aacf-42c8-9b1f-f5166f0f5a9f}" ref="S13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8" xr:uid="{07b20d99-c4c4-4993-aa68-077a2469910d}" ref="X8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49" xr:uid="{07f669a6-f0c8-46b5-8bab-76b43dadafee}" ref="AC11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50" xr:uid="{0825cf26-68ec-4144-92cd-826c1d7d276d}" ref="AC16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" xr:uid="{0837b40a-f208-40ac-8736-2c6d387136f2}" ref="S2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" xr:uid="{088d2e40-29d6-4be2-a617-3b5da1904ec2}" ref="S10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53" xr:uid="{08938472-4c21-44d5-824d-700cf73a1db1}" ref="AC6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" xr:uid="{08dfe65f-b457-4ca7-9c06-c2e56f16bb21}" ref="S10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5" xr:uid="{09062b1f-e8f7-4a8a-a688-594abd45c595}" ref="S3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" xr:uid="{094855c8-4efc-4490-b1b4-bd3b45a1d30a}" ref="S10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7" xr:uid="{09a5ca48-9380-4c15-8167-e38e4bcd08f3}" ref="AC8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" xr:uid="{09a62c9f-7d09-4c2d-8552-4d4ac51c3a94}" ref="AC1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59" xr:uid="{09b2d8ec-6536-474a-9498-ff39471f4eab}" ref="S13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" xr:uid="{09cfc1a9-83dc-4178-b013-254ec68c6170}" ref="S3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" xr:uid="{09e6dbb4-3c98-4c37-8cde-1704dd427d84}" ref="S15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2" xr:uid="{09fc49bd-de42-49a4-ba32-4a5a9f4e1081}" ref="AC12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63" xr:uid="{0a092d7e-a033-4956-b650-b5fe69cbd1d0}" ref="AC12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64" xr:uid="{0a291ab0-8fdc-403f-9d7b-b09a02eedd70}" ref="AI8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65" xr:uid="{0a38791a-6304-4065-8263-9052beec9112}" ref="S9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6" xr:uid="{0a6c3784-7413-491b-9c15-14c57344d365}" ref="S13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7" xr:uid="{0a849709-57c0-461a-a3a7-de44be70a6a0}" ref="S16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" xr:uid="{0ab0856c-7885-45d0-9e8c-f8b6252faae4}" ref="AJ5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69" xr:uid="{0abdc532-0ce4-4309-bc44-41944365f052}" ref="S14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0" xr:uid="{0adb4a30-cd24-49d3-8cd8-5a19b29a7978}" ref="S9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" xr:uid="{0b50f18d-e9dd-4c6e-a175-1f2c81ea18ac}" ref="AC11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2" xr:uid="{0b87c2e3-9a4f-48d4-87b2-016ba5f7791a}" ref="S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" xr:uid="{0b889670-ae82-4a37-b219-a246dbe2537d}" ref="S9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data, então preenchida igual a da outra unidade
</t>
      </text>
    </comment>
    <comment authorId="74" xr:uid="{0bb5c7d1-4671-40d3-bae3-5374efc33033}" ref="S1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" xr:uid="{0bdf9e22-0b4e-4445-bc84-bc4daedd3722}" ref="S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" xr:uid="{0becf766-90a1-4bff-b216-02f8c60050ab}" ref="AC9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77" xr:uid="{0c429874-e697-49dd-b174-0840a0b72b6b}" ref="AJ8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78" xr:uid="{0c81ab47-e524-43af-ae5e-83a1f1c9706c}" ref="S4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9" xr:uid="{0ca1b3b1-a5c4-40c2-a0b3-0d2126bd62ae}" ref="S3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" xr:uid="{0cacd9e6-6da3-430c-bbc2-f8ef3cb6e957}" ref="AC5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81" xr:uid="{0cf0a308-4205-4619-914e-823af009c459}" ref="X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2" xr:uid="{0d4e466e-0f37-4e52-b0d9-75ef9503f9d4}" ref="S15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3" xr:uid="{0d9e1f27-b743-4cb0-ba5f-eb080278adba}" ref="S10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84" xr:uid="{0dad7437-8c77-4e25-b68f-1c5fb78bb1dd}" ref="S3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" xr:uid="{0dc440a7-69b1-4ef0-acac-5d7fa527e5df}" ref="AC16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6" xr:uid="{0dcbcc18-f476-4c4e-a590-8a320f55828f}" ref="AJ5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87" xr:uid="{0e196dbe-7eaa-405b-9bc1-188de298db4a}" ref="S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8" xr:uid="{0e1fc97b-3576-416f-9025-e65ce464568c}" ref="S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9" xr:uid="{0e254b71-0576-4b8a-b3eb-7be4847c1434}" ref="X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90" xr:uid="{0e627d0f-2c07-4a1e-82fb-dc30b183d01a}" ref="S13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1" xr:uid="{0e82cb18-67d5-4555-bed0-82e5406ba1aa}" ref="AC6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2" xr:uid="{0eb9da66-4f55-42c4-9822-be97d912a531}" ref="AJ8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93" xr:uid="{1015a564-6cb9-4169-b70f-0a81305a505e}" ref="S3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4" xr:uid="{104f3a21-8098-435a-8ab7-18cd74b20d6c}" ref="AC6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" xr:uid="{105c2a16-e963-4e37-906f-ce5594585d46}" ref="AC1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96" xr:uid="{1068db93-5e8b-49c1-80e9-3a647513ff11}" ref="S8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" xr:uid="{1079b910-c105-43e3-a13e-654662689043}" ref="AC1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98" xr:uid="{10b3ecab-7304-481d-a92c-dd7aa47cb7a3}" ref="S15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" xr:uid="{10d2247a-f753-47ed-a8e1-7a6b5fcd6819}" ref="S4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0" xr:uid="{10fc7b43-c60c-4a29-806a-2bb50c1c2092}" ref="X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1" xr:uid="{114aee5e-85da-4ce3-8e78-940c80d436ff}" ref="AC6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" xr:uid="{114edef7-d2f6-4007-bc97-18fe40bcd1bf}" ref="AC8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" xr:uid="{11652c37-f0c0-45a5-b6de-5859db537083}" ref="AC12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04" xr:uid="{1165fd76-b6c0-4a74-87d6-ec53b1bf240e}" ref="X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5" xr:uid="{117865bf-da99-4b62-ac8e-8cd10d9b447e}" ref="S9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" xr:uid="{11a228a3-6f48-483d-80be-a5bb2ce1f103}" ref="S13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ordem de início, mencionada no RP
</t>
      </text>
    </comment>
    <comment authorId="107" xr:uid="{11b1e817-9723-449b-a771-b6b7d7995785}" ref="S14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" xr:uid="{11bc8e99-ddc8-488a-88b9-aa79eaec6920}" ref="S9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9" xr:uid="{11ddbec7-838d-4db9-99ce-96fe4669580e}" ref="S5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10" xr:uid="{11e99ac3-808d-4de6-b8f0-cdde42c9130c}" ref="S4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1" xr:uid="{1203b06e-c6d0-4c86-865d-d877e4df9e26}" ref="S10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2" xr:uid="{12044223-8317-478e-a930-e38c88cc69ef}" ref="S4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3" xr:uid="{1224d67e-e609-4bcf-878d-afbf53c91756}" ref="S15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" xr:uid="{127827c3-cdbb-4082-8088-010f97018110}" ref="AJ5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15" xr:uid="{128c6ea2-5990-4ea2-94a3-b2abde0fae8f}" ref="S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" xr:uid="{12962199-69a3-425c-ad1e-7bb9ff364644}" ref="S5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7" xr:uid="{130b9e7f-5f8a-4fd1-8890-eed3f0baa2de}" ref="X8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18" xr:uid="{130d6eb4-2b96-487c-aad2-1eb2643630d9}" ref="AC1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119" xr:uid="{130ea8b5-a00d-4a99-9a37-e12e9a3dcc5a}" ref="X1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120" xr:uid="{13487ae9-b6ed-4cd1-af8a-0abef63f5e69}" ref="S5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1" xr:uid="{1348f233-cd02-4a0a-8302-4982f47d65c3}" ref="X16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22" xr:uid="{134f2af3-ec15-4faf-b97b-28b4afb68a24}" ref="AC6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3" xr:uid="{1351acae-a455-4b9e-9fb5-6688cca2aae8}" ref="S9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4" xr:uid="{137ec85e-0230-414f-8e37-8a1e6290fedb}" ref="S15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" xr:uid="{1384736e-a23b-486e-aa79-3278ab85a86e}" ref="S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6" xr:uid="{138fe2e4-3387-44c9-86fc-b71a88477bf4}" ref="AC12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27" xr:uid="{13974be6-93c9-4ecb-abf3-83520a1cc65e}" ref="S14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" xr:uid="{140b86b6-9666-4ff4-916f-d3283069b70f}" ref="S14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9" xr:uid="{1413f641-fd7c-44ee-8dc4-e59396072b44}" ref="S1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0" xr:uid="{143723d9-0e45-4ea2-b9f6-2a91ccd82696}" ref="S15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" xr:uid="{143e94be-6e7f-4839-9a10-59ec015183c5}" ref="X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2" xr:uid="{1494b1af-2671-44c6-8bdb-f8d36ad0f9a1}" ref="AC8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3" xr:uid="{14b1cb3e-7db0-4b6e-bfd3-02358dd4ae14}" ref="S4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4" xr:uid="{14b374bb-91e0-4f19-a7e2-cec4ce6176e0}" ref="S14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" xr:uid="{14c1ba0c-8df6-43ce-bb87-319e753b21f6}" ref="S7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" xr:uid="{14c8ce4b-18fa-4429-80c0-f8f2b0ee1595}" ref="S5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" xr:uid="{14d7edda-d501-4f61-b1a1-c23293f9bfa2}" ref="X8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38" xr:uid="{1527e432-4df6-494e-973a-318f67a4cab7}" ref="X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" xr:uid="{152f72d8-81b8-4f0e-bb6f-3b7275d2de89}" ref="X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40" xr:uid="{15b0a2bf-697e-4f21-bddc-70f64b1a2cd2}" ref="AJ5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41" xr:uid="{15c15831-b718-468d-81fa-107daf116b94}" ref="AC6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" xr:uid="{15ea45eb-83df-430a-8b3e-d6842a4ecabd}" ref="S4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43" xr:uid="{1617c20f-864e-4997-9829-d53b1b05af13}" ref="AC2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44" xr:uid="{161e0817-a251-4293-aa8c-69cb5040fd38}" ref="S10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45" xr:uid="{1620a1a4-b286-4ed8-b263-5552a350f6ec}" ref="S14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" xr:uid="{16486cc8-5ac9-4f92-8bdb-26ef6bb980bd}" ref="AC6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" xr:uid="{1658eea7-d116-4a3e-baf2-11fff6da207f}" ref="AC12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8" xr:uid="{16892cf5-dfd2-4eba-a88d-8aac96199263}" ref="S10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" xr:uid="{16948e32-990b-4eb9-b5fb-9b89752a67a2}" ref="S9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0" xr:uid="{16dc5df6-a1db-42da-b951-2aed9578c5b8}" ref="AC7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" xr:uid="{16ea0e44-8621-4166-b230-17cce7b6146a}" ref="S7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" xr:uid="{16f48f9f-2c29-4efa-bb97-d1cfb1db0ff9}" ref="S4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53" xr:uid="{1700b555-7b4d-4565-a449-64accbffbd3a}" ref="AC12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54" xr:uid="{1703ebca-d4b0-45da-a5a0-bb8cb75c12f8}" ref="S9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5" xr:uid="{171bd7a5-33da-4e7e-b5eb-367c0aecc583}" ref="AC11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56" xr:uid="{173c67b8-4488-47de-8c7e-6364a6b9871e}" ref="AC1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57" xr:uid="{17890a76-f583-4dcf-a1e4-fbaf21f5c59a}" ref="S4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8" xr:uid="{1792e2da-8c26-4f8f-9150-56b44ba707b5}" ref="S13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" xr:uid="{17ce900f-7def-4660-bff7-5f744ad11db6}" ref="AC2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" xr:uid="{17f02074-2d64-44de-a138-2af287678a80}" ref="AC6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" xr:uid="{17f8d41b-7f1d-4271-b4e3-74d57330fe87}" ref="AC12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62" xr:uid="{17fa6688-8720-4675-a846-095f3e1de28d}" ref="X16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63" xr:uid="{1811716e-804f-40fc-a583-2fa0d5ff86d9}" ref="S8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" xr:uid="{184ca5cb-cb74-4522-b3e8-b7061fd820f2}" ref="S7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" xr:uid="{189c57d2-cf19-4275-8856-55f1eb3fd59f}" ref="AI8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66" xr:uid="{18c43b6d-711c-4c57-a1f0-8ae85f1ff9ec}" ref="S15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7" xr:uid="{19116ca5-83b6-4c92-8a4c-ea4b91b903ce}" ref="AC7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8" xr:uid="{1919cd2f-edb7-415f-ab79-18ee1e29ba38}" ref="AC6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69" xr:uid="{192c5741-d088-4ff7-9344-4a38cc027494}" ref="X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70" xr:uid="{193b4efb-51d5-436c-a8e2-faca481a5bf3}" ref="S15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1" xr:uid="{196b4a70-a7ce-4aa8-877b-ff47777d036e}" ref="AJ5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72" xr:uid="{19825718-b263-4af3-b222-da0f1ad30140}" ref="X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73" xr:uid="{198fce03-9989-4572-9009-a6ea5b352373}" ref="X8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74" xr:uid="{1999133b-cd13-4053-8f9f-aaa6ea682be6}" ref="S2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5" xr:uid="{199a48f9-8726-49ca-b854-1154345151ae}" ref="S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6" xr:uid="{19a6cd1e-e581-444f-a231-d4ad85778b2b}" ref="S13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7" xr:uid="{19b96d1e-1c9d-464b-b634-c402c27ec7a6}" ref="AC2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78" xr:uid="{1a088bd0-4f20-47a3-881a-7560985d6be9}" ref="X2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79" xr:uid="{1a08e39d-50c6-477e-b76c-b9d0bb77d0e3}" ref="AL16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Somente as peças mencionadas na lista
</t>
      </text>
    </comment>
    <comment authorId="180" xr:uid="{1a884d38-195f-453b-9246-2a9d6809b71e}" ref="X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81" xr:uid="{1ab42776-311f-4d7b-b584-d1284ab0856b}" ref="AC5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82" xr:uid="{1b085563-c81a-4871-b88f-8833857742b3}" ref="S5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83" xr:uid="{1b2f63ab-a928-40c6-88e3-f57b3c287f8d}" ref="AC6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4" xr:uid="{1b3c7ced-ee1b-46b5-a910-e3750ec206ec}" ref="S3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5" xr:uid="{1b576b90-f1b5-48bf-9cde-d78fbc07cd56}" ref="AJ8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86" xr:uid="{1b88aa22-8a80-413a-b7c8-4b351aef72e4}" ref="S4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7" xr:uid="{1bcbfa9c-1712-4124-a623-131e6464a3bf}" ref="S13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8" xr:uid="{1bd006b8-637d-4e19-9328-d499d3521fb1}" ref="AC6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89" xr:uid="{1bd5d0d8-17c8-4b21-ade0-f5e7b59f4914}" ref="S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0" xr:uid="{1bea5f45-1401-40e8-82a8-7436612dc02a}" ref="AC6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1" xr:uid="{1c09e4ac-ebb9-445e-a450-bf300c4d5d76}" ref="S7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2" xr:uid="{1c25e9f2-b001-43c9-a051-b68a71ff98cb}" ref="AC6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3" xr:uid="{1c453fb2-1c37-4ed9-8734-02c3ee562d96}" ref="AC1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 informada no RP
</t>
      </text>
    </comment>
    <comment authorId="194" xr:uid="{1c59143c-0514-4933-8ff3-638bcea33814}" ref="S11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5" xr:uid="{1c7120f8-c668-437b-9f81-c2b0362301be}" ref="AC6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6" xr:uid="{1c9cc61c-cd9f-464a-91b4-c0dc2ebaeacf}" ref="S2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7" xr:uid="{1cc841d5-9a09-4b73-8511-b79b7d63a2ea}" ref="S1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8" xr:uid="{1cd1ad7e-0db2-494e-8fab-c61719c0ac9e}" ref="AC8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99" xr:uid="{1d143345-3b93-44b9-9173-92dbc24b3fa0}" ref="S15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00" xr:uid="{1d1a89c8-e045-4fa0-8185-a8319f1efb1d}" ref="AC7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1" xr:uid="{1d60c045-ba69-4dce-a6a3-783162091afe}" ref="S15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2" xr:uid="{1d6f7036-a4e9-43fb-ba1e-3ca324a9e021}" ref="S14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3" xr:uid="{1d890e2e-2d2a-4553-a4ae-a89c77be305e}" ref="S3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4" xr:uid="{1da0b8cb-24dd-4806-a82f-c77ddd33fb7b}" ref="AC6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5" xr:uid="{1dd1b4ea-59d7-4e57-b19c-a0215d4660bc}" ref="S15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6" xr:uid="{1dd9b510-8997-41d0-b352-31aaf65452d1}" ref="S3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07" xr:uid="{1df58627-e9ba-44bc-b7f6-b78d8cdc6dd5}" ref="AJ5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208" xr:uid="{1e2db0f0-ac24-4a1b-96c8-62c0cf1fc98c}" ref="S5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209" xr:uid="{1e4ba421-5083-4e67-877d-a5c3b59947d5}" ref="S9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10" xr:uid="{1e59620a-eac6-4b95-acbc-3f13ded4b3b6}" ref="AC8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1" xr:uid="{1e7e76eb-4761-4528-94d5-ab08548d6273}" ref="S3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2" xr:uid="{1ed3a8fb-edb6-4240-b8f9-ecf4297df561}" ref="AC13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213" xr:uid="{1ee4d2c9-5333-486c-b2f0-8790430520a7}" ref="S7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4" xr:uid="{1ef159ec-e44f-49fa-bdd3-184897088b7a}" ref="AC11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15" xr:uid="{1f041374-28cf-4597-a283-6216390d5b70}" ref="S15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6" xr:uid="{1f0d9cbe-8ebe-4870-9bca-d15ac8fe31ca}" ref="S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7" xr:uid="{1f24a14b-2bd6-4dec-89ae-61f709b02a78}" ref="S3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18" xr:uid="{1f3381a7-6836-498c-b4e9-9ce8abf3c18d}" ref="X7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219" xr:uid="{1f5712fe-ce11-4101-aee6-0d4c4bbd4bce}" ref="S16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20" xr:uid="{1f89f57c-307f-420a-ad64-3bc849b8ffaf}" ref="S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21" xr:uid="{20294526-e177-47e7-a4a5-8e9d61b5a767}" ref="X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22" xr:uid="{202c1142-a49a-424f-aef2-c6f8dd1b2caa}" ref="S14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23" xr:uid="{2041ebd9-1423-4803-80b3-04c0c929ea40}" ref="S15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24" xr:uid="{2048c634-c910-44b9-9b39-2694796ef492}" ref="AC12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225" xr:uid="{2083569b-0951-4379-b75e-07cbd8f40137}" ref="S4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26" xr:uid="{208ef366-17a6-4517-90f2-fa039d4b6c93}" ref="S10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27" xr:uid="{20e0fe28-9615-4716-b952-e878f19d9082}" ref="X8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228" xr:uid="{20e30ea3-2368-4a14-ba16-510d5ccb43b6}" ref="S9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29" xr:uid="{210a56d7-15db-455e-ba9d-db25c4908354}" ref="S5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30" xr:uid="{210f96a6-4b44-4155-b3c1-dfcd8b98e028}" ref="S4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231" xr:uid="{2159d6a7-4c3a-4f12-8924-ee190dd905d6}" ref="AC11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 informada no RP
</t>
      </text>
    </comment>
    <comment authorId="232" xr:uid="{2162d20c-030c-4682-8241-7410000a2e3e}" ref="AC13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233" xr:uid="{216767fa-4eb9-4e76-a3dd-b5cbfc03ddb1}" ref="S5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34" xr:uid="{218dbda0-d6ff-4265-b980-f151e4b2a746}" ref="X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35" xr:uid="{2199ebec-ed09-4270-8126-69a817a96f5f}" ref="S13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36" xr:uid="{21ad093f-984c-4e81-bee3-846e1cdd3556}" ref="S9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37" xr:uid="{21bd3c6e-9585-4efa-9cbe-4303fbf17a7e}" ref="X1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238" xr:uid="{221f736b-dcbe-485a-9c5e-b99885c0b93f}" ref="AC11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39" xr:uid="{224a8513-fcbd-49af-8c2b-075b03110e61}" ref="S13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0" xr:uid="{22a0bb06-a83c-493a-bcf2-234fe3897b17}" ref="S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1" xr:uid="{22a97f48-a2f7-445c-ba2e-57cb5a87c8b3}" ref="S10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242" xr:uid="{22ae33ba-c6a8-4fcc-9547-fe0da673405e}" ref="S10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243" xr:uid="{22c7ce97-f702-479d-89e4-fce1a93a3ab0}" ref="S16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4" xr:uid="{23760fbc-7192-4eb0-9d8b-bcb00ea90950}" ref="S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5" xr:uid="{2387545e-a421-4c7b-8293-9c3a66f6afd5}" ref="AC12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246" xr:uid="{23a9ddae-2460-4e67-ae15-758634d91a12}" ref="S9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47" xr:uid="{2421cb1d-2585-4246-a170-e0ceab0e2644}" ref="S9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8" xr:uid="{242fd438-7f94-412a-8a3b-c638d57ad02e}" ref="AC8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49" xr:uid="{24326955-4aa6-4666-890b-ec6ae4d52dce}" ref="S7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50" xr:uid="{24a9292a-12d0-4dcf-860d-606ed992df9c}" ref="S9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51" xr:uid="{24f49493-5aca-412c-b062-c9730976f062}" ref="X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52" xr:uid="{25222fa8-a55b-4af4-a9e8-3085afc00acf}" ref="S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53" xr:uid="{25296818-ff48-406f-b30c-a0383552ef7f}" ref="AJ5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254" xr:uid="{25503a94-b3df-4463-807b-24440f532d87}" ref="S2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55" xr:uid="{25542604-9dee-4de1-b58b-2be01c85c7c1}" ref="S15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56" xr:uid="{259348b7-e688-43be-99b4-a7b9f6092b08}" ref="AJ5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257" xr:uid="{2598d687-381e-4c0e-aedc-484a24941357}" ref="AC7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58" xr:uid="{25eeff9b-15e1-4262-bfdb-5a46c32219ab}" ref="X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59" xr:uid="{2681f867-5327-4363-97cc-67c002f40a0a}" ref="AC8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0" xr:uid="{26931f7d-9d47-4f8d-ae59-9bb13d39a5be}" ref="S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1" xr:uid="{26c0e8d3-19d0-4d33-8717-488328f3e954}" ref="X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62" xr:uid="{26fc9c6f-964f-4d8d-9bb4-fb2f5430b944}" ref="S9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3" xr:uid="{270566bd-d1df-408a-8c8e-6b1e5a190fa2}" ref="S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4" xr:uid="{27229955-3ac6-45e6-8465-a32838be92a1}" ref="X11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265" xr:uid="{273d6d9b-7303-44c0-b9a5-2aa5793b710b}" ref="S13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66" xr:uid="{278a050c-3344-40bd-b8f1-377c40d60f61}" ref="AC6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7" xr:uid="{279fb920-e88a-403a-8b53-80c9ae76480f}" ref="AC6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68" xr:uid="{27dc35ee-d9c0-44ef-b4cc-cb7f92299828}" ref="AC12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269" xr:uid="{27f60848-11d6-42d5-852d-3cfe491aad5d}" ref="AC5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270" xr:uid="{280daa8d-75e9-40d3-91c5-bcd319089ef8}" ref="X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271" xr:uid="{281a3f0b-5a38-4cef-a74c-d50f7d1b5e3b}" ref="AC7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72" xr:uid="{28212a9c-542d-4cab-a216-445d947a4288}" ref="X8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273" xr:uid="{28333c13-c72c-46ab-a806-852c9bfb31d4}" ref="S1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74" xr:uid="{284768f8-823e-4d33-97b3-5eab68db6fa6}" ref="S4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75" xr:uid="{284e4e3e-1839-48e3-8673-247861cc0247}" ref="S8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76" xr:uid="{28866c38-b5be-42a6-96fc-a1aa1a410fcb}" ref="AC8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77" xr:uid="{28d0aab2-66f0-4b88-b6f9-a579dd1725ca}" ref="AC3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278" xr:uid="{28eddaae-8a35-45b4-bf5b-028f1401add4}" ref="S15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79" xr:uid="{28f18abe-1bc6-4bca-aea6-63557c1f1a81}" ref="S15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80" xr:uid="{28fece5b-1fa8-4f66-9fed-0e3ba4687f5b}" ref="AL8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Atendimento Preventivo e Corretivo
Envio de proposta caso necessário a substituição de peças.
</t>
      </text>
    </comment>
    <comment authorId="281" xr:uid="{29299925-b542-4061-933a-43a9a0f8d400}" ref="AC7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82" xr:uid="{29d8ee26-a8d5-4e7c-89c7-82ebd87cb608}" ref="AC12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83" xr:uid="{2a2da3bf-e320-4bb1-ba74-db7d8792e03e}" ref="AC1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instalado a pedido do cliente, pois não havia estrutura
</t>
      </text>
    </comment>
    <comment authorId="284" xr:uid="{2a63de77-dd17-4fa2-b077-411ac7d6114d}" ref="S16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85" xr:uid="{2a8d0d19-9715-408a-973d-e2f42eb336ee}" ref="AC6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86" xr:uid="{2a8eb259-5cfd-4b28-bd23-26b4c68b83c0}" ref="AC5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287" xr:uid="{2ad524fa-1fbf-4fff-9086-18a7ac13bd70}" ref="AC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88" xr:uid="{2af08b8a-838b-419f-aacc-05f4497357f6}" ref="AC5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289" xr:uid="{2b3187dc-8739-4c01-80da-e73427569b91}" ref="S3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90" xr:uid="{2b480b08-081c-48f8-8a2a-d34430151b95}" ref="S9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291" xr:uid="{2b662587-cb2e-4036-9e33-a287be08b972}" ref="S2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92" xr:uid="{2b6da986-38e0-45a0-a1f7-ddd978ea38d3}" ref="AC12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93" xr:uid="{2bf1a7c0-b941-4a66-bf32-a6995fa5e339}" ref="AC12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294" xr:uid="{2c0e6805-0bb9-4bcd-9ca4-a0d573f3a511}" ref="S15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295" xr:uid="{2c19c9cb-f44b-480a-a0f1-1e1562f51aa7}" ref="S10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296" xr:uid="{2c241f00-4f9f-4ef9-b214-9993de2c8f18}" ref="S5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297" xr:uid="{2c94b284-9a33-48e5-a51b-1cccf25e1a6e}" ref="AC12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298" xr:uid="{2ca8dffa-dd33-4f81-8966-adfc107a4277}" ref="AJ8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299" xr:uid="{2ca97f9a-588f-4bae-b3c5-4b8040eb8350}" ref="AC5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300" xr:uid="{2caeebed-b0f1-4b04-9609-ac3a4d095123}" ref="S16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01" xr:uid="{2cd9cda5-649b-498b-8cc5-97b7962fd33a}" ref="S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02" xr:uid="{2cec5ffa-aa42-4193-9a23-cd776d2c904f}" ref="S5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03" xr:uid="{2cef5785-ce7c-4cc6-b8f1-ab9faba928c1}" ref="S5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304" xr:uid="{2d160525-fdd7-4296-bf12-58911d7c5fb6}" ref="S5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305" xr:uid="{2d46ba48-b51d-4115-8c25-df586d76efc1}" ref="AC1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306" xr:uid="{2d6da9ed-5942-4b62-afe2-7286bff63ebb}" ref="X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307" xr:uid="{2d6db7b8-e82d-478a-ba5e-3cf281d416d9}" ref="AC5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308" xr:uid="{2daea1c2-aead-421d-806f-daa5e7c1b10f}" ref="S14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09" xr:uid="{2dd1bc07-f59a-4231-a3d3-b579fb68a81d}" ref="AC8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0" xr:uid="{2de90dff-9507-45ec-8e20-48b353ff4d67}" ref="AC7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1" xr:uid="{2de94e1b-fe17-48a3-b768-865732380c76}" ref="S14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12" xr:uid="{2e4a0c4a-542d-4396-a9a6-e8680a67e694}" ref="S15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3" xr:uid="{2e5999bc-4a67-42f4-ad7a-023a8c0bcd77}" ref="S8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4" xr:uid="{2e92e0cd-836f-4d56-b095-0e19d1eb8704}" ref="S4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15" xr:uid="{2e97807f-a6b8-47be-80c8-30d6bd2bfcb7}" ref="S9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6" xr:uid="{2e9a8fee-1aaf-45b9-8509-60c01d41b62e}" ref="S8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7" xr:uid="{2ea1ad5e-4264-4620-86c2-430720770fa9}" ref="X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318" xr:uid="{2ed99762-a3b0-4b09-94c4-880a00559b49}" ref="S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19" xr:uid="{2ef4c0d1-6b36-4932-9c19-a76889fadb33}" ref="S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0" xr:uid="{2f32254f-766d-482b-a167-3b3b29c8eede}" ref="X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1" xr:uid="{2f77818c-00f5-43d9-bacf-5798867095ee}" ref="S13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22" xr:uid="{2fe0f470-ca31-4b4e-ad66-c3a14ab0921d}" ref="AC6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3" xr:uid="{2ffc2a8a-19c3-4310-8c8f-0bace20272b0}" ref="S3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4" xr:uid="{3031cc89-340a-4537-9e37-92a0290759ed}" ref="S4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5" xr:uid="{3036c94f-a87e-4a2b-8fb1-fd30bc2754c4}" ref="S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6" xr:uid="{3042e204-0483-4112-b557-22dce5ab7525}" ref="X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327" xr:uid="{305425e6-4b3d-4ae9-8538-e98e9af4eb67}" ref="AC12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28" xr:uid="{3056a984-a4f8-4ee3-a67c-c5344cc24af0}" ref="AC6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29" xr:uid="{308c6e85-bbb9-4334-962a-d2b0ee1a85e4}" ref="AC6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0" xr:uid="{30a84af2-e830-4a1a-8e1c-0bf108a396a2}" ref="S10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331" xr:uid="{30bdd0b6-b380-45ac-90b4-17887c522d26}" ref="S14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32" xr:uid="{315fed17-2741-4b56-99c1-a22dfadaf710}" ref="AC1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33" xr:uid="{3161456b-f69a-49fb-9afe-0ae530ef7075}" ref="S8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4" xr:uid="{31651ebd-293c-429c-874a-ec55fc9fa590}" ref="S1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5" xr:uid="{31bf6c3f-910d-4e3f-b00e-56cce856c0e6}" ref="S9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36" xr:uid="{32528933-952d-4c73-ab16-e5152453a79d}" ref="AC7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7" xr:uid="{3287e0a1-92a8-47a7-9833-20418c908d43}" ref="S13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38" xr:uid="{32a91629-9caa-46cb-9bd9-b8a075e55a6d}" ref="S9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39" xr:uid="{32dcf1d1-5d8c-41d6-8817-39d7b99b9aef}" ref="AC11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40" xr:uid="{32e2e9f1-cf7a-4218-ba6f-7ae307401c35}" ref="S10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41" xr:uid="{330cdcf8-d0cd-405a-9028-5f468fc477e8}" ref="AC10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342" xr:uid="{33663ef7-234c-45a0-ae00-26233deedade}" ref="AC1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343" xr:uid="{33b76d45-5707-492f-97bd-c89219599c1f}" ref="S1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44" xr:uid="{3403973d-de39-4eb6-b315-85810959b6db}" ref="M13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cliente não disponibilizou um local para que fosse instalado
</t>
      </text>
    </comment>
    <comment authorId="345" xr:uid="{3404e88a-25c3-473e-953a-53214b161c1c}" ref="X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46" xr:uid="{3414e6b4-9274-4de1-90ac-28a37edeec67}" ref="X8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347" xr:uid="{341e3f42-06ec-4de4-a0a6-5e435818aa9b}" ref="X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348" xr:uid="{3469126d-2950-4a8b-93e5-a57dd6a64485}" ref="S9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49" xr:uid="{3486d784-ed4f-4f1c-8544-5151d32345b2}" ref="S14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0" xr:uid="{348b6892-87d4-4739-9d42-aa752fb05508}" ref="S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1" xr:uid="{34ad5a32-602c-4810-9ed4-5c6aec3af7db}" ref="S10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52" xr:uid="{34b3bcdf-ad2d-4326-829b-308bb30f8fca}" ref="S7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3" xr:uid="{34bb225a-222f-4cb3-8472-b32320834e08}" ref="S5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354" xr:uid="{34bd84ca-9d75-4e99-a780-6a0128bfa2c4}" ref="AC5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355" xr:uid="{34c506ba-cf25-473c-823a-944794361184}" ref="S8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6" xr:uid="{351cfff9-2de9-47f1-b544-de2ac186aef5}" ref="S2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7" xr:uid="{35291b8a-d6e8-4924-9fde-fb1915e87eeb}" ref="S10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58" xr:uid="{35515677-d8cd-4970-9cf4-f0f239058612}" ref="AC6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59" xr:uid="{35536c99-7287-4b83-988a-380d872d22ea}" ref="S14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60" xr:uid="{355b1731-d933-4143-985d-628ce5caa951}" ref="S7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61" xr:uid="{35838c99-8790-4e86-ba5b-75f7825ada4f}" ref="X16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362" xr:uid="{35877d71-0d08-40e5-a5e4-4372273410f2}" ref="S14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63" xr:uid="{35a03c2e-dbc3-4b1a-b20a-ef980574b36d}" ref="X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364" xr:uid="{35dd65cf-f0fd-448d-8079-f8f7dad7d471}" ref="AC7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65" xr:uid="{35f9b709-46c8-486e-bf3a-16dbab176148}" ref="S7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66" xr:uid="{362a19f2-91b5-4058-85a5-49604fb3b803}" ref="AC12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67" xr:uid="{364e5291-4f7e-490d-bca9-a1d59fc8f42b}" ref="S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68" xr:uid="{366d23df-d0c5-411d-8e38-5b62c7048598}" ref="X1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369" xr:uid="{367359a0-c8e4-47ab-9325-1f4e60cbf6c1}" ref="S3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0" xr:uid="{368e3d20-4b3b-43c9-8303-88ce6eec2666}" ref="S1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1" xr:uid="{36a252d9-63f7-4e5b-b21d-2f15b6e78a2c}" ref="X2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372" xr:uid="{36e1a400-6614-47c6-a6fe-213d04848c78}" ref="AJ5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373" xr:uid="{3752e6b5-0d0b-47ac-ba9e-8d7d365407c9}" ref="S9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74" xr:uid="{376465e6-ed19-4f5e-8405-d7773c5bd239}" ref="S13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5" xr:uid="{3780ae1d-d7b9-4e83-8244-abb91bdeadf8}" ref="S10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76" xr:uid="{378e9214-e915-4ee6-90a9-67be92993df4}" ref="S5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7" xr:uid="{37a7b44e-92ac-47ef-8192-4d5f03e699c5}" ref="S15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78" xr:uid="{37c90c22-1a43-4aa7-83a5-5ad8e1d8fd0a}" ref="X11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379" xr:uid="{3802050b-0ed0-4254-ab77-998c4fcbf9f6}" ref="X13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0" xr:uid="{380e5201-8a55-455d-8205-654be3f7fc58}" ref="X1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381" xr:uid="{384627cb-76e0-4083-b5f4-4da138a48537}" ref="X14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382" xr:uid="{3854cce0-b116-4136-8c89-2b1a0ea6c32e}" ref="AC6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3" xr:uid="{38be9013-25ad-40cd-a930-dca7c83f4b08}" ref="AC8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4" xr:uid="{38d0f233-c40e-4f3f-b5bd-b5ce7d56f121}" ref="S4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5" xr:uid="{394e82d0-447d-40b4-be03-6a88fe4c30cc}" ref="AC6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6" xr:uid="{3976db44-7e71-4321-89e5-dc39f83f8d5c}" ref="S7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87" xr:uid="{39806320-5029-4f99-814e-c45523f518c4}" ref="AC7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388" xr:uid="{39851b5d-d725-4d24-ad75-d3118ff93dde}" ref="AC12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89" xr:uid="{398f95b1-7db3-41cf-9f67-8291ab3b54b0}" ref="S13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90" xr:uid="{39c34dcc-8630-4d91-9c3e-47c58fdd1f8e}" ref="X1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391" xr:uid="{39fcccf5-2f94-4afc-9039-76f271e45e3d}" ref="AC5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392" xr:uid="{3a08487a-60d7-4079-966a-fa1200d0a67a}" ref="AC13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393" xr:uid="{3a75203e-97e1-44b9-b17e-dcd84689f89f}" ref="S14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94" xr:uid="{3a7ccc61-1e55-4e67-9b5f-2008713dc699}" ref="S9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95" xr:uid="{3aa027fb-1e75-4ab9-b61d-eca83e5ac649}" ref="S10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96" xr:uid="{3af584db-a075-4991-8336-88756a405edb}" ref="S15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397" xr:uid="{3b24dc12-ae69-4233-bd4a-78646df91226}" ref="S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398" xr:uid="{3b6584dd-fdcc-45d3-bed0-94c7fb39843b}" ref="S4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399" xr:uid="{3ba3c6dd-6505-4bcd-99d1-2c37f1759e73}" ref="AC6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0" xr:uid="{3baeddce-e88f-4665-9ab5-52a0aed74bf2}" ref="AC8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1" xr:uid="{3bf64bf2-fbdf-4cc5-a22b-b4ccf9ee6de2}" ref="AC16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2" xr:uid="{3c11b87b-9397-404a-b434-bc69c272bae3}" ref="S9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03" xr:uid="{3c3c278c-5798-442e-8cf2-d1bb47603aa0}" ref="S9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04" xr:uid="{3cf3f895-ea61-40ea-8375-a6a96f340bc9}" ref="S3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5" xr:uid="{3cf67e56-484e-4598-b862-81e14de89d0d}" ref="AC1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6" xr:uid="{3d10e526-022e-4232-9b3a-445b670850e7}" ref="S13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7" xr:uid="{3d58bb91-0f2c-457a-a2da-2f5867555ea5}" ref="S13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8" xr:uid="{3d5b9e82-f0cd-49e2-b5c7-25a1571c014d}" ref="AC6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09" xr:uid="{3ea332d2-f59a-4a6d-89eb-e190be75f9b3}" ref="AC12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0" xr:uid="{3eac2397-2514-4b7e-9f1a-f71f2d87a247}" ref="AC6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1" xr:uid="{3eb530c1-593a-47ab-b040-37fe2e8c53b3}" ref="X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412" xr:uid="{3ef46208-114f-4bae-b126-ab884d2e350a}" ref="AC6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3" xr:uid="{3f07b9b6-9ac7-40ff-af63-617b31f4842d}" ref="S10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14" xr:uid="{3f12f57b-b37c-43a8-a057-6313d89a7d51}" ref="S15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5" xr:uid="{3f70782c-4bf6-49a8-a615-e55963409185}" ref="AC6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6" xr:uid="{3f88963c-223f-4f59-8dc8-1ea30918ee53}" ref="S16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17" xr:uid="{3fc51963-aec4-42bf-ac2a-2f56dc0bb017}" ref="S14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18" xr:uid="{4002400e-e91e-4c56-a1ec-808769efa9f9}" ref="X8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419" xr:uid="{4012b279-37b1-438c-a948-c99d45c417ab}" ref="X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420" xr:uid="{405f34b4-70ec-45d2-9835-d12e6bef6159}" ref="S13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1" xr:uid="{406c9d07-a488-4224-829c-ade8b0c8eb56}" ref="S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2" xr:uid="{40a772f6-2ca0-4501-9c2b-d90fa4df5536}" ref="S15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3" xr:uid="{40dab98f-c744-484f-a76d-184ccbcb13fa}" ref="AC5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424" xr:uid="{40e5dbad-f2b9-4b43-ac65-7a8b3727656a}" ref="S15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5" xr:uid="{40fedb9f-fedc-49b6-9cc8-9a7e5479f577}" ref="AC1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426" xr:uid="{410eed0f-0587-481f-b7aa-9c5974c01b8d}" ref="AC6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27" xr:uid="{41153f46-15cc-4c01-983e-39fbb5d9a38c}" ref="X1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428" xr:uid="{41195a8b-7549-4209-be5c-32b7f8abd300}" ref="S10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429" xr:uid="{4145e1db-7ad2-4b57-9b76-02982ae99d0f}" ref="AC12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430" xr:uid="{417b3e4b-e7fa-4a73-8670-512bae04f11b}" ref="S14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31" xr:uid="{417c8d52-11bb-4971-8a52-40cb5f0f3de6}" ref="S4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32" xr:uid="{41a922ed-1cc4-4383-a64c-5f73b6aa4150}" ref="S5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433" xr:uid="{41aa1704-0587-434e-a6fc-75ac398ff315}" ref="S10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434" xr:uid="{41bfd6e0-4b9b-483c-9ec3-78f1ad45578d}" ref="AC11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435" xr:uid="{41c8c8d1-0b0f-4932-bb94-07847aa1ed31}" ref="AC5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436" xr:uid="{41cac770-0396-4e7c-b6f1-857dddb8fa61}" ref="S2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37" xr:uid="{41f62be1-dfe5-46b3-83d1-b3c870bf1ca8}" ref="S15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38" xr:uid="{421c6fb0-881e-4271-b31a-80f33894844d}" ref="S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39" xr:uid="{423a811b-edb2-45b4-9ffd-2900124b986f}" ref="S3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0" xr:uid="{4247d08e-b094-4025-b4bb-0df5f35d4c44}" ref="S14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1" xr:uid="{429f0b22-f587-417f-9754-0239668a6389}" ref="S3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2" xr:uid="{42ecf665-458c-446e-9ade-1de06d7b6539}" ref="S7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3" xr:uid="{42f54a8e-be49-4d24-b142-597d90e4ce66}" ref="S3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4" xr:uid="{436ed369-83b5-4e0f-bd74-351825410f36}" ref="S4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45" xr:uid="{43a11434-be92-4841-912d-1c54e3f6cdaf}" ref="S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6" xr:uid="{43ae77c0-07c6-482c-bd1c-f908ec5be47a}" ref="AC2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7" xr:uid="{44205766-0e6d-4512-9918-e453340e0abe}" ref="S8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48" xr:uid="{442b7fd7-c485-440e-ac61-743d67c38d7f}" ref="AC13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449" xr:uid="{44cbd6d7-08da-40cd-a29a-9bad795edd6e}" ref="S15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0" xr:uid="{44e8d0cf-1628-4c8d-a27b-07cee01de0cf}" ref="S10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1" xr:uid="{45019564-37b1-4915-8534-e2f9379eedc3}" ref="X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452" xr:uid="{4562debd-a518-406a-934f-d677fa099568}" ref="S10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453" xr:uid="{45b745cc-9bfc-40eb-9b5d-e136f22a4c69}" ref="AC5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454" xr:uid="{45e2ebfc-327b-4e56-acfd-ff0ac34f67b0}" ref="S8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5" xr:uid="{46346c05-b86f-4c9a-9895-aa194f866feb}" ref="S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6" xr:uid="{466ff46b-bea5-4d86-b5c4-a0e14225a913}" ref="S8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7" xr:uid="{46d31bdf-bd67-4fb7-9906-b0ce98905c70}" ref="S3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58" xr:uid="{46ea9a47-80b7-475a-9c9c-2b987eb7b653}" ref="S10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59" xr:uid="{470f7a76-d6df-4542-9c76-08c5f843c2e6}" ref="S1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60" xr:uid="{475fd46f-3291-4838-be75-543acdd97eb5}" ref="AC12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461" xr:uid="{478f3749-17ca-479b-b485-19e8f417a1c3}" ref="S4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462" xr:uid="{481f7dd5-828d-4d47-890a-f47a95b4dd02}" ref="AC8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63" xr:uid="{482a0f0d-4652-4a2d-aee1-27f1ed0010ae}" ref="S7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64" xr:uid="{48404ea8-60e5-4a36-8576-a3867e74a728}" ref="AC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65" xr:uid="{4846da06-22fc-4fa6-b284-2c595c884b20}" ref="S4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66" xr:uid="{486134df-916d-4d4c-8d78-08e1c6266774}" ref="S8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67" xr:uid="{48619b17-a7cf-4abb-bb14-e8342a08f0af}" ref="X16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3º Termo Adt
</t>
      </text>
    </comment>
    <comment authorId="468" xr:uid="{4867c856-ccf6-4cf4-8570-6abcf5552fd5}" ref="S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69" xr:uid="{48d65c7c-cb85-416c-af1b-4365ae39687c}" ref="S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70" xr:uid="{490ba730-44ec-415f-8c25-a74b504cf806}" ref="S14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71" xr:uid="{490c1373-dad1-4fb6-9ebe-b73a3aceb241}" ref="AJ5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472" xr:uid="{494dad17-2bde-4151-9436-888ded25f376}" ref="S14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73" xr:uid="{49e87b6f-60a0-40b3-aac2-56e5c6de30ef}" ref="AC6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74" xr:uid="{49ed91f9-a8a0-48a8-bcfd-8134fabcb532}" ref="S4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75" xr:uid="{4a51e2f5-40d3-436f-a1d4-271f85036689}" ref="S15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76" xr:uid="{4acd05eb-4dfe-4e64-a0cb-bff9f03f6444}" ref="S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77" xr:uid="{4b08c7ef-30de-4b10-b160-c0618dd26826}" ref="S4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78" xr:uid="{4b4d4723-17b2-4789-bddd-97a56cc03476}" ref="AJ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479" xr:uid="{4be4bf6f-af3a-4793-b8d7-c78305ec1b54}" ref="S3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0" xr:uid="{4c000c67-4c37-4ddd-94ca-50b064854a90}" ref="Y2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Antes de solicitar peças pra essa máquina, é preciso que o técnico realize a OS, em seguida enviar para o comercial, e após a aprovação do cliente seguir com a compra.
</t>
      </text>
    </comment>
    <comment authorId="481" xr:uid="{4c4d779b-5874-4e0a-9481-6cf2988a2e23}" ref="AC6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2" xr:uid="{4c593cae-4076-4c6a-97bb-f0462bb77902}" ref="AC8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3" xr:uid="{4c7e7f96-4e37-49bf-846a-20b753c50c7f}" ref="S4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84" xr:uid="{4c86bf89-5c49-4dc0-8b83-706693db20f8}" ref="AC6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5" xr:uid="{4cbf674b-0677-45ee-8cac-630f36b97d45}" ref="S9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86" xr:uid="{4d6d43fa-f3de-4395-935b-62f2d2ed7178}" ref="AC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7" xr:uid="{4d86bffc-ae1a-4b66-abb9-0ea70e3bdb6a}" ref="S4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88" xr:uid="{4d92813f-c25d-4389-8250-ebb741c9740c}" ref="S3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89" xr:uid="{4dd21d0c-1034-4e1e-ab7b-60edfe21a54d}" ref="X2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490" xr:uid="{4dd88d83-1ef7-4adc-b914-751c2eb2db98}" ref="AC11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491" xr:uid="{4dff4201-9af1-4356-97ca-ac6ec2b4af26}" ref="X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492" xr:uid="{4e385b0c-9033-49dd-81f9-97420567ad4b}" ref="AC6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93" xr:uid="{4e3f38fc-e8f5-4ffc-9f64-925c330702f8}" ref="S13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94" xr:uid="{4e445ed8-6c88-45a6-bbb4-c9fa7e79f5d3}" ref="S4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495" xr:uid="{4e77d18d-7c6c-4393-83d2-21697e7f5cdd}" ref="S2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96" xr:uid="{4e9c1536-2a3e-44bb-9079-126aa85b7455}" ref="S14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497" xr:uid="{4edbbdae-80e0-4462-a10d-c1fd6aa822e3}" ref="S16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498" xr:uid="{4ef81fd3-b5b3-46bc-bf84-2560938b937f}" ref="S10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499" xr:uid="{4f5c0ce4-adbb-47e3-b521-96b7d193be5a}" ref="S9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00" xr:uid="{4f8cf7a7-2c22-4e1b-acee-60af6f8d44a6}" ref="AC11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01" xr:uid="{4f8fe1fc-14e7-4385-a518-bbbea1fc3aa5}" ref="S10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02" xr:uid="{4f9e1f35-9aca-466b-9996-4b0b79d57e4a}" ref="S9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03" xr:uid="{4fc7cae9-de33-438e-b7ca-d7076732a901}" ref="AC1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504" xr:uid="{4fcf9d0f-8658-4c28-9035-6fc10f9356ea}" ref="X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505" xr:uid="{4fda2c12-01e3-4711-8d50-ea3e4669ecb3}" ref="S15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06" xr:uid="{4fe04aca-24b2-4087-b6ed-a8dcb2d462ea}" ref="AC13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507" xr:uid="{4fe50f5e-f4df-4ca1-9630-5e33f23fdf66}" ref="S14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08" xr:uid="{4fec4253-4de0-48d9-a3ea-1bcc04a1ba1d}" ref="X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09" xr:uid="{50bc6732-16fd-435e-8a1f-2006ce0b6bdb}" ref="S14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10" xr:uid="{50c1bc1c-cf63-435d-8a31-f2d164704dcb}" ref="AC8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1" xr:uid="{50f83b5f-cc89-4c77-be26-deef009a9ff3}" ref="S13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2" xr:uid="{5138f0a3-d29d-4bd2-90c2-cea371459c03}" ref="S1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3" xr:uid="{5155df50-5a42-4eb9-b9a6-03f8b36561b2}" ref="S3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4" xr:uid="{5163e82a-b26f-4460-8309-7b28b7cbc143}" ref="S15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5" xr:uid="{51afe2c1-f359-44b0-92d9-874a087cdf27}" ref="S5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6" xr:uid="{51dfe81d-6f00-4bdd-8820-64fff7f9e6bc}" ref="S10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17" xr:uid="{5208df24-097e-427f-b5cd-51ce810c2395}" ref="S15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8" xr:uid="{5212699d-2d79-44d8-8fcf-02cd9419f709}" ref="S5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19" xr:uid="{521617d8-8cec-4dee-b7d2-a39e2e9dd07e}" ref="AC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0" xr:uid="{5218b2d3-6bad-414e-a157-d6a7945de206}" ref="S13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21" xr:uid="{52370da2-fcb1-4bd4-984f-59ecd296ad4f}" ref="S5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22" xr:uid="{523e8cc6-5289-46f9-9f84-1576c1166184}" ref="S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3" xr:uid="{5278adb1-9bd6-4462-b39c-6fb243254e05}" ref="S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4" xr:uid="{52d05653-33f4-4b13-a5bd-ac03d76ce5b7}" ref="AC8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5" xr:uid="{52d69c67-8913-40e8-ab16-dddc6cba127e}" ref="S3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6" xr:uid="{52ff2d5f-4017-425b-a955-1c3dea826f96}" ref="S16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7" xr:uid="{532397c5-5f5b-49eb-a9d5-31ab30ce2a46}" ref="S15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28" xr:uid="{532fbbb2-6b65-4ab7-a74e-09dabb6f34c3}" ref="S13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29" xr:uid="{5339365c-24cc-46c1-831f-507328ff0f26}" ref="S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30" xr:uid="{533acd45-1ee2-474f-a941-c6d8401f3ef5}" ref="X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531" xr:uid="{533d3815-b67f-4305-9830-84a58994c579}" ref="S4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32" xr:uid="{53ce898d-6352-4a09-89c4-9330581a7707}" ref="AC6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33" xr:uid="{53fd6b6c-7b77-4f36-8b84-bbd731581d45}" ref="S9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34" xr:uid="{5419d831-a7aa-4f9b-a477-42c67ebda045}" ref="S4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35" xr:uid="{54202c50-894e-427f-9c40-47f431c1fd7b}" ref="AC7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36" xr:uid="{54698246-a86e-4e9f-961b-3f324dc59a56}" ref="AJ5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537" xr:uid="{5483432e-f1a1-4dbe-8e2d-5f231763cae8}" ref="S3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38" xr:uid="{54b6c205-4d97-4b21-b315-10757da94907}" ref="S5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39" xr:uid="{54b9b79a-a41e-417a-ac4d-7cd5c1f758cf}" ref="S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0" xr:uid="{54e4e167-e6e6-4069-800e-04010f0e5ff4}" ref="S9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1" xr:uid="{54e618e5-0efd-47f2-b026-e77363d35da8}" ref="X1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542" xr:uid="{54eb41cc-208b-4b34-a628-e9bbcf9307ab}" ref="S9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3" xr:uid="{54f446dd-5ab3-43c8-a8f5-a011ee63dc37}" ref="AC8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4" xr:uid="{54fad6fe-0662-47d0-b466-1334a66dff07}" ref="S1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5" xr:uid="{550bc176-ab2d-4e08-b979-fbf5dc25d4d1}" ref="X11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546" xr:uid="{552e8f0e-7edd-447d-b28e-72b36bab7029}" ref="X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7" xr:uid="{55726655-4b77-4ad8-b818-5ff6e853f211}" ref="X2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548" xr:uid="{55ba4408-0493-4e97-9321-b1803f79fc85}" ref="S7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49" xr:uid="{55be5316-8a44-4be4-8d3a-c29fc92e0ac3}" ref="S3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0" xr:uid="{564086e0-5857-4df7-abe5-50cb1d9662e0}" ref="S10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1" xr:uid="{569c04df-3920-4812-bfc1-3a489739573c}" ref="S13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2" xr:uid="{56a48af3-092a-460f-a2b2-7712137b84b2}" ref="S2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3" xr:uid="{56a815f0-5dd6-4917-8a03-808c190cfdaf}" ref="AC12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554" xr:uid="{56c0a065-43d4-436b-a0e2-887a8fb16670}" ref="AC8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5" xr:uid="{56c59cd4-ed01-4de4-8e3e-374845d06aab}" ref="S15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56" xr:uid="{56d7e841-f62f-479d-84f1-0bc83927c972}" ref="S4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57" xr:uid="{56e6dcad-3706-4c1c-9551-366f66b2fe75}" ref="AC12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558" xr:uid="{56e75438-8b60-4591-83b7-ff4982ad4d93}" ref="X1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559" xr:uid="{56ea3712-9ded-4ab5-8764-d84bc38c1b76}" ref="S2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0" xr:uid="{5787349f-44e9-4526-b6b8-41e930a3d1f0}" ref="S16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1" xr:uid="{579a0c63-0dd6-4242-b620-2db26299875d}" ref="AC6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2" xr:uid="{57b15645-ec6d-4264-8dcb-c5a437ebfa7e}" ref="S14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63" xr:uid="{57c9c6df-79ee-4664-b171-d7affdfe13b1}" ref="AC8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4" xr:uid="{57d8e98c-b5f2-423c-ac26-deafa0edd888}" ref="X1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565" xr:uid="{57e2382b-3acb-4d5c-8229-a960ea5b912b}" ref="S13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66" xr:uid="{5810be71-250c-4547-a1d1-6b5d46b962a9}" ref="S2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67" xr:uid="{583cf928-8399-4342-bc47-53343981f986}" ref="S14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68" xr:uid="{586bef92-a625-4a1d-a3fb-29d4d27508be}" ref="S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69" xr:uid="{5886364d-41bb-470b-80b8-2f930e8b1e60}" ref="AC13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570" xr:uid="{58b85491-d7f6-416a-b582-8ddf15b38de9}" ref="AC1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571" xr:uid="{58e42994-d3bd-48a6-bda3-89b6580510e4}" ref="AL2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inclui consumíveis
</t>
      </text>
    </comment>
    <comment authorId="572" xr:uid="{58ebf013-10ad-43ec-a93e-c06aab79b98d}" ref="S3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73" xr:uid="{5908ed69-a5a1-4df1-a8d7-8de1a7d107e6}" ref="S8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74" xr:uid="{59091a20-4375-4f92-a6b0-2693a7be0372}" ref="S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75" xr:uid="{590c5551-2dd9-4974-879b-a76e82f77d03}" ref="X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576" xr:uid="{594b0c53-1e2b-490b-9448-ab9602ab3833}" ref="S3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77" xr:uid="{59633173-c91e-4478-9fd4-4e57040d2414}" ref="S4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78" xr:uid="{59d65cdc-a1f6-4741-b1b5-0554535f6722}" ref="AC15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79" xr:uid="{59de6699-25b3-47ce-9875-3403f5efb5e6}" ref="S9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80" xr:uid="{5a2c762b-e1d5-4828-aea3-0d7cb64d9faf}" ref="AC7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1" xr:uid="{5a51a7f9-ceb2-447f-b3b3-6010febdb5d9}" ref="S10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582" xr:uid="{5a5d253f-a0c3-4e4b-b437-5644dbbdec9f}" ref="AC7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3" xr:uid="{5a5f4c36-ff41-405c-89f8-72b36323752c}" ref="S4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584" xr:uid="{5a7215aa-6886-4061-b077-84b5b3ed1a43}" ref="S8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5" xr:uid="{5a726e03-e48c-422a-a3b9-c641942ea97b}" ref="X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586" xr:uid="{5a9a7014-a622-47a7-8855-8154877cbccb}" ref="AC7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7" xr:uid="{5aaf9c9f-318e-4d4c-b53b-87ba9db27d0c}" ref="AC1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8" xr:uid="{5ac28f5a-7538-4bcf-93da-ccce5c756bfa}" ref="AC6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89" xr:uid="{5ae76c7a-d089-437c-b10e-4e0b75a6bb71}" ref="X9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6º Termo Adt
</t>
      </text>
    </comment>
    <comment authorId="590" xr:uid="{5b2bfd86-fdb6-4966-a0da-01b6f9aa17b1}" ref="X1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591" xr:uid="{5b4c71b5-7e3b-4f32-badf-cb65c01aa9e8}" ref="X7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592" xr:uid="{5b6b7237-8c47-4c14-b24b-d58d444dfb8d}" ref="S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93" xr:uid="{5b9bc484-c7d5-4129-92d0-08b88cfb0f9b}" ref="S9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94" xr:uid="{5bd5fe88-23bd-4223-b3fd-5a46c5f6b58a}" ref="X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595" xr:uid="{5c0e7731-fdc2-42c8-8919-de61662d266b}" ref="S3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96" xr:uid="{5c37b2bf-d21f-4fa1-b665-8b5240b9a085}" ref="S5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597" xr:uid="{5c6a60b3-bb1f-4483-918c-5728032205ef}" ref="S4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598" xr:uid="{5c72c19a-0ad7-4b6e-9804-46b409415487}" ref="S15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599" xr:uid="{5c7a6e65-fe5c-429f-b279-d02fad2aed47}" ref="AC12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 informada no RP
</t>
      </text>
    </comment>
    <comment authorId="600" xr:uid="{5ce0113b-55e7-4161-946f-c9c668759a59}" ref="AC5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601" xr:uid="{5ce66629-de34-4fcb-a7b8-1e8f622f94c7}" ref="X11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602" xr:uid="{5d04465f-8fd4-4638-aaa1-16f6c127bb06}" ref="S16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3" xr:uid="{5d0ec40a-9b57-4c17-90ad-930aed0a0228}" ref="S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4" xr:uid="{5d1ade08-b3d9-49fa-ba3a-468033001e40}" ref="X11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605" xr:uid="{5d902c1a-85fb-4096-9c1f-65e835b79c7f}" ref="S2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6" xr:uid="{5dbd4104-06ce-4127-8f08-4887cd713f79}" ref="S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7" xr:uid="{5dcc9adc-8655-4927-9b56-5b4606bab9ec}" ref="S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08" xr:uid="{5ddfe8b7-db2c-44bf-8d73-f3b050c6c03b}" ref="S10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609" xr:uid="{5e1a84f5-c345-4134-8216-dd12d37a52fe}" ref="S3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0" xr:uid="{5e1a855e-bb32-49a6-ad1a-bf54960e4194}" ref="X8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611" xr:uid="{5e8fb484-ee31-400d-adff-75c23055309b}" ref="AC5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612" xr:uid="{5e911890-4da8-44cf-a54e-8f36ac973b69}" ref="S16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3" xr:uid="{5f2c7873-ed8a-4e98-b574-e2ece1ee983d}" ref="AC12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614" xr:uid="{5f3502c6-80fc-432a-b533-87ac59f58d59}" ref="AC2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5" xr:uid="{5f524e5f-4484-4fa7-a37d-289bab4dec85}" ref="S13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6" xr:uid="{5f5d21dd-0221-4383-a67f-0a9ac1e8c2d5}" ref="AC11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617" xr:uid="{5f638b52-bd02-47f0-b621-6fd448de5e0a}" ref="S9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8" xr:uid="{5f810e41-e19b-40a1-b997-04cd83e51f65}" ref="S14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19" xr:uid="{5fdf6f1f-7c32-4274-8257-dba850722e3a}" ref="S2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20" xr:uid="{5ff7dc3c-47a7-4c3c-b810-6387a565cd1a}" ref="AC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21" xr:uid="{606fb473-e561-477c-87fa-b0cf026f3eaa}" ref="S5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622" xr:uid="{609edc0e-c350-487a-8ccf-47bb7f799a47}" ref="X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623" xr:uid="{60fae634-ac20-4d0e-b2ba-874adbc7ec97}" ref="S8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24" xr:uid="{60fbbde2-aea2-4074-8e13-7339b41c5923}" ref="S1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25" xr:uid="{6137c335-11a6-4ce6-80e8-5f725b001ca5}" ref="AC8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26" xr:uid="{61595013-bc48-427a-a0de-ac2c31974d1b}" ref="AC1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627" xr:uid="{61bb03ee-2c2c-4d9e-91ff-96259f4faaad}" ref="X11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628" xr:uid="{61dab3bf-488d-4f9c-8617-dfda44c960d8}" ref="AL1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Somente peças da lista
</t>
      </text>
    </comment>
    <comment authorId="629" xr:uid="{61e0d437-7aba-494c-9133-e01b92837966}" ref="AC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Aditivo
</t>
      </text>
    </comment>
    <comment authorId="630" xr:uid="{622b26d1-1488-4a48-82db-76bc56d070ea}" ref="S5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31" xr:uid="{6268d834-3b19-4077-9fbd-9f9a7d6759a0}" ref="AC6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32" xr:uid="{629b74de-1df9-4285-8ee3-007d0cb5b918}" ref="S14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33" xr:uid="{62aff22d-a746-4bf0-a527-32b9780baa4c}" ref="X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634" xr:uid="{62fa06e5-8b02-4d87-a447-813743b47617}" ref="S14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35" xr:uid="{6313b21c-aafc-4174-9773-fe068b6b60b4}" ref="AC6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36" xr:uid="{6345610d-69b9-447e-a42d-5e34b1bdf5e7}" ref="AC6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37" xr:uid="{63692b1b-0dca-4bc1-b4cc-4acf8d05d06b}" ref="S14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38" xr:uid="{63c2bfbd-1098-4b36-a342-3864d49af437}" ref="S10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39" xr:uid="{63ca1333-a0f5-4c93-8597-72645ae329ef}" ref="X11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640" xr:uid="{645a1001-f35c-44ad-b548-4c32f2dd0fb2}" ref="AC6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41" xr:uid="{64f2340c-8087-45a4-b035-eaaa708a6644}" ref="S1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42" xr:uid="{655ca13a-96c2-4db5-b00b-f86d86abd2f1}" ref="S9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43" xr:uid="{656712d7-88ee-4360-948b-15b2023b7aa9}" ref="S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44" xr:uid="{658a6fac-deb4-4056-89d1-58a95f8adcb2}" ref="S9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45" xr:uid="{65b4033b-70b6-4e1d-8cdc-f57b6235eef5}" ref="X1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646" xr:uid="{65b56016-6e33-47a9-aad6-e6bedc31f54c}" ref="S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47" xr:uid="{65cb4114-97fd-4039-a5fd-9b6dded86913}" ref="AC12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648" xr:uid="{65ee7cab-1005-4b31-8786-2c74a0815a16}" ref="S2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49" xr:uid="{65fcae9f-11e3-46d9-9697-3e24248aeb35}" ref="S9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50" xr:uid="{6625a4c9-ab11-476b-beaf-85035bf492a5}" ref="AC12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651" xr:uid="{664c0059-9d96-4715-a964-5ba0900643c7}" ref="AL8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Atendimento Preventivo e Corretivo
Envio de proposta caso necessário a substituição de peças.
</t>
      </text>
    </comment>
    <comment authorId="652" xr:uid="{66509a77-1dca-4742-a1ab-d153cc65252e}" ref="AC6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53" xr:uid="{667220f8-f9ad-42d6-a15f-6bfe84ca19da}" ref="X7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654" xr:uid="{667468c6-199c-4c9c-a3c8-c311bfe5c64c}" ref="S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55" xr:uid="{66853649-6be6-47d8-9550-7fede32298c7}" ref="AC7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56" xr:uid="{668b0ddd-6581-4476-82d9-031d1bfecab5}" ref="X9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657" xr:uid="{66da036a-1b23-4b91-82eb-bbf74d4414f7}" ref="AC13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658" xr:uid="{66de301a-3b06-43c5-ab6d-61451adeb1e4}" ref="AJ5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659" xr:uid="{66fe9bd0-e225-45b4-913d-adb6fd8f726e}" ref="S10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60" xr:uid="{674a6974-6ad3-4d96-865c-17ef7642c8f4}" ref="AC5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661" xr:uid="{6758a0af-99a1-4175-957d-30df0b17f847}" ref="S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62" xr:uid="{675981a6-430c-4212-8a0d-4d1fccb55527}" ref="X11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663" xr:uid="{677faab9-d04e-45e6-ba2a-3a2fc6b2f540}" ref="AC3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664" xr:uid="{6787ad03-0e19-4ec6-a381-38adeba5fb96}" ref="S7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65" xr:uid="{6790401a-224a-47a7-9c03-64da5ab839f0}" ref="AC7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66" xr:uid="{67cc6657-71e4-44ed-931a-00698fb30e0c}" ref="S11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67" xr:uid="{67e470f6-1c58-4c7f-8265-e8732c620ca6}" ref="S2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68" xr:uid="{67f655b8-82ff-4c06-892e-46227fb485ed}" ref="S4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69" xr:uid="{680b1e88-fddf-4e43-9e50-3261e83c82a9}" ref="X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70" xr:uid="{681d42c4-b62f-45a8-8f5c-a310c7e6242c}" ref="S14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71" xr:uid="{681f5553-4e36-4296-931d-b46ae3dae71d}" ref="S14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72" xr:uid="{68367002-3547-44df-a850-36015a81c9b9}" ref="S5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73" xr:uid="{683fbaa7-8ff6-4aea-bca3-feb48c3fdbba}" ref="AC1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674" xr:uid="{689e7737-ef77-415d-9680-d7dfc7231d38}" ref="X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675" xr:uid="{68a62da1-de0d-4d11-b84d-cb6640a4f145}" ref="X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676" xr:uid="{68bb36b3-d39c-4d1e-806f-c26544ef34b2}" ref="S13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77" xr:uid="{68c8d855-4625-482d-a5e0-9dd69ec61cd9}" ref="M1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 - Inserida data simbólica
</t>
      </text>
    </comment>
    <comment authorId="678" xr:uid="{68d28c37-5565-4c6c-b5fd-8062300c496b}" ref="AC3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679" xr:uid="{68dd274c-ab4b-4acf-a067-e320d1289659}" ref="AC7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0" xr:uid="{68ea38b5-bb11-4138-bbe4-31f70307dac1}" ref="AC6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1" xr:uid="{68f3f1e8-686f-4767-9f0f-ebd124b4492b}" ref="X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2" xr:uid="{691b6375-fcab-403a-8b0a-c0a787e2f5b1}" ref="S4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3" xr:uid="{69221d17-194f-4a02-9cb3-3c0bddeb843d}" ref="AL16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Somente as peças mencionadas na lista
</t>
      </text>
    </comment>
    <comment authorId="684" xr:uid="{6941c9ba-a609-45ac-bff3-8e2b52d8e955}" ref="AJ5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685" xr:uid="{6952d6d7-313f-48f5-a43b-03d9d8595fe3}" ref="S11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86" xr:uid="{696e3a8c-6219-464e-97a7-0c71e08993e4}" ref="S9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7" xr:uid="{699710ce-f388-41f0-92a2-1cef6579c1aa}" ref="S14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88" xr:uid="{69e0a1c8-086e-4e97-a659-60cdc18c5025}" ref="S15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89" xr:uid="{69f204b2-e6e6-4060-97e4-0c1852f62efa}" ref="S4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90" xr:uid="{6a577779-af86-4f00-9726-213137b04d56}" ref="S7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1" xr:uid="{6a7a1a70-1cda-42ee-aa17-34acc287939b}" ref="S14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692" xr:uid="{6a87380c-af7c-481b-be31-ccbf907d5047}" ref="AC6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3" xr:uid="{6a9117b9-3aeb-4011-be04-416e0ffd2faa}" ref="X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694" xr:uid="{6aa0750e-09b0-4129-938d-713add460e0f}" ref="AC5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695" xr:uid="{6ab8135a-f4b4-4113-808d-4e64a9893bc6}" ref="S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6" xr:uid="{6ad1efd9-cc7d-49ee-a694-2e7051d933b7}" ref="S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7" xr:uid="{6b19e2d1-0193-40ab-b26d-bd2b7c88e0ca}" ref="S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8" xr:uid="{6b6085cb-13ba-4669-b38b-4940b6569b03}" ref="S15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699" xr:uid="{6bc6f4c2-3a34-4b54-8535-531bd7b0225b}" ref="S9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00" xr:uid="{6bd676ae-d299-4ae7-a485-82dfc58f61b4}" ref="S10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01" xr:uid="{6c01257c-fb2e-4592-b6c6-500bb18f1e8b}" ref="AC5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702" xr:uid="{6c491b97-b442-46d6-8113-8150a15fa097}" ref="AC12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03" xr:uid="{6c5b4d87-c33f-4e11-bd57-df13335194d6}" ref="S3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04" xr:uid="{6c6c46c6-0c24-4abc-8713-32cf731420d8}" ref="X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05" xr:uid="{6c7a34c3-9f0f-4c25-bcd4-f7e73724e99d}" ref="AC8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06" xr:uid="{6c81df17-ed3d-41c1-a220-2cd3bfb65fb7}" ref="S9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07" xr:uid="{6c83b345-3727-4dd1-92e4-34793df92628}" ref="S8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08" xr:uid="{6cd815f2-9bda-4efc-b57c-84343f7cca93}" ref="M1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instalado a pedido do cliente, pois não havia estrutura
</t>
      </text>
    </comment>
    <comment authorId="709" xr:uid="{6ce642a8-c00c-44fe-9c03-6f11c12ed0c7}" ref="S4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710" xr:uid="{6cfdf5bb-8513-4057-aba1-a99022480702}" ref="S15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1" xr:uid="{6d4f4bd2-2b7a-4b82-8f41-bc8fd139e6ef}" ref="S10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12" xr:uid="{6db6e1a3-8df8-4b0f-be41-e18d6aa422d7}" ref="S15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3" xr:uid="{6dbcc5a4-fa30-4f51-a413-4b2f032277b0}" ref="S2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4" xr:uid="{6dc384c0-094b-408f-a38f-e0658a2f09f3}" ref="AC12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5" xr:uid="{6dc3aeca-85c5-4e59-a81d-85fdbf6f3170}" ref="S14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16" xr:uid="{6de1771a-6ac4-480d-9a1c-e4be235acaa8}" ref="S10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717" xr:uid="{6e00f91c-91d7-411f-b8ad-85a799d8fedb}" ref="X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18" xr:uid="{6e69d804-4f45-479b-85da-5c0a12459dce}" ref="AC13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19" xr:uid="{6e8c2784-cae3-4ddf-9c3f-93874340d9e1}" ref="S3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20" xr:uid="{6eb8a38a-0a50-4064-818d-f9744c920576}" ref="S10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721" xr:uid="{6ebcf292-f432-4cbf-b645-54b79782e86a}" ref="S2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22" xr:uid="{6ec62a4e-5c17-4721-8a96-73ef99933bfb}" ref="S4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23" xr:uid="{6ef69f90-0ffa-40b6-8c84-e2e0c9623b84}" ref="AC6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24" xr:uid="{6f22f95b-25fc-4f44-aaea-bce4271a68fb}" ref="X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25" xr:uid="{6f553625-1c05-4f15-bb10-0c94b6d6e51b}" ref="S15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26" xr:uid="{6f5f1ad6-6df8-4d8c-8740-4c772be48a62}" ref="S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27" xr:uid="{6fb98ac7-4355-4837-bcdb-61e44731a8fc}" ref="S9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28" xr:uid="{6fff955f-b2e0-42b5-9d97-b41e707846d2}" ref="X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29" xr:uid="{7001e3c4-b76a-4fde-953c-f69c15dad447}" ref="S10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0" xr:uid="{7028ddb0-6677-436f-8f42-9aa557d38d44}" ref="AC5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731" xr:uid="{7039cc16-c0c4-4fe2-ace3-55522eed0519}" ref="S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2" xr:uid="{704ec6f0-a629-4e57-b784-16fa842bc566}" ref="X7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733" xr:uid="{7050653d-269f-49b0-92ea-0479c688a6da}" ref="S13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4" xr:uid="{706e48e4-20bf-4a99-b0c1-0c25f5c75cbc}" ref="AC6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5" xr:uid="{70a8b038-74cf-4b99-9f35-5dcbc65c1fab}" ref="X16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736" xr:uid="{70a8b988-aa4e-42d6-8439-21008fb6fcfb}" ref="AC12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37" xr:uid="{70a916e4-7a97-4791-9570-55e6813b79d7}" ref="S10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738" xr:uid="{71079c9e-1350-4352-9f4c-ee0eae0cabd3}" ref="S13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39" xr:uid="{7122e33d-49e6-43d6-ac7a-6aa33fcbc059}" ref="AC3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0" xr:uid="{716a51db-76a5-4e5a-836f-e1f66f3a814e}" ref="S3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1" xr:uid="{719d1777-aebb-4574-bdc1-a88a6ac677dc}" ref="AC7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742" xr:uid="{71aaf9ec-9543-456a-9ad8-912be748b252}" ref="S2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3" xr:uid="{71abad24-c5f7-4434-947a-0e7b456c9380}" ref="S4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44" xr:uid="{71cfa3e4-985a-4b69-9087-c7932cbeb684}" ref="X2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745" xr:uid="{71eba383-4966-41c5-bbc9-0cad8a26bd67}" ref="AC7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6" xr:uid="{720d22d3-f9b6-44f8-94a9-5bd0e9cc3832}" ref="S4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47" xr:uid="{7219ea81-5761-45d6-85a3-710b306d1752}" ref="S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8" xr:uid="{722c1917-f99d-4010-ad51-d5ab03a24f9c}" ref="AC6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49" xr:uid="{723bb9f7-c99f-4e26-9032-cd967a45fb36}" ref="S16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0" xr:uid="{725d10ea-9aaa-42a8-bfe8-4f1d1445f1a5}" ref="S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51" xr:uid="{7267cd75-ffef-4653-8589-ef88fc65cc5a}" ref="S7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2" xr:uid="{72766d01-e6ec-47a3-891e-feeee2b74d5d}" ref="S2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53" xr:uid="{72827642-4334-45a8-9586-809c9ded31ac}" ref="AC6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4" xr:uid="{72c88238-2128-47a4-91bc-0e54895ee2d2}" ref="AC8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5" xr:uid="{72ce96be-a7a5-47e9-8162-0cf11d3ee534}" ref="S14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6" xr:uid="{7316a516-d50f-45e0-b2c2-5afcc810d660}" ref="AC12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57" xr:uid="{7333d358-a1fe-4d31-9a45-05e5b72a36e1}" ref="S2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58" xr:uid="{7333fd00-0f63-42a9-82a3-fe25a641446a}" ref="S9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59" xr:uid="{733dd650-7026-465d-ad44-44c1ec66a391}" ref="S15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60" xr:uid="{734fe155-a8fd-40ef-a2e4-6a58375e3423}" ref="AC8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1" xr:uid="{736eee5b-b94b-484a-9113-dbb13ae067ad}" ref="S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2" xr:uid="{737bbf33-b637-4174-8b39-3299583bd9ec}" ref="S2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3" xr:uid="{738a303c-7b02-47cb-9b78-eea6c6341c21}" ref="AC6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4" xr:uid="{738de23f-f816-42b9-a84c-9629f0b7192e}" ref="AC2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5" xr:uid="{738eccf7-cb66-4253-ad63-e9a41bdba82f}" ref="AC5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766" xr:uid="{73e61f22-d61c-435d-8cfe-e24a4940e8c5}" ref="X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67" xr:uid="{741a7555-58aa-497e-895f-07e5c8a2ec36}" ref="S3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8" xr:uid="{744fbef6-bd3d-4395-8e26-6be2f9f4f514}" ref="S10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69" xr:uid="{74638844-76dd-43b2-b444-cb0dd4524401}" ref="S15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70" xr:uid="{7542eec2-f21c-4b5e-be31-6db70a6a976c}" ref="S3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71" xr:uid="{7584ae82-0a96-49bc-9d57-c6825b793497}" ref="S14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72" xr:uid="{7593f0b2-0ac3-458b-b74a-ce4e506cd826}" ref="S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73" xr:uid="{765e1285-de51-41da-9f78-b0b1e8553818}" ref="X1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774" xr:uid="{767d92ed-2530-426a-a7e4-e7f420c38884}" ref="X2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775" xr:uid="{76f19ed7-7e86-4deb-bb77-60e799d4e004}" ref="S5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76" xr:uid="{7710dc69-7ad9-4775-8b7d-b9afd2323291}" ref="AC11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77" xr:uid="{77532525-6042-4be5-8978-1bb66fa79353}" ref="S8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78" xr:uid="{7754a8af-e97b-4cc4-9fee-bb5f2e9638c5}" ref="S15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79" xr:uid="{77a5cb2c-aaaf-42c1-893f-ccd7ec93ea05}" ref="AC12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80" xr:uid="{78280bc9-59aa-4c7b-8582-fa04e1604f85}" ref="S15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81" xr:uid="{784e05af-55ee-4514-9297-9f08c211733d}" ref="AC12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82" xr:uid="{784e17e8-5217-46f6-b428-8b67a407464b}" ref="X10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783" xr:uid="{7877272b-7dac-43e2-a2ae-6893a23a30a7}" ref="S14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84" xr:uid="{7885404b-5b8e-485c-9f43-66a77d4717f3}" ref="S7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85" xr:uid="{789db3a3-f4c3-4f84-9c3f-3dd13e369e72}" ref="S4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786" xr:uid="{78dfbd61-b418-499a-9206-c85f2a98a49d}" ref="AC5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787" xr:uid="{78e2161b-5c24-4ccc-b17b-2b29bced63d3}" ref="S5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88" xr:uid="{78e984a4-b404-4db1-b9fe-e0888863a604}" ref="AJ8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789" xr:uid="{79736454-806e-4217-853d-2830d3639412}" ref="S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90" xr:uid="{79b99346-7d13-4e84-aec1-8b45bf6f7182}" ref="AL8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Atendimento Preventivo e Corretivo
Envio de proposta caso necessário a substituição de peças.
</t>
      </text>
    </comment>
    <comment authorId="791" xr:uid="{79d33ef5-09c2-471a-a91e-02dc111a3070}" ref="S7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92" xr:uid="{79e6f0bd-d930-4564-8f85-edf55057a4d5}" ref="S8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93" xr:uid="{79fec15e-d9bb-43aa-a062-5654b80dbd22}" ref="S5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794" xr:uid="{7a0b6b76-9838-40b6-b41e-3e1a13d2eef4}" ref="AC6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95" xr:uid="{7a1b91c1-719d-4b43-b2aa-658ada7b0ef1}" ref="AC12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96" xr:uid="{7a688c7a-ba5e-41d1-b5dc-cb219522685b}" ref="AC12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797" xr:uid="{7aa18af5-9a1f-4c56-9a21-ac3efd9ce644}" ref="X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798" xr:uid="{7ab6d47f-2dda-4737-b1f3-ac67173b53ff}" ref="AC8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799" xr:uid="{7af4166b-8b13-4487-a3cc-6adf6ec1552e}" ref="S15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00" xr:uid="{7b0aaf09-0797-412e-8790-63cd2eeab008}" ref="AC8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1" xr:uid="{7b542d2a-a00a-42b4-adc4-f78ce6f4c07e}" ref="S9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2" xr:uid="{7b8bec2f-ff00-4f8e-a10a-bfb455c2a39b}" ref="S14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3" xr:uid="{7b9d1e31-ab60-4fc3-8fd8-03bc8bb3d061}" ref="X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04" xr:uid="{7bd66679-79ba-4128-a9e4-d5195572cccc}" ref="AC6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5" xr:uid="{7bee2063-510e-4eed-b510-831d6682ea91}" ref="S3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06" xr:uid="{7bf10915-2f6e-42ab-ae11-48f4d5a8626b}" ref="S2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07" xr:uid="{7c1eef3a-e480-4832-9cc4-68596701039e}" ref="S4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08" xr:uid="{7c5c1785-a4c9-44da-ac04-710c79e38a5b}" ref="X16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809" xr:uid="{7c71454f-ba15-4e6f-bc06-7710b54675cf}" ref="AC1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810" xr:uid="{7ca9dee6-4772-4a86-be10-c11c7ed925bd}" ref="X16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3º Termo Adt
</t>
      </text>
    </comment>
    <comment authorId="811" xr:uid="{7cb779c9-9db8-4a63-9a75-11888ae62489}" ref="AJ5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812" xr:uid="{7d3be879-6be9-4f03-a60d-803a33e69297}" ref="S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13" xr:uid="{7d40e882-6807-45c2-b1f4-8df5f530af3f}" ref="S9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14" xr:uid="{7d55c27f-cd83-46a6-9714-1dfa5a994d74}" ref="S7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15" xr:uid="{7d77d319-71e9-4702-807d-ec0464f547af}" ref="X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16" xr:uid="{7d8eb5f3-743a-4711-b36d-94070a835285}" ref="S3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17" xr:uid="{7da7ca91-d36b-431c-b5eb-481b02ce79a2}" ref="S8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18" xr:uid="{7dd031ff-ff21-4061-81c1-8ca35ce30712}" ref="S15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19" xr:uid="{7e152da5-8abf-426a-99cf-9b1500ea5e4f}" ref="AC6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0" xr:uid="{7e78d88e-dbe4-450f-9f74-19d09a01b4d9}" ref="AC6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1" xr:uid="{7e96ea85-e1c4-4719-9e5e-3e233414cbb0}" ref="S4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22" xr:uid="{7e9e030e-9f6b-4452-a6e1-56f0524691bc}" ref="X11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823" xr:uid="{7ea55020-e741-4fb6-b9bb-a7e3d6822f30}" ref="S14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4" xr:uid="{7eac4742-3ba5-4943-8648-67d2343af771}" ref="S14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5" xr:uid="{7eb93877-2255-4c05-8f96-2db136170e3e}" ref="X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26" xr:uid="{7ece10c9-7308-47ba-9b37-621beccb0a7d}" ref="AC9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827" xr:uid="{7ed979ee-bd98-43ac-8037-2daa8fb52254}" ref="S8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8" xr:uid="{7f2698dc-d72b-46bd-bdda-b3c52046a259}" ref="AC6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29" xr:uid="{7f846871-01ab-467e-bbdf-f392eee2e344}" ref="S9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30" xr:uid="{7f86c386-568c-4ab8-8ab9-51ee6deabfa5}" ref="S2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31" xr:uid="{7fa7b438-fa54-41c7-bd98-2ba9045b64c6}" ref="S3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32" xr:uid="{7fd9d952-539a-4b56-8dd1-eba5b9532ed8}" ref="S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33" xr:uid="{7fde2a80-494d-4e79-9416-9c8911f62021}" ref="S10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834" xr:uid="{7ffb2323-3f83-4e6c-b8fb-4804f029dc82}" ref="S4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35" xr:uid="{7ffce649-1065-4c15-a153-678c481eabf3}" ref="X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36" xr:uid="{8000244f-85a4-48ac-8f65-2dc037f31390}" ref="S9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37" xr:uid="{806fc9cb-6cb9-455d-830e-6b513991e084}" ref="AC12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838" xr:uid="{8089f1c4-e5d0-47b7-b931-95ae1acbe92e}" ref="S9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39" xr:uid="{80e5272d-7e14-4cf4-8aac-dceb728e19ea}" ref="AC1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840" xr:uid="{810206bd-7e04-4b3d-911a-1360e52c5f3b}" ref="S5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41" xr:uid="{810f54b9-4ed4-47a2-a134-b6dd91b134be}" ref="S14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42" xr:uid="{81562049-5c9a-442a-9b67-d2bcef2c6922}" ref="S3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43" xr:uid="{81928f5e-5e0c-4b5f-9cb3-63b7f9c29edf}" ref="S10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844" xr:uid="{81b6b00c-cabb-4628-9416-56a4bc93b4de}" ref="AC6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45" xr:uid="{81d02210-072a-4887-944f-93f51a42e938}" ref="X16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846" xr:uid="{81fbbd8a-8498-439b-8b69-70abd29d5d87}" ref="S3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47" xr:uid="{81fcf100-0211-455e-93fa-8585e99d8c92}" ref="S13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48" xr:uid="{82027386-5326-4ddc-ac90-742e6f2c6e5e}" ref="S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49" xr:uid="{822ff5ea-3ad4-4f84-94f4-534d3f0c9d5a}" ref="S3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0" xr:uid="{833744bb-ea43-460c-856c-c4fd7d96eaec}" ref="AC2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1" xr:uid="{833d163d-7928-42d7-bd78-07007d946a5a}" ref="S14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2" xr:uid="{833fca29-0a5b-4812-b2bf-3ce068d5ca8c}" ref="AC1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853" xr:uid="{8367464a-49ce-425c-bbe1-70af08357f9b}" ref="S3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4" xr:uid="{83b3b507-abb7-4479-a8b5-9052f4fc582e}" ref="S10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55" xr:uid="{83c5a074-9400-425d-89d0-3e05b8179d09}" ref="S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56" xr:uid="{83fbb7a3-ca4c-4066-a80f-6b1d501202bd}" ref="S4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57" xr:uid="{8408c891-eec3-43c5-9062-2d56e9654353}" ref="M7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simbólica, pois não foi localizada a data de instalação
</t>
      </text>
    </comment>
    <comment authorId="858" xr:uid="{840ebcbf-8b28-4a76-a349-a080e2cdc465}" ref="X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59" xr:uid="{84358b60-8591-4622-b74f-3d9074522722}" ref="AC1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860" xr:uid="{8451923e-5d4c-46c7-a519-ef0d25e06b8f}" ref="S9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61" xr:uid="{8456a63e-d3a2-4fa9-9299-efcbb903cc54}" ref="S1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62" xr:uid="{84620ea0-c370-49a5-8c2f-981135fa76af}" ref="S9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63" xr:uid="{848ace91-5f63-4c0e-91df-926bc3dc1b1f}" ref="S13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64" xr:uid="{84d865c4-2e6b-4786-92fb-6ffd4670e203}" ref="X13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865" xr:uid="{84f9a375-118d-4d32-9e79-a4b1c7b3230b}" ref="S15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66" xr:uid="{85178532-01de-4639-b6af-3e6a6048f9bf}" ref="S9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67" xr:uid="{851e0f77-a26a-4077-8da9-b39f6899f149}" ref="S13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68" xr:uid="{85626c8f-7bac-46f7-b97d-9a3926d0ef0e}" ref="AC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869" xr:uid="{8572fb30-d136-42b7-ac0c-65f86a4bfa4b}" ref="X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70" xr:uid="{859907da-1eb9-4888-8546-78ba09b127ee}" ref="S10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71" xr:uid="{85b73349-4643-4f82-bb80-89c3fc85f23f}" ref="AC12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872" xr:uid="{85c2fa59-bb4f-4060-a0bc-1c9ac701c722}" ref="S9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73" xr:uid="{86062009-029c-4120-87e3-11fc49c1bb94}" ref="X1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874" xr:uid="{861c1cf0-f666-40de-a77c-84b9450f28c2}" ref="S15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75" xr:uid="{863dde9a-4520-447f-8587-297e3e6a5265}" ref="X13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876" xr:uid="{864eb08d-cebb-4297-abdb-31f2c8c66396}" ref="AC9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877" xr:uid="{86a8b74f-80ef-4c80-8384-2a083074cfcb}" ref="AC8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78" xr:uid="{86c19f05-ee21-4650-8adb-c6d5b309f01f}" ref="X13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879" xr:uid="{86d65253-2d52-4766-84a9-00ab0de26487}" ref="X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80" xr:uid="{86ef2f04-9974-4576-a6dd-544fd9c08848}" ref="M11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 - Inserida data simbólica
</t>
      </text>
    </comment>
    <comment authorId="881" xr:uid="{8713c108-87af-4feb-9022-7f6b8228e1f9}" ref="S10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82" xr:uid="{874e20e9-7a73-4a31-94f9-7f0c88a6f905}" ref="AC5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883" xr:uid="{8774df85-02ce-43e1-8d9b-4dd7a0202190}" ref="S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84" xr:uid="{878444f9-dab3-4f8d-ac33-9af0d2d74a7d}" ref="S3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85" xr:uid="{883e43fe-4f06-4459-b490-89719b52600d}" ref="S14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886" xr:uid="{8841b03e-b2f2-487d-a524-ee1a5a0426e4}" ref="AC12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887" xr:uid="{885e716b-4262-414e-9f57-4c04637dd142}" ref="AC12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888" xr:uid="{88aa27d6-2a23-491f-afd5-2abaf0ce7af4}" ref="S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89" xr:uid="{88bae3ba-a69b-4a8f-9a0d-9db231df09d2}" ref="AJ5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890" xr:uid="{88ec5869-2969-48b5-8535-9b3c277dbcfe}" ref="M13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
Preenchida data do RP
</t>
      </text>
    </comment>
    <comment authorId="891" xr:uid="{89261f32-4772-4a5a-8c8f-92848f53f73c}" ref="X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892" xr:uid="{8954222c-2315-46df-8017-fd03bd58ae94}" ref="X3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893" xr:uid="{8995dbd4-87ce-4636-aceb-b9e467ba1eb8}" ref="AJ5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894" xr:uid="{8998cb08-cfeb-4190-9707-413105d35dec}" ref="S15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95" xr:uid="{89a173ab-953e-4aeb-b2ba-2357b9bdeb6f}" ref="AC7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96" xr:uid="{89a78de9-19f5-4312-8375-70a76852b2ad}" ref="X11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897" xr:uid="{89e9aa00-dc16-4e93-8576-cc2c812313b9}" ref="S8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98" xr:uid="{8a018e3c-f500-44ce-a2dc-ab9a2e4370c4}" ref="S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899" xr:uid="{8a4eef5b-9ed4-42ac-a735-5d3a602c5bd0}" ref="S14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0" xr:uid="{8a529673-9831-4caa-b7b4-bda9fc07323e}" ref="S3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1" xr:uid="{8a6783b7-acca-48eb-949b-8c7302898762}" ref="S15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2" xr:uid="{8a6c1945-5aa8-4add-a2a6-feb51599ed70}" ref="AC3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903" xr:uid="{8a6ddb00-2e08-4c88-b93d-20745b35d216}" ref="S8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4" xr:uid="{8a768850-eb42-4ae4-866d-ce9ed5a13462}" ref="S7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5" xr:uid="{8a9e9bd2-64be-4a86-bd79-d1040f4ec982}" ref="S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6" xr:uid="{8ad7ce4d-763a-428d-9082-90dff0313925}" ref="S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07" xr:uid="{8adcc265-83d2-4d3c-afc0-420c01f9df9c}" ref="S9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08" xr:uid="{8b1e0608-7e3b-4807-9d7e-f36eb5fa43be}" ref="X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909" xr:uid="{8b3c8601-6d9f-4dd9-adfd-e257c24bdc6d}" ref="X14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910" xr:uid="{8b578280-6238-4e93-9fb3-a256bd0ec0cc}" ref="M11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 - Inserida data simbólica
</t>
      </text>
    </comment>
    <comment authorId="911" xr:uid="{8b635541-8f8e-434d-8536-96c35807ea2b}" ref="S13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12" xr:uid="{8ba69db7-5997-4b13-be45-8c9c7e9b909e}" ref="X1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913" xr:uid="{8bcad69f-cc56-4a87-b81b-52b518debf11}" ref="S13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14" xr:uid="{8bdaa9e1-14b7-4aa9-9387-16ce5d5b148e}" ref="S4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915" xr:uid="{8c6e9034-a545-45c2-9235-5c7a824c4d06}" ref="S15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16" xr:uid="{8c71cfd6-20c9-4079-87b0-e604e52fcfcb}" ref="X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917" xr:uid="{8cac93ac-f177-4472-83ea-c95de5524fde}" ref="S13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18" xr:uid="{8cd562c6-ab7f-4f38-9fb7-9156f19c1998}" ref="AC8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19º Contrato
</t>
      </text>
    </comment>
    <comment authorId="919" xr:uid="{8d2a58bd-f47a-4ac9-9a62-288731b96249}" ref="S4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20" xr:uid="{8d2fc4bb-d175-49e2-9019-eecd7a234a5d}" ref="S9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21" xr:uid="{8d3547fe-edef-41d0-8e68-01f92c2293dc}" ref="S9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22" xr:uid="{8d404455-ffbe-4900-9bf7-c0e2c8d320c9}" ref="S9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23" xr:uid="{8d58000a-9736-48d1-b38f-7956cdca54d8}" ref="S1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24" xr:uid="{8d73d377-dec3-4df4-ad98-a2577b482d65}" ref="AC5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925" xr:uid="{8d8851a9-224a-4e46-b419-1a6182c36285}" ref="S4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26" xr:uid="{8d90a1f4-dfef-4206-a983-2ff5e01ce55d}" ref="S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27" xr:uid="{8d99f165-3abb-49c5-8205-3cd98b82277e}" ref="AC8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28" xr:uid="{8dabd7fb-c2c9-475d-8f0c-719ab85b8d95}" ref="AL1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Somente peças da lista
</t>
      </text>
    </comment>
    <comment authorId="929" xr:uid="{8de306a1-9f26-41b6-b5ab-56ce4b8de9da}" ref="AC12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930" xr:uid="{8e252d8f-5250-4c64-8cce-9dce16035d32}" ref="S14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31" xr:uid="{8e8a7249-6234-4822-9fa3-2f9725656ba4}" ref="S2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32" xr:uid="{8ed293e4-10e9-4823-a2a8-a15d280581d3}" ref="X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33" xr:uid="{8f0f98cc-5090-4a14-8fd7-cfedb60a9a82}" ref="S1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34" xr:uid="{8f12398b-b904-4638-833c-bdaaf1788fae}" ref="X2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935" xr:uid="{8f15865c-ab4c-454e-9ad3-de0997247b7d}" ref="S3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36" xr:uid="{8f30c07c-aef3-4c69-9257-2579e8222339}" ref="S4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37" xr:uid="{8f4e29ec-11b1-4f1f-b144-0f5cecd83baf}" ref="S10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938" xr:uid="{8f4fcdc5-08b4-4771-9c3f-5c630547148c}" ref="H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46075 substituiu o equipamento 45915
</t>
      </text>
    </comment>
    <comment authorId="939" xr:uid="{8f655ed4-c412-4e02-8a87-7e23e1526e5d}" ref="S3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40" xr:uid="{8f68cfca-d178-4ae4-ac66-850f9c6fe18c}" ref="AC2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41" xr:uid="{8f9ec32d-eb18-4998-9ac4-5b017a83cf98}" ref="S9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42" xr:uid="{8faa2019-b863-486a-b168-4baa33c05481}" ref="X9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na planilha confiável
</t>
      </text>
    </comment>
    <comment authorId="943" xr:uid="{8fc07a79-e151-480c-9d6d-1fa6ae1e1fb5}" ref="AC11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944" xr:uid="{8ff0d6d9-b630-4c51-92db-1c985c3c1676}" ref="AC6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45" xr:uid="{904cef56-77df-4c8a-acf9-8bc98c2d9daf}" ref="S14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46" xr:uid="{908218dc-d777-4dce-abf6-12b36f29e365}" ref="AC6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47" xr:uid="{908b8502-07da-4c7c-b3ed-f1586fc61b5a}" ref="S5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48" xr:uid="{90986ca2-2f88-47ae-9e45-df48a6de7f31}" ref="S14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49" xr:uid="{90f004d2-d8a2-4109-a5c6-cfaa39f2f618}" ref="S15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0" xr:uid="{90fe1a31-7ab8-443c-b29a-cc6e419631e2}" ref="S10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1" xr:uid="{91808f14-3fe5-4be8-aa78-eaf7d2e301f1}" ref="S13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2" xr:uid="{9187890b-b64b-4adf-9821-e965c07fbfe5}" ref="AC11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953" xr:uid="{919161d9-2a3e-4835-bfc1-ac1b50a6b2e1}" ref="S2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4" xr:uid="{921ce92b-50c0-4462-8b0a-41a90c1bc2bc}" ref="AC11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955" xr:uid="{92452353-30cb-421d-80dd-b17e15f95df8}" ref="AC1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6" xr:uid="{9286a57e-3350-4ff3-b08d-284fa79e8150}" ref="S13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7" xr:uid="{928c6297-5161-4243-8fbd-c72355ef1662}" ref="S9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58" xr:uid="{92b5c22b-7e0d-43b8-a2e9-221b58a291d4}" ref="AC13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959" xr:uid="{92f508a4-370e-4a2a-bf3a-4f7b3c9e8959}" ref="AC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0" xr:uid="{92f66637-4710-4062-bacc-f4ad1c0b21b1}" ref="S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1" xr:uid="{934342b0-e07e-4383-a24c-3906cf0681a4}" ref="AC12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962" xr:uid="{9343f9cd-5b7f-4cd2-b8c5-e62ebcc423ff}" ref="AC15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3" xr:uid="{937c5599-a1f0-46aa-b774-a30a532af631}" ref="AC13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964" xr:uid="{93acd107-95bb-468d-b494-063e2b107c8b}" ref="S4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65" xr:uid="{93af93b8-cdab-482c-a1bc-6e4a8db46b9e}" ref="S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6" xr:uid="{93b5a919-061f-40b4-b2cc-50850cb5d445}" ref="S15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7" xr:uid="{93eaf721-f6b1-44c4-b704-716cf3014523}" ref="AC2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8" xr:uid="{940acbb5-81b5-4f11-ae5b-a62bd7dbc75c}" ref="AC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69" xr:uid="{948a509f-b07e-431c-b67b-2901c78cbf07}" ref="S15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0" xr:uid="{94a5d971-a87f-442a-a85b-f9e32bfb0a80}" ref="S8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1" xr:uid="{94c75cc0-6f37-4ffc-8310-2bf8cce316ba}" ref="S10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72" xr:uid="{94cbb838-d9c0-453e-9426-7a7bf0997aa0}" ref="S3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3" xr:uid="{94cfb714-74e5-4969-8f1c-1ddcceeed3f5}" ref="AC12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974" xr:uid="{94ebdef9-5cf3-4ba3-967b-499f5df11e81}" ref="AC13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5" xr:uid="{9584ac7b-ecac-4681-a110-d5148dc94f22}" ref="S9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6" xr:uid="{958d7e6c-c551-4d5a-a0b6-099fc3b4d3fc}" ref="S8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7" xr:uid="{95a03917-fdd9-4d67-8c4c-7d49e592cd41}" ref="S13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78" xr:uid="{95f5676b-5d4c-4714-bdaf-9d846389be42}" ref="S5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79" xr:uid="{96a7867c-ce3b-435e-b20c-06620367b61c}" ref="S7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0" xr:uid="{96c60dff-b2b6-4e34-9d1f-fd634bc54ffd}" ref="S14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1" xr:uid="{96cf727d-a983-47de-9ab1-2b280620a6b1}" ref="S10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82" xr:uid="{96f236db-7dc7-46a0-bbca-f62c58493f6b}" ref="S4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83" xr:uid="{96f73223-ec61-446f-bdfa-d1fe2b5dc128}" ref="S10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84" xr:uid="{971635cb-d7c4-474d-9ebd-19d2b02fb36f}" ref="S10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5" xr:uid="{97243796-ff5c-43d8-9270-d1c89779d580}" ref="AC13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986" xr:uid="{972e185d-b59c-4eff-8892-d1b1d3c9928c}" ref="S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7" xr:uid="{97447975-e0e4-46fb-afa1-a11d3feefd16}" ref="S3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8" xr:uid="{9766bd27-7ff5-4a43-9466-bda2716447ed}" ref="AC6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89" xr:uid="{976cc86d-cb25-4edd-91a1-ba4813e4515a}" ref="S8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0" xr:uid="{9794745c-8566-43c4-9d59-93f31367699f}" ref="X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991" xr:uid="{97b4a716-4d1c-4b45-b1ff-73cae4861ffb}" ref="S9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992" xr:uid="{97b4eaff-3a7d-44ed-ad71-08453541583e}" ref="S2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3" xr:uid="{97bad62e-fc69-45a4-be7b-6087c5aef122}" ref="AC11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994" xr:uid="{97be9d1a-e5e6-40f8-9cf9-a52c3092467f}" ref="AC8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19º Contrato
</t>
      </text>
    </comment>
    <comment authorId="995" xr:uid="{97d42335-0899-476f-b647-a49c5d7a60a2}" ref="AC1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996" xr:uid="{97f52759-d25c-429d-ae89-6bdd898b3e63}" ref="S15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7" xr:uid="{981f6775-30ee-4dd1-9c6f-8ba8d2179adc}" ref="AC11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8" xr:uid="{9827d591-1b18-4d8f-9885-e0a240e9cc4a}" ref="AC6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999" xr:uid="{98cf3c5c-e3bc-4f08-994c-5a8ab9b74a04}" ref="S7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00" xr:uid="{98f9dcc6-98aa-42de-a606-a5e626ca90f2}" ref="X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01" xr:uid="{98fa9557-fbb0-4f59-bb66-ad5ef641c940}" ref="S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02" xr:uid="{991c2671-64f2-4444-8c2c-b07ebcdf705d}" ref="S2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03" xr:uid="{9966f7cb-cc45-4a28-af94-1754f2962995}" ref="AC9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
</t>
      </text>
    </comment>
    <comment authorId="1004" xr:uid="{996a5524-aa4b-4d17-a9e0-2f3d095b3f13}" ref="S5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05" xr:uid="{9970ba3e-ea52-429f-b551-f2ae912cbf70}" ref="S13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06" xr:uid="{9993429f-fcb0-4e13-9e5d-6432195e0876}" ref="X8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007" xr:uid="{999c077d-e776-4d85-9416-e9cbe5a20c3f}" ref="S2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08" xr:uid="{99d4aaaa-d113-445b-9c98-db4d58122e4f}" ref="AI8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009" xr:uid="{9a1696c8-9f5a-40d8-9c85-e5d6ca8c79b4}" ref="S4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10" xr:uid="{9a6d7de7-7381-4241-ab21-391d77eec55e}" ref="S11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11" xr:uid="{9a79f951-6e5e-4e0d-8062-78909adb7129}" ref="S1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12" xr:uid="{9a8d049d-5eb4-4174-a596-b8f06ce6f2c8}" ref="S4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13" xr:uid="{9a9a48fd-ff76-47d6-977e-4293047562bf}" ref="S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14" xr:uid="{9a9cfd18-eec8-4269-b83b-224e49f875a2}" ref="AC2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015" xr:uid="{9aba1390-25b2-4375-b282-138bb567e8bd}" ref="S7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16" xr:uid="{9b3786c1-05d0-4957-8f7b-64b3b915a784}" ref="AC5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017" xr:uid="{9b66d483-2923-4714-8944-88523a4b982e}" ref="AC1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018" xr:uid="{9b9a7499-9383-46a6-b8e0-6b525ce975f6}" ref="S4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19" xr:uid="{9beeaf50-c783-44a3-83ce-191e53d28d58}" ref="S13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0" xr:uid="{9c075a7f-bf6d-4c00-87cf-ff1e67244ab1}" ref="S15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21" xr:uid="{9c0ccdfe-10f6-4d2e-a3ac-68f4b54e4d17}" ref="S8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2" xr:uid="{9c6186fb-ab21-4f06-83c1-c7f21bcdbb0d}" ref="S13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3" xr:uid="{9c7411b3-7d59-464d-96c9-4cf7c3843545}" ref="AC6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4" xr:uid="{9c933119-3a0a-40e7-b23e-3b4e6dd49011}" ref="S4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5" xr:uid="{9ca614b3-fea1-493e-a6bb-2ec1be2cd8f1}" ref="AC6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6" xr:uid="{9cd10288-1d99-4178-8dab-be08a2833e5a}" ref="X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7" xr:uid="{9d2a25ba-8832-411c-8227-d0a2a151a547}" ref="S15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8" xr:uid="{9d38e6d0-0e59-4c9f-8c03-88531ec07dc3}" ref="S15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29" xr:uid="{9d47ef33-70bc-49a9-abd8-dedd367dfb9b}" ref="S7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0" xr:uid="{9d4c4476-0149-4e53-be29-697bdc253d5c}" ref="S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1" xr:uid="{9d60364d-3247-4f5a-9b87-edcbd14e0934}" ref="X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32" xr:uid="{9db9e114-e6b4-4076-adc3-23c0a1732ad3}" ref="AC8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3" xr:uid="{9dcf5426-afd4-4b0f-a776-eea05c49ceca}" ref="AC1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034" xr:uid="{9e1c5f2d-ab40-4541-8258-62c904e68191}" ref="S8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5" xr:uid="{9e75f383-1e02-4ea8-8c4f-fab935652322}" ref="S5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36" xr:uid="{9ee1ec72-a693-4d5c-b7ae-36543191547a}" ref="AC12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037" xr:uid="{9f205137-0776-45e7-9bcb-9e43beb4421b}" ref="S10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38" xr:uid="{9f815d3c-5cad-4368-abca-f5a13d4a90bf}" ref="S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39" xr:uid="{9f9c00fc-b632-4360-bab7-0beab5b64e32}" ref="S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40" xr:uid="{9f9ff828-bb9f-410e-83b6-336f805e0c95}" ref="X13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041" xr:uid="{9ff3b75d-249d-4c59-90ae-cb9659a772e5}" ref="S14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42" xr:uid="{a035d052-da68-42ee-8053-6079340a6b24}" ref="S10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43" xr:uid="{a0468119-d933-44ea-9c6f-1b6bf7a29f1a}" ref="S9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44" xr:uid="{a05683df-24d4-4fe3-a467-8c4488375359}" ref="S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45" xr:uid="{a0638ac4-c07f-4349-b7ab-f2e278a12905}" ref="S4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046" xr:uid="{a06f7cb8-de18-4698-9204-5484d71c3591}" ref="S4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047" xr:uid="{a0abe6d0-0edd-4a3f-ac51-f2d4d3970828}" ref="S4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48" xr:uid="{a0b86f6b-0e5a-44e4-acdc-d5e93663e20f}" ref="AC6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49" xr:uid="{a0c2227c-9efe-461b-af95-5f72f134db44}" ref="S15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50" xr:uid="{a0c87104-b2d2-4fc3-94c4-3a9487855a0d}" ref="S4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051" xr:uid="{a0eb0792-d5fa-4231-9d18-64cb13f59088}" ref="AC8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52" xr:uid="{a12b88ac-fe0c-44fa-ad60-b960b50aed19}" ref="S3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53" xr:uid="{a1514616-2f2e-4e29-8ded-5aceec1f785e}" ref="X9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 de renovação
</t>
      </text>
    </comment>
    <comment authorId="1054" xr:uid="{a1cba5fe-0ca1-4c1f-bd70-50572c79e268}" ref="S5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055" xr:uid="{a1d55d52-e850-4002-9f6b-8b75cc587e29}" ref="S5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56" xr:uid="{a1e612ec-a4df-4b0b-af12-5ec9ad9f747f}" ref="S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57" xr:uid="{a2243d0d-121f-4b34-999b-f336ac127fc6}" ref="X8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058" xr:uid="{a22fcf0a-fee7-4f4e-a9ed-8e585906ce35}" ref="X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59" xr:uid="{a24645b0-1f2d-44a1-a53e-8804d66341ea}" ref="S1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0" xr:uid="{a2605d96-624a-45c0-8012-00ee46465665}" ref="S15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61" xr:uid="{a2d78258-9aa1-460a-812e-f0d4f5464caa}" ref="S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2" xr:uid="{a317bc4c-a099-4c8e-8a16-409888b7c5d3}" ref="S14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3" xr:uid="{a324d272-a96f-46e5-88d4-a87e019beb80}" ref="S2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64" xr:uid="{a33feaee-c52e-465e-8161-55c332104231}" ref="S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65" xr:uid="{a3831610-4f61-4ff9-8648-6e35d691574e}" ref="AJ5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066" xr:uid="{a3a6804b-08b1-4777-a287-c8688c248bd1}" ref="S10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7" xr:uid="{a3a82f37-73e1-4a51-8af9-f77e84a45fd6}" ref="S15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68" xr:uid="{a3b0d03a-3d03-4fb6-8017-75686550483f}" ref="S5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69" xr:uid="{a3e91dd5-9eac-41ac-9da7-2e5be9d306ba}" ref="AC12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070" xr:uid="{a3f68238-c810-4a18-9014-25eaf8dba92f}" ref="S10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71" xr:uid="{a3fb0925-fcdb-4a89-8c7e-13d115aa112d}" ref="S10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2" xr:uid="{a3fe10ea-d1e7-4420-bb4b-23070d1c86fa}" ref="S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3" xr:uid="{a424af71-1b00-49c8-ae69-3ed4fd12d925}" ref="AC8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4" xr:uid="{a4349288-2694-4491-82fd-cb0fc86e6239}" ref="S5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75" xr:uid="{a47775ba-533a-4ede-be45-a7debb394157}" ref="S8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6" xr:uid="{a48699ca-fccd-4af9-8a07-df751386873f}" ref="S14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77" xr:uid="{a4c1aa9c-bbdc-4423-aeed-74cb10663886}" ref="S8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8" xr:uid="{a4c33164-1937-4746-a029-969f74159d76}" ref="S7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79" xr:uid="{a4ea05b8-9316-49d8-930e-afcc4f21647e}" ref="S5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0" xr:uid="{a5057067-d277-4c4d-a288-309cd9fade8a}" ref="AC6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1" xr:uid="{a538259c-34c5-49b2-aed6-12cad5719e58}" ref="AJ5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082" xr:uid="{a571a5f5-b90b-4a9e-9c6b-d1ed0dc1884a}" ref="S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3" xr:uid="{a5779669-13b9-4cc9-a979-4cec260bbc7f}" ref="AC5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084" xr:uid="{a592dd61-e49a-4784-8678-545a8d77d628}" ref="AC8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5" xr:uid="{a5c8367c-7aa2-47b9-917e-0a31691ec9d0}" ref="X2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086" xr:uid="{a603ffe6-0fb2-4e3f-b97f-5fc77fb014b1}" ref="X14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087" xr:uid="{a64e2554-15a1-4f15-ad56-1df783ed8d15}" ref="H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Série 45906-0, mas plaquinha foi errada com número 45909-0
</t>
      </text>
    </comment>
    <comment authorId="1088" xr:uid="{a66836a1-4e87-4aa7-a787-518010cc37e5}" ref="S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89" xr:uid="{a687d47e-b098-425d-bf52-ccdd430220ac}" ref="S8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90" xr:uid="{a6d93149-fe12-4203-97c1-f03573995eb4}" ref="X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091" xr:uid="{a6f71d4e-88bd-49cc-9fc0-9be72011cc88}" ref="S8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92" xr:uid="{a6f72647-ed13-41b1-be7a-788f89691b0a}" ref="S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93" xr:uid="{a710231c-ac36-4729-941b-317c20e39a6f}" ref="S2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094" xr:uid="{a738686d-1465-48d3-93a4-1c6ab421b9f3}" ref="S11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95" xr:uid="{a7c441b4-6df2-4915-9f0b-c347d24623f5}" ref="S15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96" xr:uid="{a8293963-a029-43cf-8135-95be35cdd5ba}" ref="AC11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097" xr:uid="{a83e3cf1-d88d-4d53-a80e-39354182ef04}" ref="AC13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1098" xr:uid="{a8443e3a-947f-4d42-abb6-9faea6a4ee6c}" ref="S1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099" xr:uid="{a846d64d-2f67-42e0-ab62-e825ddb07313}" ref="AC8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0" xr:uid="{a8d1fcfa-613b-48e2-b47a-f07396932c9f}" ref="AI8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101" xr:uid="{a8d8588a-c84f-4f20-9281-a237e5f08d83}" ref="AC2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2" xr:uid="{a90a12ec-7ee0-4e53-b006-13704c67f520}" ref="X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3" xr:uid="{a912c75c-2239-41bb-805f-93b6b988a260}" ref="S14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4" xr:uid="{a93063b0-d831-4a19-8685-559faf356076}" ref="X1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105" xr:uid="{a9456a1a-c856-476a-adc3-5524552d7509}" ref="AC16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106" xr:uid="{a94afea9-2920-4765-b6f1-9ff064360cc5}" ref="S11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7" xr:uid="{a94ea441-dcd0-4c62-96bc-d442bda67f8f}" ref="AC6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8" xr:uid="{a9aa683e-3d0e-43c7-ab54-b47249ab3a36}" ref="S14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09" xr:uid="{a9ed42ad-854d-4a18-aeca-f9aa12d8de3e}" ref="X8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110" xr:uid="{ab5cca9e-0cfb-4fd4-9b3d-743976708bfa}" ref="X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11" xr:uid="{ab6bad5a-b57a-4339-badf-b71faace7bc6}" ref="AJ5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112" xr:uid="{ab8e2741-c08c-4ad6-b85e-ef0e53bfe00a}" ref="AC6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13" xr:uid="{aba82d43-eb66-4bba-b6a6-a13e38c02023}" ref="AC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14" xr:uid="{abc2f92e-67b9-48ae-9593-525a70b33fdf}" ref="AC11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 informada no RP
</t>
      </text>
    </comment>
    <comment authorId="1115" xr:uid="{abd5dd87-6932-45b5-a459-5b7d016bfa1e}" ref="S8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16" xr:uid="{abdf81a8-96f7-4875-a287-218a6f00f30d}" ref="S3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17" xr:uid="{abff2942-2cf2-4285-be7b-1fa2547290f9}" ref="M9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data, então preenchida igual a da outra unidade
</t>
      </text>
    </comment>
    <comment authorId="1118" xr:uid="{ac0fcd47-9ee7-45aa-8094-4cb25ea9a245}" ref="AJ5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119" xr:uid="{ac6f070d-2504-4047-89eb-1b1a5a4b6086}" ref="S5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20" xr:uid="{ac89eea0-df92-405a-8e2d-5f41aedf994e}" ref="S4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21" xr:uid="{ac9caf55-865a-47e6-9cc9-35d7bc42ba7a}" ref="AC10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1122" xr:uid="{aca46acb-f35d-487c-8f3e-e692ae4e59f5}" ref="S10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23" xr:uid="{acb7db95-3822-4445-91a5-d6a6c2420e9e}" ref="X13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124" xr:uid="{acd987d2-8e60-4337-b67a-803a1e8c7e61}" ref="AC10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1125" xr:uid="{ad43010e-3c45-44ee-8816-8d90320b359e}" ref="S9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26" xr:uid="{ad8e6c5c-783e-4171-8983-0f026f800871}" ref="S3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27" xr:uid="{ad9d923e-212c-46e4-b8af-76b84cfd8e0c}" ref="S14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28" xr:uid="{adce4ee0-337e-48e7-9cd8-dccec8c9707e}" ref="S4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29" xr:uid="{ae06aa5b-ffbb-472f-8eca-9947ab6732bb}" ref="S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30" xr:uid="{ae27157c-b030-4376-baf1-a0a44dfbebf0}" ref="S10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31" xr:uid="{ae611eac-ec09-4fab-a1bf-09b434e386f1}" ref="S15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32" xr:uid="{ae683769-2eb8-49ff-a496-ac1091720b97}" ref="S15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33" xr:uid="{ae7bf284-545e-4384-92a1-fd913edff3ba}" ref="AC5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134" xr:uid="{aea04097-8f06-466a-b8bb-a0f0cf319308}" ref="S9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35" xr:uid="{aea18d6b-20d1-44fc-99a2-dbc7b23c3863}" ref="S5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36" xr:uid="{aecd2e35-2560-4837-a999-86858730b459}" ref="S2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37" xr:uid="{aedf72e2-4ec5-4a71-9c1a-25f30b33b884}" ref="S9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38" xr:uid="{aee94cfe-5be8-4d60-9f10-7fc085d05609}" ref="AC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39" xr:uid="{af0235ac-7601-4ab6-85c9-28092ef64d17}" ref="S7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0" xr:uid="{af149a4a-6065-4438-9709-c0d6ffa8202f}" ref="X11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141" xr:uid="{af768cba-d4a8-4b7e-9754-23c96ddfeecc}" ref="M11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 - Inserida data simbólica
</t>
      </text>
    </comment>
    <comment authorId="1142" xr:uid="{afb38fba-697d-43ed-a270-bceb92e6b00c}" ref="S14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43" xr:uid="{afc1e08b-22a4-4db0-847d-a60ce628689a}" ref="AC1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 informada no RP
</t>
      </text>
    </comment>
    <comment authorId="1144" xr:uid="{afc7b990-ebaa-453a-a4eb-910931d57c81}" ref="S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5" xr:uid="{afeca89f-8e90-4e8e-b27d-d6998d4f4abe}" ref="S10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6" xr:uid="{b0b52f09-9d0c-45a9-84ae-8279cfb065a8}" ref="AC12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147" xr:uid="{b0cbb2fa-34df-4ed0-8884-c8d41e8d7cc8}" ref="S8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8" xr:uid="{b0d96e37-b324-4b45-adc6-0fc6a6b778c0}" ref="S7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49" xr:uid="{b0fb98ad-d291-4a6a-8d95-e5aa4593130e}" ref="M1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OS de instalação, data simbólica
</t>
      </text>
    </comment>
    <comment authorId="1150" xr:uid="{b1088604-46fd-43b5-958f-c084ddb4464e}" ref="AC15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51" xr:uid="{b1195ce8-1f9e-4439-bfac-4dc55c53d4cd}" ref="S9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52" xr:uid="{b13807e4-69d9-44b0-a006-87d3c5f86928}" ref="S9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53" xr:uid="{b17df83a-fb7a-4d35-b780-1929e8d69e73}" ref="X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54" xr:uid="{b1cdeae7-1f7c-4ebb-a2f4-282552dc3d6d}" ref="S1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55" xr:uid="{b2087338-077a-4535-9870-4de841d05635}" ref="S4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156" xr:uid="{b219e22c-7bfa-4781-bfee-9d7f08aa823d}" ref="AC16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57" xr:uid="{b22fc52f-9885-4347-a6af-f6ad877782b5}" ref="S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58" xr:uid="{b264c558-b123-4ea4-b14c-e3c5684d3dc3}" ref="S9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59" xr:uid="{b27b7bb6-9660-4f19-98b8-e3d645071026}" ref="S5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0" xr:uid="{b281e73c-13f0-48ce-b343-9f99e626a923}" ref="S4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161" xr:uid="{b2923799-d792-422d-8a78-85372a03babb}" ref="AC8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2" xr:uid="{b2b52662-c501-4cce-91f0-ea0a120b18e8}" ref="S11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3" xr:uid="{b2f0ba1d-8fe7-4c42-aef2-1a54a8904496}" ref="AJ8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164" xr:uid="{b3057501-fb59-4073-a5ab-23647775ee6a}" ref="AJ5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165" xr:uid="{b30c541e-9c2c-4d60-be96-55158b5ccb2e}" ref="AC6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6" xr:uid="{b39e4b06-c05c-43e1-9eb6-3719cdc741a8}" ref="AC11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7" xr:uid="{b3a4dc8a-6011-495c-85a6-fc1af24d87a9}" ref="S16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68" xr:uid="{b3c03694-74da-45f9-8bef-ebc66568d2f8}" ref="S9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69" xr:uid="{b42f62e6-5c08-4471-b8c4-476df3c24054}" ref="S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0" xr:uid="{b42fb675-a15f-4c54-bc08-3367bb8f9738}" ref="AC6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1" xr:uid="{b465f669-8c7c-4e7d-886e-c13a8726e1d2}" ref="AC8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2" xr:uid="{b47ec535-24d7-43d5-9542-bfcc0ecbfd3b}" ref="S2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3" xr:uid="{b48b3260-2d07-4333-b3a9-a899813a81cb}" ref="AC6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4" xr:uid="{b4accf1d-2588-453d-9691-515c9d0bf519}" ref="X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5" xr:uid="{b4dfba4d-ff4c-4b3a-b51c-81411d74600b}" ref="X11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176" xr:uid="{b518312f-9dbc-4759-80d5-647792d116e8}" ref="AC12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177" xr:uid="{b5433663-c2b6-4245-9c53-6f147e3ac74a}" ref="S10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78" xr:uid="{b5bcd278-f5a8-46ae-9615-bfe4fdf2739a}" ref="S13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79" xr:uid="{b5bcd49a-8ede-490c-a6c5-b6a3f1966636}" ref="AJ5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180" xr:uid="{b63a7a76-5503-4b72-8efd-66becfa9dba7}" ref="S3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81" xr:uid="{b640029a-71c7-4ee7-a248-b0ef5705c2c9}" ref="X2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182" xr:uid="{b6576fa6-2780-4b06-891a-0e9718811cdd}" ref="S4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183" xr:uid="{b675c0cf-3ac8-40d4-96ca-79f71f6b6056}" ref="AC6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84" xr:uid="{b6a7db80-5573-43f0-aab3-eaf07090e83d}" ref="X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185" xr:uid="{b6b070dc-43dc-489d-b664-5c465343d070}" ref="AC11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186" xr:uid="{b6d341e2-ad88-4921-8190-ed77853beac4}" ref="S2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87" xr:uid="{b6e1a3f7-837b-4ccd-aa8b-e114f91ada42}" ref="S16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88" xr:uid="{b6e1aa07-537c-41de-9042-18b0ad1e2c5f}" ref="S10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189" xr:uid="{b6e406a7-4586-43b2-b8f8-54672c2ebc34}" ref="S2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90" xr:uid="{b6edb9b9-59a0-4acc-ae08-fb22249eafb3}" ref="S5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191" xr:uid="{b789999d-655c-4cce-a7ae-c7c50719f9d1}" ref="S15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92" xr:uid="{b78d6520-0806-4a6a-a573-d9d4336f3a5c}" ref="AC12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193" xr:uid="{b791a26e-c4b9-4ad0-9390-3898a2ffa944}" ref="AC5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194" xr:uid="{b7961fc0-953f-421d-83b1-9cad346e6cd2}" ref="AC1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95" xr:uid="{b814b796-a605-4fe0-b32c-f3f78e47a3e7}" ref="AC11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196" xr:uid="{b8174b9a-4663-4be4-b0d0-a6909189dcce}" ref="X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197" xr:uid="{b85879de-c437-4e1f-b842-25ff0c96ee20}" ref="AC11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198" xr:uid="{b89dc175-b3c8-4db3-9b8d-8d86be564f65}" ref="S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199" xr:uid="{b8b20e20-c40b-45d8-b100-bc22bff84d42}" ref="S3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00" xr:uid="{b8c0404a-5135-4cf9-ae21-4e51c60b6eaf}" ref="S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01" xr:uid="{b91213a0-e33a-4d95-92f3-9afc1f7a80f2}" ref="S5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02" xr:uid="{b91da866-179b-4d17-a1a4-80be29b0d1a3}" ref="S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03" xr:uid="{b922c763-5eb5-41ae-8199-93d24ee62061}" ref="S10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04" xr:uid="{b9671d15-88b0-4479-915b-8ed5feab0d8f}" ref="AC6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05" xr:uid="{b9723fcb-e2c0-4ff8-a9c8-b558142551e8}" ref="AC6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06" xr:uid="{b9a6c4d5-d70d-4bfa-a26e-bb63525711ac}" ref="S4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07" xr:uid="{b9bad689-fd36-4c89-ba38-a957cd5f8768}" ref="S4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08" xr:uid="{ba2f77c6-f58e-4eb6-ade8-c928e3d30ba2}" ref="S13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09" xr:uid="{ba2ffd66-6cf4-4d43-bedc-d2f5a2c53106}" ref="X1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210" xr:uid="{ba7e3043-2b48-4644-8317-062f838861c5}" ref="S10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11" xr:uid="{baae93ec-caa5-49d8-a735-85a11185e63e}" ref="M9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data, então preenchida igual a da outra unidade
</t>
      </text>
    </comment>
    <comment authorId="1212" xr:uid="{bab8c991-1f92-4ae4-ba4a-72f5cb27bf06}" ref="AC7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13" xr:uid="{bad68421-d542-4658-9aaa-a98919e78c8a}" ref="S10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14" xr:uid="{bb0b6223-dce5-4dce-b704-879341844f1c}" ref="AC3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215" xr:uid="{bb18c1b3-0ba6-4b87-be66-b2a350ad42ea}" ref="S7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16" xr:uid="{bb322d10-d1c9-403d-b1c0-e59c78d7e65c}" ref="S1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17" xr:uid="{bb5a3b67-d525-4674-ac8f-77ab2f2df299}" ref="S3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18" xr:uid="{bba0ebb5-2278-49a4-a6e4-bc09c1a7665b}" ref="S1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19" xr:uid="{bbb1e5c4-6d28-4e03-9b51-9772d74d59bd}" ref="S13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20" xr:uid="{bbb638f5-9d68-4f3b-aab4-870c742d708f}" ref="AC8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1" xr:uid="{bbe4d24f-629a-426c-9851-b22e0df6bda1}" ref="S15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2" xr:uid="{bbf09d88-721f-41d5-8b78-c841c05b763b}" ref="S10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3" xr:uid="{bc06a83f-f0f1-4f75-9c88-8531441db268}" ref="S5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4" xr:uid="{bc42d756-b966-4736-bc57-5f5c5cb76f7a}" ref="S4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25" xr:uid="{bc46c1b9-0805-4fbc-9472-be3d152aaf74}" ref="S3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6" xr:uid="{bc47c76a-a094-401d-b9cd-8e1d95d6d563}" ref="S5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27" xr:uid="{bc822459-1807-4947-8a61-1b9e7db0fdf7}" ref="S10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28" xr:uid="{bc9991a1-1dfe-4868-9d92-0409be8b1d7f}" ref="S10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29" xr:uid="{bcabd031-2476-40ae-bb93-4c53a8059da6}" ref="AC5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230" xr:uid="{bcdbe992-7b09-436f-a3b6-487d669883da}" ref="AC11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231" xr:uid="{bd12413c-6c28-4635-9b39-144452d494d3}" ref="S9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32" xr:uid="{bd131f70-3acd-4dcb-ab2a-e3a7b60220f2}" ref="X2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233" xr:uid="{bd2da0cd-0b18-4151-9d03-94ef80a6113b}" ref="AC12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34" xr:uid="{bd5cfd45-47d7-457e-830b-342261981098}" ref="S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35" xr:uid="{bd6d465c-ae32-4bd7-b54a-7410729f50b7}" ref="X8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236" xr:uid="{bd90378b-9b8b-4c0c-aa42-d5d82202dbf3}" ref="X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37" xr:uid="{bd9b9705-e6b5-4a32-9f01-63a8c6c38ece}" ref="S5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38" xr:uid="{be19006b-60d0-441b-8e9a-bcc054820b6e}" ref="AC1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39" xr:uid="{be196eba-7ddf-4fb8-9f8c-32ffbf8125c2}" ref="AC6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0" xr:uid="{be28d9de-71ec-45b1-8f93-a4845c59f4af}" ref="S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1" xr:uid="{be7506f2-efc6-447d-80c4-3963836d7402}" ref="AC6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2" xr:uid="{be8b4a3a-fb6c-4889-8271-22a822a41f59}" ref="AC16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3" xr:uid="{bf15783a-0150-411b-aa19-cf416b31e65d}" ref="S15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44" xr:uid="{bf3ffb33-8aec-4e82-8174-1f1a802cc779}" ref="AC7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5" xr:uid="{bf4cad7f-a264-4735-bca3-4ed88397fb66}" ref="S10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6" xr:uid="{bf8db6f0-bdc4-42a5-894f-5d99abfee7e0}" ref="S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47" xr:uid="{bfa14ad6-316e-491a-aa1c-51555d24d609}" ref="AC12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248" xr:uid="{bfab3ee4-9124-4d52-a0d9-9858ffe7107f}" ref="X8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249" xr:uid="{bfd9338a-2950-49b4-8712-421dc691a486}" ref="S2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0" xr:uid="{bfda5716-bbc4-434d-be20-c23de3211a93}" ref="X8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Termo Adt
</t>
      </text>
    </comment>
    <comment authorId="1251" xr:uid="{bfe4e1a1-dfb9-4fcc-9fe0-646ff6951927}" ref="S3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2" xr:uid="{bff7dc76-6323-41b9-b031-2fa97a999025}" ref="S14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3" xr:uid="{c011009f-5891-4804-a472-aaee32ada3bc}" ref="S5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54" xr:uid="{c0110dc1-e6b6-4cdf-aa7f-4f97ce593957}" ref="S3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5" xr:uid="{c02b8ee2-2673-422b-ae9b-2b9e976abd67}" ref="AJ5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256" xr:uid="{c02eee76-ed37-4a44-94a5-d75759cdd1e4}" ref="AL14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Somente peças da lista
</t>
      </text>
    </comment>
    <comment authorId="1257" xr:uid="{c050c602-7122-4306-b69b-48f3c4314688}" ref="S2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8" xr:uid="{c060502a-002e-496f-ab75-dff066eb643a}" ref="S8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59" xr:uid="{c066ecbd-ffce-4bcb-ad23-1804d746daea}" ref="S14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0" xr:uid="{c06d1c9a-9ae0-416c-ba0f-dd35a0a2d4a9}" ref="S2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1" xr:uid="{c0803f4e-9076-4153-8969-4baa1ac87f70}" ref="S13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2" xr:uid="{c08f35c5-cb5b-41ec-92cb-963745073b41}" ref="S2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3" xr:uid="{c09c6de1-1499-485d-8872-3d95b09d8058}" ref="S2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4" xr:uid="{c0e8cbb9-71b2-4ed2-a1f7-c8070e1250b2}" ref="S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65" xr:uid="{c10121b4-1560-4076-afe6-9b1c5852af19}" ref="S3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6" xr:uid="{c120204e-7f51-4112-a10e-63d4558c34d3}" ref="X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267" xr:uid="{c1752b65-3c42-4588-b347-a1290b147068}" ref="AC5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268" xr:uid="{c1eed5a4-12ee-4767-9049-daf909b25ac0}" ref="AC6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69" xr:uid="{c21278a1-1784-4712-8ebb-1ccf9aeb3592}" ref="AC12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0" xr:uid="{c2507829-0d24-4f03-9477-6f9066a5a168}" ref="S16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1" xr:uid="{c2997220-f018-47ff-b315-ddb51bedab4b}" ref="S4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2" xr:uid="{c2b01a68-0dec-45e1-b9dc-feb90f7ef66a}" ref="X16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273" xr:uid="{c2f2621e-790c-4516-b569-10ccc98c7ad4}" ref="S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74" xr:uid="{c3039ff7-2771-4085-8056-79e04da6b9bd}" ref="S15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5" xr:uid="{c32ecc93-256f-406a-b8c0-044628051c9d}" ref="S15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6" xr:uid="{c34f7533-afc0-441f-8dcc-500357a6d960}" ref="AJ5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277" xr:uid="{c378eb8a-c314-44f4-8629-468fc8a9be46}" ref="S11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78" xr:uid="{c3b7c719-cd49-4fef-88bf-f2901eb477fb}" ref="S3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79" xr:uid="{c3e249e0-78ce-43f0-bbd0-5519767f7e56}" ref="S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0" xr:uid="{c3e9e4d7-fc80-4960-bc3b-806f79de328e}" ref="X2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281" xr:uid="{c44ec410-b9e3-4d44-8b31-fa42431a34a0}" ref="S7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2" xr:uid="{c4504589-af28-4fdd-b646-0226b6f8a51a}" ref="S14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83" xr:uid="{c4a12c55-ad1e-4b60-9dda-18c335a1073d}" ref="S7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4" xr:uid="{c4a6d65e-6370-4ce7-872e-635ca5b23c5f}" ref="S10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5" xr:uid="{c4d961ca-602b-42b1-ac12-ee2260c64a1b}" ref="S10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86" xr:uid="{c523f83a-3ed3-46c1-b1fa-5d437ef26ed8}" ref="AC6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7" xr:uid="{c533a69e-786d-4b4b-8704-efcac9e57e4d}" ref="S1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88" xr:uid="{c5391e99-047d-4a24-9635-30e32f4587ab}" ref="X11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289" xr:uid="{c53e88e2-8a89-4077-bfae-82d82370e5ae}" ref="AC9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
</t>
      </text>
    </comment>
    <comment authorId="1290" xr:uid="{c581a833-b1bf-4bfe-bf9e-0951ebe4c49e}" ref="AC3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simbólica, pois a única informação é de que o contrato encerrou em 10/2023
</t>
      </text>
    </comment>
    <comment authorId="1291" xr:uid="{c60c987c-e7f9-4a73-b8e0-f70f0a728281}" ref="S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92" xr:uid="{c668bd19-b70e-43d3-82e6-fd96aff9aa7f}" ref="AC12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293" xr:uid="{c687db2d-6f82-425b-a3ef-0d7a6e0f1354}" ref="S4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94" xr:uid="{c6d5ab99-b1f1-4a53-8349-6e7cd02b49b2}" ref="S10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295" xr:uid="{c7529282-29bb-41c7-acc9-e0819037aab8}" ref="S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96" xr:uid="{c760b27e-d725-4c06-bc48-96b4a651278d}" ref="S10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297" xr:uid="{c7999677-cd63-4bc9-a974-487435e2f8e7}" ref="X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298" xr:uid="{c7a167bb-050c-4250-a562-ad12f92d448c}" ref="S2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299" xr:uid="{c7b1115d-37e6-4390-b5f9-4b0da6a3a93f}" ref="S8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00" xr:uid="{c7ba8377-ffe2-4ac1-b113-af6d0ffc8599}" ref="S8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01" xr:uid="{c83bbd5f-f552-41a5-8cf7-460baf5911a2}" ref="S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02" xr:uid="{c870a812-0394-4cb2-b4b3-87b8b5dac8f1}" ref="S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03" xr:uid="{c8748441-c7d2-4067-9d57-8b5c76da8eb9}" ref="S9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04" xr:uid="{c882832d-f323-4d26-bea4-5e23e0c2275e}" ref="AJ5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305" xr:uid="{c8f84e3a-10b3-41e8-ad33-31a8a65835c5}" ref="AJ5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306" xr:uid="{c90ba583-1a3d-46dc-9179-54ec219e609f}" ref="S1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07" xr:uid="{c934bba5-3aee-49bd-b305-e4d9dd21d119}" ref="S13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08" xr:uid="{c93c9bec-bf08-4721-a70d-8d9871f115ef}" ref="S10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09" xr:uid="{c97368c0-7b23-4d45-948a-80439295a795}" ref="S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0" xr:uid="{c97b694d-6e79-421a-9f06-7a603862fbc6}" ref="AC6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1" xr:uid="{c98f67c6-b936-489e-9ce5-d0604dc27e9e}" ref="S14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12" xr:uid="{c9901fc8-1ecc-4b67-8714-817907a621f7}" ref="AC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3" xr:uid="{c99a1931-8bd0-4b3b-b98d-0e132637ef45}" ref="AC1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4" xr:uid="{c9f1876b-3e55-41bb-8c28-1df7df79b622}" ref="AC1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5" xr:uid="{ca169753-a23b-4099-a7aa-c63673cd93ce}" ref="S10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16" xr:uid="{ca198a29-c18c-41f3-9f8c-7d20e7ecaf62}" ref="S8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7" xr:uid="{ca246db1-aa52-4b22-901d-a37ef01491c4}" ref="AC6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18" xr:uid="{ca4250c5-196f-4f38-acda-7964558eeb2c}" ref="X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19" xr:uid="{ca5390ba-5d0c-446d-b8a6-34208b5df928}" ref="S4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0" xr:uid="{caa3ff23-a4e9-40cb-a065-2d0d16862a10}" ref="S14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21" xr:uid="{cac226ad-8669-4062-8f03-c93637119e2e}" ref="AC12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322" xr:uid="{cad5462d-29c9-42f4-b71a-d9f60a7b131c}" ref="S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3" xr:uid="{cadc46c5-c943-44f5-a0c3-431152aed663}" ref="X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4" xr:uid="{caeac3f4-6df2-4716-93cd-fd2ea34ef45d}" ref="S13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5" xr:uid="{cb08505c-6201-4a0b-902b-6e523b19ca5b}" ref="S2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6" xr:uid="{cb0f3ca2-e01f-422e-a2a8-a2e9dfdb427c}" ref="S4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27" xr:uid="{cb186b26-2601-470c-9897-20781d8702d2}" ref="AC16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6º Termo Adt
</t>
      </text>
    </comment>
    <comment authorId="1328" xr:uid="{cb39b702-f02e-4efb-bf03-73d54dfeea18}" ref="S1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29" xr:uid="{cb69998e-6466-4079-8637-26dbbdacd3dd}" ref="AC7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30" xr:uid="{cba7cb1f-4dfd-4194-b3d0-69cf72dc69f3}" ref="S1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31" xr:uid="{cbd5c555-fbe4-49bd-bde0-bfb251cde875}" ref="S13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32" xr:uid="{cbe74ff1-f562-4ff3-acf1-9f8a75a24d8f}" ref="S9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33" xr:uid="{cbe95f8b-f3c2-4768-b27f-77c9bd2a4020}" ref="AC5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334" xr:uid="{cbe9d1ae-8d69-438f-bc01-836af8ce8b25}" ref="X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35" xr:uid="{cc023076-b8d5-4b17-b777-9b49cc2a6f72}" ref="S14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36" xr:uid="{cc1e1416-076f-48fc-afd2-22e30ca731b5}" ref="S5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37" xr:uid="{cc5d8cd0-d88b-42bd-a095-0e2e3be448f1}" ref="X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38" xr:uid="{cc7208f4-661b-48f0-b54b-dc55203ad66f}" ref="S14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39" xr:uid="{cc7629ac-eca6-4def-86a8-1ced7e612026}" ref="AC12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340" xr:uid="{cc78fb8d-5f98-4c80-89c2-1137dce9c42e}" ref="S13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41" xr:uid="{cc7d9be6-62c3-4e5b-9aa8-a27d686c9295}" ref="AC6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42" xr:uid="{cc8231f4-4000-494a-aff8-f85a29205cf5}" ref="S4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43" xr:uid="{cc84a7e5-88e8-4ed6-95fc-1be4e7c739f4}" ref="X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44" xr:uid="{cc8a6b2f-2b70-4f6b-b0a7-adf40549a5b9}" ref="S14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45" xr:uid="{ccb742bf-efeb-49bd-b360-7664ef0484e1}" ref="S4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46" xr:uid="{ccc59e85-de37-4f71-938e-aa59e0db74bf}" ref="S10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347" xr:uid="{ccfcd918-bc31-4c67-abb1-a4a9a0c2beb4}" ref="S2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48" xr:uid="{cd07bebd-4b86-49e1-ae0b-6f2a1afac9c2}" ref="S4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49" xr:uid="{cd3847a9-e639-4511-95a2-ca68891f2f1b}" ref="S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0" xr:uid="{cd3fc9e0-7539-4d79-9831-f8ffad03ab52}" ref="AC16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9º Termo Adt
</t>
      </text>
    </comment>
    <comment authorId="1351" xr:uid="{cdc7b888-6a37-41e0-bb8e-23d00aff2ec4}" ref="AC12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352" xr:uid="{cdfc9c24-1145-45bc-9672-468bebf17881}" ref="S4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53" xr:uid="{ce091abb-73ad-4e8d-803b-a60abb5f38e2}" ref="S14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54" xr:uid="{ceeda78c-6631-4eb8-abe9-55a5f863f3e1}" ref="AC8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5" xr:uid="{ceefcfbb-9afa-4bfa-bdd2-5bced7a1757c}" ref="S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6" xr:uid="{cf5e2aef-c308-46ff-b011-eb65d575c5b0}" ref="S3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7" xr:uid="{cf651f74-50a7-4c50-affd-56ee95e58726}" ref="S3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58" xr:uid="{cf825ebb-f308-4ee5-a9ab-54256fb5b107}" ref="X16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359" xr:uid="{cfe246ab-5663-4509-80cb-65db09e08341}" ref="S3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0" xr:uid="{cfe642f2-f490-4f51-801f-af67ec0cb76c}" ref="S1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1" xr:uid="{cffd3760-0e34-4369-8175-456716fcddde}" ref="X2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Aditivo
</t>
      </text>
    </comment>
    <comment authorId="1362" xr:uid="{d00724b4-e1f3-4b74-b0a5-261ba1cc8f97}" ref="S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3" xr:uid="{d0a0a8ab-4095-4c41-b544-afb6a442c1d2}" ref="S3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4" xr:uid="{d0cf7355-b3ac-4b9b-a2ca-ce49404353f0}" ref="AC5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365" xr:uid="{d103653a-114c-4357-bb06-4ddd854c3c70}" ref="S2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66" xr:uid="{d10b6584-0350-4209-b87f-7b46f42611f7}" ref="AC1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367" xr:uid="{d110a24d-e286-4a39-8b4e-0954abc985aa}" ref="S14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68" xr:uid="{d155dca8-3004-436e-b645-0b27c00e75d0}" ref="AC12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369" xr:uid="{d176d658-76fc-45e5-99fd-c470dd9a180c}" ref="AC1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370" xr:uid="{d17a38fa-7272-48d8-8d46-ac19fa71945c}" ref="AC6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1" xr:uid="{d1ba4006-8689-498c-8c08-294a9af2567e}" ref="AC13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1372" xr:uid="{d1c4518d-a6fd-4d81-94e6-6adf57d21d10}" ref="S10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3" xr:uid="{d1ef0c6e-ac9b-472d-a81d-eed557f92b01}" ref="AC5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374" xr:uid="{d236a18d-f708-44db-a989-4082f2c2a123}" ref="S15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5" xr:uid="{d2551460-ce1b-458c-b1b2-b6ff72854d96}" ref="S8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76" xr:uid="{d2a3bf2d-4237-41c4-a6cc-5a49d12287fa}" ref="S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7" xr:uid="{d2aa7a6c-86a7-4994-b0ce-16558c572763}" ref="S9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78" xr:uid="{d2cbee33-0498-4083-b513-a860a28391d5}" ref="S15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79" xr:uid="{d305ada0-a0e2-4895-9358-1f4d210619dd}" ref="S5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80" xr:uid="{d31c7751-8215-4faa-bc96-3f817f478997}" ref="S16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81" xr:uid="{d31e2b5c-200e-42a6-be2e-45f54fdb71a4}" ref="X9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382" xr:uid="{d3f788fc-6714-4f28-9ae0-c15e890436a1}" ref="X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83" xr:uid="{d4479333-cb24-4a55-8793-293458776752}" ref="S14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84" xr:uid="{d45039f1-e1ec-4d78-acfe-d2e099cd048f}" ref="AC13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385" xr:uid="{d45fea68-99c4-41db-abfe-c8290fef3d27}" ref="X1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386" xr:uid="{d482b8b6-851c-4d75-b15d-91f3d76b96f6}" ref="S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87" xr:uid="{d48d04f1-a95f-4550-83e8-4ef3826de928}" ref="S15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88" xr:uid="{d49f1948-81bb-4b8a-ba15-87e07a91fc17}" ref="X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89" xr:uid="{d4a4e94e-e721-4f54-9946-3c89cce96fed}" ref="S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0" xr:uid="{d50a018d-cf14-4b42-a22a-b0bc0025369f}" ref="S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1" xr:uid="{d510787b-efd8-408f-b29b-632f69bd4562}" ref="X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392" xr:uid="{d524733c-1d10-4493-8c5b-7471f0e0463e}" ref="S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3" xr:uid="{d53051a8-012c-419a-a6c0-253d7fcf829e}" ref="S7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4" xr:uid="{d549ba4a-1769-489b-92e2-7e27da9aff7e}" ref="AC6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395" xr:uid="{d590a167-4e08-4284-896e-03ca919ac3a6}" ref="S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96" xr:uid="{d5a9ba74-2dd3-4abd-97bb-528f15c6080c}" ref="M1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OS de instalação, data simbólica
</t>
      </text>
    </comment>
    <comment authorId="1397" xr:uid="{d5b20e6a-d3e3-45eb-885b-1343bfc80404}" ref="S10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398" xr:uid="{d5c01b70-f652-4439-bdd1-dce605e72ffa}" ref="AC5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399" xr:uid="{d5cb4bdb-64bd-43ad-becc-68e4cc1ee61f}" ref="AC12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00" xr:uid="{d6a5239f-650b-4cc4-b4cd-a42c3038cc19}" ref="S15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1" xr:uid="{d6b7caab-df4a-45a0-84a6-81febc6722e8}" ref="S4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02" xr:uid="{d6b85507-dbfa-4933-9d70-5bcb6e985b14}" ref="S16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3" xr:uid="{d700e262-391c-4554-8b24-0b7993d86f9b}" ref="S3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4" xr:uid="{d7386555-2cda-4197-8700-992871f819db}" ref="X1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405" xr:uid="{d75bd1e9-36e6-4577-843b-6388f89f7e36}" ref="S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6" xr:uid="{d7e17c82-68de-482a-b3c2-4efa85e12f7a}" ref="S5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7" xr:uid="{d7f63f51-e9dd-4938-a1be-fcbf79741002}" ref="AC2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08" xr:uid="{d8187e88-a236-4f25-8ffb-bd2de81a2c46}" ref="X10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1409" xr:uid="{d83d1138-4076-4b54-b125-34f5ef1fa1a8}" ref="S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10" xr:uid="{d8652e93-4f35-4c57-bafb-fed1039cebb7}" ref="X11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411" xr:uid="{d88427a9-eb01-429d-b96a-d300e29d013e}" ref="S1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12" xr:uid="{d89c5fc6-a105-4df8-b361-80f9cd71a07f}" ref="X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413" xr:uid="{d8f07e80-e240-4252-a0fb-49470aa7cf7f}" ref="S8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14" xr:uid="{d91094c9-177a-488b-af86-bae0197f2af7}" ref="S2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15" xr:uid="{d916517c-9dcd-47f6-9a9a-e885c4f8f65b}" ref="X1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416" xr:uid="{d93a0a90-2bdb-42dd-8d29-0f0ac8e4b0e7}" ref="AC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1417" xr:uid="{d94f0e2a-d58e-47dd-9561-bdb2de635e6d}" ref="AC9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1418" xr:uid="{d985658e-281a-4911-a768-1ef4be4c5ae3}" ref="S5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19" xr:uid="{d9bface9-de5a-4a0d-a449-206f7c7b77c0}" ref="S8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0" xr:uid="{d9c1dea7-1963-4912-be5b-212ea3f73f87}" ref="S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1" xr:uid="{d9d04f96-da75-4448-b174-126394220c8f}" ref="S10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2" xr:uid="{d9d446a9-0004-41ea-bd92-aa2465a4c49b}" ref="AC6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423" xr:uid="{da042eee-fcf4-48f4-97b9-61975f8c5e19}" ref="AC6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4" xr:uid="{da071d09-6862-4dab-9109-5c0e0f9b8313}" ref="S10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25" xr:uid="{da673405-abf0-4ade-91ee-3aa877d9deb3}" ref="AC11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26" xr:uid="{da730da6-0225-408c-9766-c2c29c3939ec}" ref="X10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1427" xr:uid="{da750656-f1d4-4fbe-80de-9b98b58245bd}" ref="S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8" xr:uid="{da7d7aee-9494-4de7-9198-ba5b451c5f59}" ref="AC3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29" xr:uid="{da841b43-cd96-4fb6-8999-f7559f73cd31}" ref="S10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30" xr:uid="{dad164c5-3d20-463c-a031-1f4cf2a9ae13}" ref="S7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simbólica, pois não foi localizada a data de instalação
</t>
      </text>
    </comment>
    <comment authorId="1431" xr:uid="{dadcd1d4-bb68-4d35-b127-80841ddd39fc}" ref="S15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32" xr:uid="{db0824d6-ece5-4222-a009-f4c0d9169f9b}" ref="S11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33" xr:uid="{db176618-1094-4d57-9729-3c7c65f7c828}" ref="S5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34" xr:uid="{db34c907-c708-41f6-af3d-fc4a953fe248}" ref="X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35" xr:uid="{db6212be-ef20-405a-a8e9-feebe7be6910}" ref="S15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36" xr:uid="{db8d836b-c604-4c7b-bf7e-ca94b47fb3a8}" ref="S14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37" xr:uid="{db909ad1-12ea-4879-bb0d-909501e57753}" ref="S8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38" xr:uid="{dbaca5a9-44b8-45e2-9a96-1cace5c283f4}" ref="S15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39" xr:uid="{dbf7c297-cdfe-4064-a528-38cdc336b4ad}" ref="AC12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40" xr:uid="{dc18cf34-36ec-406d-b884-b6b27a406ddc}" ref="AC8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1" xr:uid="{dc1ba1da-e64d-4066-87e6-aab688d957dc}" ref="S7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2" xr:uid="{dc2d53e9-5169-40eb-8c5a-6646c6690c59}" ref="S14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43" xr:uid="{dc612c74-dcaf-4370-a3ba-94cb048a0b52}" ref="S3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4" xr:uid="{dc866654-0132-48b3-88d4-76afdafd9365}" ref="X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445" xr:uid="{dcb51f86-5b86-4fca-a22c-d832077fda3f}" ref="S5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6" xr:uid="{dce2ee4a-e11e-4067-9d44-720f9eacefcc}" ref="S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7" xr:uid="{dd0c23c4-8246-4710-9d4a-37aee503dbb4}" ref="S16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8" xr:uid="{dd1cce21-655c-47b3-92e8-19a6c76c625e}" ref="S7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49" xr:uid="{dd536f44-34f0-4616-9ef2-c35caaa45c99}" ref="S9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50" xr:uid="{dd59b7e5-5239-4650-be22-386583259896}" ref="S9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51" xr:uid="{dda29a8e-3281-427e-ae19-58179d2f994a}" ref="S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52" xr:uid="{ddcc2ce4-b357-4686-a0b1-7f42bd88b306}" ref="S14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53" xr:uid="{de22d41a-a466-4860-bc71-b0d174c4cc84}" ref="S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54" xr:uid="{de5db434-f4d1-438e-9c8b-6036e53fe1be}" ref="AC12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55" xr:uid="{de8f6e9f-069a-4c2d-bd66-01794cbc144b}" ref="AJ5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456" xr:uid="{dea69e5a-b343-472c-93f3-98e69508528a}" ref="AJ5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457" xr:uid="{decd50a9-a459-4241-9a8a-f21a1b5d52e8}" ref="S10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58" xr:uid="{deedfb98-692f-4e79-922a-862aadf140a5}" ref="X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459" xr:uid="{df59bbc4-2a18-4e7e-b679-0da675c57fbe}" ref="S15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0" xr:uid="{df7652c4-ee63-4d11-b401-bfc002cec8eb}" ref="S3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1" xr:uid="{df7676d1-6456-4091-ae7a-1ad4f75cd49c}" ref="S9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62" xr:uid="{df91f309-f09b-4539-9ef1-9414695a04d5}" ref="X11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463" xr:uid="{dfa457d7-45e3-46ac-9f14-ba590e35d78b}" ref="S7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4" xr:uid="{dfcc0dc7-3aef-4d49-be4b-5898f0f37e7d}" ref="AC8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5" xr:uid="{dfd3acf1-a3a9-490c-a32d-fe823e780aad}" ref="S4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66" xr:uid="{dff94d40-2a7d-432f-9999-6818f8a7e4df}" ref="S16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7" xr:uid="{e00b983b-7e51-4ea6-b496-fe34f1331d06}" ref="S2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8" xr:uid="{e01c46d4-963f-454c-97ca-0b09ea03b96e}" ref="S14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69" xr:uid="{e021e391-a55c-4053-81b2-01a215c07a2c}" ref="S14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70" xr:uid="{e047ab23-8d26-462e-a059-c353f88d841f}" ref="S13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1" xr:uid="{e060d7aa-7e03-4765-aea9-396fc7a5bc2d}" ref="AC6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2" xr:uid="{e0701b10-cd79-4691-8123-af9218e41426}" ref="AC12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73" xr:uid="{e09bd78f-90b7-46bb-a9e7-5adda4cd25f4}" ref="AC1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2º Adt
</t>
      </text>
    </comment>
    <comment authorId="1474" xr:uid="{e0a753f0-cb3f-4bc9-9726-8cec7484b81a}" ref="AC1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5" xr:uid="{e0b709fd-d41a-4c91-9591-682952f77a8b}" ref="X1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476" xr:uid="{e0d95576-3f57-41cd-b220-0417a39d5392}" ref="S14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7" xr:uid="{e0f5ead1-27d8-452f-987e-4967ba1b1a9f}" ref="S7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78" xr:uid="{e0fc94ec-5419-4221-a7e3-57eb406d31bf}" ref="M11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 de inst. - Inserida data simbólica
</t>
      </text>
    </comment>
    <comment authorId="1479" xr:uid="{e103327b-7533-413c-99f0-cc52c3c5708c}" ref="AC12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80" xr:uid="{e105b86e-15ed-499b-9fb1-1c0476e18906}" ref="X10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1481" xr:uid="{e10ce315-d0a1-4cf3-9bff-1c2e1a378162}" ref="AC12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82" xr:uid="{e13411a6-a0ad-4fe6-8cdf-6e0e43d3cb0c}" ref="S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83" xr:uid="{e144c1e3-3724-481a-b96e-dae790b8bdb6}" ref="S10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84" xr:uid="{e151ebcc-c90b-47af-8027-532b3d6f7f7a}" ref="AC5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485" xr:uid="{e1a9b12b-2224-4a23-b6c5-bdd3951b4c2c}" ref="S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86" xr:uid="{e1b05047-c01e-422b-8e28-883b4337870b}" ref="AC11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487" xr:uid="{e1ced537-6dc0-41d2-adb5-90716ee3f149}" ref="AC1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88" xr:uid="{e1eeaab1-0f13-4959-8abc-6c8a10d5b519}" ref="S4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89" xr:uid="{e1fd3c71-c436-49a3-a422-d77443722262}" ref="S4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490" xr:uid="{e207db66-df94-4228-bccf-35837dbc2b83}" ref="S15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1" xr:uid="{e2867f31-b5d3-42db-a708-63a33c517f18}" ref="X1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492" xr:uid="{e2d28128-5355-4392-807a-df3ad45ec653}" ref="AC6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3" xr:uid="{e300eb2d-0ecc-4ce4-9134-b4d17baef60b}" ref="S2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4" xr:uid="{e3064f93-a524-4cef-9803-aa1aa51ea185}" ref="AC1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1495" xr:uid="{e3147798-16f0-4349-add2-01bd684167b5}" ref="X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496" xr:uid="{e31afb09-6a05-49c1-8ba6-6fa1640e51a4}" ref="S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7" xr:uid="{e35486e0-011b-4650-8893-2fced437453f}" ref="S3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8" xr:uid="{e3a71b50-5640-452e-9f51-9b5366fee361}" ref="S15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499" xr:uid="{e3d29f52-daba-4c85-b79b-b95b18ddc295}" ref="S10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500" xr:uid="{e418d4f5-b594-4b3d-8899-95e955e414a3}" ref="S16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1" xr:uid="{e47619c1-8705-412a-b059-554fe3a4b6e0}" ref="S2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2" xr:uid="{e487ad61-853a-4c21-ba61-8355cabd4f86}" ref="S9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3" xr:uid="{e49fe588-576d-4135-973e-0baf3dcd802a}" ref="S15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4" xr:uid="{e4b07bb0-3975-4d95-9088-307660af9b8c}" ref="AC6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5" xr:uid="{e4b18d6c-6fbf-4142-b475-5d9e8ac2db7e}" ref="S4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506" xr:uid="{e4b20610-347c-4f64-a615-33bff2024e86}" ref="AC12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507" xr:uid="{e4b87e75-fa0f-486e-9c6a-1f086d8eb658}" ref="AC16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8" xr:uid="{e4d486e7-9e0d-4a1b-823c-901571a65ece}" ref="S3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09" xr:uid="{e58efea4-ab9d-4b27-8dc3-317a89235070}" ref="S3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0" xr:uid="{e5a15888-06d0-4d1b-a80f-9a3f3ffd2681}" ref="S9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1" xr:uid="{e5b2d29b-4209-4d62-a2c0-aded38af2022}" ref="S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2" xr:uid="{e5e4fbd1-210e-4a4a-ac4c-5aeb25c1b6f0}" ref="X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3" xr:uid="{e5eceb20-8a4f-4953-8a0e-30444965495d}" ref="AC6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14" xr:uid="{e61ce8b7-3734-4dd6-b32b-38b438528dee}" ref="AC10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2º Termo Adt
</t>
      </text>
    </comment>
    <comment authorId="1515" xr:uid="{e645a6a0-fa23-4b2b-a21a-308329efd05d}" ref="X1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516" xr:uid="{e6508ff0-50ba-4837-a702-178a60637a7e}" ref="S4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17" xr:uid="{e666cc32-6347-440f-9608-fd14ef4c217c}" ref="S9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18" xr:uid="{e7102d1e-52be-4299-bd5a-c81ec6efa80d}" ref="S9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19" xr:uid="{e72958e3-a33b-4fc3-84b3-8eb4427504e0}" ref="S7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0" xr:uid="{e76309ed-f052-4a66-b70e-b3a43d4e5706}" ref="AC5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4º Termo Adt
</t>
      </text>
    </comment>
    <comment authorId="1521" xr:uid="{e7669371-ad7d-435d-94de-d8e63c3aba80}" ref="S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2" xr:uid="{e8075b6a-3fd6-4bdd-aedf-16529e600f19}" ref="X11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523" xr:uid="{e82a122f-123c-4f46-8648-31b219ac8f06}" ref="AC7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4" xr:uid="{e83dbb2a-44a5-4d42-8371-9851a827c963}" ref="AC8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5" xr:uid="{e884335b-3191-49a6-92c8-4f22aab80de8}" ref="S15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6" xr:uid="{e8f13f3b-845b-44a5-ba02-4d9e959a554f}" ref="S3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27" xr:uid="{e90db661-81c1-4eb5-a947-0ded325592ec}" ref="S4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28" xr:uid="{e93091de-8a2d-49f4-8170-6ebf1ab48f32}" ref="S4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529" xr:uid="{e9a7d833-9add-4085-b320-ab6e6000e823}" ref="S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0" xr:uid="{e9ad0723-d739-45c0-aa6d-e4916fe66c97}" ref="S15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1" xr:uid="{e9b155b8-bdd0-415c-aa6d-43717e01d393}" ref="S14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32" xr:uid="{e9b5ceff-5854-436f-a7d1-bf9c30b1b8ee}" ref="AC3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3" xr:uid="{e9e819b0-e3c0-4e07-8380-c1cbc5260433}" ref="AC7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4" xr:uid="{ea0a466f-b2ee-4edf-a380-7bc846e880c5}" ref="S13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5" xr:uid="{ea0d2dc8-3472-4862-9e64-5a4514daa5ab}" ref="S4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36" xr:uid="{ea2feea7-9423-4a27-89df-efe1d67866e3}" ref="X14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1º Termo Adt
</t>
      </text>
    </comment>
    <comment authorId="1537" xr:uid="{ea5bcb5a-e04e-4999-b0e6-6d20c5a800e0}" ref="AC6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38" xr:uid="{eb1a52c5-6934-4fde-9baf-ee22cc8259a6}" ref="S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39" xr:uid="{eb1abfcb-55c5-46b6-a334-23ec8da1c16c}" ref="S13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40" xr:uid="{eb25c24f-86e1-4336-8304-37378f69b212}" ref="X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541" xr:uid="{eb3c2dff-72f0-4381-8481-c6c7d2bfa86b}" ref="X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542" xr:uid="{eb8e396e-7259-48ef-b8ee-21239ba8ea9c}" ref="S10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planilha de planejamento
</t>
      </text>
    </comment>
    <comment authorId="1543" xr:uid="{ebd9958e-9725-4f9f-b5b4-dd06d628877e}" ref="S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44" xr:uid="{ebdf55f0-0efc-411b-be3e-9cc69c311f77}" ref="AJ5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545" xr:uid="{ebe5e06f-6e21-432b-a76a-d3bad955564f}" ref="S16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46" xr:uid="{ec0ea978-4e2d-4eda-907e-bd314fa8de1c}" ref="S9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47" xr:uid="{ec240bfb-aa57-4ab3-9fea-7c719085d164}" ref="S3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48" xr:uid="{ec34f135-9750-45d8-bbdf-2a110f71056f}" ref="S15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49" xr:uid="{ed0af116-f2d6-4100-a2ad-f8ab7c780490}" ref="AI8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550" xr:uid="{ed783d93-4c0c-443f-8ba8-663ed2de19b5}" ref="S2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1" xr:uid="{edb9b80d-ee4a-4c03-901f-17c29040a781}" ref="S4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52" xr:uid="{edc398d4-197f-47f4-b2c6-87dc1cdccbbb}" ref="S15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3" xr:uid="{ee1e4055-ac4e-40b0-8e43-34ce2b038a5b}" ref="S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4" xr:uid="{ee34eb0b-b919-461f-b210-1dbf031c9d21}" ref="S3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5" xr:uid="{ee384eb3-157e-4560-bc82-4f7297f0bdb4}" ref="S10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56" xr:uid="{ee3f8126-92b5-4ce2-8ff9-914f3af797a1}" ref="S2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7" xr:uid="{ee4bf730-c4f8-49bd-9d03-de9a439a8753}" ref="AC6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8" xr:uid="{eecd857b-c39e-4826-9001-0c770aefec11}" ref="S3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59" xr:uid="{eef5b781-7b38-443d-a630-b7081975b083}" ref="S8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60" xr:uid="{eef6bb9f-03b3-4551-8451-5c04ed80e068}" ref="S5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561" xr:uid="{eef6e22c-e979-4588-9e74-4412a1b1b147}" ref="S9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562" xr:uid="{ef45e826-6f67-427e-8606-919964803f39}" ref="X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563" xr:uid="{efc99fe4-ffec-41c5-8cf8-da49aa638c45}" ref="S13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64" xr:uid="{eff4f31b-c162-4a42-9812-dec4f7732632}" ref="AC11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565" xr:uid="{f0243904-a3f6-4807-bf57-1fcfd7340942}" ref="S14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66" xr:uid="{f076ced9-24c6-4e4a-8dc4-83e1e05e5455}" ref="AC12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567" xr:uid="{f08b5543-2891-418e-8f99-76b461eb6cf8}" ref="S13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68" xr:uid="{f09a210b-65aa-4145-9b27-88d099a186d4}" ref="AC16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69" xr:uid="{f0bebd60-ce7d-4045-8084-29c3e76213a8}" ref="AC13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5º Temo Adt
</t>
      </text>
    </comment>
    <comment authorId="1570" xr:uid="{f0c7007f-47c5-458e-9d69-5f10c1e3531b}" ref="S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71" xr:uid="{f0ef3689-e5d6-4800-838c-c4a289a34562}" ref="M11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OS de instalação, data simbólica
</t>
      </text>
    </comment>
    <comment authorId="1572" xr:uid="{f0fc7a34-d4f0-4d37-a59f-a4884c4b142c}" ref="S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73" xr:uid="{f15a9966-7a4d-47bb-bebb-5b299ecdf14c}" ref="S9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localizada data, então preenchida igual a da outra unidade
</t>
      </text>
    </comment>
    <comment authorId="1574" xr:uid="{f1892047-97dd-45ec-b189-400cdc7601ce}" ref="X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575" xr:uid="{f1ab1648-6659-431a-94b2-5e34c3b1c702}" ref="S15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76" xr:uid="{f1f839e6-c223-4fde-8bc6-c1aa3a0c6ef3}" ref="S15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77" xr:uid="{f22e76fa-63f9-4c74-9697-248049fa4463}" ref="S3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78" xr:uid="{f23b5cf7-0f31-447b-a2cf-096879313b93}" ref="S8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79" xr:uid="{f248defe-4fc8-4853-bd65-74de6ad77857}" ref="S5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0" xr:uid="{f286072d-52db-4abb-bc75-bb7a214c80ba}" ref="S5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81" xr:uid="{f28f458a-95cf-40fb-b883-f79866073913}" ref="AC6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2" xr:uid="{f2a088db-211e-49d0-904b-87f4bd70c850}" ref="AI8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problema deverá ser solucionado em até 48H, sendo remoto ou in-loco
</t>
      </text>
    </comment>
    <comment authorId="1583" xr:uid="{f2e79dee-d0e6-48c5-979b-ae2a4f540ab8}" ref="X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584" xr:uid="{f2e8ce21-fb78-43af-8a09-a79648fb63a2}" ref="S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5" xr:uid="{f34ec27c-c148-4f70-99a7-3626ea4ccea2}" ref="S9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86" xr:uid="{f3602f6d-1bfb-427f-8655-ce80db335b62}" ref="S4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7" xr:uid="{f3702260-83f5-4b30-81e9-8caa5f317cc9}" ref="S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8" xr:uid="{f3b529b7-6351-43b7-a4ca-ce99fe6843a0}" ref="S14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89" xr:uid="{f3d775de-f2e3-4b74-a81c-0836405ad6ab}" ref="AC1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590" xr:uid="{f41fcd6a-2578-4885-83d9-549d1b09fc15}" ref="S8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1" xr:uid="{f467a6d6-af41-4cba-89a8-08104c398d0f}" ref="S13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2" xr:uid="{f4c72a73-953c-4336-96fc-8e7390b67e1f}" ref="S4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3" xr:uid="{f4dd16c3-dc91-4e44-b24c-3762c2be4e88}" ref="X11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594" xr:uid="{f5056e7c-e20e-4655-a5da-73cb66b26eca}" ref="X7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595" xr:uid="{f557d683-edc2-458d-9c1f-2c0ba8ac76fa}" ref="S3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6" xr:uid="{f58a51d0-34e2-4441-91dd-98629eaeac6b}" ref="AC12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7" xr:uid="{f593d466-84ae-448e-a7a6-483971817d62}" ref="S14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598" xr:uid="{f59a70ae-fae6-4d6a-9229-dcfd6af6e96c}" ref="S10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599" xr:uid="{f5cf2cbc-85c9-48d9-8526-37e4d216fbdd}" ref="X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600" xr:uid="{f6207213-3c35-43d4-9fb4-588962e68917}" ref="S2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1" xr:uid="{f667bd82-d611-45fd-9cd6-9c39829dbdc3}" ref="AC5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602" xr:uid="{f6692887-2227-4d40-bcae-b3506b63e729}" ref="S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3" xr:uid="{f6761520-b359-4db7-9ec4-f4539d6032d2}" ref="S10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4" xr:uid="{f687c34e-7e7c-42ee-b4e2-82d19ee60d09}" ref="AC8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19º Contrato
</t>
      </text>
    </comment>
    <comment authorId="1605" xr:uid="{f6a2b877-f00e-4bcb-b6da-8319f79c75c0}" ref="S13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6" xr:uid="{f6a328d6-49d9-4ba5-a79a-b7406187f465}" ref="X8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mencionada no RP
</t>
      </text>
    </comment>
    <comment authorId="1607" xr:uid="{f6a4f558-2730-415a-b2a5-dcb3f96f1dae}" ref="S10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08" xr:uid="{f6a7a2ab-320f-46a6-9047-ec6a343b0d31}" ref="S5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09" xr:uid="{f6ff1a51-f029-48e2-a7c2-5b47203ec355}" ref="AC6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0" xr:uid="{f6ffb2b0-bccd-4150-a760-b3b05144601d}" ref="S15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1" xr:uid="{f7092542-ac3f-4029-8151-8fb76b19308d}" ref="S7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2" xr:uid="{f7333655-5561-49aa-a6ac-d642304552b0}" ref="S4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13" xr:uid="{f747a126-e879-42b6-9a36-9e2f1f7ea8ad}" ref="S14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4" xr:uid="{f7487702-acb7-43c6-9fd9-e17172e70d05}" ref="AC9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
</t>
      </text>
    </comment>
    <comment authorId="1615" xr:uid="{f7726f56-9aa7-4a35-9902-44fb99c7979b}" ref="S8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6" xr:uid="{f776115f-70da-4874-9d1e-c676f7e0dc2d}" ref="AC6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7" xr:uid="{f77ee3c5-f940-4e79-b236-5898309093ee}" ref="S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18" xr:uid="{f78dffa7-f350-4502-b8e7-ff8282d843a3}" ref="AC11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619" xr:uid="{f79491e3-03e6-4a00-9129-0e8ec1f8d5e4}" ref="S10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20" xr:uid="{f7cbe241-3118-47f5-a0f6-ed8db2b5c0d7}" ref="AC6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21" xr:uid="{f7d935c3-acc1-4e3b-bfc3-52eaa7a1e725}" ref="X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622" xr:uid="{f7f1e3d8-fac0-4199-a8ba-b0eaeb2fc0a6}" ref="S4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23" xr:uid="{f81f6787-d98b-41cd-a793-134a936c71b4}" ref="S9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24" xr:uid="{f824e280-c17f-417b-b4e2-e6e689f4211e}" ref="S10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25" xr:uid="{f894731c-2a37-41a4-afe6-f4af7a3a667b}" ref="AC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26" xr:uid="{f8ce94d7-1dcc-41fa-b394-cedc48cdc770}" ref="X1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627" xr:uid="{f8d9206f-62a8-4039-a52a-be3ebb895cf3}" ref="AC12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628" xr:uid="{f9015439-4279-433d-84e2-a2eedcbcb04e}" ref="S2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29" xr:uid="{f96a9dda-d183-490a-9339-f0646ef86388}" ref="S4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30" xr:uid="{f9834ab5-0822-404a-9d70-7efcc808df5d}" ref="S2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1" xr:uid="{f984f067-9692-4a86-932e-a98f4ca71739}" ref="AC12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2" xr:uid="{f98f7209-9f9f-4e9e-96f6-a86ebdd2fb4a}" ref="S2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3" xr:uid="{f9ba21ab-c0ee-4e7a-94c0-3051c6828cf2}" ref="S2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4" xr:uid="{f9ec93ef-6851-4f30-a4e7-2e5e77a21655}" ref="S14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35" xr:uid="{fa527ab0-88f0-434f-bafc-a5e4e5914cd7}" ref="AC15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6" xr:uid="{fa53ad19-2c98-48ba-a1f4-0aa8485eb4a4}" ref="AC1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637" xr:uid="{fa90c521-4ac3-4808-91c2-619b8c89c9f7}" ref="AC8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8" xr:uid="{fab9197c-9e43-4541-b556-bb1fc5360af2}" ref="S15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39" xr:uid="{facf03ad-01eb-4ab4-a6c3-1fcaeaa67b5d}" ref="S15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40" xr:uid="{fb2d0e9f-8b53-4105-9a25-d8d99f25dfb1}" ref="AC12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assinatura do contrato, mencionada no RP
</t>
      </text>
    </comment>
    <comment authorId="1641" xr:uid="{fb566b1b-7d9e-441e-a732-dee625ba74d6}" ref="AC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2" xr:uid="{fb5c25b5-8166-4130-8923-c42e2f5fcc5e}" ref="AC6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3" xr:uid="{fb928d30-e1a5-4c56-8c37-713fb599ae75}" ref="S15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4" xr:uid="{fba1ec5c-a4be-4d74-8dcc-ac747b72b782}" ref="S4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inst.
</t>
      </text>
    </comment>
    <comment authorId="1645" xr:uid="{fba3d9c1-65ab-4305-b49a-859bd095d89a}" ref="S16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6" xr:uid="{fbaffef6-a6c7-4f61-aef1-add595818533}" ref="S8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7" xr:uid="{fbd118fc-6691-475b-934d-2ad7440ef072}" ref="AC6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8" xr:uid="{fbeb4728-41ad-453b-a686-47c8aeee429d}" ref="S8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49" xr:uid="{fbf5218d-305f-42e2-859e-37c3fc4e8473}" ref="S4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50" xr:uid="{fc41262a-8471-4cb6-8403-be4ba2dc076d}" ref="AC7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1" xr:uid="{fc558a6f-11b6-4f2c-93d3-d4709617ef7e}" ref="X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2" xr:uid="{fc55f370-96af-420b-af6f-098439f15dec}" ref="AJ5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Prazos contados para chamados abertos até as 15:00.
Após esse horário, a contagem começa as 06:00 do dia seguinte
</t>
      </text>
    </comment>
    <comment authorId="1653" xr:uid="{fcea62f7-c221-401c-a7eb-478976395953}" ref="S7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4" xr:uid="{fcf38d50-49f4-4325-95ac-3b9b7059dc17}" ref="AC6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5" xr:uid="{fd2ed920-b563-4504-bd90-aa06cf4f2603}" ref="S2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6" xr:uid="{fdafde79-ef9d-4504-a418-e12fab3601c3}" ref="X11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da Renovação Contratual
</t>
      </text>
    </comment>
    <comment authorId="1657" xr:uid="{fdea1fdf-e6fa-41c4-8cbd-d66d0f1a10ec}" ref="X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8" xr:uid="{fdf71b83-a094-4a78-ab80-002ab99cf200}" ref="S1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59" xr:uid="{fdf85843-9461-4b3a-81c7-f100dd355cb8}" ref="S10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60" xr:uid="{fe04cd83-837b-4d7e-93ee-ff36ddbfd3d4}" ref="S7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61" xr:uid="{fe49f57c-0b66-4276-a42d-9a2425d9fda5}" ref="S14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62" xr:uid="{fe7b0950-59b8-4a60-a6d7-6f487d8279c6}" ref="AC5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no RP
</t>
      </text>
    </comment>
    <comment authorId="1663" xr:uid="{fe82c311-536e-4fd3-8ce2-2a73b20dd300}" ref="S10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de instalação
</t>
      </text>
    </comment>
    <comment authorId="1664" xr:uid="{fea8bbd6-5c53-4fa0-87a3-25ff54e157d1}" ref="S4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65" xr:uid="{ff2845ff-1b66-4e3e-bca1-7eb9ab1d2f56}" ref="AC13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simbólica informada pelo Cláudio
</t>
      </text>
    </comment>
    <comment authorId="1666" xr:uid="{ffa5f660-c573-4a38-be18-85b26b93fd69}" ref="S13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67" xr:uid="{ffb17d80-985e-4ea7-a352-8c97135216a9}" ref="S5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  <comment authorId="1668" xr:uid="{ffdd5c02-5824-42d3-9ef4-97489fb64236}" ref="X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informada pelo Comercial, na planilha "Controle de Prazos de Garantia - Aena"
</t>
      </text>
    </comment>
    <comment authorId="1669" xr:uid="{fff0aeb8-6212-4fd7-a473-bd204cac0049}" ref="S4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Data do TRD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19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0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
</t>
      </text>
    </comment>
    <comment authorId="0" ref="M221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2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3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4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5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6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7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8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29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30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31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32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  <comment authorId="0" ref="M233">
      <text>
        <t xml:space="preserve">Kelly Mendes:
Peças:
a) fusíveis;
b) lâmpadas;
c) conectores, plugs e tomadas elétricas;
d) cabos e chicotes de conexão ou alimentação elétrica;
e) filtros em geral.
6.3. Para o fornecimento de demais peças e componentes, eventualmente
necessários à execução dos serviços, a CONTRATADA se obriga a apresentar
orçamento prévio, em separado, no prazo de 2 (dois) dias úteis</t>
      </text>
    </comment>
  </commentList>
</comments>
</file>

<file path=xl/sharedStrings.xml><?xml version="1.0" encoding="utf-8"?>
<sst xmlns="http://schemas.openxmlformats.org/spreadsheetml/2006/main" count="57257" uniqueCount="5456">
  <si>
    <t>GARANTIA</t>
  </si>
  <si>
    <t>MANUTENÇÃO</t>
  </si>
  <si>
    <t>LOCAÇÃO</t>
  </si>
  <si>
    <t>SLA</t>
  </si>
  <si>
    <t>Garantia</t>
  </si>
  <si>
    <t>Manut.</t>
  </si>
  <si>
    <t>Locação</t>
  </si>
  <si>
    <t>Sigla/
TAG</t>
  </si>
  <si>
    <t>Cliente</t>
  </si>
  <si>
    <t>Local de Inst.</t>
  </si>
  <si>
    <t>Modelo</t>
  </si>
  <si>
    <t>Nº Série</t>
  </si>
  <si>
    <t>Cidade</t>
  </si>
  <si>
    <t>UF</t>
  </si>
  <si>
    <t>Região</t>
  </si>
  <si>
    <t>Tipo Contrato</t>
  </si>
  <si>
    <t>Data de Inst.</t>
  </si>
  <si>
    <t>Endereço de Inst.</t>
  </si>
  <si>
    <t>CEP</t>
  </si>
  <si>
    <t>Nº Contrato</t>
  </si>
  <si>
    <t>Garantia/ Meses</t>
  </si>
  <si>
    <t>Início da Garantia</t>
  </si>
  <si>
    <t>Término da Garantia</t>
  </si>
  <si>
    <t>Tempo Restante</t>
  </si>
  <si>
    <t>Manutenção/ Meses</t>
  </si>
  <si>
    <t>Locação/ Meses</t>
  </si>
  <si>
    <t>Horário de Atendimento</t>
  </si>
  <si>
    <t>Plataforma de Atendimento</t>
  </si>
  <si>
    <t>Tempo para Atendimento Remoto</t>
  </si>
  <si>
    <t>Tempo para Reparo
On Site</t>
  </si>
  <si>
    <t>Tempo para Substituição</t>
  </si>
  <si>
    <t>Comtempla Troca de Peças</t>
  </si>
  <si>
    <t>Tempo para Troca de Peças</t>
  </si>
  <si>
    <t>Periodicidade de Preventivas</t>
  </si>
  <si>
    <t>AENA ANB</t>
  </si>
  <si>
    <t>AEROPORTOS DO NORDESTE</t>
  </si>
  <si>
    <t>Aeroporto Internacional de Aracaju - Santa Maria</t>
  </si>
  <si>
    <t>METTUS DX8</t>
  </si>
  <si>
    <t>45887-0</t>
  </si>
  <si>
    <t>Aracaju</t>
  </si>
  <si>
    <t>SE</t>
  </si>
  <si>
    <t>NE</t>
  </si>
  <si>
    <t>Avenida Senador Júlio César Leite, 1440 - Aeroporto</t>
  </si>
  <si>
    <t>49037-580</t>
  </si>
  <si>
    <t>NUCBR-1-22-0065</t>
  </si>
  <si>
    <t>N/I</t>
  </si>
  <si>
    <t>Telefone
On Site</t>
  </si>
  <si>
    <t>24H /7 Dias</t>
  </si>
  <si>
    <t>4H</t>
  </si>
  <si>
    <t>Sim</t>
  </si>
  <si>
    <t>Trimestral</t>
  </si>
  <si>
    <t>45889-0</t>
  </si>
  <si>
    <t>CX100100D</t>
  </si>
  <si>
    <t>TFNBR1 200124 AP-XIII-00257</t>
  </si>
  <si>
    <t>45886-0</t>
  </si>
  <si>
    <t>CX100100TI</t>
  </si>
  <si>
    <t>TFNAP 110013(TI)</t>
  </si>
  <si>
    <t>45888-0</t>
  </si>
  <si>
    <t>METTUS ASD</t>
  </si>
  <si>
    <t>45893-0</t>
  </si>
  <si>
    <t>Aeroporto de Campina Grande - Presidente João Suassuna</t>
  </si>
  <si>
    <t>HS6040I</t>
  </si>
  <si>
    <t>Campina Grande</t>
  </si>
  <si>
    <t>PB</t>
  </si>
  <si>
    <t>Avenida Uberaba, s/n - Distrito Industrial</t>
  </si>
  <si>
    <t>58418-410</t>
  </si>
  <si>
    <t>SMD600</t>
  </si>
  <si>
    <t>Aeroporto Internacional de João Pessoa - Presidente Castro Pinto</t>
  </si>
  <si>
    <t>CX6040D</t>
  </si>
  <si>
    <t>TFN BR1 200150 AP-VIII-00283</t>
  </si>
  <si>
    <t>João Pessoa</t>
  </si>
  <si>
    <t>Avenida Marechal Rondon, s/n - Bayeux</t>
  </si>
  <si>
    <t>58308-901</t>
  </si>
  <si>
    <t>45899-0</t>
  </si>
  <si>
    <t>45896-0</t>
  </si>
  <si>
    <t>45898-0</t>
  </si>
  <si>
    <t>TFN BR1 200112 AP-XIII-00245</t>
  </si>
  <si>
    <t>45897-0</t>
  </si>
  <si>
    <t>45900-0</t>
  </si>
  <si>
    <t>TR2000DC</t>
  </si>
  <si>
    <t>TFNBZ 14220192</t>
  </si>
  <si>
    <t>TFN BR1 200122 AP-XIII-00255</t>
  </si>
  <si>
    <t>TFN BR1 200127 AP-XIII-00260</t>
  </si>
  <si>
    <t>RACK SERV DELL EMC</t>
  </si>
  <si>
    <t>ESTAÇÃO HP PRODESK 400 G6</t>
  </si>
  <si>
    <t>BRJ208VF7F</t>
  </si>
  <si>
    <t>Aeroporto de Juzeiro do Norte - Orlando Bezerra de Menezes</t>
  </si>
  <si>
    <t>19118</t>
  </si>
  <si>
    <t>Juazeiro do Norte</t>
  </si>
  <si>
    <t>CE</t>
  </si>
  <si>
    <t>Avenida Governador Virgílio Távora, 4000 - Aeroporto</t>
  </si>
  <si>
    <t>63020-735</t>
  </si>
  <si>
    <t>19119</t>
  </si>
  <si>
    <t>43163</t>
  </si>
  <si>
    <t>CX6040BI</t>
  </si>
  <si>
    <t>00604010010052</t>
  </si>
  <si>
    <t>00604010010175</t>
  </si>
  <si>
    <t>00604010010178</t>
  </si>
  <si>
    <t>Aeroporto Internacional de Maceió - Zumbi dos Palmares</t>
  </si>
  <si>
    <t>TFN BR1 200154 AP-VIII-00287</t>
  </si>
  <si>
    <t>Maceió</t>
  </si>
  <si>
    <t>AL</t>
  </si>
  <si>
    <t>Tabuleiro do Pinto</t>
  </si>
  <si>
    <t>57100-000</t>
  </si>
  <si>
    <t>TFN BR1 200155 AP-VIII-00288</t>
  </si>
  <si>
    <t>TFN BR1 200142 AP-VIII-00275</t>
  </si>
  <si>
    <t>TFN BR1 200156 AP-VIII-00289</t>
  </si>
  <si>
    <t>TFN BR1 200143 AP-VIII-00276</t>
  </si>
  <si>
    <t>45909-0</t>
  </si>
  <si>
    <t>TFNBZ 14220175</t>
  </si>
  <si>
    <t>45905-0</t>
  </si>
  <si>
    <t>45904-0</t>
  </si>
  <si>
    <t>TFNBZ 14220172</t>
  </si>
  <si>
    <t>45894-0</t>
  </si>
  <si>
    <t>TFNBZ 13220007</t>
  </si>
  <si>
    <t>TFNBZ 13210126</t>
  </si>
  <si>
    <t>AX5000</t>
  </si>
  <si>
    <t>TFNPH 17220001</t>
  </si>
  <si>
    <t>TFNAP 13220006</t>
  </si>
  <si>
    <t>45901-0</t>
  </si>
  <si>
    <t>TFNAP 13220005</t>
  </si>
  <si>
    <t>TFNAP 13220008</t>
  </si>
  <si>
    <t>45895-0</t>
  </si>
  <si>
    <t>45903-0</t>
  </si>
  <si>
    <t>5ZCBZS3</t>
  </si>
  <si>
    <t>BRJ208VF6R</t>
  </si>
  <si>
    <t>BRJ208VF6F</t>
  </si>
  <si>
    <t>BRJ208VF77</t>
  </si>
  <si>
    <t>45902-0</t>
  </si>
  <si>
    <t>Aeroporto Internacional de Recife/Guararapes - Gilberto Freyre</t>
  </si>
  <si>
    <t>TFNBZ 14220174</t>
  </si>
  <si>
    <t>Recife</t>
  </si>
  <si>
    <t>PE</t>
  </si>
  <si>
    <t>Praça Ministro Salgado Filho, s/n - Imbiribeira</t>
  </si>
  <si>
    <t>51210-902</t>
  </si>
  <si>
    <t>45908-0</t>
  </si>
  <si>
    <t>45906-0</t>
  </si>
  <si>
    <t>45910-0</t>
  </si>
  <si>
    <t>45890-0</t>
  </si>
  <si>
    <t>45891-0</t>
  </si>
  <si>
    <t>TFN BR1 200125 AP-XIII-00258</t>
  </si>
  <si>
    <t>TFN BR1 200144 AP-VIII-00277</t>
  </si>
  <si>
    <t>TFN BR1 200178 AP-VIII-00311</t>
  </si>
  <si>
    <t>TFN BR1 200096 AP-XIII-00229</t>
  </si>
  <si>
    <t>45907-0</t>
  </si>
  <si>
    <t>45911-0</t>
  </si>
  <si>
    <t>45913-0</t>
  </si>
  <si>
    <t>TFN BR1 200145 AP-VIII-00278</t>
  </si>
  <si>
    <t>TFN BR1 200123 AP-XIII-00256</t>
  </si>
  <si>
    <t>TFNBZ 14220173</t>
  </si>
  <si>
    <t>TFN BR1 200128 AP-XIII-00261</t>
  </si>
  <si>
    <t>TFN BR1 200149 AP-VIII-00282</t>
  </si>
  <si>
    <t>TFN BR1 200151 AP-VIII-00284</t>
  </si>
  <si>
    <t>TFN BR1 200147 AP-VIII-00280</t>
  </si>
  <si>
    <t>TFN BR1 200148 PA-VIII-00281</t>
  </si>
  <si>
    <t>TFN BR1 200152 AP-VIII-00285</t>
  </si>
  <si>
    <t>TFN BR1 200153 AP-VIII-00286</t>
  </si>
  <si>
    <t>TFN BR1 200157 AP-VIII-00290</t>
  </si>
  <si>
    <t>TFN BR1 200098 AP-XIII-00231</t>
  </si>
  <si>
    <t>45912-0</t>
  </si>
  <si>
    <t>45892-0</t>
  </si>
  <si>
    <t>TFN BR1 200158 AP-VIII-00291</t>
  </si>
  <si>
    <t>TFN BR1 200159 AP-VIII-00292</t>
  </si>
  <si>
    <t>45916-0</t>
  </si>
  <si>
    <t>45917-0</t>
  </si>
  <si>
    <t>TFN BR1 200109 AP-XIII-00242</t>
  </si>
  <si>
    <t>TFN BR1 200160 AP-VIII-00293</t>
  </si>
  <si>
    <t>XT2100HS</t>
  </si>
  <si>
    <t>TFNCH 08220038</t>
  </si>
  <si>
    <t>4ZCBZS3</t>
  </si>
  <si>
    <t>TFNCH 08220039</t>
  </si>
  <si>
    <t>ESTAÇÃO HP Z2 TOWER G5</t>
  </si>
  <si>
    <t>BRJ212WK6X</t>
  </si>
  <si>
    <t>BRJ208VG3Q</t>
  </si>
  <si>
    <t>BRJ208VG7J</t>
  </si>
  <si>
    <t>BRJ212WK71</t>
  </si>
  <si>
    <t>BRJ208VG4G</t>
  </si>
  <si>
    <t>TFN BR1 200126 AP-XIII-00259</t>
  </si>
  <si>
    <t>45914-0</t>
  </si>
  <si>
    <t>TFN BR1 200146 AP-VIII-00279</t>
  </si>
  <si>
    <t>Não instalado</t>
  </si>
  <si>
    <t>Workstation</t>
  </si>
  <si>
    <t>BRJ2514J9B</t>
  </si>
  <si>
    <t>BRJ208VGGW</t>
  </si>
  <si>
    <t>AENA BOAB</t>
  </si>
  <si>
    <t>AEROPORTOS DO BRASIL</t>
  </si>
  <si>
    <t>Aeroporto Internacional de Campo Grande</t>
  </si>
  <si>
    <t>Aguardando Instalação</t>
  </si>
  <si>
    <t>Campo Grande</t>
  </si>
  <si>
    <t>MS</t>
  </si>
  <si>
    <t>CO</t>
  </si>
  <si>
    <t>Aguardando Inst.
Prev 09.2025</t>
  </si>
  <si>
    <t>NUCBR-1-25-0041</t>
  </si>
  <si>
    <t>Aguardando Inst.</t>
  </si>
  <si>
    <t>Aeroporto de São Paulo/Congonhas - Deputado Freitas Nobre</t>
  </si>
  <si>
    <t>TFNAP 13240067</t>
  </si>
  <si>
    <t>Congonhas</t>
  </si>
  <si>
    <t>SP</t>
  </si>
  <si>
    <t>Avenida Washington Luís, s/n - Vila Congonhas</t>
  </si>
  <si>
    <t>04626-911</t>
  </si>
  <si>
    <t>Aguardando Inst.
Prev 12.2025</t>
  </si>
  <si>
    <t>MX100100D</t>
  </si>
  <si>
    <t>Aeroporto Internacional de Corumbá</t>
  </si>
  <si>
    <t>TFN BR1 240078 AP-VIII-00102</t>
  </si>
  <si>
    <t>Corumbá</t>
  </si>
  <si>
    <t>Rua Santo Dumont, N 0 Bairro do Aeroporto</t>
  </si>
  <si>
    <t>Aeroporto de Carajás - Parauapebas</t>
  </si>
  <si>
    <t>Parauapebas</t>
  </si>
  <si>
    <t>PA</t>
  </si>
  <si>
    <t>N</t>
  </si>
  <si>
    <t>Aeroporto Internacional de Ponta Porã</t>
  </si>
  <si>
    <t>Ponta Porã</t>
  </si>
  <si>
    <t>Aeroporto Internacional de Santarém - Maestro Wilson Fonseca</t>
  </si>
  <si>
    <t>Santarém</t>
  </si>
  <si>
    <t>Aeroporto de Uberlândia</t>
  </si>
  <si>
    <t>Uberlândia</t>
  </si>
  <si>
    <t>MG</t>
  </si>
  <si>
    <t>AESE</t>
  </si>
  <si>
    <t>AEROPORTOS DO SUDESTE DO BRASIL S.A.</t>
  </si>
  <si>
    <t>Aeroporto de Macaé - Joaquim de Azevedo Mancebo</t>
  </si>
  <si>
    <t>TFN BR1 190060 AP-IX-00084</t>
  </si>
  <si>
    <t>Macaé</t>
  </si>
  <si>
    <t>RJ</t>
  </si>
  <si>
    <t>Estrada Hildebrando Alves Barbosa, s/n</t>
  </si>
  <si>
    <t>27963-840</t>
  </si>
  <si>
    <t>NUCBR-1-20-0160</t>
  </si>
  <si>
    <t>2H</t>
  </si>
  <si>
    <t>24H</t>
  </si>
  <si>
    <t>TFN BR1 190061 AP-IX-00085</t>
  </si>
  <si>
    <t>TFNAP-I-160536</t>
  </si>
  <si>
    <t>TFN BR1 200028 AP-IX-00161</t>
  </si>
  <si>
    <t>Zurich Airport Brasil</t>
  </si>
  <si>
    <t>TFN BR1 230003 AP-I-00508</t>
  </si>
  <si>
    <t>Vitória</t>
  </si>
  <si>
    <t>ES</t>
  </si>
  <si>
    <t>Avenida Roza Helena Schorling Albuquerque, s/n</t>
  </si>
  <si>
    <t>29075-685</t>
  </si>
  <si>
    <t>NUCBRF-1-23-0014</t>
  </si>
  <si>
    <t>TFN BR1 210045 AP-IX-00435</t>
  </si>
  <si>
    <t>Avenida Roza Helena Schorling Albuquerque, 856</t>
  </si>
  <si>
    <t>NUCBRF-1-24-0006</t>
  </si>
  <si>
    <t>TFN BR1 210069 AP-IX-00459</t>
  </si>
  <si>
    <t>ANTT</t>
  </si>
  <si>
    <t>AGÊNCIA NACIONAL DE TRANSPORTES TERRESTRES</t>
  </si>
  <si>
    <t>Unidade Sede</t>
  </si>
  <si>
    <t>TFN BR1 210009 AP-IX-00399</t>
  </si>
  <si>
    <t>Brasília</t>
  </si>
  <si>
    <t>DF</t>
  </si>
  <si>
    <t>Lote 10, Projeto Orla Polo 8, Trecho 3 10 - Ceilândia</t>
  </si>
  <si>
    <t>70200-003</t>
  </si>
  <si>
    <t>NUCBRF-1-22-0002</t>
  </si>
  <si>
    <t>APM</t>
  </si>
  <si>
    <t>APM TERMINALS SUAPE S.A.</t>
  </si>
  <si>
    <t>Porto de Suape</t>
  </si>
  <si>
    <t>FS6000</t>
  </si>
  <si>
    <t>Ipojuca</t>
  </si>
  <si>
    <t>Aguardando Inst.
Prev 08.2025</t>
  </si>
  <si>
    <t>55598-142</t>
  </si>
  <si>
    <t>NUCBR-1-25-0016</t>
  </si>
  <si>
    <t>APM TERMINALS ITAJAÍ S.A.</t>
  </si>
  <si>
    <t>Porto de Itajaí</t>
  </si>
  <si>
    <t>Itajaí</t>
  </si>
  <si>
    <t>SC</t>
  </si>
  <si>
    <t>S</t>
  </si>
  <si>
    <t>Manutenção</t>
  </si>
  <si>
    <t>Rua Blumenal, 5 - São João</t>
  </si>
  <si>
    <t>88305-101</t>
  </si>
  <si>
    <t>NUCBR-1-23-0191</t>
  </si>
  <si>
    <t>APM TERMINALS PECÉM S.A.</t>
  </si>
  <si>
    <t>Porto de Pecém</t>
  </si>
  <si>
    <t>TFNDU 12017</t>
  </si>
  <si>
    <t>Pecém</t>
  </si>
  <si>
    <t>Esplanada do Pecém, s/n - Distrito do Pecém</t>
  </si>
  <si>
    <t>62674-000</t>
  </si>
  <si>
    <t>NUCBR-1-25-0015</t>
  </si>
  <si>
    <t>2 Horas</t>
  </si>
  <si>
    <t>4 Horas</t>
  </si>
  <si>
    <t>24 horas últeis</t>
  </si>
  <si>
    <t>APPA</t>
  </si>
  <si>
    <t>ADMINISTRAÇÃO DOS PORTOS DE PARANAGUÁ E ANTONINA</t>
  </si>
  <si>
    <t>Porto de Paranaguá</t>
  </si>
  <si>
    <t>42194-0</t>
  </si>
  <si>
    <t>Paranaguá</t>
  </si>
  <si>
    <t>PR</t>
  </si>
  <si>
    <t>Avenida Coronel Santa Rita, 346 - Vila Guarani</t>
  </si>
  <si>
    <t>83203-630</t>
  </si>
  <si>
    <t>NUCBR-1-25-0114</t>
  </si>
  <si>
    <t>42198-0</t>
  </si>
  <si>
    <t>Avenida Portuaria, 89 - Portão 16 - Costeira</t>
  </si>
  <si>
    <t>83221-570</t>
  </si>
  <si>
    <t>09:00 - 18:00</t>
  </si>
  <si>
    <t>48H</t>
  </si>
  <si>
    <t>5 Dias úteis</t>
  </si>
  <si>
    <t>42200-0</t>
  </si>
  <si>
    <t>42202-0</t>
  </si>
  <si>
    <t>Avenida Portuária, s/n - Dom Pedro II</t>
  </si>
  <si>
    <t>83203-800</t>
  </si>
  <si>
    <t>42193-0</t>
  </si>
  <si>
    <t>42195-0</t>
  </si>
  <si>
    <t>42196-0</t>
  </si>
  <si>
    <t>Silo Vertical - Portão 7</t>
  </si>
  <si>
    <t>42197-0</t>
  </si>
  <si>
    <t>42199-0</t>
  </si>
  <si>
    <t>42201-0</t>
  </si>
  <si>
    <t>TFNAP-IX-150297</t>
  </si>
  <si>
    <t>Avenida Ayrton Senna da Silva, 161 - Dom Pedro II</t>
  </si>
  <si>
    <t>TFNPA-VI-130445</t>
  </si>
  <si>
    <t>FS6000DE</t>
  </si>
  <si>
    <t>TFNDU-11480</t>
  </si>
  <si>
    <t>Avenida Portuária, 697-727 - Bairro Dom Pedro II</t>
  </si>
  <si>
    <t>83803-800</t>
  </si>
  <si>
    <t>ARKT</t>
  </si>
  <si>
    <t>ARKETON CONSULTORIA E INCORPORADORA LTDA</t>
  </si>
  <si>
    <t>Edifício Sede da Justiça Federal</t>
  </si>
  <si>
    <t>TFN BR1 200255 AP-IX-00388</t>
  </si>
  <si>
    <t>Rua Orestes Lisboa, 480 - Bairro Pedro Gundim</t>
  </si>
  <si>
    <t>58031-900</t>
  </si>
  <si>
    <t>NUCBRF-1-21-0015</t>
  </si>
  <si>
    <t>On Site</t>
  </si>
  <si>
    <t>-</t>
  </si>
  <si>
    <t>Semestral</t>
  </si>
  <si>
    <t>AVIP</t>
  </si>
  <si>
    <t>AEROVIP SERVIÇOS COMERCIAIS</t>
  </si>
  <si>
    <t>TFNAP-I-140099</t>
  </si>
  <si>
    <t>Guarulhos</t>
  </si>
  <si>
    <t>Avenida Sargento da Aeronautica Jaime Regalo Pereira, 300 - Cidade Jardim Cumbica</t>
  </si>
  <si>
    <t>07182-000</t>
  </si>
  <si>
    <t>NUCBRF-1-23-0030</t>
  </si>
  <si>
    <t>AZUL</t>
  </si>
  <si>
    <t>AZUL LINHAS AÉREAS BRASILEIRAS S.A.</t>
  </si>
  <si>
    <t>Azul Cargo/ Jbenz - Terminal 1</t>
  </si>
  <si>
    <t>TFNPH-VI-170001</t>
  </si>
  <si>
    <t>Campinas</t>
  </si>
  <si>
    <t>Avenida Viracopos, 750 - Jardim Princesa do Oeste</t>
  </si>
  <si>
    <t>18131-867</t>
  </si>
  <si>
    <t>NUCBR-1-19-0138</t>
  </si>
  <si>
    <t>Bimestral</t>
  </si>
  <si>
    <t>TFNPH-VI-170002</t>
  </si>
  <si>
    <t>Azul Hangar MRO</t>
  </si>
  <si>
    <t>TFN BR1 200192 AP-IX-00325</t>
  </si>
  <si>
    <t>13030-150</t>
  </si>
  <si>
    <t>NUCBR-1-22-0077</t>
  </si>
  <si>
    <t>8H</t>
  </si>
  <si>
    <t>Azul CDA, Condomínio Logístico G1 - Almoxarifado</t>
  </si>
  <si>
    <t>TFNAP-I-160538</t>
  </si>
  <si>
    <t>Rua Sérgio Fernandes Borges Soares, 1000, Prédio 310 (G1), Parte A - Distrito Industrial</t>
  </si>
  <si>
    <t>13054-709</t>
  </si>
  <si>
    <t>NUCBR-1-23-0094</t>
  </si>
  <si>
    <t>Azul Cargo Express</t>
  </si>
  <si>
    <t>TFNAP-IX-150388</t>
  </si>
  <si>
    <t>13052-448</t>
  </si>
  <si>
    <t>NUCBR-1-24-0095</t>
  </si>
  <si>
    <t>TFN BR1 190090 PA-VIII-000114</t>
  </si>
  <si>
    <t>NUCBR-1-25-0026</t>
  </si>
  <si>
    <t>08:00 - 17:00</t>
  </si>
  <si>
    <t>Telefone/ E-mail
On Site</t>
  </si>
  <si>
    <t>24H úteis</t>
  </si>
  <si>
    <t>TFN BR1 200186 AP-VIII-00319</t>
  </si>
  <si>
    <t>Teca 1/ Tecan</t>
  </si>
  <si>
    <t>TFN BR1 240073 AP-I-00698</t>
  </si>
  <si>
    <t>Avenida Viracopos, 1813 - Jardim Princesa D'Oeste</t>
  </si>
  <si>
    <t>13053-000</t>
  </si>
  <si>
    <t>NUCBR-1-25-0066</t>
  </si>
  <si>
    <t>Aeroporto Internacional de Belo Horizonte/ Confins</t>
  </si>
  <si>
    <t>TFNAP-I-160539</t>
  </si>
  <si>
    <t>Confins</t>
  </si>
  <si>
    <t>Rodovia MG-800, KM 7.9, s/n</t>
  </si>
  <si>
    <t>33500-000</t>
  </si>
  <si>
    <t>Terminal de Cargas de Fortaleza</t>
  </si>
  <si>
    <t>TFN BR1 230019 AP-I-00524</t>
  </si>
  <si>
    <t>Fortaleza</t>
  </si>
  <si>
    <t>Avenida Senador Carlos Jereissati, 3000 - Serrinha</t>
  </si>
  <si>
    <t>60741-900</t>
  </si>
  <si>
    <t>NUCBR-1-23-0131</t>
  </si>
  <si>
    <t>TFNAP-I-160537</t>
  </si>
  <si>
    <t>Terminal de Cargas de Recife</t>
  </si>
  <si>
    <t>TFANP-IX-150311</t>
  </si>
  <si>
    <t>TFN BR1 200190 AP-VIII-00323</t>
  </si>
  <si>
    <t>Terminal de Cargas de Congonhas</t>
  </si>
  <si>
    <t>TFN BR1 230008 AP-I-00513</t>
  </si>
  <si>
    <t>São Paulo</t>
  </si>
  <si>
    <t>BCSA</t>
  </si>
  <si>
    <t>BANCO SAFRA</t>
  </si>
  <si>
    <t>TFN BR1 200016 AP-IX-00149</t>
  </si>
  <si>
    <t>Avenida Paulista, 2150 - Bela Vista</t>
  </si>
  <si>
    <t>01310-930</t>
  </si>
  <si>
    <t>NUCBRF-1-20-0111</t>
  </si>
  <si>
    <t>12H</t>
  </si>
  <si>
    <t>TFNBZ 14220176</t>
  </si>
  <si>
    <t>NUCBRF-1-23-0072</t>
  </si>
  <si>
    <t>72H</t>
  </si>
  <si>
    <t>BRASP</t>
  </si>
  <si>
    <t>BRASPRESS AIR CARGO TRANSPORTES AEREOS LTDA</t>
  </si>
  <si>
    <t>TFNAP 13240066</t>
  </si>
  <si>
    <t>Rodovia Presidente Dutra, KM 222 500, S/N - Cumbica</t>
  </si>
  <si>
    <t>NUCBR-1-25-0054</t>
  </si>
  <si>
    <t>CAINIAO</t>
  </si>
  <si>
    <t>CAINIAO EXPRESS</t>
  </si>
  <si>
    <t>Aeroporto Internacional de Viracopos</t>
  </si>
  <si>
    <t>TFN BR1 230059 AP-XIII-00564</t>
  </si>
  <si>
    <t>Rodovia Santos Dumont, KM 66, Rua Jumbo, s/n
(Primeira portaria a direita)</t>
  </si>
  <si>
    <t>13052-900</t>
  </si>
  <si>
    <t>NUCBR-1-24-0018</t>
  </si>
  <si>
    <t>TFN BR1 240049 AP-XIII-00674</t>
  </si>
  <si>
    <t>TFN BR1 240053 AP-XIII-00678</t>
  </si>
  <si>
    <t>TFN BR1 240056 AP-XIII-00681</t>
  </si>
  <si>
    <t>Rodovia Santos Dumont, KM 66</t>
  </si>
  <si>
    <t>13052-901</t>
  </si>
  <si>
    <t>NUCBR-1-24-0068</t>
  </si>
  <si>
    <t>TFN BR1 240055 AP-XIII-00680</t>
  </si>
  <si>
    <t>TFN BR1 240058 AP-XIII-00683</t>
  </si>
  <si>
    <t>TFN BR1 240135 AP-XIII-00760</t>
  </si>
  <si>
    <t>NUCBR-1-25-0003</t>
  </si>
  <si>
    <t>TFN BR1 240134 AP-XIII-00759</t>
  </si>
  <si>
    <t>CAMD</t>
  </si>
  <si>
    <t>CÂMARA DOS DEPUTADOS</t>
  </si>
  <si>
    <t>Anexo I</t>
  </si>
  <si>
    <t>00604010020054</t>
  </si>
  <si>
    <t>Praça dos Três Poderes - Zona Cívico, Administrativa</t>
  </si>
  <si>
    <t>70100-000</t>
  </si>
  <si>
    <t>NUCBRF-1-23-0039
NUCBRF-1-24-0036</t>
  </si>
  <si>
    <t>00604010020055</t>
  </si>
  <si>
    <t>00604010020056</t>
  </si>
  <si>
    <t>TFN BR1 190099 AP-IX-00123</t>
  </si>
  <si>
    <t>TFN BR1 190100 AP-IX-00124</t>
  </si>
  <si>
    <t>TFN BR1 190101 AP-IX-00125</t>
  </si>
  <si>
    <t>TFN BR1 190102 AP-IX-00126</t>
  </si>
  <si>
    <t>TFN BR1 190103 AP-IX-00127</t>
  </si>
  <si>
    <t>TFN BR1 190104 AP-IX-00128</t>
  </si>
  <si>
    <t>TFN BR1 190105 AP-IX-00129</t>
  </si>
  <si>
    <t>TFN BR1 190106 AP-IX-00130</t>
  </si>
  <si>
    <t>TFN BR1 190107 AP-IX-00131</t>
  </si>
  <si>
    <t>TFN BR1 200001 AP-IX-00134</t>
  </si>
  <si>
    <t>TFN BR1 200002 AP-IX-00135</t>
  </si>
  <si>
    <t>TFN BR1 200004 AP-IX-00137</t>
  </si>
  <si>
    <t>Anexo IV</t>
  </si>
  <si>
    <t>TFN BR1 210041 AP-IX-00431</t>
  </si>
  <si>
    <t>Sia Trechos 5, 20, Lotes 20-60</t>
  </si>
  <si>
    <t>71205-050</t>
  </si>
  <si>
    <t>NUCBRF-1-24-0013</t>
  </si>
  <si>
    <t>09:00 - 18:30</t>
  </si>
  <si>
    <t>2H úteis</t>
  </si>
  <si>
    <t>2 Dias úteis</t>
  </si>
  <si>
    <t>Anexo II</t>
  </si>
  <si>
    <t>TFN BR1 210042 AP-IX-00432</t>
  </si>
  <si>
    <t>CAMI</t>
  </si>
  <si>
    <t>CASA MILITAR</t>
  </si>
  <si>
    <t>Palácio dos Bandeirantes</t>
  </si>
  <si>
    <t>CX5030T</t>
  </si>
  <si>
    <t>Avenida Morumbi, 4500 - Morumbi</t>
  </si>
  <si>
    <t>05650-950</t>
  </si>
  <si>
    <t>NUCBR-1-19-0027</t>
  </si>
  <si>
    <t>CARG</t>
  </si>
  <si>
    <t>CARGILL AGRÍCOLA</t>
  </si>
  <si>
    <t>TFN BR1 190097 AP-IX-00121</t>
  </si>
  <si>
    <t>Avenida Cuiabá, Lote 04 - Bairro Salé</t>
  </si>
  <si>
    <t>68040-400</t>
  </si>
  <si>
    <t>NUCBRF-1-22-0007</t>
  </si>
  <si>
    <t>fechou assim - qndo pedir corretiva enviar o tec da o diangotisioco faz a os einforma a peça que precisa.</t>
  </si>
  <si>
    <t>CARJ</t>
  </si>
  <si>
    <t>CONCESSIONÁRIA AEROPORTO RIO DE JANEIRO</t>
  </si>
  <si>
    <t>Aeroporto Internacional do Rio de Janeiro - Galeão</t>
  </si>
  <si>
    <t>TFN BR1 230048 AP-XIII-00553</t>
  </si>
  <si>
    <t>Rio de Janeiro</t>
  </si>
  <si>
    <t>Avenida Vinte de Janeiro, s/n - Ilha do Governador</t>
  </si>
  <si>
    <t xml:space="preserve">21941-900
</t>
  </si>
  <si>
    <t>NUCBR-1-23-0164</t>
  </si>
  <si>
    <t>TFN BR1 230049 AP-XIII-00554</t>
  </si>
  <si>
    <t xml:space="preserve">pega a os do tencico e manda pra giovana pra prposata </t>
  </si>
  <si>
    <t>TFN BR1 230044 AP-XIII-00549</t>
  </si>
  <si>
    <t>TFN BR1 230045 AP-XIII-00550</t>
  </si>
  <si>
    <t>TFN BR1 230046 AP-XIII-00551</t>
  </si>
  <si>
    <t xml:space="preserve">ele nao e lciente que a gente tem garantia, forncebimento de peça a parte </t>
  </si>
  <si>
    <t>TFN BR1 230047 AP-XIII-00552</t>
  </si>
  <si>
    <t>TFN BR1 230043 AP-XIII-00548</t>
  </si>
  <si>
    <t>TFN BR1 230051 AP-XIII-00556</t>
  </si>
  <si>
    <t>TFNBZ 14230414</t>
  </si>
  <si>
    <t>21941-900</t>
  </si>
  <si>
    <t>NUCBR-1-24-0091</t>
  </si>
  <si>
    <t>12 (extensão de garantia)</t>
  </si>
  <si>
    <t>TFN BR1 240051 AP-XIII-00676</t>
  </si>
  <si>
    <t>NUCBR-1-24-0096</t>
  </si>
  <si>
    <t>TFN BR1 240052 AP-XIII-00677</t>
  </si>
  <si>
    <t>TFN BR1 240108 AP-XIII-00733</t>
  </si>
  <si>
    <t>NUCBR-1-24-0152</t>
  </si>
  <si>
    <t>Horário comercial</t>
  </si>
  <si>
    <t>Quinzenal</t>
  </si>
  <si>
    <t>TFN BR1 240111 AP-XIII-00736</t>
  </si>
  <si>
    <t>TFN BR1 240106 AP-XIII-00731</t>
  </si>
  <si>
    <t>TFN BR1 240107 AP-XIII-00732</t>
  </si>
  <si>
    <t>TFN BR1 240113 AP-XIII-00738</t>
  </si>
  <si>
    <t>TFN BR1 240109 AP-XIII-00734</t>
  </si>
  <si>
    <t>TFN BR1 240110 AP-XIII-00735</t>
  </si>
  <si>
    <t>TFN BR1 240112 AP-XIII-00737</t>
  </si>
  <si>
    <t>TFN BR1 210081 AP-IX-00471</t>
  </si>
  <si>
    <t>NUCBR-1-24-0179</t>
  </si>
  <si>
    <t>TFN BR1 210091 AP-IX-00481</t>
  </si>
  <si>
    <t>TFN BR1 210088 AP-IX-00478</t>
  </si>
  <si>
    <t>TFN BR1 210092 AP-IX-00482</t>
  </si>
  <si>
    <t>CCEP</t>
  </si>
  <si>
    <t>CONSELHO DE SEGURANÇA PÚBLICA DE CARATINGA</t>
  </si>
  <si>
    <t>Presídio de Caratinga</t>
  </si>
  <si>
    <t>HT2000GA</t>
  </si>
  <si>
    <t>TFNEV-I-17026</t>
  </si>
  <si>
    <t>Caratinga</t>
  </si>
  <si>
    <t>Estrada de Santa Luzia, s/n - Zona Rural</t>
  </si>
  <si>
    <t>31300-000</t>
  </si>
  <si>
    <t>NUCBR-1-24-0050</t>
  </si>
  <si>
    <t>5 Dias</t>
  </si>
  <si>
    <t>CONSELHO DA COMUNIDADE NA EXECUÇÃO PENAL DA COMARCA DE MONTES CLAROS</t>
  </si>
  <si>
    <t>Presídio de Montes Claros</t>
  </si>
  <si>
    <t>TFN BR1 200011 AP-IX-00144</t>
  </si>
  <si>
    <t>Montes Claros</t>
  </si>
  <si>
    <t>Rua Glaucilândia, 175 - São Judas Tadeu</t>
  </si>
  <si>
    <t>39402-370</t>
  </si>
  <si>
    <t>NUCBRF-1-22-0006</t>
  </si>
  <si>
    <t>CCPSP</t>
  </si>
  <si>
    <t>CONSELHO COMUNITÁRIO PRÓ SEGURANÇA PÚBLICA</t>
  </si>
  <si>
    <t>Penitenciária Estadual de Rio Grande</t>
  </si>
  <si>
    <t>BI2002</t>
  </si>
  <si>
    <t>Rio Grande</t>
  </si>
  <si>
    <t>RS</t>
  </si>
  <si>
    <t>Rodovia BR-392, KM 15 - Vila da Quinta</t>
  </si>
  <si>
    <t>96222-100</t>
  </si>
  <si>
    <t>NUCBR-1-20-0124</t>
  </si>
  <si>
    <t>CONSULADO GERAL DA FEDERAÇÃO DA RÚSSIA NO RIO DE JANEIRO</t>
  </si>
  <si>
    <t>TFN BR1 210114 AP-X-00504</t>
  </si>
  <si>
    <t>Rua Professor Azevedo Marques - Leblon</t>
  </si>
  <si>
    <t>22450-030</t>
  </si>
  <si>
    <t>NUCBRF-1-24-0045</t>
  </si>
  <si>
    <t>CCR</t>
  </si>
  <si>
    <t>CONCESSIONÁRIA DO BLOCO SUL S.A.</t>
  </si>
  <si>
    <t xml:space="preserve">Aeroporto Internacional de Bagé - Comandante Gustavo Kraemer </t>
  </si>
  <si>
    <t>56010-0</t>
  </si>
  <si>
    <t>Bagé</t>
  </si>
  <si>
    <t>Rua 14, s/n</t>
  </si>
  <si>
    <t>96422-250</t>
  </si>
  <si>
    <t>NUCBR-1-24-0150</t>
  </si>
  <si>
    <t>48H úteis</t>
  </si>
  <si>
    <t>Aeroporto Internacional de Foz do Iguaçu/ Cataratas</t>
  </si>
  <si>
    <t>54464-0</t>
  </si>
  <si>
    <t>Foz do Iguaçu</t>
  </si>
  <si>
    <t xml:space="preserve">Estrada Estadual BR-469, KM 16.5, s/n - Bairro Aeroporto </t>
  </si>
  <si>
    <t>85853-900</t>
  </si>
  <si>
    <t>NUCBR-1-24-0065</t>
  </si>
  <si>
    <t>54465-0</t>
  </si>
  <si>
    <t>54466-0</t>
  </si>
  <si>
    <t>54467-0</t>
  </si>
  <si>
    <t>54468-0</t>
  </si>
  <si>
    <t>54469-0</t>
  </si>
  <si>
    <t>TFN BR1 190109 AP-IX-00133</t>
  </si>
  <si>
    <t>TFN BR1 210083 AP-IX-00473</t>
  </si>
  <si>
    <t>TFN BR1 210084 AP-IX-00474</t>
  </si>
  <si>
    <t>TFN BR1 240124 AP-XIII-00749</t>
  </si>
  <si>
    <t>TFN BR1 240123 AP-XIII-00748</t>
  </si>
  <si>
    <t>55606-0</t>
  </si>
  <si>
    <t>TFNAP 13240124</t>
  </si>
  <si>
    <t>TFNAP 13240125</t>
  </si>
  <si>
    <t>CONCESSIONÁRIA DO BLOCO CENTRAL S.A.</t>
  </si>
  <si>
    <t>Aeroporto Internacional Santa Genoveva</t>
  </si>
  <si>
    <t>TFN BR1 210076 AP-IX-00466</t>
  </si>
  <si>
    <t>Goiânia</t>
  </si>
  <si>
    <t>GO</t>
  </si>
  <si>
    <t>Alameda Aeroporto, s/n - Bairro Aeroporto Internacional Santa Genoveva</t>
  </si>
  <si>
    <t>74672-839</t>
  </si>
  <si>
    <t>TFN BR1 240059 AP-XIII-00684</t>
  </si>
  <si>
    <t>Alameda 4, s/n - Santa Genoveva</t>
  </si>
  <si>
    <t>74672-856</t>
  </si>
  <si>
    <t>NUCBR-1-24-0094</t>
  </si>
  <si>
    <t>TFNBZ 14240021</t>
  </si>
  <si>
    <t>TFNBZ 14240047</t>
  </si>
  <si>
    <t>TFNBZ 14240112</t>
  </si>
  <si>
    <t>TFN BR1 240060 AP-XIII-00685</t>
  </si>
  <si>
    <t>54474-0</t>
  </si>
  <si>
    <t>TFN BR1 240115 AP-XIII-00740</t>
  </si>
  <si>
    <t>TFN BR1 240114 AP-XIII-00739</t>
  </si>
  <si>
    <t>TFNAP 13240062</t>
  </si>
  <si>
    <t>55604-0</t>
  </si>
  <si>
    <t>TFNBZ 14230384</t>
  </si>
  <si>
    <t>NUCBRF-1-24-0004</t>
  </si>
  <si>
    <t>Aeroporto de Imperatriz</t>
  </si>
  <si>
    <t>TFN BR1 210078 AP-IX-00468</t>
  </si>
  <si>
    <t>Imperatriz</t>
  </si>
  <si>
    <t>MA</t>
  </si>
  <si>
    <t>Avenida Moacyr Spósito Ribeiro, s/n - Bairro Aeroporto</t>
  </si>
  <si>
    <t>65913-415</t>
  </si>
  <si>
    <t>TFN BR1 210077 AP-IX-00467</t>
  </si>
  <si>
    <t>54471-0</t>
  </si>
  <si>
    <t>Aeroporto de Joinville - Lauro Carneiro de Loyola</t>
  </si>
  <si>
    <t>TFN BR1 210080 AP-IX-00470</t>
  </si>
  <si>
    <t>Joinville</t>
  </si>
  <si>
    <t>Avenida Santos Dumont, 9000 - Bairro Aventureiro</t>
  </si>
  <si>
    <t>89226-435</t>
  </si>
  <si>
    <t>TFN BR1 210082 AP-IX-00472</t>
  </si>
  <si>
    <t>Aeroporto de Londrina - Governador José Richa</t>
  </si>
  <si>
    <t>TFN BR1 200213 AP-IX-00346</t>
  </si>
  <si>
    <t>Londrina</t>
  </si>
  <si>
    <t>Rua Tenente João Maurício Medeiros, 300 - Bairro Aeroporto</t>
  </si>
  <si>
    <t>86039-100</t>
  </si>
  <si>
    <t>NUCBR-1-23-0209</t>
  </si>
  <si>
    <t>Aeroporto Internacional de Navegantes</t>
  </si>
  <si>
    <t>TFN BR1 240116 AP-XIII-00741</t>
  </si>
  <si>
    <t>Navegantes</t>
  </si>
  <si>
    <t>Rua Manoel Leopoldo Rocha, s/n</t>
  </si>
  <si>
    <t>88370-564</t>
  </si>
  <si>
    <t>TFN BR1 240117 AP-XIII-00742</t>
  </si>
  <si>
    <t>56007-0</t>
  </si>
  <si>
    <t>Aeroporto de Palmas - Brigadeiro Lysias Rodrigues</t>
  </si>
  <si>
    <t>TFN BR1 210079 AP-IX-00469</t>
  </si>
  <si>
    <t>Palmas</t>
  </si>
  <si>
    <t>TO</t>
  </si>
  <si>
    <t>Avenida Joaquim Teotônio Segurado, s/n - Bairro Plano Diretor Expansão Sul</t>
  </si>
  <si>
    <t>77061-900</t>
  </si>
  <si>
    <t>Aeroporto Internacional de Pelotas - João Simões Lopes Neto</t>
  </si>
  <si>
    <t>TFN BR1 240129 AP-XIII-00754</t>
  </si>
  <si>
    <t>Pelotas</t>
  </si>
  <si>
    <t>Avenida Zeferino Costa, 1300 - Três Vendas</t>
  </si>
  <si>
    <t>96070-480</t>
  </si>
  <si>
    <t>56005-0</t>
  </si>
  <si>
    <t>Aeroporto de Petrolina - Senador Nilo Coelho</t>
  </si>
  <si>
    <t>TFN BR1 210075 AP-IX-00465</t>
  </si>
  <si>
    <t>Petrolina</t>
  </si>
  <si>
    <t>Avenida Doutor Ulysses Guimarães, s/n - Bairro Expansão Urbana</t>
  </si>
  <si>
    <t>56313-900</t>
  </si>
  <si>
    <t>54473-0</t>
  </si>
  <si>
    <t>Aeroporto Internacional de Curitiba - Afonso Pena</t>
  </si>
  <si>
    <t>TFN BR1 240065 AP-XIII-00690</t>
  </si>
  <si>
    <t>São José dos Pinhais</t>
  </si>
  <si>
    <t>Avenida Rocha Pombo - Águas Belas</t>
  </si>
  <si>
    <t>83010-620</t>
  </si>
  <si>
    <t>TFNBZ 14240118</t>
  </si>
  <si>
    <t>TFN BR1 240063 AP-XIII-00688</t>
  </si>
  <si>
    <t>TFN BR1 240064 AP-XIII-00689</t>
  </si>
  <si>
    <t>TFN BR1 240061 AP-XIII-00686</t>
  </si>
  <si>
    <t>TFN BR1 240062 AP-XIII-00687</t>
  </si>
  <si>
    <t>TFNAP 13240123</t>
  </si>
  <si>
    <t>83010-900</t>
  </si>
  <si>
    <t>TFN BR1 240121 AP-XIII-00746</t>
  </si>
  <si>
    <t>56008-0</t>
  </si>
  <si>
    <t>TFN BR1 240122 AP-XIII-00747</t>
  </si>
  <si>
    <t>TFNAP 13240122</t>
  </si>
  <si>
    <t>Aeroporto Internacional de São Luís - Marechal Cunha Machado</t>
  </si>
  <si>
    <t>54472-0</t>
  </si>
  <si>
    <t>São Luís</t>
  </si>
  <si>
    <t>Avenida dos Libaneses, 3503, Ponto 01 - Bairro Tirirical</t>
  </si>
  <si>
    <t>65056-480</t>
  </si>
  <si>
    <t>55609-0</t>
  </si>
  <si>
    <t>TFN BR1 240128 AP-XIII-00753</t>
  </si>
  <si>
    <t>TFN BR1 240126 AP-XIII-00751</t>
  </si>
  <si>
    <t>Aeroporto de Teresina - Senador Petrônio Portela</t>
  </si>
  <si>
    <t>54470-0</t>
  </si>
  <si>
    <t>Teresina</t>
  </si>
  <si>
    <t>PI</t>
  </si>
  <si>
    <t>Avenida Centenário, s/n - Bairro Aeroporto</t>
  </si>
  <si>
    <t>64006-012</t>
  </si>
  <si>
    <t>TFN BR1 210074 AP-IX-00464</t>
  </si>
  <si>
    <t>CCSP</t>
  </si>
  <si>
    <t>CONSELHO COMUNITÁRIO DE SEGURANÇA PÚBLICA DE CATAGUASES</t>
  </si>
  <si>
    <t>Penitenciária de Cataguases</t>
  </si>
  <si>
    <t>TFNEV-I-17189</t>
  </si>
  <si>
    <t>Cataguases</t>
  </si>
  <si>
    <t>Rua Francisco de Souza Peixoto, s/n - Bairro Jardins</t>
  </si>
  <si>
    <t>36772-002</t>
  </si>
  <si>
    <t>NUCBRF-1-23-0066</t>
  </si>
  <si>
    <t>3 Dias úteis</t>
  </si>
  <si>
    <t>CONSELHO COMUNITÁRIO DE SEGURANÇA PÚBLICA DE MURIAÉ</t>
  </si>
  <si>
    <t>Penitenciária de Muriaé</t>
  </si>
  <si>
    <t>TFNEV-I-17213</t>
  </si>
  <si>
    <t>Muriaé</t>
  </si>
  <si>
    <t>Unnamed Road</t>
  </si>
  <si>
    <t>36880-000</t>
  </si>
  <si>
    <t>NUCBR-1-21-0132</t>
  </si>
  <si>
    <t>CDCE</t>
  </si>
  <si>
    <t>COMPANHIA DOCAS DO CEARÁ</t>
  </si>
  <si>
    <t>Porto do Mucuripe</t>
  </si>
  <si>
    <t>MT1213LH</t>
  </si>
  <si>
    <t>TFN BR1 160001 CK-1-10878</t>
  </si>
  <si>
    <t xml:space="preserve">Praça Amigos da Marinha, s/n - Cais do Porto </t>
  </si>
  <si>
    <t>60180-422</t>
  </si>
  <si>
    <t>NUCBR-1-23-0139</t>
  </si>
  <si>
    <t>24H / 7 Dias</t>
  </si>
  <si>
    <t>CDSB</t>
  </si>
  <si>
    <t>COMPANHIA DOCAS DE SÃO SEBASTIÃO</t>
  </si>
  <si>
    <t>Porto de São Sebastião</t>
  </si>
  <si>
    <t>TFNAP-I-140095(TI)</t>
  </si>
  <si>
    <t>São Sebastião</t>
  </si>
  <si>
    <t>Avenida Doutor Altino Arantes - Centro</t>
  </si>
  <si>
    <t>11608-623</t>
  </si>
  <si>
    <t>NUCBR-1-25-0042</t>
  </si>
  <si>
    <t>TFNDU 10986</t>
  </si>
  <si>
    <t>CGMAPA</t>
  </si>
  <si>
    <t>COORD. GERAL DE EXECUÇÃO ORÇ. E FIN. DA MAPA</t>
  </si>
  <si>
    <t>MAPA</t>
  </si>
  <si>
    <t>TFN BR1 200256 AP-IX-00389</t>
  </si>
  <si>
    <t>Esplanada dos Ministérios, Bloco D</t>
  </si>
  <si>
    <t>70043-900</t>
  </si>
  <si>
    <t>NUCBRF-1-24-0007</t>
  </si>
  <si>
    <t>TFN BR1 210030 AP-IX-00420</t>
  </si>
  <si>
    <t>TFN BR1 210031 AP-IX-00421</t>
  </si>
  <si>
    <t>CNJ</t>
  </si>
  <si>
    <t>CONSELHO NACIONAL DE JUSTIÇA</t>
  </si>
  <si>
    <t>SEPN</t>
  </si>
  <si>
    <t>170097D</t>
  </si>
  <si>
    <t>Blocos E-F, SAF Sul, Quadra 2, Lotes 5-6</t>
  </si>
  <si>
    <t>70070-600</t>
  </si>
  <si>
    <t>NUCBR-1-18-0103</t>
  </si>
  <si>
    <t>08:00 - 18:00</t>
  </si>
  <si>
    <t>170099B</t>
  </si>
  <si>
    <t>COAE</t>
  </si>
  <si>
    <t>COMANDO DA AERONÁUTICA</t>
  </si>
  <si>
    <t>Centro Integrado de Defesa Aérea e Controle de Tráfego Aéreo II</t>
  </si>
  <si>
    <t>TR1000QC</t>
  </si>
  <si>
    <t>TFNBZ 09210031</t>
  </si>
  <si>
    <t>Curitiba</t>
  </si>
  <si>
    <t>Avenida Prefeito Erasto Gaertner, 1000 - Bairro Bacacheri</t>
  </si>
  <si>
    <t>82515-000</t>
  </si>
  <si>
    <t>NUCBRF-1-21-0003</t>
  </si>
  <si>
    <t>Horário Comercial</t>
  </si>
  <si>
    <t>Grupamento de Apoio de Manaus - FAB</t>
  </si>
  <si>
    <t>TFN BR1 200115 AP-XIII-00248</t>
  </si>
  <si>
    <t>Manaus</t>
  </si>
  <si>
    <t>AM</t>
  </si>
  <si>
    <t>Avenida Rodrigo Otávio, 35 - Bairro Crespo</t>
  </si>
  <si>
    <t>69075-005</t>
  </si>
  <si>
    <t>Centro Integrado de Defesa Aérea e Controle de Tráfego Aéreo III</t>
  </si>
  <si>
    <t>TFN BR1 200113 AP-XIII-00246</t>
  </si>
  <si>
    <t>Avenida Centenário Alberto Santos Dumont, s/n - Jordão Baixo</t>
  </si>
  <si>
    <t>51250-000</t>
  </si>
  <si>
    <t>TFNBZ 09220035</t>
  </si>
  <si>
    <t>Departamento de Controle do Espaço Aéreo</t>
  </si>
  <si>
    <t>TFN BR1 200114 AP-XIII-00247</t>
  </si>
  <si>
    <t>Avenida General Justo, 160 - Centro</t>
  </si>
  <si>
    <t>20021-130</t>
  </si>
  <si>
    <t>TFNBZ 09210034</t>
  </si>
  <si>
    <t>CODEMAR</t>
  </si>
  <si>
    <t>COMPANHIA DE DESENVOLVIMENTO DE MARICÁ</t>
  </si>
  <si>
    <t>Aeroporto Municipal de Maricá</t>
  </si>
  <si>
    <t>TFNPA-VI-130777</t>
  </si>
  <si>
    <t>Maricá</t>
  </si>
  <si>
    <t>Rua Jovino Duarte de Oliveira, 362 - Eldorado</t>
  </si>
  <si>
    <t>24900-000</t>
  </si>
  <si>
    <t>NUCBR-1-22-0139</t>
  </si>
  <si>
    <t>150388</t>
  </si>
  <si>
    <t>NUCBR-1-22-0171</t>
  </si>
  <si>
    <t>TFNAP-IX-150396</t>
  </si>
  <si>
    <t>Rua Jovino Duarte de Oliveira, 481, Galpão Central, 2º Andar - Centro</t>
  </si>
  <si>
    <t>24901-130</t>
  </si>
  <si>
    <t>NUCBR-1-24-0110</t>
  </si>
  <si>
    <t>TFNAP-IX-150392</t>
  </si>
  <si>
    <t>NUCBR-1-25-0145</t>
  </si>
  <si>
    <t>TFNAP 09240215</t>
  </si>
  <si>
    <t>NUCBRF-1-25-0016</t>
  </si>
  <si>
    <t>TFNAP 09240222</t>
  </si>
  <si>
    <t>TFNAP 09240223</t>
  </si>
  <si>
    <t>TFNAP-IX-150409</t>
  </si>
  <si>
    <t>NUCBR-1-25-0126</t>
  </si>
  <si>
    <t>COEP</t>
  </si>
  <si>
    <t>CONSELHO DA COMUNIDADE NA EXECUÇÃO PENAL</t>
  </si>
  <si>
    <t>Penitenciária Estadual de Santa Rosa</t>
  </si>
  <si>
    <t>15005</t>
  </si>
  <si>
    <t>Santa Rosa</t>
  </si>
  <si>
    <t>Rua Irmã Gilberta, 265 - Vila Agrícola</t>
  </si>
  <si>
    <t>98900-000</t>
  </si>
  <si>
    <t>NUCBR-1-23-0028</t>
  </si>
  <si>
    <t>CORREIOS</t>
  </si>
  <si>
    <t>EMPRESA BRASILEIRA DE CORREIOS E TELÉGRAFOS</t>
  </si>
  <si>
    <t>CTCE Belém</t>
  </si>
  <si>
    <t>TFNAP 13200150</t>
  </si>
  <si>
    <t>Ananindeua</t>
  </si>
  <si>
    <t>Rodovia Mário Covas, 435, Coqueiro</t>
  </si>
  <si>
    <t>67115-000</t>
  </si>
  <si>
    <t>NUCBR-1-20-0098</t>
  </si>
  <si>
    <t>CTCE Aracaju</t>
  </si>
  <si>
    <t>TFNAP 13200243</t>
  </si>
  <si>
    <t>Rua Acre, 1084 - Siqueira Campos</t>
  </si>
  <si>
    <t>49075-970</t>
  </si>
  <si>
    <t>NUCBR-1-20-0097</t>
  </si>
  <si>
    <t>TFNPA 08240523</t>
  </si>
  <si>
    <t>49075-959</t>
  </si>
  <si>
    <t>NUCBRF-1-24-0030</t>
  </si>
  <si>
    <t>7 Dias</t>
  </si>
  <si>
    <t>TFNPA 08240524</t>
  </si>
  <si>
    <t>CTCE Belo Horizonte</t>
  </si>
  <si>
    <t>TFNAP 13200154</t>
  </si>
  <si>
    <t>Belo Horizonte</t>
  </si>
  <si>
    <t>Rodovia Anel Rodoviario Celso Mello Azevedo, 20901 - Universitário</t>
  </si>
  <si>
    <t>30525-013</t>
  </si>
  <si>
    <t>NUCBR-1-20-0099</t>
  </si>
  <si>
    <t>CTCE Roraima</t>
  </si>
  <si>
    <t>TFNAP 13200151</t>
  </si>
  <si>
    <t>Boa Vista</t>
  </si>
  <si>
    <t>RR</t>
  </si>
  <si>
    <t>Avenida Nossa Senhora da Consolata, 3507 - Bairro São Vicente</t>
  </si>
  <si>
    <t>69303-970</t>
  </si>
  <si>
    <t>TFNAP 08240520</t>
  </si>
  <si>
    <t>Avenida Benjamin Constant, 3754 - São Vicente</t>
  </si>
  <si>
    <t>14 Dias</t>
  </si>
  <si>
    <t>CDD Cajamar</t>
  </si>
  <si>
    <t>TFNAP 13200217</t>
  </si>
  <si>
    <t>Cajamar</t>
  </si>
  <si>
    <t>Avenida Doutor João Abdalla, 2727 - Jordanesia</t>
  </si>
  <si>
    <t>07750-974</t>
  </si>
  <si>
    <t>CTCE Ceará</t>
  </si>
  <si>
    <t>TFNAP 13200158</t>
  </si>
  <si>
    <t>Avenida Oliveira Paiva, 2800 - Cambeba</t>
  </si>
  <si>
    <t>60820-100</t>
  </si>
  <si>
    <t>CTCE Rio de Janeiro</t>
  </si>
  <si>
    <t>TFNAP 13190427</t>
  </si>
  <si>
    <t>Ilha do Governador</t>
  </si>
  <si>
    <t>Ponta do Galeão, s/n</t>
  </si>
  <si>
    <t>21941-353</t>
  </si>
  <si>
    <t>TFNAP 13190418</t>
  </si>
  <si>
    <t>TFNAP 13190426</t>
  </si>
  <si>
    <t>TFNAP 13190416</t>
  </si>
  <si>
    <t>TFNAP 13190429</t>
  </si>
  <si>
    <t>CDD Indaiatuba</t>
  </si>
  <si>
    <t>TFNAP 13200240</t>
  </si>
  <si>
    <t>Indaiatuba</t>
  </si>
  <si>
    <t>Rodovia Engenheiro Ermênio de Oliveira Penteado, KM 62.25 - Helvétia</t>
  </si>
  <si>
    <t>13337-981</t>
  </si>
  <si>
    <t>CDD Jaguaré</t>
  </si>
  <si>
    <t>TFNAP 13200141</t>
  </si>
  <si>
    <t>Jaguaré</t>
  </si>
  <si>
    <t>Rua Mergenthaler, 592, Bloco 3, Andares 4-5</t>
  </si>
  <si>
    <t>05311-900</t>
  </si>
  <si>
    <t>TFNAP 13200143</t>
  </si>
  <si>
    <t>TFNAP 13200140</t>
  </si>
  <si>
    <t>TFNAP 13200216</t>
  </si>
  <si>
    <t>TFNAP 13200142</t>
  </si>
  <si>
    <t>CTCE Paraíba</t>
  </si>
  <si>
    <t>TFNAP 13200157</t>
  </si>
  <si>
    <t>Rodovia BR-230, KM 24.5, s/n - Cristo Redentor</t>
  </si>
  <si>
    <t>58071-900</t>
  </si>
  <si>
    <t>TFNPA 08240521</t>
  </si>
  <si>
    <t>CTCE Amapá</t>
  </si>
  <si>
    <t>TFNAP 13200148</t>
  </si>
  <si>
    <t>Macapá</t>
  </si>
  <si>
    <t>AP</t>
  </si>
  <si>
    <t>Rodovia Juscelino Kubitschek, 1660 - Jardim Marco Zero</t>
  </si>
  <si>
    <t>68903-970</t>
  </si>
  <si>
    <t>TFNPA 08240518</t>
  </si>
  <si>
    <t>Rodovia Josmar Chaves Pinto, 1660 - Jardim Marco Zero</t>
  </si>
  <si>
    <t>68903-197</t>
  </si>
  <si>
    <t>CTCE Alagoas</t>
  </si>
  <si>
    <t>TFNAP 13200156</t>
  </si>
  <si>
    <t>Rua João José Pereira Filho, 1776 - Tabuleiro do Martins</t>
  </si>
  <si>
    <t>57081-975</t>
  </si>
  <si>
    <t>TFNPA 08240517</t>
  </si>
  <si>
    <t>Travessa Governador Luiz Cavalcante, 1776 - Tabuleiro do Martins</t>
  </si>
  <si>
    <t>57081-002</t>
  </si>
  <si>
    <t>CTCE Manaus</t>
  </si>
  <si>
    <t>TFNAP 13200153</t>
  </si>
  <si>
    <t>Avenida Senador Raimundo Parente, 124 - Alvorada</t>
  </si>
  <si>
    <t>69048-662</t>
  </si>
  <si>
    <t>TFNAP 13240186</t>
  </si>
  <si>
    <t>CTCE Rio Grande do Norte</t>
  </si>
  <si>
    <t>TFNAP 13200245</t>
  </si>
  <si>
    <t>Natal</t>
  </si>
  <si>
    <t>RN</t>
  </si>
  <si>
    <t>Rua dos Tororós, 141 - Lagoa Nova</t>
  </si>
  <si>
    <t>59054-975</t>
  </si>
  <si>
    <t xml:space="preserve">TFNAP 13240187 </t>
  </si>
  <si>
    <t>59054-973</t>
  </si>
  <si>
    <t>CTCE Tocantins</t>
  </si>
  <si>
    <t>TFNAP 13200149</t>
  </si>
  <si>
    <t>Avenida Joaquim Teotonio Segurado, Conjunto 1, Lotes 5-6 - Plano Diretor Norte</t>
  </si>
  <si>
    <t>77001-128</t>
  </si>
  <si>
    <t>CTCE Rondônia</t>
  </si>
  <si>
    <t>TFNAP 13200159</t>
  </si>
  <si>
    <t>Porto Velho</t>
  </si>
  <si>
    <t>RO</t>
  </si>
  <si>
    <t>Avenida dos Imigrantes, 2137 - São Sebastião</t>
  </si>
  <si>
    <t>76801-973</t>
  </si>
  <si>
    <t>TFNPA 08240519</t>
  </si>
  <si>
    <t>76803-659</t>
  </si>
  <si>
    <t>CTCE Pernambuco</t>
  </si>
  <si>
    <t>TFNAP 13200244</t>
  </si>
  <si>
    <t>Avenida General San Martin, 1083 - Prado</t>
  </si>
  <si>
    <t>50630-972</t>
  </si>
  <si>
    <t>TFNAP 13240185</t>
  </si>
  <si>
    <t>50630-971</t>
  </si>
  <si>
    <t>CDD Ribeirão Preto</t>
  </si>
  <si>
    <t>TFNAP 13200241</t>
  </si>
  <si>
    <t>Ribeirão Preto</t>
  </si>
  <si>
    <t>Rua Antônio Fernandes Figueiroa, 1574 - Parque Residencial Lagoinha</t>
  </si>
  <si>
    <t>14095-970</t>
  </si>
  <si>
    <t>CTCE Acre</t>
  </si>
  <si>
    <t>TFNAP 13200152</t>
  </si>
  <si>
    <t>Rio Branco</t>
  </si>
  <si>
    <t>AC</t>
  </si>
  <si>
    <t>Rodovia BR-364, 2434, Prédios 2-3 - Vila Verde, Praia do Amapã</t>
  </si>
  <si>
    <t>69908-080</t>
  </si>
  <si>
    <t>CTCE Bahia</t>
  </si>
  <si>
    <t>TFNAP 13200155</t>
  </si>
  <si>
    <t>Salvador</t>
  </si>
  <si>
    <t>BA</t>
  </si>
  <si>
    <t>Rodovia BR-535, 991, KM 23.5 - Ceasa</t>
  </si>
  <si>
    <t>41400-971</t>
  </si>
  <si>
    <t>CTCE Maranhão</t>
  </si>
  <si>
    <t>TFNAP 13200247</t>
  </si>
  <si>
    <t>Rodovia BR-135, s/n, Galpão 3 - Tibiri</t>
  </si>
  <si>
    <t>65095-971</t>
  </si>
  <si>
    <t>CDD Vila Leopoldina</t>
  </si>
  <si>
    <t>TFNAP 13200130</t>
  </si>
  <si>
    <t>TFNAP 13200131</t>
  </si>
  <si>
    <t>TFNAP 13200136</t>
  </si>
  <si>
    <t>TFNAP 13200137</t>
  </si>
  <si>
    <t>TFNAP 13200138</t>
  </si>
  <si>
    <t>TFNAP 13200139</t>
  </si>
  <si>
    <t>CTCE Saúde</t>
  </si>
  <si>
    <t>TFNAP 13200218</t>
  </si>
  <si>
    <t>Rua do Boqueirão, 320 - Vila da Saúde</t>
  </si>
  <si>
    <t>04293-970</t>
  </si>
  <si>
    <t>TFNAP 13200219</t>
  </si>
  <si>
    <t>04293-971</t>
  </si>
  <si>
    <t>CTCE Vitória</t>
  </si>
  <si>
    <t>TFNAP 13200242</t>
  </si>
  <si>
    <t>Serra</t>
  </si>
  <si>
    <t>Avenida Copacabana, 1882 - Civit II</t>
  </si>
  <si>
    <t>29168-972</t>
  </si>
  <si>
    <t>CTCE Piauí</t>
  </si>
  <si>
    <t>TFNAP 13200246</t>
  </si>
  <si>
    <t>Avenida Professor Valter Alencar, 1940 - Monte Castelo</t>
  </si>
  <si>
    <t>64019-975</t>
  </si>
  <si>
    <t>TFNPA 08240522</t>
  </si>
  <si>
    <t>64017-425</t>
  </si>
  <si>
    <t>CDD Valinhos/ Campinas</t>
  </si>
  <si>
    <t>TFNAP 13190419</t>
  </si>
  <si>
    <t>Valinhos</t>
  </si>
  <si>
    <t>Rua Clark, 3401, Bairro Macuco</t>
  </si>
  <si>
    <t>13279-400</t>
  </si>
  <si>
    <t>TFNAP 13190425</t>
  </si>
  <si>
    <t>TFNAP 13190417</t>
  </si>
  <si>
    <t>DEPEN</t>
  </si>
  <si>
    <t>MINISTÉRIO DA JUSTIÇA E SEGURANÇA PÚBLICA - SECRETARIA NACIONAL DE POLITICAS PENAIS</t>
  </si>
  <si>
    <t>Colônia Penal Feminina do Recife</t>
  </si>
  <si>
    <t>TFN BR1 240008 AP-I-00633</t>
  </si>
  <si>
    <t xml:space="preserve"> Recife</t>
  </si>
  <si>
    <t>Rua do Bom Pastor, 1407 - Engenho do Meio</t>
  </si>
  <si>
    <t xml:space="preserve"> 50670-260</t>
  </si>
  <si>
    <t>NUCBRF-1-23-0024(2)</t>
  </si>
  <si>
    <t>2 Dias</t>
  </si>
  <si>
    <t>Capital: 6 Dias
DF: 10 Dias</t>
  </si>
  <si>
    <t>Casa de Prisão Provisória de Aparecida de Goiânia</t>
  </si>
  <si>
    <t>TFN BR1 230075 AP-I-00580</t>
  </si>
  <si>
    <t>Águas Lindas</t>
  </si>
  <si>
    <t>Rua Araxá - Mansões Savana</t>
  </si>
  <si>
    <t>72929-89</t>
  </si>
  <si>
    <t>Cadeia Pública de Altos Antonio José de Sousa Filho</t>
  </si>
  <si>
    <t>TFN BR1 230085 AP-I-00590</t>
  </si>
  <si>
    <t>Altos</t>
  </si>
  <si>
    <t>Rodovia BR-343, KM 26</t>
  </si>
  <si>
    <t>64280-000</t>
  </si>
  <si>
    <t>CDP de Altos</t>
  </si>
  <si>
    <t>TFN BR1 230089 AP-I-00594</t>
  </si>
  <si>
    <t>Rodovia BR-316, KM 26</t>
  </si>
  <si>
    <t>Unidade Prisional Estadual de Anápolis</t>
  </si>
  <si>
    <t>TFN BR1 230076 AP-I-00581</t>
  </si>
  <si>
    <t>Anápolis</t>
  </si>
  <si>
    <t>Rodovia BR-414, KM 7 (ao lado das Rações GM) - Zona Rural</t>
  </si>
  <si>
    <t>75073-805</t>
  </si>
  <si>
    <t>Penitenciária Feminina Consuelo Nasser</t>
  </si>
  <si>
    <t>TFN BR1 230072 AP-I-00577</t>
  </si>
  <si>
    <t>Aparecida de Goiânia</t>
  </si>
  <si>
    <t>Rodovia BR-153, KM 1290 - Vila Primária Um, Daiag</t>
  </si>
  <si>
    <t>74923-650</t>
  </si>
  <si>
    <t>TFN BR1 230087 AP-I-00592</t>
  </si>
  <si>
    <t>Avenida Eixo Viário, s/n - Distrito Agro Industrial</t>
  </si>
  <si>
    <t>Unidade Prisional de Aquiraz</t>
  </si>
  <si>
    <t>TFN BR1 230068 AP-I-00573</t>
  </si>
  <si>
    <t>Aquiraz</t>
  </si>
  <si>
    <t>Rodovia BR-116, KM 27</t>
  </si>
  <si>
    <t>61700-000</t>
  </si>
  <si>
    <t>Unidade Penal de Araguaína</t>
  </si>
  <si>
    <t>TFN BR1 230078 AP-I-00583</t>
  </si>
  <si>
    <t>Araguaína</t>
  </si>
  <si>
    <t xml:space="preserve">Rua Belo Horizonte, 38 </t>
  </si>
  <si>
    <t>77800-000</t>
  </si>
  <si>
    <t>Presídio Semiaberto de Areia Branca</t>
  </si>
  <si>
    <t>TFN BR1 240017 AP-I-00642</t>
  </si>
  <si>
    <t>Areia Branca</t>
  </si>
  <si>
    <t xml:space="preserve">Rodovia BR-235, KM 36 </t>
  </si>
  <si>
    <t>49580-000</t>
  </si>
  <si>
    <t>Centro de Ressocialização de Ariquemes</t>
  </si>
  <si>
    <t>TFN BR1 230066 AP-I-00571</t>
  </si>
  <si>
    <t>Ariquemes</t>
  </si>
  <si>
    <t>Rodovia BR-364, Linha C-75, Lote 28-A</t>
  </si>
  <si>
    <t>76870-192</t>
  </si>
  <si>
    <t>Penitenciária Regional de Bacabal</t>
  </si>
  <si>
    <t>TFN BR1 230021 AP-I-00526</t>
  </si>
  <si>
    <t>Bacabal</t>
  </si>
  <si>
    <t>Rodovia BR-316, KM 361, s/n - Povoado de Piratininga</t>
  </si>
  <si>
    <t>NUCBRF-1-23-0024(1)</t>
  </si>
  <si>
    <t>Presídio Lemos Brito</t>
  </si>
  <si>
    <t>TFN BR1 230083 AP-I-00588</t>
  </si>
  <si>
    <t>Bangu</t>
  </si>
  <si>
    <t>Estrada Evandro do Senna, s/n - Bangu</t>
  </si>
  <si>
    <t>Unidade de Trataemento Penal Barra do Grota</t>
  </si>
  <si>
    <t>TFNBR1_230074_AP-I-00579</t>
  </si>
  <si>
    <t>Barra do Grota</t>
  </si>
  <si>
    <t>Rodovia TO-222, KM 07 - Povoado de Barra do Grota</t>
  </si>
  <si>
    <t>77835-640</t>
  </si>
  <si>
    <t>Ministério da Justiça e Segurança Pública</t>
  </si>
  <si>
    <t>TFN BR1 230055 AP-I-00560</t>
  </si>
  <si>
    <t>Rodovia BR-174, KM 1.8</t>
  </si>
  <si>
    <t>69300-000</t>
  </si>
  <si>
    <t>Penitenciária Agrícola de Monte Cristo</t>
  </si>
  <si>
    <t>TFN BR1 240022 AP-I-00647</t>
  </si>
  <si>
    <t xml:space="preserve">Boa Vista </t>
  </si>
  <si>
    <t xml:space="preserve"> 69300-000</t>
  </si>
  <si>
    <t xml:space="preserve">Cadeia Pública Masculina de Boa Vista </t>
  </si>
  <si>
    <t>TFN BR1 240023 AP-I-00648</t>
  </si>
  <si>
    <t>Avenida Getúlio Vargas, 8120 - São Vicente</t>
  </si>
  <si>
    <t>69303-472</t>
  </si>
  <si>
    <t>DEPARTAMENTO PENITENCIÁRIO NACIONAL</t>
  </si>
  <si>
    <t>Departamento Penitencíaria Federal de Brasília</t>
  </si>
  <si>
    <t>TFN BR1 200116 AP-XIII-00249</t>
  </si>
  <si>
    <t>Rodovia DF-465, KM 04 - Fazenda Papuda</t>
  </si>
  <si>
    <t>71686-670</t>
  </si>
  <si>
    <t>NUCBR-1-22-0005</t>
  </si>
  <si>
    <t>Capital: 3 Dias
DF: 6 Dias</t>
  </si>
  <si>
    <t>15 Dias úteis</t>
  </si>
  <si>
    <t>Penitencíaria Federal de Brasília</t>
  </si>
  <si>
    <t>TFN BR1 200121 AP-XIII-00254</t>
  </si>
  <si>
    <t>Centro de Internamento e Reeducação</t>
  </si>
  <si>
    <t>TFN BR1 230117 AP-I-00622</t>
  </si>
  <si>
    <t>Unidade Prisional de Brejo</t>
  </si>
  <si>
    <t>TFN BR1 230080 AP-I-00585</t>
  </si>
  <si>
    <t>Brejo</t>
  </si>
  <si>
    <t xml:space="preserve">Rodovia BR-222 </t>
  </si>
  <si>
    <t>65520-000</t>
  </si>
  <si>
    <t>Centro Prisional Feminino de Cachoeiro de Itapemirim</t>
  </si>
  <si>
    <t>TFN BR1 240015 AP-I-00640</t>
  </si>
  <si>
    <t>Cachoeiro de Itapemirim</t>
  </si>
  <si>
    <t>Fazenda Monte Líbano, s/n - Zona Rural</t>
  </si>
  <si>
    <t>29300-970</t>
  </si>
  <si>
    <t>CTOC Professor Everardo Luna</t>
  </si>
  <si>
    <t>TFN BR1 230038 AP-I-00543</t>
  </si>
  <si>
    <t xml:space="preserve">Caetés </t>
  </si>
  <si>
    <t>Rua Rivaldo Pinho Alves, 751 - Distrito Industrial</t>
  </si>
  <si>
    <t>53540-170</t>
  </si>
  <si>
    <t>Penitenciária Desembargador Silvio Porto</t>
  </si>
  <si>
    <t>TFN BR1 230044 AP-I-00549</t>
  </si>
  <si>
    <t>R. Cel. Benevenuto Gonçalves da Costa - Mangabeira III</t>
  </si>
  <si>
    <t>58056-020</t>
  </si>
  <si>
    <t>Penitenciária Regional Padrão de Campina Grande</t>
  </si>
  <si>
    <t>TFN BR1 230119 AP-I-00624</t>
  </si>
  <si>
    <t>Rodovia BR-230, s/n - Serrotão</t>
  </si>
  <si>
    <t>3333-3110</t>
  </si>
  <si>
    <t>Penitenciária Raimundo Asfora</t>
  </si>
  <si>
    <t>TFN BR1 240003 AP-I-00628</t>
  </si>
  <si>
    <t>Presídio Carlos Tinoco da Fonseca</t>
  </si>
  <si>
    <t>TFN BR1 230082 AP-I-00587</t>
  </si>
  <si>
    <t>Campo dos Goytacazes</t>
  </si>
  <si>
    <t>Estrada Santa Rosa, s/n - Codin</t>
  </si>
  <si>
    <t>28087-970</t>
  </si>
  <si>
    <t>Departamento Penitencíaria Federal de Campo Grande</t>
  </si>
  <si>
    <t>TFN BR1 200117 AP-XIII-00250</t>
  </si>
  <si>
    <t>Avenida Henrique Bertin, 9813 - Jardim Los Angeles</t>
  </si>
  <si>
    <t>79073-785</t>
  </si>
  <si>
    <t>Penitenciária Estadual Masculina de Regime Fechado da Gameleira I</t>
  </si>
  <si>
    <t>TFN BR1 230033 AP-I-00538</t>
  </si>
  <si>
    <t>Estrada da Gameleira - KM 455 - Zona Rural</t>
  </si>
  <si>
    <t>79002-970</t>
  </si>
  <si>
    <t>Penitenciária Estadual Masculina de Regime Fechado da Gameleira II</t>
  </si>
  <si>
    <t>TFN BR1 230034 AP-I-00539</t>
  </si>
  <si>
    <t>Estabelecimento Penal Jair Ferreira De Carvalho</t>
  </si>
  <si>
    <t>TFN BR1 230025 AP-I-00530</t>
  </si>
  <si>
    <t>Rua Indianápolis, BR-262, KM 08, s/n - Jardim Noroeste</t>
  </si>
  <si>
    <t>79045-120</t>
  </si>
  <si>
    <t xml:space="preserve">Instituto Penal de Campo Grande </t>
  </si>
  <si>
    <t>TFN BR1 230032 AP-I-00537</t>
  </si>
  <si>
    <t>Presídio Estadual de Canelas</t>
  </si>
  <si>
    <t>TFN BR1 230107 AP-I-00612</t>
  </si>
  <si>
    <t>Canelas</t>
  </si>
  <si>
    <t>Rua Jahir de Veiga, 516 - Centro</t>
  </si>
  <si>
    <t>95680-000</t>
  </si>
  <si>
    <t>Unidade de Tratamento Penal de Cariri</t>
  </si>
  <si>
    <t>TFN BR1 230070 AP-I-00575</t>
  </si>
  <si>
    <t>Cariri</t>
  </si>
  <si>
    <t>Rodovia BR-153, KM 684 - Zona rural</t>
  </si>
  <si>
    <t>TFN BR1 230040 AP-I-00545</t>
  </si>
  <si>
    <t>Cadeia Cerejeiras Rondonia</t>
  </si>
  <si>
    <t>TFN BR1 240020 AP-I-00645</t>
  </si>
  <si>
    <t>Cerejeiras</t>
  </si>
  <si>
    <t>Avenida São Paulo, 1253 - Bairro Alvorada</t>
  </si>
  <si>
    <t>76997-000</t>
  </si>
  <si>
    <t>Penitenciária Industrial de Chapecó</t>
  </si>
  <si>
    <t>TFN BR1 230042 AP-I-00547</t>
  </si>
  <si>
    <t>Chapecó</t>
  </si>
  <si>
    <t>Presídio Estadual de Cruz Alta</t>
  </si>
  <si>
    <t>TFN BR1 240025 AP-I-00650</t>
  </si>
  <si>
    <t>Cruz Alta</t>
  </si>
  <si>
    <t>Rua Coronel João de Deus - Aliança</t>
  </si>
  <si>
    <t>98015-370</t>
  </si>
  <si>
    <t>TFN BR1 230077 AP-I-00582</t>
  </si>
  <si>
    <t>Cuiabá</t>
  </si>
  <si>
    <t>MT</t>
  </si>
  <si>
    <t>Alameda B, 400 - Jardim Industriário I</t>
  </si>
  <si>
    <t>78061-432</t>
  </si>
  <si>
    <t>Penitenciária Estadual de Dourados</t>
  </si>
  <si>
    <t>TFN BR1 240010 AP-I-00635</t>
  </si>
  <si>
    <t>Dourados</t>
  </si>
  <si>
    <t>Rodovia BR-163, KM 16, s/n</t>
  </si>
  <si>
    <t>79800-000</t>
  </si>
  <si>
    <t>Conjunto Penal de Feira de Santana</t>
  </si>
  <si>
    <t>TFN BR1 230092 AP-I-00597</t>
  </si>
  <si>
    <t>Feira de Santana</t>
  </si>
  <si>
    <t>Rua Olney Alberto São Paulo, 6198 - Limoeiro</t>
  </si>
  <si>
    <t>44095-325</t>
  </si>
  <si>
    <t>Penitenciária Manoel Neri</t>
  </si>
  <si>
    <t>TFN BR1 230112 AP-I-00617</t>
  </si>
  <si>
    <t>Formoso</t>
  </si>
  <si>
    <t>Avenida 25 de Agosto, Aeroporto Velho - Cruzeiro do Sul</t>
  </si>
  <si>
    <t>69980-000</t>
  </si>
  <si>
    <t>Penitenciária Francisco Sá</t>
  </si>
  <si>
    <t>TFN BR1 230116 AP-I-00621</t>
  </si>
  <si>
    <t>Francisco Sá</t>
  </si>
  <si>
    <t>Estrada de Francisco Sá, 14 - Canabrava</t>
  </si>
  <si>
    <t>39580-000</t>
  </si>
  <si>
    <t>Centro de Progressão Penitenciária de Franco da Rocha</t>
  </si>
  <si>
    <t>TFN BR1 240024 AP-I-00649</t>
  </si>
  <si>
    <t xml:space="preserve">Franco da Rocha </t>
  </si>
  <si>
    <t>Estrada do Governo, KM 41, s/n</t>
  </si>
  <si>
    <t>07859-340</t>
  </si>
  <si>
    <t>Portaria Central do Complexo de Gericinó</t>
  </si>
  <si>
    <t>TFN BR1 230048 AP-I-00553</t>
  </si>
  <si>
    <t>Gericinó</t>
  </si>
  <si>
    <t xml:space="preserve">Estrada General Emílio Maurell Filho, s/n - Gericinó </t>
  </si>
  <si>
    <t>21854-010</t>
  </si>
  <si>
    <t>Penitenciária Industrial Esmeraldino Bandeira</t>
  </si>
  <si>
    <t>TFN BR1 230081 AP-I-00586</t>
  </si>
  <si>
    <t>Centro de Detenção Provisória de Guarapari</t>
  </si>
  <si>
    <t>TFN BR1 230069 AP-I-00574</t>
  </si>
  <si>
    <t>Guarapari</t>
  </si>
  <si>
    <t>Rodovia do Sol, Contorno Argilino Dario, KM 51.3 - Maxinda</t>
  </si>
  <si>
    <t>29200-970</t>
  </si>
  <si>
    <t>Unidade Prisional Horizonte</t>
  </si>
  <si>
    <t>TFN BR1 230063 AP-I-00568</t>
  </si>
  <si>
    <t>Horizonte</t>
  </si>
  <si>
    <t xml:space="preserve">Avenida Celso da Silva Assunção, 990 </t>
  </si>
  <si>
    <t>62883-670</t>
  </si>
  <si>
    <t>Presídio de Igarassu</t>
  </si>
  <si>
    <t>TFN BR1 230114 AP-I-00619</t>
  </si>
  <si>
    <t>Igarassu</t>
  </si>
  <si>
    <t>Rodovia BR-101, KM 32.5 - Tabatinga</t>
  </si>
  <si>
    <t>53610-970</t>
  </si>
  <si>
    <t>Penitenciária Agroindustrial São João</t>
  </si>
  <si>
    <t>TFN BR1 230015 AP-I-00520</t>
  </si>
  <si>
    <t>Ilha de Itamaracá</t>
  </si>
  <si>
    <t>Rodovia PE-35, KM 10, s/n - Zona Rural</t>
  </si>
  <si>
    <t>53900-000</t>
  </si>
  <si>
    <t xml:space="preserve">Unidade de Custódia e Reinserção de Santa Izabel </t>
  </si>
  <si>
    <t>TFN BR1 230010 AP-I-00605</t>
  </si>
  <si>
    <t>Isabel do Pará</t>
  </si>
  <si>
    <t>Rodovia BR-316, KM 53 - Santa Isabel do Pará</t>
  </si>
  <si>
    <t>68790-000</t>
  </si>
  <si>
    <t>Unidade Prisional Regional de Itaberaí</t>
  </si>
  <si>
    <t>TFN BR1 240007 AP-I-00632</t>
  </si>
  <si>
    <t>Itaberaí</t>
  </si>
  <si>
    <t>Praça da Matriz, s/n - Centro</t>
  </si>
  <si>
    <t>76630-000</t>
  </si>
  <si>
    <t>Unidade Prisional de Ensino, Capacitação e Trabalho de Itaitinga</t>
  </si>
  <si>
    <t>TFN BR1 230056 AP-I-00561</t>
  </si>
  <si>
    <t>Itaitinga</t>
  </si>
  <si>
    <t>Rodovia BR-116, KM 17 - Vila Machado</t>
  </si>
  <si>
    <t>Unidade Prisional Professor José Sobreira Amorim</t>
  </si>
  <si>
    <t>TFN BR1 230064 AP-I-00569</t>
  </si>
  <si>
    <t>61880-000</t>
  </si>
  <si>
    <t>TFN BR1 230016 AP-I-00521</t>
  </si>
  <si>
    <t>Itapissuma</t>
  </si>
  <si>
    <t>Rodovia BR-101, s/n - Zona Rural</t>
  </si>
  <si>
    <t>53700-000</t>
  </si>
  <si>
    <t>y</t>
  </si>
  <si>
    <t>Presidio de Itaquitinga I</t>
  </si>
  <si>
    <t>TFN BR1 230017 AP-I-00522</t>
  </si>
  <si>
    <t>Itaquitinga</t>
  </si>
  <si>
    <t>Engenho Itapirema de Cima, s/n</t>
  </si>
  <si>
    <t>55950-000</t>
  </si>
  <si>
    <t>20 Dias úteis</t>
  </si>
  <si>
    <t>CIR Itaqutinga</t>
  </si>
  <si>
    <t>TFN BR1 230018 AP-I-00523</t>
  </si>
  <si>
    <t>Estabelecimento Penal Máximo Romero Jardim</t>
  </si>
  <si>
    <t>TFN BR1 240011 AP-I-00636</t>
  </si>
  <si>
    <t>Jardim</t>
  </si>
  <si>
    <t>Rua Antonio João, 226</t>
  </si>
  <si>
    <t>79240-000</t>
  </si>
  <si>
    <t>Penitenciária de Segurança Máxima Dr. Romeu Gonçalves de Abrantes</t>
  </si>
  <si>
    <t>TFN BR1 230039 AP-I-00544</t>
  </si>
  <si>
    <t>Rua Minervina, Via Pontes, s/n - Costa do Sol</t>
  </si>
  <si>
    <t>55920-000</t>
  </si>
  <si>
    <t>Unidade Penitenciária do Cariri</t>
  </si>
  <si>
    <t>TFN BR1 230111 AP-I-00616</t>
  </si>
  <si>
    <t>Rua Paizinho Sabiá, s/n - Campo Alegria</t>
  </si>
  <si>
    <t>63049-165</t>
  </si>
  <si>
    <t>Presídio Estadual de Lagoa Vermelha</t>
  </si>
  <si>
    <t>TFN BR1 240026 AP-I-00651</t>
  </si>
  <si>
    <t>Lagoa Vermelha</t>
  </si>
  <si>
    <t>Avenida Presidente Vargas, 3253 - Floresta</t>
  </si>
  <si>
    <t>95300-000</t>
  </si>
  <si>
    <t>Presídio Dr. Ênio Pessoa Guerra</t>
  </si>
  <si>
    <t>TFN BR1 230036 AP-I-00541</t>
  </si>
  <si>
    <t>Limoeiro</t>
  </si>
  <si>
    <t>Rodovia PE-90, KM 23 - Zona Rural Sítio Quebrajejum</t>
  </si>
  <si>
    <t>55700-000</t>
  </si>
  <si>
    <t>Penitenciária Regional de Linhares</t>
  </si>
  <si>
    <t>TFN BR1 240016 AP-I-00641</t>
  </si>
  <si>
    <t>Linhares</t>
  </si>
  <si>
    <t>Rua Projetada, s/n - Jardim Laguna</t>
  </si>
  <si>
    <t>29900-970</t>
  </si>
  <si>
    <t>CDP de Lucas do Rio Verde</t>
  </si>
  <si>
    <t>TFN BR1 230045 AP-I-00550</t>
  </si>
  <si>
    <t>Lucas do Rio Verde</t>
  </si>
  <si>
    <t>Avenida Goiás, 2191 - Bairro Jardim Palmeiras</t>
  </si>
  <si>
    <t>78100-000</t>
  </si>
  <si>
    <t>Coordenadoria de Penitenciária Feminina</t>
  </si>
  <si>
    <t>TFN BR1 230012 AP-I-00517</t>
  </si>
  <si>
    <t>Rua 09, 01 - Bairro Marabaixo I</t>
  </si>
  <si>
    <t>68906-519</t>
  </si>
  <si>
    <t>Coordenadoria da Colônia Penal</t>
  </si>
  <si>
    <t>TFN BR1 230010 AP-I-00515</t>
  </si>
  <si>
    <t>Rodovia Duca Serra, KM 07 - Cabralzinho</t>
  </si>
  <si>
    <t>68906-720</t>
  </si>
  <si>
    <t>Instituto de Administração Peniténciaria</t>
  </si>
  <si>
    <t>TFN BR1 230011 AP-I-00516</t>
  </si>
  <si>
    <t>Unidade de Segurança Máxima</t>
  </si>
  <si>
    <t>TFN BR1 230009 AP-I-00514</t>
  </si>
  <si>
    <t>Centro de Custódia Especial</t>
  </si>
  <si>
    <t>TFN BR1 230061 AP-I-00566</t>
  </si>
  <si>
    <t>Rua Djalma Nascimento, 1197 - Zerão</t>
  </si>
  <si>
    <t>68903-743</t>
  </si>
  <si>
    <t>Unidade Penitenciária Masculina Cadeião Macapá</t>
  </si>
  <si>
    <t>TFN BR1 240009 AP-I-00634</t>
  </si>
  <si>
    <t>Rodovia Duca Serra, 2403</t>
  </si>
  <si>
    <t>68906-301</t>
  </si>
  <si>
    <t>Instituto de Administração Penitenciária</t>
  </si>
  <si>
    <t>TFN BR1 230120 AP-I-00625</t>
  </si>
  <si>
    <t>Rodovia Duque de Caxias, KM 08, s/n - Cabralzinho</t>
  </si>
  <si>
    <t xml:space="preserve"> 68905-160</t>
  </si>
  <si>
    <t>Presídio Professor Cyridião Durval e Silva</t>
  </si>
  <si>
    <t>TFN BR1 230057 AP-I-00562</t>
  </si>
  <si>
    <t>Rodovia BR-104, KM 01, s/n - Bairro Cidade Universitária</t>
  </si>
  <si>
    <t>57072-250</t>
  </si>
  <si>
    <t>Penitenciária Masculina Baldomero Cavalcanti de Oliveira</t>
  </si>
  <si>
    <t>TFN BR1 240001 AP-I-00626</t>
  </si>
  <si>
    <t xml:space="preserve">Presídio Feminino Santa Luzia </t>
  </si>
  <si>
    <t>TFN BR1 230054 AP-I-00559</t>
  </si>
  <si>
    <t>Núcleo Ressocializador da Capital</t>
  </si>
  <si>
    <t>TFN BR1 240002 AP-I-00627</t>
  </si>
  <si>
    <t>Complexo Penitenciário Anísio Jobim Regime Fechado</t>
  </si>
  <si>
    <t>TFN BR1 230014 AP-I-00519</t>
  </si>
  <si>
    <t>Rodovia BR-174, KM 891 (Antigo KM 08)</t>
  </si>
  <si>
    <t>69048-990</t>
  </si>
  <si>
    <t>Centro de Detenção Provisória Masculino II</t>
  </si>
  <si>
    <t>TFN BR1 230013 AP-I-00518</t>
  </si>
  <si>
    <t>Centro de Detenção Masculino</t>
  </si>
  <si>
    <t>TFN BR1 230113 AP-I-00618</t>
  </si>
  <si>
    <t>Rodovia BR-174, KM 891</t>
  </si>
  <si>
    <t>Unidade Prisional de Purarequara</t>
  </si>
  <si>
    <t>TFN BR1 240012 AP-I-00637</t>
  </si>
  <si>
    <t>Rua Prisional Diana, s/n - Ramal Bela Vista - Bairro Purarequara</t>
  </si>
  <si>
    <t>Unidade de Custódia e Reinserçao de Marituba 1</t>
  </si>
  <si>
    <t>TFN BR1 230096 AP-I-00601</t>
  </si>
  <si>
    <t>Marituba</t>
  </si>
  <si>
    <t>Rodovia BR-316, KM 14</t>
  </si>
  <si>
    <t>67200-000</t>
  </si>
  <si>
    <t>Departamento Penitencíaria Federal de Mossoró</t>
  </si>
  <si>
    <t>TFN BR1 200119 AP-XIII-00252</t>
  </si>
  <si>
    <t>Mossoró</t>
  </si>
  <si>
    <t>Rodovia RN-15, KM 13 - Baraúnas</t>
  </si>
  <si>
    <t>59600-970</t>
  </si>
  <si>
    <t>Cadeia Pública Prof. Raimundo Nonato</t>
  </si>
  <si>
    <t>TFN BR1 230020 AP-I-00525</t>
  </si>
  <si>
    <t>Avenida Itapetinga, s/n - Cojunto Santarém - Bairro Potengi</t>
  </si>
  <si>
    <t>59124-010</t>
  </si>
  <si>
    <t xml:space="preserve">Complexo Penal Dr. João Chaves </t>
  </si>
  <si>
    <t>TFN BR1 230024 AP-I-00529</t>
  </si>
  <si>
    <t>59108-200</t>
  </si>
  <si>
    <t>Penitenciária Estadual Dr. Francisco Nogueira Fernandes</t>
  </si>
  <si>
    <t>TFN BR1 230022 AP-I-00527</t>
  </si>
  <si>
    <t>Nísia Floresta</t>
  </si>
  <si>
    <t>Rua Alcaçuz, s/n - Pium</t>
  </si>
  <si>
    <t>Instituto Penal Ismael Pereira Sirieiro</t>
  </si>
  <si>
    <t>TFN BR1 230050 AP-I-00555</t>
  </si>
  <si>
    <t>Niterói</t>
  </si>
  <si>
    <t>Alameda São Boa Ventura, 773 - Fonseca</t>
  </si>
  <si>
    <t>24130-001</t>
  </si>
  <si>
    <t>Presídio Dr. Rorenildo da Rocha Leão</t>
  </si>
  <si>
    <t>TFN BR1 240006 AP-I-00631</t>
  </si>
  <si>
    <t>Palmares</t>
  </si>
  <si>
    <t>Rodovia PE-096, KM 01, s/n</t>
  </si>
  <si>
    <t>55540-000</t>
  </si>
  <si>
    <t>Unidade Penal Regional de Palmas</t>
  </si>
  <si>
    <t xml:space="preserve">TFN BR1 230073 AP-I-00578 </t>
  </si>
  <si>
    <t>Rodocia TO-020, KM 02, Saída Aparecida Rio Negro</t>
  </si>
  <si>
    <t>77000-000</t>
  </si>
  <si>
    <t>Unidade Penal Regional de Paraíso</t>
  </si>
  <si>
    <t>TFN BR1 230071 AP-I-00576</t>
  </si>
  <si>
    <t>Paraíso do Tocantins</t>
  </si>
  <si>
    <t>Rua 15, 800, Setor Oeste</t>
  </si>
  <si>
    <t>Penitenciária Estadual de Parnamirim</t>
  </si>
  <si>
    <t>TFN BR1 230023 AP-I-00528</t>
  </si>
  <si>
    <t>Parnamirim</t>
  </si>
  <si>
    <t>Rua Nezinho Alves, s/n</t>
  </si>
  <si>
    <t>59150-000</t>
  </si>
  <si>
    <t>Penitenciaria de Segurança Máxima Procurador Romero Abdon Queiroz</t>
  </si>
  <si>
    <t>TFN BR1 230043 AP-I-00548</t>
  </si>
  <si>
    <t>Patos</t>
  </si>
  <si>
    <t>Rodovia BR-230, Rua Jardim Magnólia</t>
  </si>
  <si>
    <t>58700-000</t>
  </si>
  <si>
    <t>Unidade Paulo Afonso Conjunto Penal</t>
  </si>
  <si>
    <t>TFN BR1 230093 AP-I-00598</t>
  </si>
  <si>
    <t>Paulo Afonso</t>
  </si>
  <si>
    <t>Rua Maracanã, 28 - Tancredo Neves III</t>
  </si>
  <si>
    <t>48611-262</t>
  </si>
  <si>
    <t>CDP de Peixoto de Azevedo</t>
  </si>
  <si>
    <t>TFN BR1 230046 AP-I-00551</t>
  </si>
  <si>
    <t>Peixoto de Azevedo</t>
  </si>
  <si>
    <t>Avenida Cristóvão Colombo, s/n - Centro</t>
  </si>
  <si>
    <t>78500-000</t>
  </si>
  <si>
    <t>Penitenciária Doutor Edvaldo Gomes</t>
  </si>
  <si>
    <t>TFN BR1 230035 AP-I-00540</t>
  </si>
  <si>
    <t>Avenida Jatobá, 640 - Henrique Leite</t>
  </si>
  <si>
    <t>56300-000</t>
  </si>
  <si>
    <t>Penitenciária Regional José de Deus Barros</t>
  </si>
  <si>
    <t>TFN BR1 230086 AP-I-00591</t>
  </si>
  <si>
    <t>Picos</t>
  </si>
  <si>
    <t>Rodovia BR-316, KM 304 - Bairro Altamira</t>
  </si>
  <si>
    <t>64600-000</t>
  </si>
  <si>
    <t>Casa de Detenção Pimenta Bueno</t>
  </si>
  <si>
    <t>TFN BR1 240021 AP-I-00646</t>
  </si>
  <si>
    <t>Pimenta Bueno</t>
  </si>
  <si>
    <t>Avenida Presidente Dutra, s/n - Centro</t>
  </si>
  <si>
    <t>78984-000</t>
  </si>
  <si>
    <t xml:space="preserve">Penitenciária Estadual de Piraquara </t>
  </si>
  <si>
    <t>TFN BR1 230118 AP-I-00623</t>
  </si>
  <si>
    <t>Piraquara</t>
  </si>
  <si>
    <t>Rua Isídio Alves Ribeiro, s/n, - Planta Meireles</t>
  </si>
  <si>
    <t>83302-240</t>
  </si>
  <si>
    <t>Penitenciária Estadual de Piraquara</t>
  </si>
  <si>
    <t>TFN BR1 230079 AP-I-00584</t>
  </si>
  <si>
    <t>Rua Isídio Alves Ribeiro, s/n</t>
  </si>
  <si>
    <t>83320-001</t>
  </si>
  <si>
    <t>Cadeia Pública de Porto Alegre</t>
  </si>
  <si>
    <t>TFN BR1 230104 AP-I-00609</t>
  </si>
  <si>
    <t>Porto Alegre</t>
  </si>
  <si>
    <t>Avenida Rócio, 1100 - Vila João Pessoa</t>
  </si>
  <si>
    <t>91510-090</t>
  </si>
  <si>
    <t>TFN BR1 240027 AP-I-00652</t>
  </si>
  <si>
    <t xml:space="preserve">Departamento Penitencíaria Federal de Porto Velho </t>
  </si>
  <si>
    <t>TFN BR1 200120 AP-XIII-00253</t>
  </si>
  <si>
    <t>Rodovia BR-364, lote 13, Gleba 13 A - Sitio Boa Esperança</t>
  </si>
  <si>
    <t>78900-000</t>
  </si>
  <si>
    <t>Presídio Desembargador Augusto Duque</t>
  </si>
  <si>
    <t>TFN BR1 240013 AP-I-00638</t>
  </si>
  <si>
    <t>Prado Pesqueira</t>
  </si>
  <si>
    <t>Loteamento Novo Pontal</t>
  </si>
  <si>
    <t>55200-000</t>
  </si>
  <si>
    <t>Presídio Frei Damião de Bozzano</t>
  </si>
  <si>
    <t>TFN BR1 230037 AP-I-00542</t>
  </si>
  <si>
    <t>Rua Orfeu do Carnaval, s/n, Sancho</t>
  </si>
  <si>
    <t>50920-690</t>
  </si>
  <si>
    <t>Secretaria de Administração Penitenciária e Ressocialização</t>
  </si>
  <si>
    <t>TFN BR1 230115 AP-I-00620</t>
  </si>
  <si>
    <t>Rua Orfeu do Carnaval, s/n - Sancho</t>
  </si>
  <si>
    <t>Presídio Inspetor José Marinho Drumond</t>
  </si>
  <si>
    <t>TFN BR1 240005 AP-I-00630</t>
  </si>
  <si>
    <t>Ribeirão das Neves</t>
  </si>
  <si>
    <t>Rodovia MG-806, s/n - Santa Paula</t>
  </si>
  <si>
    <t>33805-970</t>
  </si>
  <si>
    <t>Grupamento Tático Movel</t>
  </si>
  <si>
    <t>TFN BR1 230049 AP-I-00554</t>
  </si>
  <si>
    <t>TFN BR1 240014 AP-I-00639</t>
  </si>
  <si>
    <t>Rio Grande do Sul</t>
  </si>
  <si>
    <t>Penitenciária Lemos de Brito</t>
  </si>
  <si>
    <t>TFN BR1 230090 AP-I-00595</t>
  </si>
  <si>
    <t>Rua Direta da Mata Escura, s/n - Complexo Penitenciário da Mata Escura</t>
  </si>
  <si>
    <t>41225-190</t>
  </si>
  <si>
    <t>Cadeia Pública de Salvador</t>
  </si>
  <si>
    <t>TFN BR1 230091 AP-I-00596</t>
  </si>
  <si>
    <t>Presídio de Salvador</t>
  </si>
  <si>
    <t>TFN BR1 230094 AP-I-00599</t>
  </si>
  <si>
    <t>Complexo Penitenciário Feminino</t>
  </si>
  <si>
    <t>TFN BR1 230095 AP-I-00600</t>
  </si>
  <si>
    <t>41225-000</t>
  </si>
  <si>
    <t>Unidade Penitenciária de Segurança Máxima 1</t>
  </si>
  <si>
    <t>TFN BR1 230098 AP-I-00603</t>
  </si>
  <si>
    <t>Santa Izabel</t>
  </si>
  <si>
    <t>68790-001</t>
  </si>
  <si>
    <t>Presídio Estadual de Santa Vitória do Palmar</t>
  </si>
  <si>
    <t>TFN BR1 230105 AP-I-00610</t>
  </si>
  <si>
    <t>Santa Vitória do Palmar</t>
  </si>
  <si>
    <t>Rua Sete de Setembro, 1195</t>
  </si>
  <si>
    <t>Unidade de Custódia Reinserção de Santarém</t>
  </si>
  <si>
    <t>TFN BR1 230097 AP-I-00602</t>
  </si>
  <si>
    <t>Rodovia Santarém, s/n - Alter do Chão</t>
  </si>
  <si>
    <t>68100-970</t>
  </si>
  <si>
    <t>Complexo Penitenciário Manoel Carvalho Neto</t>
  </si>
  <si>
    <t>TFN BR1 230060 AP-I-00565</t>
  </si>
  <si>
    <t>São Cristóvão</t>
  </si>
  <si>
    <t>Rodovia BR-101 - Povoado Timbó</t>
  </si>
  <si>
    <t>49110-000</t>
  </si>
  <si>
    <t>TFN BR1 230059 AP-I-00564</t>
  </si>
  <si>
    <t>Presídio Estadual de São Gabriel</t>
  </si>
  <si>
    <t>TFN BR1 230106 AP-I-00611</t>
  </si>
  <si>
    <t>São Gabriel</t>
  </si>
  <si>
    <t>Rua General Marques - Vila Baltar</t>
  </si>
  <si>
    <t>97300-000</t>
  </si>
  <si>
    <t xml:space="preserve">Unidade Presional São Luís </t>
  </si>
  <si>
    <t>TFN BR1 230030 AP-I-00535</t>
  </si>
  <si>
    <t>Rodovia BR-135 Engenheiro Emiliano Moreira, KM 14, s/n - Pedrinhas</t>
  </si>
  <si>
    <t>65095-603</t>
  </si>
  <si>
    <t xml:space="preserve">Portaria UPFEM </t>
  </si>
  <si>
    <t>TFN BR1 230029 AP-I-00534</t>
  </si>
  <si>
    <t>65095-602</t>
  </si>
  <si>
    <t>Unidade Pisional de São Luis 6</t>
  </si>
  <si>
    <t>TFN BR1 240018 AP-I-00643</t>
  </si>
  <si>
    <t>Rodovia BR-135, KM 13, S/N  Acesso a direita</t>
  </si>
  <si>
    <t>65000-000</t>
  </si>
  <si>
    <t>CDP de São Raimundo Nonato</t>
  </si>
  <si>
    <t>TFN BR1 230088 AP-I-00593</t>
  </si>
  <si>
    <t>São Raimundo Nonato</t>
  </si>
  <si>
    <t>Rodovia PI-140 - Localidade Lagoa</t>
  </si>
  <si>
    <t>64770-00</t>
  </si>
  <si>
    <t>Penitenciária do Quinari</t>
  </si>
  <si>
    <t>TFN BR1 230109 AP-I-00614</t>
  </si>
  <si>
    <t>Senador Guimard</t>
  </si>
  <si>
    <t>Rodovia BR-317, KM 11, s/n - Zona Rural</t>
  </si>
  <si>
    <t>69925-000</t>
  </si>
  <si>
    <t>Penitenciária Estadual de Sobradinho</t>
  </si>
  <si>
    <t>TFN BR1 230108 AP-I-00613</t>
  </si>
  <si>
    <t>Sobradinho</t>
  </si>
  <si>
    <t>Rua Fernando Ferrari, 565 - Vera Cruz</t>
  </si>
  <si>
    <t>96900-000</t>
  </si>
  <si>
    <t>Penitenciária de Tacaimbó</t>
  </si>
  <si>
    <t>TFN BR1 230051 AP-I-00556</t>
  </si>
  <si>
    <t>Tacaimbó</t>
  </si>
  <si>
    <t>Rodovia BR-232, KM 166 - Fazenda Água Branca</t>
  </si>
  <si>
    <t>55140-000</t>
  </si>
  <si>
    <t>CDP de Tangará da Serra</t>
  </si>
  <si>
    <t>TFN BR1 230047 AP-I-00552</t>
  </si>
  <si>
    <t>Tangará da Serra</t>
  </si>
  <si>
    <t>Rua das Cerejeiras, s/n - Bairro Jardim Industrial</t>
  </si>
  <si>
    <t>78300-000</t>
  </si>
  <si>
    <t>Penitenciária Regional Irmão Guido</t>
  </si>
  <si>
    <t>TFN BR1 230084 AP-I-00589</t>
  </si>
  <si>
    <t>Rodovia BR-316, KM 14 - Zona Rural</t>
  </si>
  <si>
    <t>64000-000</t>
  </si>
  <si>
    <t xml:space="preserve">Unidade Penitenciária de Tianguá </t>
  </si>
  <si>
    <t>TFN BR1 240004 AP-I-00629</t>
  </si>
  <si>
    <t>Tianguá</t>
  </si>
  <si>
    <t>Rodovia CE-187, s/n - Bairro Bom Jesus Tianguá</t>
  </si>
  <si>
    <t xml:space="preserve"> 62320-000</t>
  </si>
  <si>
    <t>Unidade Prisional de Ressocialização de Timon</t>
  </si>
  <si>
    <t>TFN BR1 230031 AP-I-00536</t>
  </si>
  <si>
    <t>Timon</t>
  </si>
  <si>
    <t>Rua 90, s/n - Conujnto Flores</t>
  </si>
  <si>
    <t>65636-600</t>
  </si>
  <si>
    <t>Penitenciária Regional de Timon</t>
  </si>
  <si>
    <t>TFN BR1 240019 AP-I-00644</t>
  </si>
  <si>
    <t>Rodovia BR-316, KM 15 - Povoado Maracujá</t>
  </si>
  <si>
    <t>65630-020</t>
  </si>
  <si>
    <t>Presídio Regional de Tobias Barreto</t>
  </si>
  <si>
    <t>TFN BR1 230058 AP-I-00563</t>
  </si>
  <si>
    <t>Tobias Barreto</t>
  </si>
  <si>
    <t>Rodovia Antônio Carlos Valadares, KM 4</t>
  </si>
  <si>
    <t>49300-000</t>
  </si>
  <si>
    <t>Unidade de Custódia Reinserção de Tucuruí</t>
  </si>
  <si>
    <t>TFN BR1 230099 AP-I-00604</t>
  </si>
  <si>
    <t>Tucuruí</t>
  </si>
  <si>
    <t>Rodovia PA-156, KM 04 - Transcametá, Nova Conquista, Tucuruí</t>
  </si>
  <si>
    <t>68456-640</t>
  </si>
  <si>
    <t>Centro de Ressocialização Industrial Ahmenon Lemos Dantas</t>
  </si>
  <si>
    <t>TFN BR1 230041 AP-I-00546</t>
  </si>
  <si>
    <t>Várzea Grande</t>
  </si>
  <si>
    <t>Avenida do Capão Grande, 351 - Capão Grande</t>
  </si>
  <si>
    <t>78110-001</t>
  </si>
  <si>
    <t xml:space="preserve">Penitenciária de Segurança Máxima I </t>
  </si>
  <si>
    <t>TFN BR1 230067 AP-I-00572</t>
  </si>
  <si>
    <t>Viana</t>
  </si>
  <si>
    <t>Rodovia BR-262, KM 18.5</t>
  </si>
  <si>
    <t>29130-055</t>
  </si>
  <si>
    <t>Penitenciária Estadual de Vila Velha I</t>
  </si>
  <si>
    <t>TFN BR1 230065 AP-I-00570</t>
  </si>
  <si>
    <t>Vila Velha</t>
  </si>
  <si>
    <t>Rodovia BR-101, KM 313 - Fazenda Santa Fé</t>
  </si>
  <si>
    <t>29100-000</t>
  </si>
  <si>
    <t>Penitenciária Estadual de Vila Velha II</t>
  </si>
  <si>
    <t>TFN BR1 230062 AP-I-00567</t>
  </si>
  <si>
    <t>Aguardando inst.</t>
  </si>
  <si>
    <t>DEPPEN</t>
  </si>
  <si>
    <t>SECRETARIA DE ESTADO DA SEGURANCA PUBLICA E ADMINISTRACAO PENITENCIARIA - SESP</t>
  </si>
  <si>
    <t>Cadeia Pública De Campo Mourão II</t>
  </si>
  <si>
    <t>TFNEV 01190040</t>
  </si>
  <si>
    <t>Campo Mourão</t>
  </si>
  <si>
    <t>Rua Celeste Keler Dec - Cidade Alta</t>
  </si>
  <si>
    <t xml:space="preserve"> 87308-070</t>
  </si>
  <si>
    <t>NUCBR-1-23-0045</t>
  </si>
  <si>
    <t>06:00 - 19:00</t>
  </si>
  <si>
    <t>Mensal</t>
  </si>
  <si>
    <t>SECRETARIA DE ESTADO DA SEGURANÇA PUBLICA</t>
  </si>
  <si>
    <t>Penitenciária Estadual de Cascavel</t>
  </si>
  <si>
    <t>TFNAP-IX-180224</t>
  </si>
  <si>
    <t>Cascavel</t>
  </si>
  <si>
    <t>Rodovia BR-277, KM 577</t>
  </si>
  <si>
    <t>85823-990</t>
  </si>
  <si>
    <t>NUCBR-1-19-0122</t>
  </si>
  <si>
    <t>Penitenciaria Industrial De Cascavel</t>
  </si>
  <si>
    <t>Rodovia BR-277, 560 - Distrito Industrial</t>
  </si>
  <si>
    <t>85818-560</t>
  </si>
  <si>
    <t>Penitenciaria Estadual De Cascavel</t>
  </si>
  <si>
    <t>Rodovia BR-277, KM 579</t>
  </si>
  <si>
    <t>Departamento Penitencíaria Federal de Catanduvas</t>
  </si>
  <si>
    <t>TFN BR1 200118 AP-XIII-00251</t>
  </si>
  <si>
    <t>Catanduvas</t>
  </si>
  <si>
    <t>Rodovia PR-471, KM 15 - Bairro Zona Rural</t>
  </si>
  <si>
    <t>85470-000</t>
  </si>
  <si>
    <t>Penitenciaria Estadual De Cruzeiro Do Oeste</t>
  </si>
  <si>
    <t>Cruzeiro do Oeste</t>
  </si>
  <si>
    <t xml:space="preserve">Rua Santo André, 310 </t>
  </si>
  <si>
    <t>87400-000</t>
  </si>
  <si>
    <t>11° Distrito de Curitiba</t>
  </si>
  <si>
    <t>TFNAP-IX-180259</t>
  </si>
  <si>
    <t>Rua Deputado Mario de Barros, 1290, Edifício Caetano M da Rocha - Centro Civico</t>
  </si>
  <si>
    <t>80530-280</t>
  </si>
  <si>
    <t>Casa De Custódia De Curitiba</t>
  </si>
  <si>
    <t>Rua João Gualberto, s/n - Colonia Dona Luiza</t>
  </si>
  <si>
    <t>83707-690</t>
  </si>
  <si>
    <t>Cadeia Pública De Curitiba</t>
  </si>
  <si>
    <t>TFNEV-I-17070</t>
  </si>
  <si>
    <t>Rua Manoel Valdomiro de Macedo, 2921 - CIC</t>
  </si>
  <si>
    <t>81170-150</t>
  </si>
  <si>
    <t>Penitenciária Estadual de Foz do Iguaçu II</t>
  </si>
  <si>
    <t>TFNAP-IX-180223</t>
  </si>
  <si>
    <t>Rua Mercúrio, 580</t>
  </si>
  <si>
    <t>85859-675</t>
  </si>
  <si>
    <t>Penitenciaria Estadual De Foz Do Iguaçu I</t>
  </si>
  <si>
    <t>Avenida Mercúrio, 850 - Parque Três Fronteiras</t>
  </si>
  <si>
    <t>85850-100</t>
  </si>
  <si>
    <t>Penitenciaria Estaudal De Foz Do Iguaçu II</t>
  </si>
  <si>
    <t>Cadeia Publica De Laudemir Neves</t>
  </si>
  <si>
    <t>Rua Vênus, 540, Rua Netuno, 182 - Parque Residencial Tres Fronteiras</t>
  </si>
  <si>
    <t>85859-685</t>
  </si>
  <si>
    <t>Penitenciária Estadual De Foz Do Iguaçu IV</t>
  </si>
  <si>
    <t>TFNEV-I-17264</t>
  </si>
  <si>
    <t>Avenida Mercúrio, 420 - Bairro Três Fronteiras</t>
  </si>
  <si>
    <t>Penitenciaria Estadual Francisco Beltrão</t>
  </si>
  <si>
    <t>Francisco Beltrão</t>
  </si>
  <si>
    <t>Rodovia BR-483, KM 12, s/n - Zona Rural</t>
  </si>
  <si>
    <t>85601-970</t>
  </si>
  <si>
    <t>Penitenciária Estadual De Guaíra</t>
  </si>
  <si>
    <t>TFNEV 01190039</t>
  </si>
  <si>
    <t>Guaíra</t>
  </si>
  <si>
    <t>Estrada do Norte, s/n</t>
  </si>
  <si>
    <t>85980-000</t>
  </si>
  <si>
    <t>Cadeia Pública de Guarapuava</t>
  </si>
  <si>
    <t>TFNAP-IX-180229</t>
  </si>
  <si>
    <t>Guarapuava</t>
  </si>
  <si>
    <t>Rua Barão de Capanema, 1700 - Batel</t>
  </si>
  <si>
    <t>85015-314</t>
  </si>
  <si>
    <t>Penitenciária Industrial de Guarapuava</t>
  </si>
  <si>
    <t>TFNAP-IX-180230</t>
  </si>
  <si>
    <t>Rua Dário Borges de Lis, 439 - São Cristovão</t>
  </si>
  <si>
    <t>85063-540</t>
  </si>
  <si>
    <t>Penitenciaria Industrial De Guarapuava</t>
  </si>
  <si>
    <t>Rua Dário Borges de Lis, 439 - São Cristóvão</t>
  </si>
  <si>
    <t>85063-530</t>
  </si>
  <si>
    <t>Penitenciaria Estadual De Guarapuava</t>
  </si>
  <si>
    <t xml:space="preserve">Rua Flávio Corrêa dos Santos, 400 </t>
  </si>
  <si>
    <t>Casa de Custódia de Londrina</t>
  </si>
  <si>
    <t>TFNAP-IX-180261</t>
  </si>
  <si>
    <t>Rodovia João Alves da Rocha, 5925 - Ouro Branco</t>
  </si>
  <si>
    <t>86041-271</t>
  </si>
  <si>
    <t>Casa De Custódia De Londrina</t>
  </si>
  <si>
    <t>Rodovia João Alves da Rocha Loures, 6000</t>
  </si>
  <si>
    <t>86109-990</t>
  </si>
  <si>
    <t>Penitenciaria Estadual De Lodrina II</t>
  </si>
  <si>
    <t>Penitenciaria Estadual De Lodrina I</t>
  </si>
  <si>
    <t>Rua Maria da Glória D. Casarin, 100 - Jardim Del Rei</t>
  </si>
  <si>
    <t>86045-140</t>
  </si>
  <si>
    <t>Centro De Reintegração Social De Londrina</t>
  </si>
  <si>
    <t>Rua Santa Marta, 427 - Espanha</t>
  </si>
  <si>
    <t>86027-550</t>
  </si>
  <si>
    <t>Penitenciária Estadual De Londrina III</t>
  </si>
  <si>
    <t>TFNEV 01190021</t>
  </si>
  <si>
    <t>Rua Maria da Glória Barroso Casarin, 100 - Jardim Del Rei</t>
  </si>
  <si>
    <t>Casa De Custódia De Maringa</t>
  </si>
  <si>
    <t>Maringa</t>
  </si>
  <si>
    <t>Estrada Velha para Paiçandu, 2704 - Gleba Ribeirão Colombo</t>
  </si>
  <si>
    <t>87065-165</t>
  </si>
  <si>
    <t>Penitenciaria Estadual De Maringá</t>
  </si>
  <si>
    <t>Estrada Velha para Paiçandu, Gleba Ribeirão Colombo</t>
  </si>
  <si>
    <t>87065-130</t>
  </si>
  <si>
    <t>Colônia Penal Industrial De Maringá</t>
  </si>
  <si>
    <t>Estrada Velha para Paiçandu, 2812 - Gleba Ribeirão Colombo</t>
  </si>
  <si>
    <t>Penitenciária Estadual de Maringá</t>
  </si>
  <si>
    <t>TFNAP-IX-180225</t>
  </si>
  <si>
    <t>Maringá</t>
  </si>
  <si>
    <t>Estrada Velha para Paiçandu, s/n</t>
  </si>
  <si>
    <t>87001-970</t>
  </si>
  <si>
    <t>FUNDO PENITENCIÁRIO DO PARANÁ</t>
  </si>
  <si>
    <t>Colônia Penal Industrial de Maringá</t>
  </si>
  <si>
    <t>TFNAP 09190157</t>
  </si>
  <si>
    <t>NUCBR-1-20-0005</t>
  </si>
  <si>
    <t>Complexo de Piraquara</t>
  </si>
  <si>
    <t>TFNAP-IX-170340</t>
  </si>
  <si>
    <t>Piaraquara</t>
  </si>
  <si>
    <t>Rua Isídio Alves Ribeiro, s/n - Planta Meireles</t>
  </si>
  <si>
    <t>83304-240</t>
  </si>
  <si>
    <t>TFNAP-IX-170341</t>
  </si>
  <si>
    <t>Colônia Penal Agroindustrial</t>
  </si>
  <si>
    <t>TFNAP-IX-180231</t>
  </si>
  <si>
    <t>Rua Isídio Alves Ribeiro, 4216-4636 - Planta Meireles</t>
  </si>
  <si>
    <t>Complexo Médico Penal</t>
  </si>
  <si>
    <t>TFNAP-IX-180244</t>
  </si>
  <si>
    <t>Pinhais</t>
  </si>
  <si>
    <t>Rua Ivone Pimentel, s/n - Canguiri</t>
  </si>
  <si>
    <t>83320-000</t>
  </si>
  <si>
    <t>Rua Ivone Pímentel, s/n - Canguiri</t>
  </si>
  <si>
    <t>Complexo Penitenciário De Piraquara</t>
  </si>
  <si>
    <t>TFNEV-I-17015</t>
  </si>
  <si>
    <t>Rua Isídio Alves Ribeiro - Planta Meireles</t>
  </si>
  <si>
    <t>TFNEV-I-17016</t>
  </si>
  <si>
    <t>TFNEV-I-17107</t>
  </si>
  <si>
    <t>Cadeia Pública Hidelbrando de Souza</t>
  </si>
  <si>
    <t>TFNAP 09190155</t>
  </si>
  <si>
    <t>Ponta Grossa</t>
  </si>
  <si>
    <t>Rua João Gualberto, s/n</t>
  </si>
  <si>
    <t>84046-070</t>
  </si>
  <si>
    <t>Penitenciaria Estadual De Ponta Grossa</t>
  </si>
  <si>
    <t>Rua Batuíra - Colonia Dona Luiza</t>
  </si>
  <si>
    <t>84043-190</t>
  </si>
  <si>
    <t>Cadeia Publica Hidelbrando De Souza</t>
  </si>
  <si>
    <t>Penitenciária Estadual De Ponta Grossa II</t>
  </si>
  <si>
    <t>TFNEV-I-17220</t>
  </si>
  <si>
    <t>Rua Curió, 150 - Colonia Dona Luiza</t>
  </si>
  <si>
    <t>84043-270</t>
  </si>
  <si>
    <t>Cadeia Pública de Rio Branco</t>
  </si>
  <si>
    <t>TFNAP 09190148</t>
  </si>
  <si>
    <t>Rio Branco do Sul</t>
  </si>
  <si>
    <t>Rua Doutor Zoni, 18</t>
  </si>
  <si>
    <t>83540-000</t>
  </si>
  <si>
    <t>Casa de Custódia de Curitiba</t>
  </si>
  <si>
    <t>TFNAP-IX-170373</t>
  </si>
  <si>
    <t>Rua Sebastiana Santana Fraga, 427 - Guatupê</t>
  </si>
  <si>
    <t>83060-500</t>
  </si>
  <si>
    <t>Casa de Custódia de São José dos Pinhais</t>
  </si>
  <si>
    <t>TFNAP-IX-170386</t>
  </si>
  <si>
    <t>Casa De Custódia De São José Dos Pinhais</t>
  </si>
  <si>
    <t>DGAP</t>
  </si>
  <si>
    <t>DIRETORIA GERAL DE ADMINISTRAÇÃO PENITENCIÁRIA</t>
  </si>
  <si>
    <t>Presídio Estadual de Anápolis</t>
  </si>
  <si>
    <t>TFNEV-I-17212</t>
  </si>
  <si>
    <t>Avenida Raimundo Carlos Costa e Silva, S/N - Q 12 - Jardim das Americas 3a Etapa</t>
  </si>
  <si>
    <t>75071-080</t>
  </si>
  <si>
    <t>NUCBR-1-24-0055</t>
  </si>
  <si>
    <t>Presídio Estadual Industrial</t>
  </si>
  <si>
    <t>TFNEV-I-17209</t>
  </si>
  <si>
    <t>Rodovia BR-153, KM 1292, Via Primária Um - Daiag</t>
  </si>
  <si>
    <t>Núcleo de Custódia</t>
  </si>
  <si>
    <t>TFNEV-I-17208</t>
  </si>
  <si>
    <t>Rodovia BR-153, KM 611 - Area Industrial</t>
  </si>
  <si>
    <t>74993-440</t>
  </si>
  <si>
    <t>Casa de Prisão Provisória</t>
  </si>
  <si>
    <t>TFNEV-I-17247</t>
  </si>
  <si>
    <t>Central de Triagem</t>
  </si>
  <si>
    <t>TFNEV-I-17248</t>
  </si>
  <si>
    <t>Via Eixo Viário, 860-1068 - Distrito Agro Industrial de Aparecida de Goiânia</t>
  </si>
  <si>
    <t>TFNEV-I-17243</t>
  </si>
  <si>
    <t>Penitenciária Coronel Odenir Guimarães</t>
  </si>
  <si>
    <t>TFNEV-I-17222</t>
  </si>
  <si>
    <t>TFNEV-I-17215</t>
  </si>
  <si>
    <t>Central Regional de Triagem</t>
  </si>
  <si>
    <t>TFN BR1 230027 AP-I-00532</t>
  </si>
  <si>
    <t>Rodovia BR-153, KM 1292 - Via Primária</t>
  </si>
  <si>
    <t>NUCBRF-1-23-0049</t>
  </si>
  <si>
    <t>Casa de Prisão Provisória de Aparecida de Goiania</t>
  </si>
  <si>
    <t>TFN BR1 230026 AP-I-00531</t>
  </si>
  <si>
    <t>TFN BR1 230028 AP-I-00533</t>
  </si>
  <si>
    <t>Presídio Estadual de Formosa</t>
  </si>
  <si>
    <t>TFNEV-I-17262</t>
  </si>
  <si>
    <t>Formosa</t>
  </si>
  <si>
    <t>Rua 08, quadra A, Loteamento Parque Serrano</t>
  </si>
  <si>
    <t>73804-590</t>
  </si>
  <si>
    <t>Presídio Regional de Itumbiara</t>
  </si>
  <si>
    <t>TFNEV-I-17256</t>
  </si>
  <si>
    <t>Itumbiara</t>
  </si>
  <si>
    <t>Rua Rita Mendes, s/n - Zona Rural, Povoado de Sarandi</t>
  </si>
  <si>
    <t>DGPP</t>
  </si>
  <si>
    <t>DIRETORIA GERAL DE POLÍCIA PENAL</t>
  </si>
  <si>
    <t>Unidade Prisional Regional de Acreúna</t>
  </si>
  <si>
    <t>HT2000GAL</t>
  </si>
  <si>
    <t>TFN BR1 240122 EV-I-00627</t>
  </si>
  <si>
    <t>Acreúna</t>
  </si>
  <si>
    <t>Avenida São Felipe, 147 - Setor Paineiras</t>
  </si>
  <si>
    <t>NUCBRF-1-25-0002</t>
  </si>
  <si>
    <t>Unidade Prisional Regional de Alexania</t>
  </si>
  <si>
    <t>TFN BR1 240131 EV-I-00636</t>
  </si>
  <si>
    <t>Alexânia</t>
  </si>
  <si>
    <t>Rua 12, Qd. 70, Lt. 4 - Centro</t>
  </si>
  <si>
    <t>72930-000</t>
  </si>
  <si>
    <t>Unidade Prisional Regional de Alto Paraíso de Goiás</t>
  </si>
  <si>
    <t>TFN BR1 240107 EV-I-00612</t>
  </si>
  <si>
    <t>Alto Paraíso de Goiás</t>
  </si>
  <si>
    <t>Avenida João Bernardes Rabelo, 30, Quadra 10, Lote 10</t>
  </si>
  <si>
    <t>TFN BR1 240094 EV-I-00599</t>
  </si>
  <si>
    <t>Rodovia BR-414</t>
  </si>
  <si>
    <t>Unidade Prisional Regional de Anicuns</t>
  </si>
  <si>
    <t>TFN BR1 240136 EV-I-00641</t>
  </si>
  <si>
    <t>Anicuns</t>
  </si>
  <si>
    <t>Avenida Marechal Deodoro da Fonseca, 606 - Centro</t>
  </si>
  <si>
    <t>76380-000</t>
  </si>
  <si>
    <t>TFN BR1 240089 EV-I-00594</t>
  </si>
  <si>
    <t>Via Eixo Viário - Distrito Agroindustrial de Aparecida de Goiânia</t>
  </si>
  <si>
    <t>TFN BR1 240090 EV-I-00595</t>
  </si>
  <si>
    <t>TFN BR1 240091 EV-I-00596</t>
  </si>
  <si>
    <t>Via Eixo Viário, s/n - Distrito Agroindustrial de Aparecida de Goiânia</t>
  </si>
  <si>
    <t xml:space="preserve">Central de Triagem </t>
  </si>
  <si>
    <t>TFN BR1 240092 EV-I-00597</t>
  </si>
  <si>
    <t>TFN BR1 240093 EV-I-00598</t>
  </si>
  <si>
    <t>Presidio Feminino de Consuelo Nasser</t>
  </si>
  <si>
    <t>TFN BR1 240097 EV-I-00602</t>
  </si>
  <si>
    <t>1290 Via Eixo Viário, 1264 - Distrito Agroindustrial de Aparecida de Goiânia</t>
  </si>
  <si>
    <t>TFN BR1 240098 EV-I-00603</t>
  </si>
  <si>
    <t>TFN BR1 240099 EV-I-00604</t>
  </si>
  <si>
    <t>Rodovia BR-153, KM 1292 - Área Industrial</t>
  </si>
  <si>
    <t>TFN BR1 240100 EV-I-00605</t>
  </si>
  <si>
    <t>Unidade Prisional Regional de Araçu</t>
  </si>
  <si>
    <t>TFN BR1 240119 EV-I-00624</t>
  </si>
  <si>
    <t>Araçu</t>
  </si>
  <si>
    <t>Avenida José Jacinto da Silva, Quadra 17, Lote 6 - Vila Capelandia</t>
  </si>
  <si>
    <t>71963-018</t>
  </si>
  <si>
    <t>Unidade Prisional Regional de Aruana</t>
  </si>
  <si>
    <t>TFN BR1 240109 EV-I-00614</t>
  </si>
  <si>
    <t>Aruana</t>
  </si>
  <si>
    <t>Rua Antônio Ferreira de Oliveira, 633 - Centro</t>
  </si>
  <si>
    <t>Unidade Prisional Regional Feminina de Barro Alto</t>
  </si>
  <si>
    <t>TFN BR1 240106 EV-I-00611</t>
  </si>
  <si>
    <t>Barro Alto</t>
  </si>
  <si>
    <t xml:space="preserve">Rua Américo Borges, 267 </t>
  </si>
  <si>
    <t>76390-000</t>
  </si>
  <si>
    <t>Unidade Bela Vista de Goiás</t>
  </si>
  <si>
    <t>TFN BR1 240141 EV-I-00646</t>
  </si>
  <si>
    <t>Bela Vista de Goiás</t>
  </si>
  <si>
    <t>Rua 12, Quadra 55 - Parque Las Vegas</t>
  </si>
  <si>
    <t>75240-000</t>
  </si>
  <si>
    <t>Unidade Prisional Regional de Caiaponia</t>
  </si>
  <si>
    <t>TFN BR1 240140 EV-I-00645</t>
  </si>
  <si>
    <t>Caiapônia</t>
  </si>
  <si>
    <t>Rua João José Cardoso, 1365 - Setor Norte</t>
  </si>
  <si>
    <t>75110-350</t>
  </si>
  <si>
    <t>Unidade Prisional Regional de Polícia Penal de Campos Belos</t>
  </si>
  <si>
    <t>TFN BR1 240115 EV-I-00620</t>
  </si>
  <si>
    <t>Campos Belos</t>
  </si>
  <si>
    <t>Rua Sete de Setembro</t>
  </si>
  <si>
    <t>73840-000</t>
  </si>
  <si>
    <t>Unidade Prisional Regional de Ceres</t>
  </si>
  <si>
    <t>TFN BR1 240125 EV-I-00630</t>
  </si>
  <si>
    <t>Ceres</t>
  </si>
  <si>
    <t>Rua 17-C - Setor Industrial</t>
  </si>
  <si>
    <t>76300-000</t>
  </si>
  <si>
    <t>Unidade Prisional Regional de Cristalina</t>
  </si>
  <si>
    <t>TFN BR1 240105 EV-I-00610</t>
  </si>
  <si>
    <t>Cristalina</t>
  </si>
  <si>
    <t>Rua Floresta, Quadra 08, Lote 50 - Cristalina Velha</t>
  </si>
  <si>
    <t>73850-000</t>
  </si>
  <si>
    <t>Unidade Prisional Regional de Edeia</t>
  </si>
  <si>
    <t>TFN BR1 240132 EV-I-00637</t>
  </si>
  <si>
    <t>Edeia</t>
  </si>
  <si>
    <t>Avenida Joaquim Vital, 41, 920-1006</t>
  </si>
  <si>
    <t>75940-000</t>
  </si>
  <si>
    <t>TFN BR1 240095 EV-I-00600</t>
  </si>
  <si>
    <t>Rua 7, 468-622 - Parque Serrano </t>
  </si>
  <si>
    <t>73804-585</t>
  </si>
  <si>
    <t>Unidade Prisional Regional Feminina de Formosa</t>
  </si>
  <si>
    <t>TFN BR1 240120 EV-I-00625</t>
  </si>
  <si>
    <t>Setor Central</t>
  </si>
  <si>
    <t>73801-540</t>
  </si>
  <si>
    <t>Unidade Prisional de Goianápolis</t>
  </si>
  <si>
    <t>TFN BR1 240116 EV-I-00621</t>
  </si>
  <si>
    <t>Goianápolis</t>
  </si>
  <si>
    <t>Rua Sebastião do Nascimento, 62 - Setor Hamaoka</t>
  </si>
  <si>
    <t>75170-000</t>
  </si>
  <si>
    <t>Unidade Prisional Regional da Cidade de Goiás</t>
  </si>
  <si>
    <t>TFN BR1 240117 EV-I-00622</t>
  </si>
  <si>
    <t>Goiás</t>
  </si>
  <si>
    <t>Avenida Dário de Paiva Sampaio, 865-883</t>
  </si>
  <si>
    <t>76600-000</t>
  </si>
  <si>
    <t>Unidade Prisional Regional de Indiara</t>
  </si>
  <si>
    <t>TFN BR1 240137 EV-I-00642</t>
  </si>
  <si>
    <t>Indiara</t>
  </si>
  <si>
    <t>Rua Dona Similiana Alves Leite, Quadra 16, Lote 2, s/n</t>
  </si>
  <si>
    <t>75955-000</t>
  </si>
  <si>
    <t>Unidade Prisional Regional Feminina de Inhumas</t>
  </si>
  <si>
    <t>TFN BR1 240129 EV-I-00634</t>
  </si>
  <si>
    <t>Inhumas</t>
  </si>
  <si>
    <t>Rua José de Arimatéia e Silva, 913-1019</t>
  </si>
  <si>
    <t>75400-000</t>
  </si>
  <si>
    <t>Unidade Prisional Regional de Ipameri</t>
  </si>
  <si>
    <t>TFN BR1 240143 EV-I-00648</t>
  </si>
  <si>
    <t>Ipameri</t>
  </si>
  <si>
    <t xml:space="preserve">Rua Intendente josé vaz, N 3 </t>
  </si>
  <si>
    <t xml:space="preserve"> 75780-000</t>
  </si>
  <si>
    <t>Unidade Prisional Regional Feminina de Israelândia</t>
  </si>
  <si>
    <t>TFN BR1 240139 EV-I-00644</t>
  </si>
  <si>
    <t>Israelândia</t>
  </si>
  <si>
    <t>Avenida Vereador Jovito Ferreira Soares, s/n - Centro</t>
  </si>
  <si>
    <t>76205-000</t>
  </si>
  <si>
    <t xml:space="preserve">Unidade Prisional Regional de Itaberaí </t>
  </si>
  <si>
    <t>TFN BR1 240121 EV-I-00626</t>
  </si>
  <si>
    <t>Unidade Prisional Regional de Itapuranga</t>
  </si>
  <si>
    <t>TFN BR1 240104 EV-I-00609</t>
  </si>
  <si>
    <t>Itapuranga</t>
  </si>
  <si>
    <t>Rua Quarenta e Sete-A, 900</t>
  </si>
  <si>
    <t>76680-000</t>
  </si>
  <si>
    <t>Unidade Prisional Regional de Itauçu</t>
  </si>
  <si>
    <t>TFN BR1 240123 EV-I-00628</t>
  </si>
  <si>
    <t>Itauçu</t>
  </si>
  <si>
    <t>Rua 10, Quadra 11, Lote 5 - Setor Cruzeiro do Sul</t>
  </si>
  <si>
    <t>72870-621</t>
  </si>
  <si>
    <t>TFN BR1 240096 EV-I-00601</t>
  </si>
  <si>
    <t>Unidade Prisional Regional de Jussara</t>
  </si>
  <si>
    <t>TFN BR1 240130 EV-I-00635</t>
  </si>
  <si>
    <t>Jussara</t>
  </si>
  <si>
    <t>Rodovia BR-070, KM 3 - Zona Rural</t>
  </si>
  <si>
    <t>76270-000</t>
  </si>
  <si>
    <t>Unidade Prisional Regional Feminina de Luziânia</t>
  </si>
  <si>
    <t>TFN BR1 240112 EV-I-00617</t>
  </si>
  <si>
    <t>Luziânia</t>
  </si>
  <si>
    <t>Rua 20, Lotes 18/22 - Setor Norte Serrinha (Antigo Caseia)</t>
  </si>
  <si>
    <t>72815-730</t>
  </si>
  <si>
    <t>Unidade Prisional Regional de Minaçu</t>
  </si>
  <si>
    <t>TFN BR1 240118 EV-I-00623</t>
  </si>
  <si>
    <t>Minaçu</t>
  </si>
  <si>
    <t>Avenida Tiradentes, s/n, Esquina com a rua 13 - Jardim Arimateia</t>
  </si>
  <si>
    <t>Unidade Prisional Regional de Mineiros</t>
  </si>
  <si>
    <t>TFN BR1 240103 EV-I-00608</t>
  </si>
  <si>
    <t>Mineiros</t>
  </si>
  <si>
    <t>Rua José Alício de Freitas, Esquina com a 2ª Av, 192 - Centro</t>
  </si>
  <si>
    <t>Unidade Prisional Regional de Mozarlândia</t>
  </si>
  <si>
    <t>TFN BR1 204111 EV-I-00616</t>
  </si>
  <si>
    <t>Mozarlândia</t>
  </si>
  <si>
    <t>Rua A, 40 - Setor Barreirinho</t>
  </si>
  <si>
    <t>Unidade Prisional Regional de Niquelandia</t>
  </si>
  <si>
    <t>TFN BR1 240128 EV-I-00633</t>
  </si>
  <si>
    <t>Niquelândia</t>
  </si>
  <si>
    <t>Rua 10, 7 - Bairro Santa Efigênia</t>
  </si>
  <si>
    <t>76420-000</t>
  </si>
  <si>
    <t>Unidade Prisional Regional de Nova Crixas</t>
  </si>
  <si>
    <t>TFN BR1 240124 EV-I-00629</t>
  </si>
  <si>
    <t>Nova Crixás</t>
  </si>
  <si>
    <t>Avenida Salomão José do Nascimento, Quadra 28, Lote 8, s/n</t>
  </si>
  <si>
    <t>76520-000</t>
  </si>
  <si>
    <t>Unidade Prisional Regional Feminina de Orizona</t>
  </si>
  <si>
    <t>TFN BR1 240138 EV-I-00643</t>
  </si>
  <si>
    <t>Orizona</t>
  </si>
  <si>
    <t>Avenida Joaquim Lourenço Bastos</t>
  </si>
  <si>
    <t>75280-000</t>
  </si>
  <si>
    <t>Unidade Prisional Regional de Palmeiras de Goiás</t>
  </si>
  <si>
    <t>TFN BR1 240135 EV-I-00640</t>
  </si>
  <si>
    <t>Palmeiras de Goias</t>
  </si>
  <si>
    <t>Rua 40 com Avenida Ceará - Setor Aeroporto</t>
  </si>
  <si>
    <t>74070-010</t>
  </si>
  <si>
    <t>Polícia Penal do Estado de Goiás</t>
  </si>
  <si>
    <t>TFN BR1 240126 EV-I-00631</t>
  </si>
  <si>
    <t>Pires do Rio</t>
  </si>
  <si>
    <t>Rua Francisco Rodrigues Naves, 99 - Centro</t>
  </si>
  <si>
    <t>75200-000</t>
  </si>
  <si>
    <t>Unidade Especial de Planaltina de Goias</t>
  </si>
  <si>
    <t>TFN BR1 240108 EV-I-00613</t>
  </si>
  <si>
    <t>Planaltina de Goias</t>
  </si>
  <si>
    <t>Avenida Elizio Vaz com Rua 11 - Zona Rural - Setor Norte</t>
  </si>
  <si>
    <t>Unidade Prisional Regional de Pontalina</t>
  </si>
  <si>
    <t>TFN BR1 240114 EV-I-00619</t>
  </si>
  <si>
    <t>Pontalina</t>
  </si>
  <si>
    <t>Avenida Bahia, 345-441</t>
  </si>
  <si>
    <t>75620-000</t>
  </si>
  <si>
    <t>Unidade Prisional Regional de Posse</t>
  </si>
  <si>
    <t>TFN BR1 240133 EV-I-00638</t>
  </si>
  <si>
    <t>Posse</t>
  </si>
  <si>
    <t>Rua Ramiro Vieira de Melo, Quadra 35, Lote 01 - Setor Guarani</t>
  </si>
  <si>
    <t>73900-000</t>
  </si>
  <si>
    <t>Unidade Prisional Regional Semi-Aberto de Rio Verde</t>
  </si>
  <si>
    <t>TFN BR1 240102 EV-I-00607</t>
  </si>
  <si>
    <t>Rio Verde</t>
  </si>
  <si>
    <t>Fazenda São Tomaz, KM 2.5</t>
  </si>
  <si>
    <t>75906-560</t>
  </si>
  <si>
    <t>Unidade Prisional Regional de Rubiataba</t>
  </si>
  <si>
    <t>TFN BR1 240142 EV-I-00647</t>
  </si>
  <si>
    <t>Ruiataba</t>
  </si>
  <si>
    <t>Praça Bacuri, 80 - Setor Centro</t>
  </si>
  <si>
    <t>73814-165</t>
  </si>
  <si>
    <t>Unidade Prisional Regional de Sanclerlândia</t>
  </si>
  <si>
    <t>TFN BR1 204113 EV-I-00618</t>
  </si>
  <si>
    <t>Sanclerlândia</t>
  </si>
  <si>
    <t>Avenida Presidente Kennedy, s/n. Área A - Setor Sul</t>
  </si>
  <si>
    <t>Unidade Prisional Regional de São Luís de Montes Belos</t>
  </si>
  <si>
    <t>TFN BR1 240101 EV-I-00606</t>
  </si>
  <si>
    <t>São Luís de Montes Belos</t>
  </si>
  <si>
    <t xml:space="preserve">R 3143, Rua Rio da Prata, 3109 </t>
  </si>
  <si>
    <t>76100-000</t>
  </si>
  <si>
    <t>Unidade Prisional Regional de São Miguel do Araguaia</t>
  </si>
  <si>
    <t>TFN BR1 240110 EV-I-00615</t>
  </si>
  <si>
    <t>São Miguel do Araguaia</t>
  </si>
  <si>
    <t>Rua 7, 340 - Centro</t>
  </si>
  <si>
    <t>Unidade Prisional Regional de Silvania</t>
  </si>
  <si>
    <t>TFN BR1 240127 EV-I-00632</t>
  </si>
  <si>
    <t>Silvânia</t>
  </si>
  <si>
    <t>Praça Celso Silva, 45 - Centro</t>
  </si>
  <si>
    <t>75180-000</t>
  </si>
  <si>
    <t>Unidade Prisional Regional de Simolandia</t>
  </si>
  <si>
    <t>TFN BR1 240134 EV-I-00639</t>
  </si>
  <si>
    <t>Simolândia</t>
  </si>
  <si>
    <t>Rua 9, Quadra 2, Lote 7 - Jardim Independência</t>
  </si>
  <si>
    <t>13335-000</t>
  </si>
  <si>
    <t>FLEX</t>
  </si>
  <si>
    <t>FLEXTRONICS INTERNATIONAL TECNOLOGIA LTDA</t>
  </si>
  <si>
    <t>Unidade Jaguariuna</t>
  </si>
  <si>
    <t>Jaguariuna</t>
  </si>
  <si>
    <t>Rodovia SP-340.5, KM 28.7 - Tanquinho Velho</t>
  </si>
  <si>
    <t>13820-000</t>
  </si>
  <si>
    <t>NUCBR-1-25-0164</t>
  </si>
  <si>
    <t>FNCA</t>
  </si>
  <si>
    <t>FUNDAÇÃO CENTRO DE ATENDIMENTO SOCIOEDUCATIVO AO ADOLESCENTE - FUNDAÇÃO CASA SP</t>
  </si>
  <si>
    <t>Casa Araçá</t>
  </si>
  <si>
    <t>TFNEV 01240033</t>
  </si>
  <si>
    <t>Araçatuba</t>
  </si>
  <si>
    <t>Estrada do Goulart, KM 1.45 - Bairro Fazenda do Estado</t>
  </si>
  <si>
    <t>16060-280</t>
  </si>
  <si>
    <t>NUCBRF-1-24-0016</t>
  </si>
  <si>
    <t>Metrop: 6H
Litoral: 8H</t>
  </si>
  <si>
    <t>Metrop: 8H
Litoral: 12H</t>
  </si>
  <si>
    <t>Casa Araçatuba</t>
  </si>
  <si>
    <t>TFNEV 01240037</t>
  </si>
  <si>
    <t>Estrada do Goulart, s/n - Bairro Santa Luzia</t>
  </si>
  <si>
    <t>16011-073</t>
  </si>
  <si>
    <t>Casa Araraquara</t>
  </si>
  <si>
    <t>TFNEV 01240036</t>
  </si>
  <si>
    <t>Araraquara</t>
  </si>
  <si>
    <t>Rua José Gorla, 145 - Condomínio Satélite</t>
  </si>
  <si>
    <t>14808-585</t>
  </si>
  <si>
    <t>Casa Atibaia</t>
  </si>
  <si>
    <t>TFNEV 01240057</t>
  </si>
  <si>
    <t>Atibaia</t>
  </si>
  <si>
    <t>Rodovia Fernão Dias, KM 27 - Tanque</t>
  </si>
  <si>
    <t>12954-000</t>
  </si>
  <si>
    <t>Casa Bauru</t>
  </si>
  <si>
    <t>TFNEV 01240059</t>
  </si>
  <si>
    <t>Bauru</t>
  </si>
  <si>
    <t>Avenida Lúcio Luciano - Carolina</t>
  </si>
  <si>
    <t>17031-600</t>
  </si>
  <si>
    <t>Casa Nelson Mandela</t>
  </si>
  <si>
    <t>TFNEV 01240060</t>
  </si>
  <si>
    <t>Casa Botucatu</t>
  </si>
  <si>
    <t>TFNEV 01240044</t>
  </si>
  <si>
    <t>Botucatu</t>
  </si>
  <si>
    <t>Avenida Ítalo Bacchi, s/n - Jardim Aeroporto</t>
  </si>
  <si>
    <t>18606-851</t>
  </si>
  <si>
    <t>Casa Topázio/ Itaparica</t>
  </si>
  <si>
    <t>TFNEV 01240011</t>
  </si>
  <si>
    <t>Brás</t>
  </si>
  <si>
    <t>Rua José Pascowitch, 100 - Chácara Everest, Rodovia Raposo Tavares, KM 21.</t>
  </si>
  <si>
    <t>06149-070</t>
  </si>
  <si>
    <t xml:space="preserve">Casa Cora Coralina/ Juquiá/ Rio Paraná/Rio Tâmisa </t>
  </si>
  <si>
    <t>TFNEV 01240027</t>
  </si>
  <si>
    <t>Rua Jupuruchita, 300</t>
  </si>
  <si>
    <t>03128-070</t>
  </si>
  <si>
    <t>Inativo</t>
  </si>
  <si>
    <t>Casa Rio Turiassu/ CAIP Gaivota/ Rio Tocantins</t>
  </si>
  <si>
    <t>TFNEV 01240030</t>
  </si>
  <si>
    <t>Rua Piratininga, 85</t>
  </si>
  <si>
    <t>03042-001</t>
  </si>
  <si>
    <t>Casa CAIP Andorinhas</t>
  </si>
  <si>
    <t>TFNEV 01240003</t>
  </si>
  <si>
    <t>Avenida Comendador Aladino Selmi, s/n - Vila San Martin</t>
  </si>
  <si>
    <t>13069-096</t>
  </si>
  <si>
    <t>Casa Campinas</t>
  </si>
  <si>
    <t>TFNEV 01240007</t>
  </si>
  <si>
    <t>Casa Maestro Carlos Gomes</t>
  </si>
  <si>
    <t>TFNEV 01240009</t>
  </si>
  <si>
    <t>Casa Caraguatatuba</t>
  </si>
  <si>
    <t>TFNEV 01240049</t>
  </si>
  <si>
    <t>Caraguatatuba</t>
  </si>
  <si>
    <t>Estrada Pirassununga, 600 - Bairro Barranco Alto</t>
  </si>
  <si>
    <t>11660-970</t>
  </si>
  <si>
    <t>Casa Feminina Anita Garibaldi</t>
  </si>
  <si>
    <t>TFNEV 01240042</t>
  </si>
  <si>
    <t>Cerqueira César</t>
  </si>
  <si>
    <t>Rodovia  Antônio Salim Curiati, KM 21 + 500M</t>
  </si>
  <si>
    <t>18760-000</t>
  </si>
  <si>
    <t>Casa Feminina Cerqueira César</t>
  </si>
  <si>
    <t>TFNEV 01240046</t>
  </si>
  <si>
    <t>Rodovia Antônio Salim Curiati, KM 21.5</t>
  </si>
  <si>
    <t>Casa João Paulo II</t>
  </si>
  <si>
    <t>TFNEV 01240050</t>
  </si>
  <si>
    <t>Casa Diadema</t>
  </si>
  <si>
    <t>TFNEV 01240001</t>
  </si>
  <si>
    <t>Diadema</t>
  </si>
  <si>
    <t>Avenida Antônio Piranga, 1500 - Centro</t>
  </si>
  <si>
    <t>09911-160</t>
  </si>
  <si>
    <t>Casa Franca</t>
  </si>
  <si>
    <t>TFNEV 01240013</t>
  </si>
  <si>
    <t>Franca</t>
  </si>
  <si>
    <t>Avenida Doutor Sidney Romeu de Andrade, s/n - Jardim Marambaia</t>
  </si>
  <si>
    <t>14409-652</t>
  </si>
  <si>
    <t>Casa Manacá da Serra</t>
  </si>
  <si>
    <t>TFNEV 01240021</t>
  </si>
  <si>
    <t>Franco da Rocha</t>
  </si>
  <si>
    <t>Rua Marcus Vinicius Donadel Góes</t>
  </si>
  <si>
    <t>13295-000</t>
  </si>
  <si>
    <t>Casa Novo Tempo/ CAIP Jacarandá/ Tapajós</t>
  </si>
  <si>
    <t>TFNEV 01240022</t>
  </si>
  <si>
    <t>Estrada do Governo, s/n - Bairro Pouso Alegre</t>
  </si>
  <si>
    <t>Casa Guarujá</t>
  </si>
  <si>
    <t>TFNEV 01230035</t>
  </si>
  <si>
    <t>Guarujá</t>
  </si>
  <si>
    <t>Avenida Adhemar de Barros, 571 - Vila Santo</t>
  </si>
  <si>
    <t>11430-000</t>
  </si>
  <si>
    <t>Casa Guarulhos</t>
  </si>
  <si>
    <t>TFNEV 01230031</t>
  </si>
  <si>
    <t>Rua Ministro Hipólito, 3650 - Rodovia Presidente Dutra, BR-101, KM 206</t>
  </si>
  <si>
    <t>07250-010</t>
  </si>
  <si>
    <t>Casa Guayi</t>
  </si>
  <si>
    <t>TFNEV 01230032</t>
  </si>
  <si>
    <t>Casa Serra da Cantareira</t>
  </si>
  <si>
    <t>TFNEV 01230034</t>
  </si>
  <si>
    <t>Casa Três Rios</t>
  </si>
  <si>
    <t>TFNEV 01240054</t>
  </si>
  <si>
    <t>Iaras</t>
  </si>
  <si>
    <t>Estrada Vicinal Jair Gilberto Campanatti, KM 2</t>
  </si>
  <si>
    <t>18775-000</t>
  </si>
  <si>
    <t>Casa Irapuru I</t>
  </si>
  <si>
    <t>TFNEV 01240035</t>
  </si>
  <si>
    <t>Irapuru</t>
  </si>
  <si>
    <t>Estrada Municipal 3, KM 6 - Bairro Patury (lado direito)</t>
  </si>
  <si>
    <t>17880-000</t>
  </si>
  <si>
    <t>Casa Irapuru II</t>
  </si>
  <si>
    <t>TFNEV 01240039</t>
  </si>
  <si>
    <t>Casa Esperança</t>
  </si>
  <si>
    <t>TFNEV 01240040</t>
  </si>
  <si>
    <t>Itapetininga</t>
  </si>
  <si>
    <t>Rodovia Gladys Bernardes Minhoro, SP-129, KM 63 - Vila Belo Horizonte</t>
  </si>
  <si>
    <t>18211-265</t>
  </si>
  <si>
    <t>Casa Itaqua</t>
  </si>
  <si>
    <t>TFNEV 01230038</t>
  </si>
  <si>
    <t>Itaquaquecetuba</t>
  </si>
  <si>
    <t xml:space="preserve">Estrada Pedro da Cunha Albuquerque Lopes, 3367 - Bairro Perobal </t>
  </si>
  <si>
    <t>08584-584</t>
  </si>
  <si>
    <t>Casa Terra Nova</t>
  </si>
  <si>
    <t>TFNEV 01230041</t>
  </si>
  <si>
    <t>Rua Zaire, 208 - Jardim Adriane</t>
  </si>
  <si>
    <t>08598-740</t>
  </si>
  <si>
    <t>Casa Itaquera</t>
  </si>
  <si>
    <t>TFNEV 01230029</t>
  </si>
  <si>
    <t>Itaquera</t>
  </si>
  <si>
    <t xml:space="preserve">Avenida Miguel Ignácio Curi, 1311 </t>
  </si>
  <si>
    <t>08295-005</t>
  </si>
  <si>
    <t>Casa Jacareí</t>
  </si>
  <si>
    <t>TFNEV 01240053</t>
  </si>
  <si>
    <t>Jacareí</t>
  </si>
  <si>
    <t>Rodovia Presidente Dutra, KM 173</t>
  </si>
  <si>
    <t>12300-000</t>
  </si>
  <si>
    <t>Casa Limeira</t>
  </si>
  <si>
    <t>TFNEV 01240017</t>
  </si>
  <si>
    <t>Limeira</t>
  </si>
  <si>
    <t>Rodovia Anhanguera, SP-330, KM 138, s/n - Jardim Olga Veroni</t>
  </si>
  <si>
    <t>13487-170</t>
  </si>
  <si>
    <t>Casa Morro Azul</t>
  </si>
  <si>
    <t>TFNEV 01240020</t>
  </si>
  <si>
    <t>Casa Rio Dourado</t>
  </si>
  <si>
    <t>TFNEV 01240034</t>
  </si>
  <si>
    <t>Lins</t>
  </si>
  <si>
    <t>Rodovia David Eid, KM 2</t>
  </si>
  <si>
    <t>16400-970</t>
  </si>
  <si>
    <t>Casa Vitória Régia</t>
  </si>
  <si>
    <t>TFNEV 01240038</t>
  </si>
  <si>
    <t>Rodovia David Eid, KM 1.5</t>
  </si>
  <si>
    <t>16401-490</t>
  </si>
  <si>
    <t>Casa Lorena</t>
  </si>
  <si>
    <t>TFNEV 01240048</t>
  </si>
  <si>
    <t>Lorena</t>
  </si>
  <si>
    <t>Estrada Chiquito de Aquino, KM 2 + 100M - Bairro Santa Lucrécia</t>
  </si>
  <si>
    <t>12612-550</t>
  </si>
  <si>
    <t>Casa Marília</t>
  </si>
  <si>
    <t>TFNEV 01240058</t>
  </si>
  <si>
    <t>Marília</t>
  </si>
  <si>
    <t>Rua Álvares Cabral, 466 - Distrito Avencas</t>
  </si>
  <si>
    <t>17501-100</t>
  </si>
  <si>
    <t>Casa Mauá</t>
  </si>
  <si>
    <t>TFNEV 01240005</t>
  </si>
  <si>
    <t>Mauá</t>
  </si>
  <si>
    <t>Avenida Papa João XXIII, 3471 - Vila Noêmia</t>
  </si>
  <si>
    <t>09370-800</t>
  </si>
  <si>
    <t>Casa Laranjeiras</t>
  </si>
  <si>
    <t>TFNEV 01240004</t>
  </si>
  <si>
    <t>Mogi Mirim</t>
  </si>
  <si>
    <t>Rodovia Wilson Finardi, SP-191, KM 7 + 817M</t>
  </si>
  <si>
    <t>01180-000</t>
  </si>
  <si>
    <t>Casa Mogi Mirim</t>
  </si>
  <si>
    <t>TFNEV 01240008</t>
  </si>
  <si>
    <t>13800-970</t>
  </si>
  <si>
    <t>Casa Mongaguá</t>
  </si>
  <si>
    <t>TFNEV 01240002</t>
  </si>
  <si>
    <t>Mongaguá</t>
  </si>
  <si>
    <t>Avenida dos Mariscos, s/n - Balneário Cavalo Marinho</t>
  </si>
  <si>
    <t>11730-000</t>
  </si>
  <si>
    <t>Casa Chiquinha Gonzaga</t>
  </si>
  <si>
    <t>TFNEV 01240028</t>
  </si>
  <si>
    <t>Mooca</t>
  </si>
  <si>
    <t>Avenida Ayrton Salvador Leopoldino Junior, s/n, Chácara 048 - CH Waldomiro Lobbe Sobrinho</t>
  </si>
  <si>
    <t>13570-829</t>
  </si>
  <si>
    <t>Casa Osasco I</t>
  </si>
  <si>
    <t>TFNEV 01240024</t>
  </si>
  <si>
    <t>Osasco</t>
  </si>
  <si>
    <t>Casa Osasco II</t>
  </si>
  <si>
    <t>TFNEV 01240012</t>
  </si>
  <si>
    <t>Rodovia SP-147, KM 138, s/n - Vila Areão</t>
  </si>
  <si>
    <t>13414-020</t>
  </si>
  <si>
    <t>Casa Peruíbe</t>
  </si>
  <si>
    <t>TFNEV 01240006</t>
  </si>
  <si>
    <t>Peruíbe</t>
  </si>
  <si>
    <t>Rodovia Padre Manoel da Nóbrega, KM 347, Rua 4 - Estância Pérola Negra</t>
  </si>
  <si>
    <t>Casa Rio Piracicaba</t>
  </si>
  <si>
    <t>TFNEV 01240025</t>
  </si>
  <si>
    <t>Piracicaba</t>
  </si>
  <si>
    <t>Rua Stéfano Mauser, 661 - Chácara Paraíso</t>
  </si>
  <si>
    <t>05175-200</t>
  </si>
  <si>
    <t>Casa Pirituba</t>
  </si>
  <si>
    <t>TFNEV 01240026</t>
  </si>
  <si>
    <t>Pirituba</t>
  </si>
  <si>
    <t>Rua Domingos Paiva, 618</t>
  </si>
  <si>
    <t>03043-070</t>
  </si>
  <si>
    <t>Casa Praia Grande I</t>
  </si>
  <si>
    <t>TFNEV 01240010</t>
  </si>
  <si>
    <t>Praia Grande</t>
  </si>
  <si>
    <t>Rua Cinco, 21 - Bairro Ribeirópolis</t>
  </si>
  <si>
    <t>11714-110</t>
  </si>
  <si>
    <t>Casa Praia Grande II</t>
  </si>
  <si>
    <t>TFNEV 01240019</t>
  </si>
  <si>
    <t>Rua Couto de Magalhães, 16 - Bairro Ribeirópolis</t>
  </si>
  <si>
    <t>11714-290</t>
  </si>
  <si>
    <t>Casa Candido Portinari</t>
  </si>
  <si>
    <t>TFNEV 01240029</t>
  </si>
  <si>
    <t>Rodovia Geovana Aparecida Deliberto, KM 2 - Zona Rural</t>
  </si>
  <si>
    <t>14034-000</t>
  </si>
  <si>
    <t>Casa Rio Pardo</t>
  </si>
  <si>
    <t>TFNEV 01240041</t>
  </si>
  <si>
    <t>Casa Ribeirão Preto</t>
  </si>
  <si>
    <t>TFNEV 01240045</t>
  </si>
  <si>
    <t>14001-970</t>
  </si>
  <si>
    <t>Casa Santo André II</t>
  </si>
  <si>
    <t>TFNEV 01230042</t>
  </si>
  <si>
    <t>Santo André</t>
  </si>
  <si>
    <t>Avenida Dom Jorge Marcos de Oliveira, 221 - Vila Guiomar</t>
  </si>
  <si>
    <t>09090-480</t>
  </si>
  <si>
    <t>Casa Santo André I</t>
  </si>
  <si>
    <t>TFNEV 01230039</t>
  </si>
  <si>
    <t>Avenida Dom Jorge Marcos de Oliveira, 193 - Vila Guiomar</t>
  </si>
  <si>
    <t>Casa São Bernardo I</t>
  </si>
  <si>
    <t>TFNEV 01230036</t>
  </si>
  <si>
    <t>São Bernardo</t>
  </si>
  <si>
    <t>Rua Servidão Particular, 112 - Bairro Batistini</t>
  </si>
  <si>
    <t>09842-095</t>
  </si>
  <si>
    <t>Casa São Carlos</t>
  </si>
  <si>
    <t>TFNEV 01240014</t>
  </si>
  <si>
    <t>São Carlos</t>
  </si>
  <si>
    <t>Rua Coronel Mursa, 270, 3º Andar</t>
  </si>
  <si>
    <t>03043-050</t>
  </si>
  <si>
    <t>Casa São José do Rio Preto</t>
  </si>
  <si>
    <t>TFNEV 01240056</t>
  </si>
  <si>
    <t>São José do Rio Preto</t>
  </si>
  <si>
    <t>Fazenda São Pedro</t>
  </si>
  <si>
    <t>15048-000</t>
  </si>
  <si>
    <t>Casa Tamoios/ Serra Mantiqueira</t>
  </si>
  <si>
    <t>TFNEV 01230026</t>
  </si>
  <si>
    <t>São José dos Campos</t>
  </si>
  <si>
    <t>Rodovia Dos Tamoios, KM 12 - Bairro da Pernambucana</t>
  </si>
  <si>
    <t>12228-845</t>
  </si>
  <si>
    <t>Casa Bela Vista/ Vila Guilherme/ Mario Covas</t>
  </si>
  <si>
    <t>TFNEV 01230030</t>
  </si>
  <si>
    <t xml:space="preserve">Avenida Condessa Elizabeth de Robiano, 450 - Vila  Maria </t>
  </si>
  <si>
    <t>03074-000</t>
  </si>
  <si>
    <t>Casa São Paulo/ Ônix</t>
  </si>
  <si>
    <t>TFNEV 01230033</t>
  </si>
  <si>
    <t>Casa Nova Vida/ Paulista</t>
  </si>
  <si>
    <t>TFNEV 01230037</t>
  </si>
  <si>
    <t>Avenida Morvan Dias de Figueiredo, 4222 - Vila Maria</t>
  </si>
  <si>
    <t>02170-000</t>
  </si>
  <si>
    <t>Casa Vila Leopoldina</t>
  </si>
  <si>
    <t>TFNEV 01230027</t>
  </si>
  <si>
    <t>Avenida Das Nações Unidas, 1233 - Vila Leopoldina</t>
  </si>
  <si>
    <t>05310-000</t>
  </si>
  <si>
    <t>Casa João do Pulo/ Ouro Preto</t>
  </si>
  <si>
    <t>TFNEV 01240023</t>
  </si>
  <si>
    <t>Pista Central Marginal Tietê - Jardim Andarai</t>
  </si>
  <si>
    <t>02113-004</t>
  </si>
  <si>
    <t>Casa Rith Pistori</t>
  </si>
  <si>
    <t>TFNEV 01240031</t>
  </si>
  <si>
    <t>Avenida do Estado, 1939 - Bom Retiro</t>
  </si>
  <si>
    <t>01107-000</t>
  </si>
  <si>
    <t>Casa Vila São Vicente</t>
  </si>
  <si>
    <t>TFNEV 01240018</t>
  </si>
  <si>
    <t>São Vicente</t>
  </si>
  <si>
    <t>Rodovia Padre Manel da Nóbrega, KM 66.5 - Bairro Jardim</t>
  </si>
  <si>
    <t>11346-300</t>
  </si>
  <si>
    <t>Casa Sertãozinho</t>
  </si>
  <si>
    <t>TFNEV 01240032</t>
  </si>
  <si>
    <t>Sertãozinho</t>
  </si>
  <si>
    <t>Rodovia Carlos Tonani, SP-333, KM 92 - Chácara Boa Vista</t>
  </si>
  <si>
    <t>14160-970</t>
  </si>
  <si>
    <t>Casa Sorocaba I</t>
  </si>
  <si>
    <t>TFNEV 01240043</t>
  </si>
  <si>
    <t>Sorocaba</t>
  </si>
  <si>
    <t>Avenida Antonio de Souza Netto, 550/560 - Aparecidinha</t>
  </si>
  <si>
    <t>18087-210</t>
  </si>
  <si>
    <t>Casa Sorocaba II</t>
  </si>
  <si>
    <t>TFNEV 01240047</t>
  </si>
  <si>
    <t>Casa Sorocaba III</t>
  </si>
  <si>
    <t>TFNEV 01240051</t>
  </si>
  <si>
    <t>Casa Sorocaba IV</t>
  </si>
  <si>
    <t>TFNEV 01240055</t>
  </si>
  <si>
    <t>Avenida Antonio de Souza Netto, 200 - Aparecidinha</t>
  </si>
  <si>
    <t>Casa Taubaté</t>
  </si>
  <si>
    <t>TFNEV 01240052</t>
  </si>
  <si>
    <t>Taubaté</t>
  </si>
  <si>
    <t>Avenida Amador Bueno da Veiga, 5050 - Jardim Jaraguá</t>
  </si>
  <si>
    <t>12062-400</t>
  </si>
  <si>
    <t>FRAP</t>
  </si>
  <si>
    <t>FRAPORT BRASIL</t>
  </si>
  <si>
    <t>Aeroporto Internacional de Fortaleza - Pinto Martins</t>
  </si>
  <si>
    <t>TFNAP-I-160540</t>
  </si>
  <si>
    <t>60741-215</t>
  </si>
  <si>
    <t>NUCBR-1-22-0123</t>
  </si>
  <si>
    <t>TFNBZ 14230121</t>
  </si>
  <si>
    <t>NUCBR-1-23-0161</t>
  </si>
  <si>
    <t>TFN BR1 230052 AP-I-00557</t>
  </si>
  <si>
    <t>NUCBR-1-23-0177</t>
  </si>
  <si>
    <t>TFN BR1 230053 AP-I-00558</t>
  </si>
  <si>
    <t>TFNPH 17250002</t>
  </si>
  <si>
    <t>NUCBR-1-25-0073</t>
  </si>
  <si>
    <t>TFNPH 17250003</t>
  </si>
  <si>
    <t>Aeroporto Internacional de Porto Alegre - Salgado Filho</t>
  </si>
  <si>
    <t>TFN BR1 240068 AP-XIII-00693</t>
  </si>
  <si>
    <t>Avenida Severo Dullius, 90010 - Anchieta</t>
  </si>
  <si>
    <t>90200-310</t>
  </si>
  <si>
    <t>NUCBR-1-24-0116</t>
  </si>
  <si>
    <t>55311-0</t>
  </si>
  <si>
    <t>55312-0</t>
  </si>
  <si>
    <t>55313-0</t>
  </si>
  <si>
    <t>TFN BR1 240066 AP-XIII-00691</t>
  </si>
  <si>
    <t>TFN BR1 240067 AP-XIII-00692</t>
  </si>
  <si>
    <t>00604010010023</t>
  </si>
  <si>
    <t>00604010010143</t>
  </si>
  <si>
    <t>00604010010145</t>
  </si>
  <si>
    <t>00604010010146</t>
  </si>
  <si>
    <t>00604010010147</t>
  </si>
  <si>
    <t>00604010010148</t>
  </si>
  <si>
    <t>00604010010150</t>
  </si>
  <si>
    <t>00604010010153</t>
  </si>
  <si>
    <t>00604010010149</t>
  </si>
  <si>
    <t>TFN BR1 240101 AP-XIII-00726</t>
  </si>
  <si>
    <t>TFN BR1 240104 AP-XIII-00729</t>
  </si>
  <si>
    <t>TFN BR1 240102 AP-XIII-00727</t>
  </si>
  <si>
    <t>TFN BR1 240105 AP-XIII-00730</t>
  </si>
  <si>
    <t>TFN BR1 240069 AP-XIII-00694</t>
  </si>
  <si>
    <t>55315-0</t>
  </si>
  <si>
    <t>55318-0</t>
  </si>
  <si>
    <t>TFN BR1 240103 AP-XIII-00728</t>
  </si>
  <si>
    <t>55316-0</t>
  </si>
  <si>
    <t>55317-0</t>
  </si>
  <si>
    <t>55314-0</t>
  </si>
  <si>
    <t>55319-0</t>
  </si>
  <si>
    <t>55320-0</t>
  </si>
  <si>
    <t>TFN BR1 240070 AP-XIII-00695</t>
  </si>
  <si>
    <t>TFNPH 17240014</t>
  </si>
  <si>
    <t>TFNPH 17240013</t>
  </si>
  <si>
    <t>TFNPH 17240015</t>
  </si>
  <si>
    <t>GATGRU</t>
  </si>
  <si>
    <t>GATGRU SERVIÇOS AUXILIARES AO TRANSPORTE AÉREO LTDA</t>
  </si>
  <si>
    <t>Aeroporto Internacional de São Paulo/ Guarulhos - Gov. André Franco Montoro</t>
  </si>
  <si>
    <t>TFNAP-I-100560</t>
  </si>
  <si>
    <t>Rodovia Hélio Smidt, s/n, Pátio VIP</t>
  </si>
  <si>
    <t>07190-100</t>
  </si>
  <si>
    <t>NUCBR-1-25-0057</t>
  </si>
  <si>
    <t>IAPEN</t>
  </si>
  <si>
    <t>FUNDO PENITENCIÁRIO DO ESTADO DO AMAPÁ</t>
  </si>
  <si>
    <t>Penitenciária Masculina - Cadeião</t>
  </si>
  <si>
    <t>TFNAP-IX-150186</t>
  </si>
  <si>
    <t>NUCBR-1-23-0083</t>
  </si>
  <si>
    <t>Não</t>
  </si>
  <si>
    <t>Colônia Penal - COLPE</t>
  </si>
  <si>
    <t>TFNAP-IX-150499</t>
  </si>
  <si>
    <t>TFNAP-IX-150536</t>
  </si>
  <si>
    <t>Penitenciária Feminina - COPEF</t>
  </si>
  <si>
    <t>TFNAP-IX-150534</t>
  </si>
  <si>
    <t>Rua 7, s/n - Marabaixo 1</t>
  </si>
  <si>
    <t>68900-000</t>
  </si>
  <si>
    <t>TFNAP-IX-150498</t>
  </si>
  <si>
    <t>IFAM</t>
  </si>
  <si>
    <t>INFRAMERICA CONCESSIONÁRIA DO AEROPORTO DE SÃO CONÇALO DO AMARANTE S.A.</t>
  </si>
  <si>
    <t>Aeroporto Internacional de Natal</t>
  </si>
  <si>
    <t>TFNBZ-IX-190002</t>
  </si>
  <si>
    <t>São Gonçalo do Amarante</t>
  </si>
  <si>
    <t>Avenida Doutor Ruy Pereira dos Santos, 3100 - Aeroporto</t>
  </si>
  <si>
    <t>59290-000</t>
  </si>
  <si>
    <t>NUCBR-1-23-0098</t>
  </si>
  <si>
    <t>IMCP</t>
  </si>
  <si>
    <t>INTERNATIONAL MEAL COMPANY ALIMENTAÇÃO LTDA - VIRACOPOS</t>
  </si>
  <si>
    <t>TFN BR1 230041 AP-XIII-00546</t>
  </si>
  <si>
    <t>Rodovia Santos Dumont, s/n, KM 66 - Jardim Itatinga</t>
  </si>
  <si>
    <t>NUCBRF-1-24-0033</t>
  </si>
  <si>
    <t>INFRAE</t>
  </si>
  <si>
    <t>INFRAERO</t>
  </si>
  <si>
    <t>NUCBRF-1-23-0058</t>
  </si>
  <si>
    <t>INOA</t>
  </si>
  <si>
    <t>INFRA OPERAÇÕES AEROPORTUÁRIAS</t>
  </si>
  <si>
    <t>Farol de São Tomé</t>
  </si>
  <si>
    <t>METTUS DX8S</t>
  </si>
  <si>
    <t>48329-0</t>
  </si>
  <si>
    <t>Campos dos Goytacazes</t>
  </si>
  <si>
    <t xml:space="preserve">Estrada Teotônio Ferreira de Araújo, 355 -Santo Amaro </t>
  </si>
  <si>
    <t>28140-000</t>
  </si>
  <si>
    <t>NUCBRF-1-23-0018</t>
  </si>
  <si>
    <t>48330-0</t>
  </si>
  <si>
    <t>METTUS MNI</t>
  </si>
  <si>
    <t>PN84183</t>
  </si>
  <si>
    <t>PN84184</t>
  </si>
  <si>
    <t>PN84185</t>
  </si>
  <si>
    <t>PN84186</t>
  </si>
  <si>
    <t>PN84187</t>
  </si>
  <si>
    <t>TFN BR1 200241 AP-IX-00374</t>
  </si>
  <si>
    <t>49149-0</t>
  </si>
  <si>
    <t>NUCBRF-1-23-0041</t>
  </si>
  <si>
    <t>49150-0</t>
  </si>
  <si>
    <t>TFN BR1 210005 AP-IX-00395</t>
  </si>
  <si>
    <t>JAD</t>
  </si>
  <si>
    <t>JADLOG LOGISTICA S.A.</t>
  </si>
  <si>
    <t>Filial Rio de Janeiro</t>
  </si>
  <si>
    <t>TFN BR1 200024 AP-IX-00157</t>
  </si>
  <si>
    <t>Rua Comandante Vergueiro da Cruz, 206 - Olari</t>
  </si>
  <si>
    <t>20920-010</t>
  </si>
  <si>
    <t>NUCBRF-1-25-0056</t>
  </si>
  <si>
    <t>TFN BR1 190098 AP-IX-00122</t>
  </si>
  <si>
    <t>Rua Miguel Nelson Bechara, 316 - Jardim Pereira Leite</t>
  </si>
  <si>
    <t>02712-130</t>
  </si>
  <si>
    <t>TFN BR1 200007 AP-IX-00140</t>
  </si>
  <si>
    <t>Avenida Jornalista Paulo Zingg, 810</t>
  </si>
  <si>
    <t>05157-030</t>
  </si>
  <si>
    <t>JFBA</t>
  </si>
  <si>
    <t>JUSTIÇA FEDERAL DE PRIMEIRO GRAU NA BAHIA</t>
  </si>
  <si>
    <t>Predio do Juizado Especiais Federais de Salvador</t>
  </si>
  <si>
    <t>TFN BR1 200008 AP-IX-00141</t>
  </si>
  <si>
    <t>Bom Jesus da Lapa</t>
  </si>
  <si>
    <t>Avenida Agenor Magalhães, s/n - Bairro Mirante da Lapa</t>
  </si>
  <si>
    <t xml:space="preserve"> 47600-000</t>
  </si>
  <si>
    <t>NUCBRF-1-23-0014-1</t>
  </si>
  <si>
    <t>Fórum Da Comarca De Ilhéus</t>
  </si>
  <si>
    <t>TFN BR1 200013 AP-IX-00146</t>
  </si>
  <si>
    <t>Campo Formoso</t>
  </si>
  <si>
    <t>Praça Raulindo Saturnino, s/n - Raulindo Saturnino</t>
  </si>
  <si>
    <t>44790-000</t>
  </si>
  <si>
    <t>Forum de Eunapolis</t>
  </si>
  <si>
    <t>TFN BR1 190096 AP-IX-00120</t>
  </si>
  <si>
    <t>Eunapolis</t>
  </si>
  <si>
    <t>Loteamento Santa Isabel, s/n</t>
  </si>
  <si>
    <t>45820-000</t>
  </si>
  <si>
    <t>NUCBRF-1-20-0010</t>
  </si>
  <si>
    <t>Fórum Da Comarca De Paulo Afonso</t>
  </si>
  <si>
    <t>TFN BR1 200223 AP-IX-00356</t>
  </si>
  <si>
    <t>Rua Turquia, s/n - Ponto Central</t>
  </si>
  <si>
    <t>44075-295</t>
  </si>
  <si>
    <t>Fórum Da Comarca De Jequié</t>
  </si>
  <si>
    <t>TFN BR1 200197 AP-IX-00330</t>
  </si>
  <si>
    <t>Guanambi</t>
  </si>
  <si>
    <t>Avenida Messias Pereira Donato, 444 - Aeroporto Velho</t>
  </si>
  <si>
    <t>46430-000</t>
  </si>
  <si>
    <t>Fórum Da Comarca De Campo Formoso</t>
  </si>
  <si>
    <t>TFN BR1 200230 AP-IX-00363</t>
  </si>
  <si>
    <t>Ilhéus</t>
  </si>
  <si>
    <t>Rua Ministro José Cândido, 80 - Centro</t>
  </si>
  <si>
    <t>45653-542</t>
  </si>
  <si>
    <t xml:space="preserve">Fórum Da Comarca De Irecê </t>
  </si>
  <si>
    <t>TFN BR1 200238 AP-IX-00371</t>
  </si>
  <si>
    <t>Irecê</t>
  </si>
  <si>
    <t>Rua Rio Corrente, s/n - Loteamento Jardim Tropical</t>
  </si>
  <si>
    <t>44900-000</t>
  </si>
  <si>
    <t>NUCBRF-1-23-0008-2</t>
  </si>
  <si>
    <t>Justiça Federal de Itabuna</t>
  </si>
  <si>
    <t>TFN BR1 210057 AP-IX-00447</t>
  </si>
  <si>
    <t>Itabuna</t>
  </si>
  <si>
    <t>Avenida Amélia Amado, 331 - Centro</t>
  </si>
  <si>
    <t>45600-033</t>
  </si>
  <si>
    <t>NUCBRF-1-23-0008-5</t>
  </si>
  <si>
    <t>Fórum Da Comarca De Bom Jesus Da Lapa</t>
  </si>
  <si>
    <t>TFN BR1 200249 AP-IX-00382</t>
  </si>
  <si>
    <t>Jequié</t>
  </si>
  <si>
    <t>Rua Gildélito Ferraz, s/n - Jequiezinho</t>
  </si>
  <si>
    <t>45208-415</t>
  </si>
  <si>
    <t>Justiça Federal de Juazeiro</t>
  </si>
  <si>
    <t>TFN BR1 210054 AP-IX-00444</t>
  </si>
  <si>
    <t>Juazeiro</t>
  </si>
  <si>
    <t>Avenida Comissão do Vale - Piranga</t>
  </si>
  <si>
    <t>48900-056</t>
  </si>
  <si>
    <t>NUCBRF-1-23-0008-4</t>
  </si>
  <si>
    <t>Fórum Da Comarca De Feira De Santana</t>
  </si>
  <si>
    <t>TFN BR1 200209 AP-IX-00342</t>
  </si>
  <si>
    <t>Rua Bahia lote 190, quadra 3 - General Dutra</t>
  </si>
  <si>
    <t>Predio do Juizados Especiais Federais de Salvador</t>
  </si>
  <si>
    <t>TFN BR1 190095 AP-IX-00119</t>
  </si>
  <si>
    <t>4ª Avenida Centro Administrativo da Bahia, 745-002</t>
  </si>
  <si>
    <t>41745-002</t>
  </si>
  <si>
    <t>Justiça Federal de Teixeira de Freitas</t>
  </si>
  <si>
    <t>TFN BR1 210060 AP-IX-00450</t>
  </si>
  <si>
    <t>Teixeira de Freitas</t>
  </si>
  <si>
    <t>Avenida Marechal Castelo Branco, 229 - Centro</t>
  </si>
  <si>
    <t>06790-070</t>
  </si>
  <si>
    <t>JFMA</t>
  </si>
  <si>
    <t>JUSTIÇA FEDERAL DE PRIMEIRO GRAU NO MARANHÃO</t>
  </si>
  <si>
    <t>Subseção Judiciária de Bacabal</t>
  </si>
  <si>
    <t>TFN BR1 210016 AP-IX-00406</t>
  </si>
  <si>
    <t>Rua Frederico Lêda, 1910 – Centro</t>
  </si>
  <si>
    <t>65700-000</t>
  </si>
  <si>
    <t>NUCBRF-1-21-0016</t>
  </si>
  <si>
    <t>3 Dias</t>
  </si>
  <si>
    <t>Subseção Judiciária de Balsas</t>
  </si>
  <si>
    <t>TFN BR1 210018 AP-IX-00408</t>
  </si>
  <si>
    <t>Balsas</t>
  </si>
  <si>
    <t>Rodovia BR-230, s/n – Setor Industrial</t>
  </si>
  <si>
    <t>65800-000</t>
  </si>
  <si>
    <t>Subseção Judiciária de Caxias</t>
  </si>
  <si>
    <t>TFN BR1 210015 AP-IX-00405</t>
  </si>
  <si>
    <t>Caxias</t>
  </si>
  <si>
    <t>Rua 07, A Cidade Judiciária - Campo de Belém</t>
  </si>
  <si>
    <t>65609-900</t>
  </si>
  <si>
    <t>Subseção Judiciária de Imperatriz</t>
  </si>
  <si>
    <t>TFN BR1 210017 AP-IX-00407</t>
  </si>
  <si>
    <t>Avenida Tapajós, s/n - Parque das Nações</t>
  </si>
  <si>
    <t>65912-900</t>
  </si>
  <si>
    <t>Prédio Sede</t>
  </si>
  <si>
    <t>TFN BR1 210007 AP-IX-00397</t>
  </si>
  <si>
    <t>Avenida Senador Vitorino Freire, 300 – Areinha</t>
  </si>
  <si>
    <t>65010-655</t>
  </si>
  <si>
    <t>TFN BR1 210013 AP-IX-00403</t>
  </si>
  <si>
    <t>TFN BR1 210014 AP-IX-00404</t>
  </si>
  <si>
    <t>Avenida dos Holandeses, Q.32, 30 - Calhau</t>
  </si>
  <si>
    <t>65072-850</t>
  </si>
  <si>
    <t>JFMG</t>
  </si>
  <si>
    <t>JUSTIÇA FEDERAL DE PRIMEIRO GRAU EM MINAS GERAIS</t>
  </si>
  <si>
    <t>TRF1 - Unidade Contagem</t>
  </si>
  <si>
    <t>TFN BR1 200066 AP-X-00199</t>
  </si>
  <si>
    <t>Contagem</t>
  </si>
  <si>
    <t>Avenida José Faria da Rocha, 5021 - Bairro Eldorado</t>
  </si>
  <si>
    <t>32310-210</t>
  </si>
  <si>
    <t>NUCBRF-1-20-0142</t>
  </si>
  <si>
    <t>TRF1 - Unidade Governador Valadares</t>
  </si>
  <si>
    <t>TFN BR1 200061 AP-X-00194</t>
  </si>
  <si>
    <t>Governador Valadares</t>
  </si>
  <si>
    <t>Rua Bárbara Heliodora, 862 - Centro</t>
  </si>
  <si>
    <t>35010-040</t>
  </si>
  <si>
    <t>TRF1 - Unidade Juiz de Fora</t>
  </si>
  <si>
    <t>TFN BR1 200062 AP-X-00195</t>
  </si>
  <si>
    <t>Juiz de Fora</t>
  </si>
  <si>
    <t>Rua Leopoldo Schmidt, 145 - Centro</t>
  </si>
  <si>
    <t>36060-040</t>
  </si>
  <si>
    <t>TRF1 - Unidade Montes Claros</t>
  </si>
  <si>
    <t>TFN BR1 200065 AP-X-00198</t>
  </si>
  <si>
    <t>Avenida Deputado Esteves Rodrigues, 852 - Centro</t>
  </si>
  <si>
    <t>39400-215</t>
  </si>
  <si>
    <t>TRF1 - Unidade São Sebastião do Paraíso</t>
  </si>
  <si>
    <t>TFN BR1 200063 AP-X-00196</t>
  </si>
  <si>
    <t>São Sebastião do Paraíso</t>
  </si>
  <si>
    <t>Avenida Oliveira Rezende, 662 - Bairro Brás</t>
  </si>
  <si>
    <t>37950-000</t>
  </si>
  <si>
    <t>TRF1 - Unidade Uberaba</t>
  </si>
  <si>
    <t>TFN BR1 200064 AP-X-00197</t>
  </si>
  <si>
    <t>Uberaba</t>
  </si>
  <si>
    <t>Avenida Maria Carmelita de Castro Cunha, 30 - Vila Olímpica</t>
  </si>
  <si>
    <t>38065-320</t>
  </si>
  <si>
    <t>JFPE</t>
  </si>
  <si>
    <t>JUSTIÇA FEDERAL DE PRIMEIRO GRAU EM PERNAMBUCO</t>
  </si>
  <si>
    <t>Sede II</t>
  </si>
  <si>
    <t>TFN BR1 200035 AP-IX-00168</t>
  </si>
  <si>
    <t>Avenida Mascarenhas de Moraes, 6211 - Imbiribeira</t>
  </si>
  <si>
    <t>51180-001</t>
  </si>
  <si>
    <t>NUCBRF-1-21-0013</t>
  </si>
  <si>
    <t>1 Dia útil</t>
  </si>
  <si>
    <t>Fórum Ministro Artur Marinho</t>
  </si>
  <si>
    <t>TFN BR1 200040 AP-IX-00173</t>
  </si>
  <si>
    <t>Avenida Recife Ministro Artur Marinho, 6250 - Jiquiá</t>
  </si>
  <si>
    <t>50865-900</t>
  </si>
  <si>
    <t>TFN BR1 200041 AP-IX-00174</t>
  </si>
  <si>
    <t>JFPI</t>
  </si>
  <si>
    <t>JUSTIÇA FEDERAL DE PRIMEIRO GRAU DO PIAUÍ</t>
  </si>
  <si>
    <t>TFNAP 09190156</t>
  </si>
  <si>
    <t>Avenida Miguel Rosa, 7315, Térreo - Redenção</t>
  </si>
  <si>
    <t>64018-550</t>
  </si>
  <si>
    <t>NUCBR-1-21-0125</t>
  </si>
  <si>
    <t>08:00 - 19:00</t>
  </si>
  <si>
    <t>10 Dias úteis</t>
  </si>
  <si>
    <t>JFRJ</t>
  </si>
  <si>
    <t>JUSTIÇA FEDERAL DE PRIMEIRO GRAU NO RIO DE JANEIRO</t>
  </si>
  <si>
    <t>Justiça Federal do Rio de Janeiro</t>
  </si>
  <si>
    <t>TFN BR1 210099 AP-X-00489</t>
  </si>
  <si>
    <t>Niteroi</t>
  </si>
  <si>
    <t>Rua Luiz Leopoldo Fernandes Pinheiro, 604 - Centro</t>
  </si>
  <si>
    <t>24020-067</t>
  </si>
  <si>
    <t>NUCBRF-1-22-0004</t>
  </si>
  <si>
    <t>96H</t>
  </si>
  <si>
    <t>TFN BR1 210100 AP-X-00490</t>
  </si>
  <si>
    <t>24030-128</t>
  </si>
  <si>
    <t>Fórum Marilena Franco</t>
  </si>
  <si>
    <t>TFN BR1 200070 AP-X-00203</t>
  </si>
  <si>
    <t>Avenida Venezuela, 134 - Centro</t>
  </si>
  <si>
    <t>20081-312</t>
  </si>
  <si>
    <t>Subseção Judiciária de São João de Meriti</t>
  </si>
  <si>
    <t>TFN BR1 200072 AP-X-00205</t>
  </si>
  <si>
    <t>São João de Meriti</t>
  </si>
  <si>
    <t>Avenida Presidente Lincoln, 1090 - Vila dos Teles</t>
  </si>
  <si>
    <t>25555-201</t>
  </si>
  <si>
    <t>JFRO</t>
  </si>
  <si>
    <t>JUSTIÇA FEDERAL DE PRIMEIRO GRAU DE RONDÔNIA</t>
  </si>
  <si>
    <t>Justiça Federal de Porto Velho</t>
  </si>
  <si>
    <t>TFN BR1 210096 AP-X-00486</t>
  </si>
  <si>
    <t>Avenida Presidente Dutra, 2203 - Centro</t>
  </si>
  <si>
    <t>76805-902</t>
  </si>
  <si>
    <t>NUCBRF-1-21-0009</t>
  </si>
  <si>
    <t>JHSF</t>
  </si>
  <si>
    <t>ADMNISTRADORA DO CATARINA AEROPORTO EXECUTIVO</t>
  </si>
  <si>
    <t>Aeroporto de São Roque</t>
  </si>
  <si>
    <t>TFNAP 013240064</t>
  </si>
  <si>
    <t>São Roque</t>
  </si>
  <si>
    <t>Rodovia Castello Branco, KM 62</t>
  </si>
  <si>
    <t>18132-900</t>
  </si>
  <si>
    <t>NUCBR-1-25-0063(1)</t>
  </si>
  <si>
    <t>TFNAP 013240065</t>
  </si>
  <si>
    <t>MINISTÉRIO DA AGRICULTURA, PECUÁRIA E ABASTECIMENTO</t>
  </si>
  <si>
    <t>Superintendência Federal De Agricultura Em Roraima</t>
  </si>
  <si>
    <t>TFN BR1 230001 AP-I-00506</t>
  </si>
  <si>
    <t>Avenida das Guianas/ 13 de setembro, 1523</t>
  </si>
  <si>
    <t>69308-160</t>
  </si>
  <si>
    <t>NUCBRF-1-23-0005</t>
  </si>
  <si>
    <t>Superintendência Federal de Ag., Pe. e Ab. no Estado do Amapá</t>
  </si>
  <si>
    <t>TFN BR1 230002 AP-I-00507</t>
  </si>
  <si>
    <t>Rua Hildemar Maia, s/n - Jesus de Nazaré</t>
  </si>
  <si>
    <t>68908-119</t>
  </si>
  <si>
    <t>MITA</t>
  </si>
  <si>
    <t>MINERAÇÃO TABOCA</t>
  </si>
  <si>
    <t>Filial Pitinga</t>
  </si>
  <si>
    <t>TFN BR1 190059 AP-IX-00083</t>
  </si>
  <si>
    <t>Avenida Desembargador Paulo Jacob, 323 - Bairro da Paz</t>
  </si>
  <si>
    <t>69049-107</t>
  </si>
  <si>
    <t>NUCBRF-1-21-0006</t>
  </si>
  <si>
    <t>TFN BR1 200203 AP-IX-00336</t>
  </si>
  <si>
    <t>Av. Desembargador Paulo Jacob, 323 - Bairro da Paz</t>
  </si>
  <si>
    <t>NUCBRF-1-22-0017</t>
  </si>
  <si>
    <t>Aeroporto Regional de Tucuruí</t>
  </si>
  <si>
    <t>Estrada do Aeroporto, KM 5, s/n - Aeroporto</t>
  </si>
  <si>
    <t>41510-075</t>
  </si>
  <si>
    <t>NUCBRF-1-22-0008</t>
  </si>
  <si>
    <t>MJSP</t>
  </si>
  <si>
    <t>MINISTÉRIO DA JUSTIÇA E SEGURANÇA PÚBLICA</t>
  </si>
  <si>
    <t>Palácio da Justiça</t>
  </si>
  <si>
    <t>TFN BR1 230101 AP-I-00606</t>
  </si>
  <si>
    <t>Praça dos Três Poderes</t>
  </si>
  <si>
    <t xml:space="preserve"> 70050-000</t>
  </si>
  <si>
    <t>NUCBRF-1-24-0009</t>
  </si>
  <si>
    <t>Telefone
E-mail</t>
  </si>
  <si>
    <t>Capital + DF: 6 Dias
Interior: 10 Dias</t>
  </si>
  <si>
    <t>TFN BR1 230102 AP-I-00607</t>
  </si>
  <si>
    <t>TFN BR1 230103 AP-I-00608</t>
  </si>
  <si>
    <t>70050-000</t>
  </si>
  <si>
    <t>MLVR</t>
  </si>
  <si>
    <t>MERCADO LIVRE</t>
  </si>
  <si>
    <t>Unidade Barueri</t>
  </si>
  <si>
    <t>TFN BR1 200129 AP-XIII-00262</t>
  </si>
  <si>
    <t>Barueri</t>
  </si>
  <si>
    <t>Avenida Jussara, 1250 - Jardim Santa Cecilia</t>
  </si>
  <si>
    <t>06465-070</t>
  </si>
  <si>
    <t>NUCBR-1-22-0173</t>
  </si>
  <si>
    <t>Unidade Barueri (Galpão G10)</t>
  </si>
  <si>
    <t>TFN BR1 200131 AP-XIII-00264</t>
  </si>
  <si>
    <t>Rua Jussara, 1250, Galpão G10 - Tamboré</t>
  </si>
  <si>
    <t>NUCBR-1-23-0007</t>
  </si>
  <si>
    <t>4H úteis</t>
  </si>
  <si>
    <t>TFN BR1 200132 AP-XIII-00265</t>
  </si>
  <si>
    <t>TFN BR1 230058 AP-XIII-00563</t>
  </si>
  <si>
    <t>Rua Jussara, 1250 - Jardim Santa Cecília</t>
  </si>
  <si>
    <t>NUCBR-1-24-0002</t>
  </si>
  <si>
    <t>Unidade Recife</t>
  </si>
  <si>
    <t>TFN BR1 190084 PA-VIII-00108</t>
  </si>
  <si>
    <t>Cabo de Santo Agostinho</t>
  </si>
  <si>
    <t>Rodovia BR-101, KM 96.4, 5205, Galpão 03, Multimodal 2</t>
  </si>
  <si>
    <t>54503-900</t>
  </si>
  <si>
    <t>NUCBR-1-24-0122</t>
  </si>
  <si>
    <t>Unidade Cajamar</t>
  </si>
  <si>
    <t>TFN BR1 200101 AP-XIII-00234</t>
  </si>
  <si>
    <t>Rodovia Anhanguera, KM 31 + 775M, 800, Galpão 7A016</t>
  </si>
  <si>
    <t>07776-901</t>
  </si>
  <si>
    <t>NUCBR-1-21-0006</t>
  </si>
  <si>
    <t>TFN BR1 200106 AP-XIII-00239</t>
  </si>
  <si>
    <t>Avenida Antônio Cândido Machado, 3100 - Jardim Nova Jordanésia</t>
  </si>
  <si>
    <t>NUCBR-1-21-0006
NUCBR-1-22-0111</t>
  </si>
  <si>
    <t>TFN BR1 200087 AP-XIII-00220</t>
  </si>
  <si>
    <t>07750-000</t>
  </si>
  <si>
    <t>NUCBR-1-22-0003</t>
  </si>
  <si>
    <t>Após as 24H Remoto</t>
  </si>
  <si>
    <t>TFN BR1 200090 AP-XIII-00223</t>
  </si>
  <si>
    <t>Rua Jussara, 1250 - Galpão G10 - Tamboré</t>
  </si>
  <si>
    <t>06400-001</t>
  </si>
  <si>
    <t>NUCBR-1-20-0105</t>
  </si>
  <si>
    <t>TFN BR1 200085 AP-XIII-00218</t>
  </si>
  <si>
    <t>NUCBR-1-22-0062</t>
  </si>
  <si>
    <t>TFN BR1 200086 AP-XIII-00219</t>
  </si>
  <si>
    <t>Avenida Doutor Antônio Cândido Machado, 3300 - Fazenda Velha</t>
  </si>
  <si>
    <t>NUCBR-1-22-0079
NUCBR-1-22-0111</t>
  </si>
  <si>
    <t>Unidade Cajamar (Filial)</t>
  </si>
  <si>
    <t>TFN BR1 200078 AP-XIII-00211</t>
  </si>
  <si>
    <t>Locação
Manutenção</t>
  </si>
  <si>
    <t>Avenida Doutor João Antônio Abdalla, 3333 - Loteamento Sitio dos Paes</t>
  </si>
  <si>
    <t>07750-620</t>
  </si>
  <si>
    <t>NUCBR-1-22-0111</t>
  </si>
  <si>
    <t>TFN BR1 190085 PA-VIII-00109</t>
  </si>
  <si>
    <t>Avenida Antônio Candido Machado, 330, Galpão 03 - Fazenda Velha</t>
  </si>
  <si>
    <t>NUCBR-1-24-0122
NUCBR-1-22-0111</t>
  </si>
  <si>
    <t>TFN BR1 240131 AP-XIII-00756</t>
  </si>
  <si>
    <t>Avenida Ribeirão dos Cristais, 2500, Galpão G200 - Vla Nova Cajamar</t>
  </si>
  <si>
    <t>NUCBR-1-25-0022</t>
  </si>
  <si>
    <t>Unidade Campinas (Filial)</t>
  </si>
  <si>
    <t>TFN BR1 200092 AP-XIII-00225</t>
  </si>
  <si>
    <t>Cravinhos</t>
  </si>
  <si>
    <t>Rodovia Anhanguera, SP-330, KM 297, 43M</t>
  </si>
  <si>
    <t>13178-440</t>
  </si>
  <si>
    <t>Unidade Extrema</t>
  </si>
  <si>
    <t>TFN BR1 200084 AP-XIII-00217</t>
  </si>
  <si>
    <t>Extrema</t>
  </si>
  <si>
    <t>Estrada Municipal Vargem do João Pinto, 450 - Ponta Nova</t>
  </si>
  <si>
    <t>37640-000</t>
  </si>
  <si>
    <t>NUCBR-1-23-0151</t>
  </si>
  <si>
    <t>Unidade Goiânia</t>
  </si>
  <si>
    <t>TFN BR1 200100 AP-XIII-00233</t>
  </si>
  <si>
    <t>ROD BR153KM 5,5 QD. CH Lote / Área - Galpão 05 Fazenda Retiro 460 - Barravento, Goiania</t>
  </si>
  <si>
    <t>74594-111</t>
  </si>
  <si>
    <t>Unidade Guarulhos</t>
  </si>
  <si>
    <t>TFN BR1 200091 AP-XIII-00224</t>
  </si>
  <si>
    <t>Rua Concretex, 800 - Cumbica</t>
  </si>
  <si>
    <t xml:space="preserve">07232-050 </t>
  </si>
  <si>
    <t>TFN BR1 200099 AP-XIII-00232</t>
  </si>
  <si>
    <t>Avenida Julia Gaiolli, 740 - Água Chata</t>
  </si>
  <si>
    <t>07251-500</t>
  </si>
  <si>
    <t>Unidade Guarulhos (Ternminal de Cargas)</t>
  </si>
  <si>
    <t>TFN BR1 200102 AP-XIII-00235</t>
  </si>
  <si>
    <t>NUCBR-1-22-0044
NUCBR-1-22-0111</t>
  </si>
  <si>
    <t>TFNAP 13210123</t>
  </si>
  <si>
    <t>07232-050</t>
  </si>
  <si>
    <t>TFNAP 13210124</t>
  </si>
  <si>
    <t>TFN BR1 200077 AP-XIII-00210</t>
  </si>
  <si>
    <t>07215-010</t>
  </si>
  <si>
    <t>TFN BR1 200130 AP-XIII-00263</t>
  </si>
  <si>
    <t>TFN BR1 200080 AP-XIII-00213</t>
  </si>
  <si>
    <t>NUCBR-1-23-0055</t>
  </si>
  <si>
    <t>Unidade Guarulhos II</t>
  </si>
  <si>
    <t>TFN BR1 230052 AP-XIII-00557</t>
  </si>
  <si>
    <t>NUCBR-1-23-0151
NUCBR-1-22-0111</t>
  </si>
  <si>
    <t>TFN BR1 240188 AP-VIII-00321</t>
  </si>
  <si>
    <t>Rodovia Hélio Smidt, s/n - Aeroporto</t>
  </si>
  <si>
    <t>07141-970</t>
  </si>
  <si>
    <t>TFN BR1 240132 AP-XIII-00757</t>
  </si>
  <si>
    <t>Avenida Francisco Xavier Correa, 62 - Residencial Parque Cumbica</t>
  </si>
  <si>
    <t>07174-530</t>
  </si>
  <si>
    <t>NUCBR-1-25-0075</t>
  </si>
  <si>
    <t>TFN BR1 240136 AP-XIII-00761</t>
  </si>
  <si>
    <t>Unidade Itaitinga</t>
  </si>
  <si>
    <t>TFN BR1 200083 AP-XIII-00216</t>
  </si>
  <si>
    <t>Avenida Quarto Anel Viário, 4343</t>
  </si>
  <si>
    <t>61880-901</t>
  </si>
  <si>
    <t>TFN BR1 200093 AP-XIII-00226</t>
  </si>
  <si>
    <t>Jaboatão dos Guararapes</t>
  </si>
  <si>
    <t>Rua Riachão, 807 - Muribeca</t>
  </si>
  <si>
    <t>54355-057</t>
  </si>
  <si>
    <t>Unidade Lauro de Freitas</t>
  </si>
  <si>
    <t>TFN BR1 200095 AP-XIII-00228</t>
  </si>
  <si>
    <t>Lauro de Freitas</t>
  </si>
  <si>
    <t>Estrada da Telha, 483 - Barro Duro</t>
  </si>
  <si>
    <t>42735-100</t>
  </si>
  <si>
    <t>TFN BR1 200088 AP-XIII-00221</t>
  </si>
  <si>
    <t>Rua Estrada da Telha, 483 - Bairro Barro Duro</t>
  </si>
  <si>
    <t>Unidade Marília</t>
  </si>
  <si>
    <t>TFN BR1 250119 AP-VIII-00252</t>
  </si>
  <si>
    <t>Avenida Eugênio Coneglian, 3550</t>
  </si>
  <si>
    <t>17512-050</t>
  </si>
  <si>
    <t>Unidade de Cajamar</t>
  </si>
  <si>
    <t>TFN BR1 200164 AP-VIII-00297</t>
  </si>
  <si>
    <t>Av. Dr. Antonio João Abdalla, 3333 - Ponunduva</t>
  </si>
  <si>
    <t>07750-020</t>
  </si>
  <si>
    <t>Unidade São Bernardo do Campo</t>
  </si>
  <si>
    <t>TFN BR1 200089 AP-XIII-00222</t>
  </si>
  <si>
    <t>São Bernardo do Campo</t>
  </si>
  <si>
    <t>Estrada Particular Sadae Takagi, 2235, Bloco Modulo 01</t>
  </si>
  <si>
    <t>09853-580</t>
  </si>
  <si>
    <t>NUCBR-1-20-0105
NUCBR-1-22-0111</t>
  </si>
  <si>
    <t>TFN BR1 200111 AP-XIII-00244</t>
  </si>
  <si>
    <t>Estrada Particular Sadae Takagi, 2235</t>
  </si>
  <si>
    <t>TFN BR1 200110 AP-XIII-00243</t>
  </si>
  <si>
    <t>TFNAP 13210125</t>
  </si>
  <si>
    <t>Unidade São Paulo (Parque Novo Mundo)</t>
  </si>
  <si>
    <t>TFN BR1 250191 AP-VIII-00324</t>
  </si>
  <si>
    <t>Rua Cabo Norberto Enrique Weber, 222, G200 - Parque Novo Mundo</t>
  </si>
  <si>
    <t>02147-040</t>
  </si>
  <si>
    <t>TFN BR1 240133 AP-XIII-00758</t>
  </si>
  <si>
    <t>TFN BR1 240137 AP-XIII-00762</t>
  </si>
  <si>
    <t>30/09/20255</t>
  </si>
  <si>
    <t>Unidade Sapucaia do Sul</t>
  </si>
  <si>
    <t>TFN BR1 200107 AP-XIII-00240</t>
  </si>
  <si>
    <t>Sapucaia do Sul</t>
  </si>
  <si>
    <t>Condomínio Logístico Açorianos - Amorim – R Amiltom da Silva, Estr Sanga Funda, Nova Santa Rita/RS CEP: 92480-000</t>
  </si>
  <si>
    <t>93212-110</t>
  </si>
  <si>
    <t>NUCBR-1-21-0143</t>
  </si>
  <si>
    <t xml:space="preserve">Unidade Sapucaia do Sul  </t>
  </si>
  <si>
    <t>TFN BR1 200163 AP-VIII-00296</t>
  </si>
  <si>
    <t>92480-000</t>
  </si>
  <si>
    <t>TFN BR1 200108 AP-XIII-00241</t>
  </si>
  <si>
    <t>ROD BR153KM 5,5 QD. CH Lote / Área - Galpão 05 Fazenda Retiro 460 - Barravento, Goiania / GO</t>
  </si>
  <si>
    <t>Unidade Simões Filho</t>
  </si>
  <si>
    <t>TFN BR1 200079 AP-XIII-00212</t>
  </si>
  <si>
    <t>Simões Filho</t>
  </si>
  <si>
    <t>Avenida Engenheiro Elmo Serejo de Faria, 3333 - Cia I</t>
  </si>
  <si>
    <t>43700-000</t>
  </si>
  <si>
    <t>Unidade Campinas</t>
  </si>
  <si>
    <t>TFN BR1 200097 AP-XIII-00230</t>
  </si>
  <si>
    <t>Sumaré</t>
  </si>
  <si>
    <t>Rodovia Adauto Campo Dall Orto, s/n, Área Rem. Da Gleba A-5-A - Sítio São Luiz</t>
  </si>
  <si>
    <t>NUCBR-1-22-0044</t>
  </si>
  <si>
    <t>Unidade Sumaré</t>
  </si>
  <si>
    <t>TFN BR1 190075 PA-VIII-00099</t>
  </si>
  <si>
    <t>Rodovia Adauto Campo Dall Orto, 1 - Nova Veneza</t>
  </si>
  <si>
    <t>MPCE</t>
  </si>
  <si>
    <t>MINISTÉRIO PÚBLICO DO ESTADO DO CEARÁ</t>
  </si>
  <si>
    <t>TFN BR1 210071 AP-IX-00461</t>
  </si>
  <si>
    <t>Avenida General Afonso Albuquerque Lima, 130 - Cambeba</t>
  </si>
  <si>
    <t>60822-325</t>
  </si>
  <si>
    <t>NUCBRF-1-24-0014</t>
  </si>
  <si>
    <t>TFN BR1 210061 AP-IX-00451</t>
  </si>
  <si>
    <t>Luciano Cavalcante</t>
  </si>
  <si>
    <t xml:space="preserve">Avenida José Philomeno Gomes, N 222 </t>
  </si>
  <si>
    <t>60813-820</t>
  </si>
  <si>
    <t>TFN BR1 210070 AP-IX-00460</t>
  </si>
  <si>
    <t>Rua Maria Alice Ferraz, 120 - Salas 227/229/230</t>
  </si>
  <si>
    <t>60811-295</t>
  </si>
  <si>
    <t>MPDFT</t>
  </si>
  <si>
    <t>MINISTÉRIO PÚBLICO DO DF E TERRITÓRIOS</t>
  </si>
  <si>
    <t>Zona Cívico-Administrativa</t>
  </si>
  <si>
    <t>TFN BR1 210036 AP-IX-00426</t>
  </si>
  <si>
    <t>Edifício Sede do Ministério Público do Distrito Federal e Territórios, Lote 2</t>
  </si>
  <si>
    <t>70091-900</t>
  </si>
  <si>
    <t>NUCBRF-1-24-0005</t>
  </si>
  <si>
    <t>MPMT</t>
  </si>
  <si>
    <t>MINISTÉRIO PÚBLICO DO ESTADO DE MATO GROSSO</t>
  </si>
  <si>
    <t>TFN BR1 200166 AP-VIII-00299</t>
  </si>
  <si>
    <t>Avenida Projetada, s/n, Lote Área B - Bairro Sesmaria</t>
  </si>
  <si>
    <t>78049-921</t>
  </si>
  <si>
    <t>NUCBRF-1-24-0001</t>
  </si>
  <si>
    <t>MPU</t>
  </si>
  <si>
    <t>MINISTÉRIO PÚBLICO DA UNIÃO</t>
  </si>
  <si>
    <t>Ministério Público do Trabalho</t>
  </si>
  <si>
    <t>150383</t>
  </si>
  <si>
    <t>Centro Empresarial CNC SAUN, Quadra 5, Lote C, Torre A</t>
  </si>
  <si>
    <t>70040-250</t>
  </si>
  <si>
    <t>NUCBR-1-22-0128</t>
  </si>
  <si>
    <t>NEW</t>
  </si>
  <si>
    <t>NEWCOM WORLD</t>
  </si>
  <si>
    <t>Concremat (Prédio Receita Federal)</t>
  </si>
  <si>
    <t>TFN BR1 200003 AP-IX-00136</t>
  </si>
  <si>
    <t>Cubatão</t>
  </si>
  <si>
    <t>Estrada Senhor Rene Fonseca, KM 265, s/n - Piaçaguerra</t>
  </si>
  <si>
    <t>11573-100</t>
  </si>
  <si>
    <t>NUCBRF-1-22-0015</t>
  </si>
  <si>
    <t>NUTRI</t>
  </si>
  <si>
    <t>NUTRIMENTAL</t>
  </si>
  <si>
    <t>Unidade São José dos Pinhais</t>
  </si>
  <si>
    <t>TFN BR1 200239 AP-IX-00372</t>
  </si>
  <si>
    <t>Avenida Rui Barbosa, 8153 - Águas Belas</t>
  </si>
  <si>
    <t>83040-564</t>
  </si>
  <si>
    <t>NUCBRF-1-21-0011</t>
  </si>
  <si>
    <t>TFN BR1 240095 AP-IX-00485</t>
  </si>
  <si>
    <t>83005-900</t>
  </si>
  <si>
    <t>NUCBR-1-24-0102</t>
  </si>
  <si>
    <t>Sem vigência</t>
  </si>
  <si>
    <t>PACLOG</t>
  </si>
  <si>
    <t>PAC LOGISTICA E HANGARAGEM LTDA</t>
  </si>
  <si>
    <t>Terminal de Cargas</t>
  </si>
  <si>
    <t>TFNBZ 14220195</t>
  </si>
  <si>
    <t>NUCBRF-1-23-0010</t>
  </si>
  <si>
    <t>PANEX</t>
  </si>
  <si>
    <t>TUB EXPRESS TRANSPORTES INTERNACIONAIS LTDA</t>
  </si>
  <si>
    <t>TFNAP 13250013</t>
  </si>
  <si>
    <t xml:space="preserve">Rua Hércules </t>
  </si>
  <si>
    <t>130054-709</t>
  </si>
  <si>
    <t>NUCBR-1-25-0118</t>
  </si>
  <si>
    <t>TFNAP 13250014</t>
  </si>
  <si>
    <t>PAXLOG</t>
  </si>
  <si>
    <t>PRS AEROPORTOS S.A.</t>
  </si>
  <si>
    <t>Aeroporto de Jacarepaguá</t>
  </si>
  <si>
    <t>TFN BR1 210037 AP-IX-00427</t>
  </si>
  <si>
    <t>Avenida Ayrton Senna, 2541 - Barra da Tijuca</t>
  </si>
  <si>
    <t>22775-002</t>
  </si>
  <si>
    <t>NUCBRF-1-24-0008</t>
  </si>
  <si>
    <t>TFN BR1 210038 AP-IX-00428</t>
  </si>
  <si>
    <t>PGRE</t>
  </si>
  <si>
    <t>PROCURADORIA GERAL DA REPÚBLICA</t>
  </si>
  <si>
    <t>TFN BR1 200135 AP-I-000268</t>
  </si>
  <si>
    <t>Setor de Administração Federal Sul, Quadra 4, Conjunto C</t>
  </si>
  <si>
    <t>70050-900</t>
  </si>
  <si>
    <t>NUCBRF-1-22-0003</t>
  </si>
  <si>
    <t>TFN BR1 200136 AP-I-000269</t>
  </si>
  <si>
    <t>PMSP</t>
  </si>
  <si>
    <t>PREFEITURA MUNICIPAL DE SÃO PAULO</t>
  </si>
  <si>
    <t>TFN BR1 200067 AP-X-00200</t>
  </si>
  <si>
    <t>Viaduto do Chá, 15 - Downtown</t>
  </si>
  <si>
    <t>01002-020</t>
  </si>
  <si>
    <t>NUCBR-1-25-0147</t>
  </si>
  <si>
    <t>TFN BR1 200068 AP-X-00201</t>
  </si>
  <si>
    <t>PNUD</t>
  </si>
  <si>
    <t>PROGRAMA DAS NAÇÕES UNIDAS PARA O DESENVOLVIMENTO</t>
  </si>
  <si>
    <t>00604010020078</t>
  </si>
  <si>
    <t>Setor de Embaixadas Norte, Quadra 802, Conjunto C, Lote 17</t>
  </si>
  <si>
    <t xml:space="preserve">70800-400 </t>
  </si>
  <si>
    <t>NUCBR-1-25-0053</t>
  </si>
  <si>
    <t>PREP</t>
  </si>
  <si>
    <t>PRESIDÊNCIA DA REPÚBLICA</t>
  </si>
  <si>
    <t>Secretaria de Segurança Presidencial</t>
  </si>
  <si>
    <t>TFN BR1 190071 PA-VIII-00095</t>
  </si>
  <si>
    <t>Oeste, s/n - Via N2, Via Palácio Presidencial</t>
  </si>
  <si>
    <t>70150-900</t>
  </si>
  <si>
    <t>NUCBRF-1-21-0001</t>
  </si>
  <si>
    <t>TFN BR1 190068 PA-VIII-00092</t>
  </si>
  <si>
    <t>TFN BR1 190072 PA-VIII-00096</t>
  </si>
  <si>
    <t>TFN BR1 190074 PA-VIII-00098</t>
  </si>
  <si>
    <t>TFN BR1 190076 PA-VIII-000100</t>
  </si>
  <si>
    <t>TFN BR1 190079 PA-VIII-000103</t>
  </si>
  <si>
    <t>TFN BR1 190080 PA-VIII-000104</t>
  </si>
  <si>
    <t>TFN BR1 190081 PA-VIII-000105</t>
  </si>
  <si>
    <t>TFN BR1 190082 PA-VIII-000106</t>
  </si>
  <si>
    <t>TFN BR1 190083 PA-VIII-000107</t>
  </si>
  <si>
    <t>REVI</t>
  </si>
  <si>
    <t>REVIVER ADMNISTRAÇÃO PRISIONAL PRIVADA EIRELI</t>
  </si>
  <si>
    <t>COMPAJAF</t>
  </si>
  <si>
    <t>TFNEV 011900049</t>
  </si>
  <si>
    <t>Rua 37, 1501 - Conjunto Terra Dura - Bairro Santa Maria</t>
  </si>
  <si>
    <t>49044-346</t>
  </si>
  <si>
    <t>NUCBR-1-24-0186</t>
  </si>
  <si>
    <t>Cadeia Pública de Areia Branca</t>
  </si>
  <si>
    <t>TFNEV 011900006</t>
  </si>
  <si>
    <t>Rodovia BR-235</t>
  </si>
  <si>
    <t>NUCBR-1-24-0184</t>
  </si>
  <si>
    <t>Cadeia Pública de Estância</t>
  </si>
  <si>
    <t>15001</t>
  </si>
  <si>
    <t>Estância</t>
  </si>
  <si>
    <t>Zona Rural de Estância - Povoado de Dizilena</t>
  </si>
  <si>
    <t>49200-000</t>
  </si>
  <si>
    <t>Presídio De Segurança Máxima De Maceió</t>
  </si>
  <si>
    <t>TFN BR1 200202 AP-IX-00335</t>
  </si>
  <si>
    <t xml:space="preserve">Rodovia BR-104, KM 01, s/n - Bairro Tabuleiro </t>
  </si>
  <si>
    <t>NUCBRF-1-25-0007</t>
  </si>
  <si>
    <t>TFNEV-I-18027</t>
  </si>
  <si>
    <t>ROUSS</t>
  </si>
  <si>
    <t>ROUSSELOT GELATINAS</t>
  </si>
  <si>
    <t>TFNAP-IX-170267</t>
  </si>
  <si>
    <t>Amparo</t>
  </si>
  <si>
    <t>Rua Santo Agostinho, 280 - Arcadas</t>
  </si>
  <si>
    <t>13908-080</t>
  </si>
  <si>
    <t>NUCBR-1-23-0037</t>
  </si>
  <si>
    <t>2 Dias úteis após remoto</t>
  </si>
  <si>
    <t>SANT</t>
  </si>
  <si>
    <t>SANTOS BRASIL PARTICIPAÇÕES S.A.</t>
  </si>
  <si>
    <t>Unidade Imbituba</t>
  </si>
  <si>
    <t>10265</t>
  </si>
  <si>
    <t>Imbituba</t>
  </si>
  <si>
    <t>Avenida Presidente Vargas, s/n - Centro</t>
  </si>
  <si>
    <t>88780-000</t>
  </si>
  <si>
    <t>NUCBR-1-24-0017</t>
  </si>
  <si>
    <t>Unidade Alemoa</t>
  </si>
  <si>
    <t>10461</t>
  </si>
  <si>
    <t>Santos</t>
  </si>
  <si>
    <t>Avenida Marginal Direita Via Anchieta, 820</t>
  </si>
  <si>
    <t>11095-000</t>
  </si>
  <si>
    <t>NUCBR-1-23-0187</t>
  </si>
  <si>
    <t>SAP</t>
  </si>
  <si>
    <t>SAP SÃO PAULO</t>
  </si>
  <si>
    <t>Penitenciária de Álvaro Carvalho</t>
  </si>
  <si>
    <t>Álvaro de Carvalho</t>
  </si>
  <si>
    <t>Rodovia Mamede Barreto, KM 36, s/n - Zona Rural</t>
  </si>
  <si>
    <t>17410-000</t>
  </si>
  <si>
    <t>NUCBR-1-18-0094</t>
  </si>
  <si>
    <t>15 Dias</t>
  </si>
  <si>
    <t>Penitenciária de Andradina</t>
  </si>
  <si>
    <t>Andradina</t>
  </si>
  <si>
    <t>Rodovia Municipal Salvador Loverdi, s/n - Vila Pereira Jordão</t>
  </si>
  <si>
    <t>16901-970</t>
  </si>
  <si>
    <t>Penitenciária de Avanhandava</t>
  </si>
  <si>
    <t>Avanhandava</t>
  </si>
  <si>
    <t>Rodovia SP-300 Marechal Rondon, KM 475.3, s/n - Zona Rural</t>
  </si>
  <si>
    <t>16060-000</t>
  </si>
  <si>
    <t>Penitenciária de Avaré I</t>
  </si>
  <si>
    <t>Avaré</t>
  </si>
  <si>
    <t>Avenida Salim Antônio Curiati, 333 - Brás I</t>
  </si>
  <si>
    <t>18701-000</t>
  </si>
  <si>
    <t>Penitenciária de Balbinos I</t>
  </si>
  <si>
    <t>Balbinos</t>
  </si>
  <si>
    <t>Rodovia De Acesso Assírio Rigotto, KM 1.5, s/n - Zona Rural</t>
  </si>
  <si>
    <t>16640-000</t>
  </si>
  <si>
    <t>CPD de Bauru</t>
  </si>
  <si>
    <t>Rua Comandante João Ribeiro de Barros, KM 349, s/n - Distrito Industrial III</t>
  </si>
  <si>
    <t>17064-864</t>
  </si>
  <si>
    <t>CDP de Bauru I</t>
  </si>
  <si>
    <t>Rodovia Marechal Rondon, KM 350, s/n</t>
  </si>
  <si>
    <t>17022-900</t>
  </si>
  <si>
    <t>Penitenciária de Bernadino de Campos</t>
  </si>
  <si>
    <t>Bernadino de Campos</t>
  </si>
  <si>
    <t>Rodovia Raposo Tavares, KM 338, s/n - Zona Rural</t>
  </si>
  <si>
    <t>18960-000</t>
  </si>
  <si>
    <t>10010010020006</t>
  </si>
  <si>
    <t>CDP Butantã</t>
  </si>
  <si>
    <t>Butantã</t>
  </si>
  <si>
    <t>Rodovia Raposo Tavares, KM 19.5 - Jardim Arpoador</t>
  </si>
  <si>
    <t>05551-065</t>
  </si>
  <si>
    <t>CPP Feminino Dra. Mariana Marigo Cardoso de Oliveira Butantan</t>
  </si>
  <si>
    <t>TFN BR1 200138 AP-A-00271</t>
  </si>
  <si>
    <t>Butantan</t>
  </si>
  <si>
    <t>05577-300</t>
  </si>
  <si>
    <t>NUCBR-1-22-0191</t>
  </si>
  <si>
    <t>CDP de Campinas</t>
  </si>
  <si>
    <t>Rodovia Campinas Monte Mor, KM 4.5, s/n - Vila Boa Vista</t>
  </si>
  <si>
    <t>13064-180</t>
  </si>
  <si>
    <t>Penitenciária de Capela do Alto</t>
  </si>
  <si>
    <t>Capela do Alto</t>
  </si>
  <si>
    <t>Rodovia Raposo Tavares, KM 134.1, s/n - Estrada do Capanema</t>
  </si>
  <si>
    <t>18195-000</t>
  </si>
  <si>
    <t>TFNAP-I-110129(TI)</t>
  </si>
  <si>
    <t>CPD Capela do Alto</t>
  </si>
  <si>
    <t>Penitenciária de Casa Branca</t>
  </si>
  <si>
    <t>Casa Branca</t>
  </si>
  <si>
    <t>Rodovia Ary Pinto Lippelt, KM 5, s/n - Zona Rural</t>
  </si>
  <si>
    <t>13700-000</t>
  </si>
  <si>
    <t>Penitenciária de Cerqueira César</t>
  </si>
  <si>
    <t>Rodovia Salim Antonio Curiati, KM 21, s/n - Zona Rural</t>
  </si>
  <si>
    <t>CDP de Cerqueira César</t>
  </si>
  <si>
    <t>Penitenciária de Dracena</t>
  </si>
  <si>
    <t>Dracena</t>
  </si>
  <si>
    <t>Estrada Municipal Engenheiro Bryon de Azevedo Nogueira, KM 9, s/n - Distrito Jamaica</t>
  </si>
  <si>
    <t>17900-000</t>
  </si>
  <si>
    <t>Penitenciária de Flórida Paulista</t>
  </si>
  <si>
    <t>Flórida Paulista</t>
  </si>
  <si>
    <t>Estrada Vicinal Kiichiro, s/n - Agrelo</t>
  </si>
  <si>
    <t>17830-000</t>
  </si>
  <si>
    <t>Penitenciária de Florínea</t>
  </si>
  <si>
    <t>Florínea</t>
  </si>
  <si>
    <t>Rodovia Miguel Jubran, KM 438, s/n - Zona Rural</t>
  </si>
  <si>
    <t>19870-000</t>
  </si>
  <si>
    <t>Penitenciária de Franco da Rocha III</t>
  </si>
  <si>
    <t>Rua Marcus Vinícius Donadel Góes, s/n - Parque Industrial</t>
  </si>
  <si>
    <t>07859-904</t>
  </si>
  <si>
    <t>CDP Feminino de Franco da Rocha</t>
  </si>
  <si>
    <t>Rua Marcus Vinícius Donadel Góes, s/n</t>
  </si>
  <si>
    <t>07859-380</t>
  </si>
  <si>
    <t>Penitenciária de Guarulhos I</t>
  </si>
  <si>
    <t>Rua Benedito Climério de Santanam 600 - Várzea do Palácio</t>
  </si>
  <si>
    <t>07034-080</t>
  </si>
  <si>
    <t>CDP Masculino de Icém</t>
  </si>
  <si>
    <t>Icém</t>
  </si>
  <si>
    <t>Rodovia Transbrasiliana, KM 13</t>
  </si>
  <si>
    <t>15460-000</t>
  </si>
  <si>
    <t>CDP ASP Nilson Celestino</t>
  </si>
  <si>
    <t>TFN BR1 200139 AP-I-00272</t>
  </si>
  <si>
    <t>Itapecerica da Serra</t>
  </si>
  <si>
    <t>Estrada Ferreira Guedes, 405 - Potuvera</t>
  </si>
  <si>
    <t>06885-150</t>
  </si>
  <si>
    <t>NUCBR-1-22-0207</t>
  </si>
  <si>
    <t>CDP de Itapecirica da Serra</t>
  </si>
  <si>
    <t>Itapecirica da Serra</t>
  </si>
  <si>
    <t xml:space="preserve">TFN BR1 200137 AP-I-00270 </t>
  </si>
  <si>
    <t>CDP de Itatinga</t>
  </si>
  <si>
    <t>Itatinga</t>
  </si>
  <si>
    <t>Rodovia Presidente Castello Branco, KM 228</t>
  </si>
  <si>
    <t>18690-000</t>
  </si>
  <si>
    <t>CDP de Jardinopólis</t>
  </si>
  <si>
    <t>Jardinopólis</t>
  </si>
  <si>
    <t>Rodovia SP-334, KM 323, s/n - Zona Rural</t>
  </si>
  <si>
    <t>14690-000</t>
  </si>
  <si>
    <t>CDP Marcos Antônio Alves Bezerra</t>
  </si>
  <si>
    <t>TFN BR1 20081 AP-XII-00214</t>
  </si>
  <si>
    <t>Jundiaí</t>
  </si>
  <si>
    <t>Avenida Augusta Zorzi Bararel, s/n - Tijuco Preto</t>
  </si>
  <si>
    <t>13.205-710</t>
  </si>
  <si>
    <t>NUCBRF-1-22-0143</t>
  </si>
  <si>
    <t>7 Dias úteis</t>
  </si>
  <si>
    <t>TFN BR1 210002 AP-IX-00392</t>
  </si>
  <si>
    <t>Penitenciária de Lavínia I</t>
  </si>
  <si>
    <t>Lavínia</t>
  </si>
  <si>
    <t>Estrada Municipal Manoel Caetano, KM 3, s/n - Perobal</t>
  </si>
  <si>
    <t>16850-000</t>
  </si>
  <si>
    <t>Penitenciária de Lavínia III</t>
  </si>
  <si>
    <t>Penitenciária de Lavínia II</t>
  </si>
  <si>
    <t>CR de Lins</t>
  </si>
  <si>
    <t>Rua Mende Sá, s/n - Jardim Primavera</t>
  </si>
  <si>
    <t>16400-787</t>
  </si>
  <si>
    <t>Penitenciária de Lucélia</t>
  </si>
  <si>
    <t>Lucélia</t>
  </si>
  <si>
    <t>Estrada Vicinal Paschoal Milton Lentini, KM 12, s/n - União</t>
  </si>
  <si>
    <t>17780-000</t>
  </si>
  <si>
    <t>Penitenciária de Marília</t>
  </si>
  <si>
    <t>Rodovia Comandante João Ribeiro de Barros, KM 465, s/n - Zona Rural</t>
  </si>
  <si>
    <t>17519-780</t>
  </si>
  <si>
    <t>CDP de Mauá</t>
  </si>
  <si>
    <t>Avenida Papa João XXIII, 3905 - Vila Carlina</t>
  </si>
  <si>
    <t>Penitenciária de Mirandopólis II</t>
  </si>
  <si>
    <t>Mirandopólis</t>
  </si>
  <si>
    <t>Avenida Osvaldo Brandi de Faria, 4450 - Ribeirão Claro</t>
  </si>
  <si>
    <t>16800-000</t>
  </si>
  <si>
    <t>Penitenciária de Mirandopólis I</t>
  </si>
  <si>
    <t>CDP de Mogi das Cruzes</t>
  </si>
  <si>
    <t>Mogi das Cruzes</t>
  </si>
  <si>
    <t>Estrada do Taboão do Parateí, KM 2.6, s/n - Taboão</t>
  </si>
  <si>
    <t>08700-001</t>
  </si>
  <si>
    <t>CDP de Osasco II</t>
  </si>
  <si>
    <t>Rodovia Raposo Tavares, KM 20
Avenida Arterial Sul, 550B - Chácara Everest</t>
  </si>
  <si>
    <t>06149-000</t>
  </si>
  <si>
    <t>CDP IV de Pinheiros</t>
  </si>
  <si>
    <t>Pinheiros</t>
  </si>
  <si>
    <t>Avenida Doutora Ruth Cardoso, 1405 - Vila Leopoldina</t>
  </si>
  <si>
    <t>Penitenciária de Piracicaba</t>
  </si>
  <si>
    <t>Rodovia Deputado Laércio Côrte, KM 132, S/N - Areião</t>
  </si>
  <si>
    <t>Penitenciária de Pirajui Feminina</t>
  </si>
  <si>
    <t>Pirajui</t>
  </si>
  <si>
    <t>Estrada Vicinal João Pereira Martins, KM 01, s/n - Zona Rural</t>
  </si>
  <si>
    <t>16600-000</t>
  </si>
  <si>
    <t>Penitenciária de Pirajui Masculina II</t>
  </si>
  <si>
    <t>Estrada Vicinal Aníbal Haman, s/n - Aeroporto</t>
  </si>
  <si>
    <t>Penitenciária Dr. Walter Faria Pereira de Queiroz</t>
  </si>
  <si>
    <t>TFN BR1 210020 AP-IX-00410</t>
  </si>
  <si>
    <t>Rua Vicinal Aníbal Haman, s/n - Aeroporto</t>
  </si>
  <si>
    <t>NUCBR-1-22-0204</t>
  </si>
  <si>
    <t>CDP de Pontal</t>
  </si>
  <si>
    <t>Pontal</t>
  </si>
  <si>
    <t>Rodovia SP-322, Armando de Sales Oliveira, KM 349 - Zona Rural</t>
  </si>
  <si>
    <t>14180-000</t>
  </si>
  <si>
    <t>Penitenciária Compacta de Pracinha</t>
  </si>
  <si>
    <t>Pracinha</t>
  </si>
  <si>
    <t>Estrada Vicinal Geraldo Rissato, KM 16, s/n - Zona Rural</t>
  </si>
  <si>
    <t>17790-000</t>
  </si>
  <si>
    <t>Penitenciária de Presidente Bernardes</t>
  </si>
  <si>
    <t>Presidente Bernardes</t>
  </si>
  <si>
    <t xml:space="preserve">Rodovia Raposo Tavares, KM 586, s/n - Zona Rural </t>
  </si>
  <si>
    <t>19300-970</t>
  </si>
  <si>
    <t>CR de Presidente Prudente</t>
  </si>
  <si>
    <t>160009 AP</t>
  </si>
  <si>
    <t>Presidente Prudente</t>
  </si>
  <si>
    <t>Estrada Vicinal Raimundo Maiolini, KM 6</t>
  </si>
  <si>
    <t>19020-970</t>
  </si>
  <si>
    <t>Penitenciária de Ribeirão Preto</t>
  </si>
  <si>
    <t>Rodovia Abraão Saad, KM 47 - Recreio Anhanguera</t>
  </si>
  <si>
    <t>14150-000</t>
  </si>
  <si>
    <t>Penitenciária de Riolandia</t>
  </si>
  <si>
    <t>Riolanidia</t>
  </si>
  <si>
    <t>Estrada Municipal Riolândia/ Cardoso, KM 02, s/n - Zona Rural</t>
  </si>
  <si>
    <t>15496-900</t>
  </si>
  <si>
    <t>CDP de Santo André</t>
  </si>
  <si>
    <t>Avenida Dom Jorge Marcos de Oliveira, 85 - Vila Aquilino</t>
  </si>
  <si>
    <t>CDP de São Bernardo do Campo</t>
  </si>
  <si>
    <t>Estrada Particular Yae Massumoto, 800 - Cooperativa</t>
  </si>
  <si>
    <t>09842-160</t>
  </si>
  <si>
    <t>CDP São Bernardo do Campo</t>
  </si>
  <si>
    <t>TFN BR1 200140 AP-I-00273</t>
  </si>
  <si>
    <t>Estrada Yae Massumoto, 800 - Bairro Cooperativa</t>
  </si>
  <si>
    <t>NUCBR-1-22-0205</t>
  </si>
  <si>
    <t>TFN BR1 200141 AP-I-00274</t>
  </si>
  <si>
    <t>CDP de São José do Rio Preto</t>
  </si>
  <si>
    <t>Rodovia BR-153, KM 47.5, s/n - Chácaras Recreio da Felicidade (Zona Rural)</t>
  </si>
  <si>
    <t>15052-900</t>
  </si>
  <si>
    <t>Penitenciária de Santana Feminina</t>
  </si>
  <si>
    <t>Avenida General Ataçiba Leonel, 656 - Carandiru</t>
  </si>
  <si>
    <t>02088-900</t>
  </si>
  <si>
    <t>Penitenciária de Serra Azul I</t>
  </si>
  <si>
    <t>Serra Azul</t>
  </si>
  <si>
    <t>Rodovia Abraão Saad, KM 28.7, s/n - Zona Rural</t>
  </si>
  <si>
    <t>14230-000</t>
  </si>
  <si>
    <t>CDP de Serra Azul</t>
  </si>
  <si>
    <t>Rodovia SP-333 Abraão Saad, KM 28.7, s/n - Zona Rural</t>
  </si>
  <si>
    <t>CDP de Taiúva</t>
  </si>
  <si>
    <t>Taiúva</t>
  </si>
  <si>
    <t>Rodovia Brigadeiro Faria Lima, KM 359, s/n - Zona Rural</t>
  </si>
  <si>
    <t>14720-000</t>
  </si>
  <si>
    <t>Penitenciária de Taquarituba</t>
  </si>
  <si>
    <t>Taquarituba</t>
  </si>
  <si>
    <t>Rodovia Eduardo Saigh, s/n - Zona Rural</t>
  </si>
  <si>
    <t>18740-000</t>
  </si>
  <si>
    <t>Penitenciária de Tremembé Feminina II</t>
  </si>
  <si>
    <t>Tremembé</t>
  </si>
  <si>
    <t>Rodovia Amador Bueno da Veiga, KM 138, s/n</t>
  </si>
  <si>
    <t>12122-700</t>
  </si>
  <si>
    <t>Penitenciária Feminina de Tupi Paulitas</t>
  </si>
  <si>
    <t>Tupi Paulista</t>
  </si>
  <si>
    <t>Rodovia João Ribeiro de Barros, KM 667.8, s/n - Zona Rural</t>
  </si>
  <si>
    <t>17930-000</t>
  </si>
  <si>
    <t>CDP de Valparaíso</t>
  </si>
  <si>
    <t>Valparaíso</t>
  </si>
  <si>
    <t>Estrada Municipal VPS 012-351</t>
  </si>
  <si>
    <t>16880-000</t>
  </si>
  <si>
    <t>SBMG</t>
  </si>
  <si>
    <t>TERMINAIS AÉREOS DE MARINGÁ SBMG S.A.</t>
  </si>
  <si>
    <t>Aeroporto Regional de Maringá</t>
  </si>
  <si>
    <t>Avenida Doutor Vladimir Babkov, s/n - Parque Industrial Mario Bulhões</t>
  </si>
  <si>
    <t>87065-665</t>
  </si>
  <si>
    <t>NUCBR-1-25-0112</t>
  </si>
  <si>
    <t>SBSV</t>
  </si>
  <si>
    <t>CONCESSIONÁRIA DO AEROPORTO DE SALVADOR S.A.</t>
  </si>
  <si>
    <t>TFN BR1 230006 AP-I-00511</t>
  </si>
  <si>
    <t>Praça Gago Coutinho, s/n - Gauarita 02</t>
  </si>
  <si>
    <t>41510-045</t>
  </si>
  <si>
    <t>NUCBR-1-25-0017</t>
  </si>
  <si>
    <t>TFN BR1 230007 AP-I-00512</t>
  </si>
  <si>
    <t>TFN BR1 230004 AP-I-00509</t>
  </si>
  <si>
    <t>TFN BR1 230005 AP-I-00510</t>
  </si>
  <si>
    <t>SCPAR</t>
  </si>
  <si>
    <t>SCPAR PORTO DE SÃO FRANCISCO DO SUL S/A</t>
  </si>
  <si>
    <t>TFNPA-VI-190896</t>
  </si>
  <si>
    <t>São Francisco do Sul</t>
  </si>
  <si>
    <t>Avenida Engenheiro Leite Ribeiro, 782 - Centro</t>
  </si>
  <si>
    <t>89240-000</t>
  </si>
  <si>
    <t>NUCBR-1-22-0050</t>
  </si>
  <si>
    <t>SDSB</t>
  </si>
  <si>
    <t>AEROPORTO PÚBLICO DE BONITO</t>
  </si>
  <si>
    <t>Aeroporto Regional de Bonito</t>
  </si>
  <si>
    <t>TFNAP-IX-170350</t>
  </si>
  <si>
    <t>Bonito</t>
  </si>
  <si>
    <t>Rodovia MS-178, KM 13 - Zona Rural</t>
  </si>
  <si>
    <t>79290-000</t>
  </si>
  <si>
    <t>NUCBR-1-22-0170</t>
  </si>
  <si>
    <t>SEAP AM</t>
  </si>
  <si>
    <t>SECRETARIA DO ESTADO DE ADMINISTRAÇÃO</t>
  </si>
  <si>
    <t>Complexo Penitenciário Anísio Jobim</t>
  </si>
  <si>
    <t>Rodovia BR-174, KM 8, s/n</t>
  </si>
  <si>
    <t>NUCBR-1-19-0001</t>
  </si>
  <si>
    <t>Centro de Detenção Provisória de Manaus</t>
  </si>
  <si>
    <t>Instituto Penal Antonio Trindade</t>
  </si>
  <si>
    <t>Centro de Detenção Provisória de Manaus II</t>
  </si>
  <si>
    <t>Unidade Prisional de Puraquequara</t>
  </si>
  <si>
    <t>Rua Puraquequara, s/n</t>
  </si>
  <si>
    <t>69000-000</t>
  </si>
  <si>
    <t>Penitenciária Feminina de Manaus</t>
  </si>
  <si>
    <t>Centro de Detenção Provisória Feminino</t>
  </si>
  <si>
    <t>Unidade Prisional Feminino Semi-Aberto</t>
  </si>
  <si>
    <t>Avenida Codajás, 400 - Cachoeirinha</t>
  </si>
  <si>
    <t>69065-130</t>
  </si>
  <si>
    <t>Unidade Prisional de Coari</t>
  </si>
  <si>
    <t>Rua Jonathas Pedrosa, s/n</t>
  </si>
  <si>
    <t>69460-000</t>
  </si>
  <si>
    <t>Unidade Prisional João Lucena</t>
  </si>
  <si>
    <t>Rua Padre José Maria Pena, 1639 - São Pedro</t>
  </si>
  <si>
    <t>69800-000</t>
  </si>
  <si>
    <t>Unidade Prisional de Itacoatiara</t>
  </si>
  <si>
    <t>Estrada Guaranatupa, KM 5, s/n</t>
  </si>
  <si>
    <t>Unidade Prisional de Maués</t>
  </si>
  <si>
    <t>Rua São João, 519 - Ramalho Junior</t>
  </si>
  <si>
    <t>69190-000</t>
  </si>
  <si>
    <t>Unidade Prisional de Paritins</t>
  </si>
  <si>
    <t>Avenida Nações Unidas, 1842 - Centro</t>
  </si>
  <si>
    <t>69151-000</t>
  </si>
  <si>
    <t>Unidade Prisional de Tabatinga</t>
  </si>
  <si>
    <t>Estrada Manuel Tananta, s/n - Santa Rosa</t>
  </si>
  <si>
    <t>69640-000</t>
  </si>
  <si>
    <t>Unidade Prisional de Tefé</t>
  </si>
  <si>
    <t>Rua Marechal Deodoro, 329 - Centro</t>
  </si>
  <si>
    <t>69470-000</t>
  </si>
  <si>
    <t>SEAP MA</t>
  </si>
  <si>
    <t>UPR de Açailândia</t>
  </si>
  <si>
    <t>TFNAP 09190163</t>
  </si>
  <si>
    <t>Açailandia</t>
  </si>
  <si>
    <t xml:space="preserve">Rua 04, s/n - Vila Progresso II </t>
  </si>
  <si>
    <t>65930-000</t>
  </si>
  <si>
    <t>NUCBR-1-20-0092</t>
  </si>
  <si>
    <t>UPR de Bacabal</t>
  </si>
  <si>
    <t>Rodovia BR-136, KM 377 - Povoado Piratininga</t>
  </si>
  <si>
    <t>NUCBR-1-18-0045(1)</t>
  </si>
  <si>
    <t>1 Dia</t>
  </si>
  <si>
    <t>UPR de Balsas</t>
  </si>
  <si>
    <t>Avenida Contorno, s/n - Bairro Nazaré</t>
  </si>
  <si>
    <t>NUCBR-1-18-0045</t>
  </si>
  <si>
    <t>UPR de Caxias</t>
  </si>
  <si>
    <t>TFNAP 09190168</t>
  </si>
  <si>
    <t>Rua Manoel Gonçales, 888 - Centro</t>
  </si>
  <si>
    <t>65600-110</t>
  </si>
  <si>
    <t>UPR de Chapadinha</t>
  </si>
  <si>
    <t>TFNAP 09190170</t>
  </si>
  <si>
    <t>Chapadinha</t>
  </si>
  <si>
    <t>Rua Sebastião Barbosa, s/n - Centro</t>
  </si>
  <si>
    <t>65500-970</t>
  </si>
  <si>
    <t>UPR de Colinas</t>
  </si>
  <si>
    <t>TFNAP-IX-170207</t>
  </si>
  <si>
    <t>Colinas</t>
  </si>
  <si>
    <t>Centro</t>
  </si>
  <si>
    <t>65690-000</t>
  </si>
  <si>
    <t>UPR de Coroatá</t>
  </si>
  <si>
    <t>Coroatá</t>
  </si>
  <si>
    <t>Rua do Mangue Alto</t>
  </si>
  <si>
    <t>65415-000</t>
  </si>
  <si>
    <t>Unidade Prisional de Coroatá</t>
  </si>
  <si>
    <t>TFNAP 09190152</t>
  </si>
  <si>
    <t>Avenida Mangue Alto, s/n - Silene</t>
  </si>
  <si>
    <t>UPR de Davinópolis</t>
  </si>
  <si>
    <t>Davinópolis</t>
  </si>
  <si>
    <t>Rua Presidente Vargas, s/n - Mangueira</t>
  </si>
  <si>
    <t>65927-000</t>
  </si>
  <si>
    <t xml:space="preserve">UPR de Imperatriz </t>
  </si>
  <si>
    <t>TFNAP 09190171</t>
  </si>
  <si>
    <t>Rua Dom Pedro II, s/n - Parque do Buriti</t>
  </si>
  <si>
    <t>65916-695</t>
  </si>
  <si>
    <t>UPR de Itapecuru Mirim</t>
  </si>
  <si>
    <t>Itapecura Mirim</t>
  </si>
  <si>
    <t>Rodovia BR-222, KM 15</t>
  </si>
  <si>
    <t>65485-000</t>
  </si>
  <si>
    <t>UPR de Olho D'Agua</t>
  </si>
  <si>
    <t>Olho D'Agua</t>
  </si>
  <si>
    <t>Avenida Conselheiro Hilton Rodrigues, s/n</t>
  </si>
  <si>
    <t>65065-180</t>
  </si>
  <si>
    <t>Penitenciária Regional de Pedreiras</t>
  </si>
  <si>
    <t>TFNAP 09190154</t>
  </si>
  <si>
    <t>Pedreiras</t>
  </si>
  <si>
    <t>Rodovia BR-122 - Povoado Barricuda do Insono</t>
  </si>
  <si>
    <t>65725-000</t>
  </si>
  <si>
    <t>Penitenciária Regional de Pinheiro</t>
  </si>
  <si>
    <t>CX10080T</t>
  </si>
  <si>
    <t>TFNPB-XIX-160334</t>
  </si>
  <si>
    <t>Pinheiro</t>
  </si>
  <si>
    <t>Rua Dom Pedro I, s/n - Bairro João Castelo</t>
  </si>
  <si>
    <t>NUCBR-1-19-0069</t>
  </si>
  <si>
    <t>Unidade Prisional de Porto Franco</t>
  </si>
  <si>
    <t>TFNAP 09190172</t>
  </si>
  <si>
    <t>Porto Franco</t>
  </si>
  <si>
    <t>Rua Alfredo Santos, 102 - Centro</t>
  </si>
  <si>
    <t>65970-000</t>
  </si>
  <si>
    <t>UPR de Presidente Dutra</t>
  </si>
  <si>
    <t>Presidente Dutra</t>
  </si>
  <si>
    <t>Rua Henrique Coelho, s/n</t>
  </si>
  <si>
    <t>65760-000</t>
  </si>
  <si>
    <t>NUCBR-1-18-0045(2)</t>
  </si>
  <si>
    <t>UPR de Rosário</t>
  </si>
  <si>
    <t>Rosário</t>
  </si>
  <si>
    <t>Rua Padre Possidônio Monteiro, 110-162</t>
  </si>
  <si>
    <t>65150-000</t>
  </si>
  <si>
    <t xml:space="preserve">UPR de Santa Inês </t>
  </si>
  <si>
    <t>TFNAP 09190167</t>
  </si>
  <si>
    <t>Santa Inês</t>
  </si>
  <si>
    <t>Rua da Barreirinha, 1536</t>
  </si>
  <si>
    <t>65300-000</t>
  </si>
  <si>
    <t>São José dos Patos</t>
  </si>
  <si>
    <t>Rua Almirante Tamandaré, s/n - São Raimundo</t>
  </si>
  <si>
    <t>65665-000</t>
  </si>
  <si>
    <t>Rodovia MA-122, KM 26 - Pedreiras</t>
  </si>
  <si>
    <t>UPR Feminina São Luis</t>
  </si>
  <si>
    <t>Rodovia BR-135, Avenida Engenheiro Emiliano Macieira, KM 13, s/n - Pedrinhas</t>
  </si>
  <si>
    <t xml:space="preserve"> 65095-603</t>
  </si>
  <si>
    <t>UPR São Luís 6</t>
  </si>
  <si>
    <t>UPR de Anil</t>
  </si>
  <si>
    <t>Estrada de Ribamar, 229-373 - Cantinho do Céu</t>
  </si>
  <si>
    <t>65060-430</t>
  </si>
  <si>
    <t>Portaria Unificada I</t>
  </si>
  <si>
    <t>Centro de Classificação, Observação e Triagem</t>
  </si>
  <si>
    <t>TFNPB-XIX-160335</t>
  </si>
  <si>
    <t>Portaria Unificada</t>
  </si>
  <si>
    <t>TFNPB-XIX-160333</t>
  </si>
  <si>
    <t>Penitenciária Regional de São Luís</t>
  </si>
  <si>
    <t>TFNPB-XIX-160336</t>
  </si>
  <si>
    <t>TFNAP 09190169</t>
  </si>
  <si>
    <t>São Luiz</t>
  </si>
  <si>
    <t>Rodovia De Acesso BR-135, KM 16, s/n - Pedrinhas</t>
  </si>
  <si>
    <t>65636-849</t>
  </si>
  <si>
    <t>UPR de Timon</t>
  </si>
  <si>
    <t>Rua Marcos Batista, s/n</t>
  </si>
  <si>
    <t>Associação de Proteção e Assistência aos Condenados - APAC</t>
  </si>
  <si>
    <t>TFN BR1 200228 AP-IX 00361</t>
  </si>
  <si>
    <t>Rua B, s/n – Bairro: Planalto Boa Esperança</t>
  </si>
  <si>
    <t>65630-000</t>
  </si>
  <si>
    <t>NUCBR-1-23-0011</t>
  </si>
  <si>
    <t>TFNEV 01190051</t>
  </si>
  <si>
    <t>Avenida 2, 741 - Centro</t>
  </si>
  <si>
    <t>65632-415</t>
  </si>
  <si>
    <t>UPR de Viana</t>
  </si>
  <si>
    <t>Rua da Faixa, 692-766</t>
  </si>
  <si>
    <t>65215-000</t>
  </si>
  <si>
    <t>UPR de Zé Doca</t>
  </si>
  <si>
    <t>Zé Doca</t>
  </si>
  <si>
    <t>Rua Penalva - Centro</t>
  </si>
  <si>
    <t>65365-000</t>
  </si>
  <si>
    <t>SEAP RJ</t>
  </si>
  <si>
    <t>Presídio Nilza dos Santos</t>
  </si>
  <si>
    <t>TFN BR1 190045 AP-IX-00069</t>
  </si>
  <si>
    <t>Avenida XV de Novembro, 501 - Centro</t>
  </si>
  <si>
    <t>28051-550</t>
  </si>
  <si>
    <t>NUCBRF-19-0002</t>
  </si>
  <si>
    <t>Presídio Dalton Crespo</t>
  </si>
  <si>
    <t>TFN BR1 190046 AP-IX-00070</t>
  </si>
  <si>
    <t>Estrada Vinte e Oito, 1204</t>
  </si>
  <si>
    <t>28020-740</t>
  </si>
  <si>
    <t>Presídio Diomedes Vinhosa Muniz</t>
  </si>
  <si>
    <t>TFN BR1 190044 AP-IX-00068</t>
  </si>
  <si>
    <t>Itaperuna</t>
  </si>
  <si>
    <t>Avenida Zoello Sola, 100</t>
  </si>
  <si>
    <t>28300-000</t>
  </si>
  <si>
    <t>Cadeia Pública Hélio Gomes</t>
  </si>
  <si>
    <t>TFN BR1 190053 AP-IX-00077</t>
  </si>
  <si>
    <t>Magé</t>
  </si>
  <si>
    <t>Rua Rio Bonito, s/n - Saco</t>
  </si>
  <si>
    <t>25903-587</t>
  </si>
  <si>
    <t>Cadeia Pública Constantino Cokotós</t>
  </si>
  <si>
    <t>TFN BR1 190052 AP-IX-00076</t>
  </si>
  <si>
    <t>Avenida Washington Luís, 317 - Centro</t>
  </si>
  <si>
    <t>24030-250</t>
  </si>
  <si>
    <t>Penitenciária Luiz Fernando Bandeira Duarte</t>
  </si>
  <si>
    <t>TFN BR1 190055 AP-IX-00079</t>
  </si>
  <si>
    <t>Resende</t>
  </si>
  <si>
    <t>Estrada Bulhões Resende - Bulhões</t>
  </si>
  <si>
    <t>27570-000</t>
  </si>
  <si>
    <t>Sanatório Penal</t>
  </si>
  <si>
    <t>TFN BR1 190035 AP-IX-00059</t>
  </si>
  <si>
    <t>Estrada General Emílio Maurell Filho, 1100 - Gericinó</t>
  </si>
  <si>
    <t>Presídio Nelson Hungria</t>
  </si>
  <si>
    <t>TFN BR1 190036 AP-IX-00060</t>
  </si>
  <si>
    <t>Cadeia Pública Joaquim Ferreira de Souza</t>
  </si>
  <si>
    <t>TFN BR1 190037 AP-IX-00061</t>
  </si>
  <si>
    <t>Cadeia Pública Frederico Marques</t>
  </si>
  <si>
    <t>TFN BR1 190038 AP-IX-00062</t>
  </si>
  <si>
    <t>Rua Célio Nascimento, s/n - Benfica</t>
  </si>
  <si>
    <t>20930-050</t>
  </si>
  <si>
    <t>Instituto Penal Oscar Stevenson</t>
  </si>
  <si>
    <t>TFN BR1 190039 AP-IX-00063</t>
  </si>
  <si>
    <t>Unidade Hospitalar Dr. Hamilton Agostinho Vieira de Castro</t>
  </si>
  <si>
    <t>TFN BR1 190041 AP-IX-00065</t>
  </si>
  <si>
    <t>Instituto Penal Plácido de Sá Carvalho</t>
  </si>
  <si>
    <t>TFN BR1 190042 AP-IX-00066</t>
  </si>
  <si>
    <t>Estrada General Emílio Maurell Filho, 900 - Gericinó</t>
  </si>
  <si>
    <t>21854-020</t>
  </si>
  <si>
    <t>Cadeia Pública Albergado Crispim Ventino</t>
  </si>
  <si>
    <t>TFN BR1 190043 AP-IX-00067</t>
  </si>
  <si>
    <t>Instituto Penal Vicente Piragibe</t>
  </si>
  <si>
    <t>TFN BR1 190047 AP-IX-00071</t>
  </si>
  <si>
    <t>Estrada General Emílio Maurell Filho, 1300 - Gericinó</t>
  </si>
  <si>
    <t>21853-001</t>
  </si>
  <si>
    <t>Instituto Penal Cândido Mendes</t>
  </si>
  <si>
    <t>TFN BR1 190040 AP-IX-00064</t>
  </si>
  <si>
    <t>Rua Camerino, 41 - Centro</t>
  </si>
  <si>
    <t>20080-010</t>
  </si>
  <si>
    <t>Cadeia Pública Pedro Melo da Silva</t>
  </si>
  <si>
    <t>TFN BR1 190048 AP-IX-00072</t>
  </si>
  <si>
    <t>Penitenciária Moniz Sodré</t>
  </si>
  <si>
    <t>TFN BR1 190049 AP-IX-00073</t>
  </si>
  <si>
    <t>Estrada General Emílio Maurell Filho, s/n - Gericinó</t>
  </si>
  <si>
    <t>Penitenciária Talavera Bruce</t>
  </si>
  <si>
    <t>TFN BR1 190050 AP-IX-00074</t>
  </si>
  <si>
    <t>Estrada do Guandú do Sena, 1902 - Bangu</t>
  </si>
  <si>
    <t>21854-002</t>
  </si>
  <si>
    <t>Cadeia Pública José Antonio da Costa Barros</t>
  </si>
  <si>
    <t>TFN BR1 190051 AP-IX-00075</t>
  </si>
  <si>
    <t>Estrada General Emílio Maurell Filho, s/n - Bangu</t>
  </si>
  <si>
    <t>Cadeia Pública ISAP Tiago Teles de Castro Domingues</t>
  </si>
  <si>
    <t>TFN BR1 190054 AP-IX-00078</t>
  </si>
  <si>
    <t>São Gonçalo</t>
  </si>
  <si>
    <t>Rua Pôrto Calvo, 1 - Santa Luzia</t>
  </si>
  <si>
    <t>24722-600</t>
  </si>
  <si>
    <t>Cadeia Pública Franz de Castro Holzwarth</t>
  </si>
  <si>
    <t>TFN BR1 190034 AP-IX-00058</t>
  </si>
  <si>
    <t>Volta Redonda</t>
  </si>
  <si>
    <t>Rodovia Tancredo Neves, 1474-1580 - Jardim Belvedere</t>
  </si>
  <si>
    <t>27258-010</t>
  </si>
  <si>
    <t>SEDI</t>
  </si>
  <si>
    <t>SUPERINTENDÊNCIA ESTADUAL DE DESENVOLVIMENTO ECONÔMICO E INFRAESTRUTURA</t>
  </si>
  <si>
    <t>Aeroporto Internacional de Porto Velho - Governador Jorge Teixeira de Oliveira</t>
  </si>
  <si>
    <t>TFN BR1 200103 AP-XIII-00236</t>
  </si>
  <si>
    <t>Avenida Governador Jorge Teixeira, s/n</t>
  </si>
  <si>
    <t>76803-970</t>
  </si>
  <si>
    <t>NUCBR-1-20-0153</t>
  </si>
  <si>
    <t>TFN BR1 200104 AP-XIII-00237</t>
  </si>
  <si>
    <t>TFN BR1 200105 AP-XIII-00238</t>
  </si>
  <si>
    <t>TFNBZ 14200058</t>
  </si>
  <si>
    <t>NUCBR-1-21-0008</t>
  </si>
  <si>
    <t>SEJUS CE</t>
  </si>
  <si>
    <t>SECRETARIA DA ADMINISTRAÇÃO PENITENCIÁRIA E RESSOCIALIZAÇÃO - SAP CE</t>
  </si>
  <si>
    <t>Cadeia Pública de Acopiara</t>
  </si>
  <si>
    <t>150618</t>
  </si>
  <si>
    <t>Acopiara</t>
  </si>
  <si>
    <t>Estradad Sítio Logradouro, 425</t>
  </si>
  <si>
    <t>63560-000</t>
  </si>
  <si>
    <t>NUCBR-1-25-0040</t>
  </si>
  <si>
    <t>Instituto Penal Feminino</t>
  </si>
  <si>
    <t>130030</t>
  </si>
  <si>
    <t>Rodovia BR-116, KM 27 - Zona Rural</t>
  </si>
  <si>
    <t>Centro de Detenção Provisoria de Aquiraz</t>
  </si>
  <si>
    <t>130043</t>
  </si>
  <si>
    <t>Rodovia CE-350, KM 27</t>
  </si>
  <si>
    <t>Centro de Triagem e Observação Criminológica - CTOC</t>
  </si>
  <si>
    <t>130045</t>
  </si>
  <si>
    <t>Camará</t>
  </si>
  <si>
    <t>Centro de Triagem e Observação Criminológica</t>
  </si>
  <si>
    <t>150502</t>
  </si>
  <si>
    <t>Rodvoia BR-116, KM 27, s/n - Vila São Francisco</t>
  </si>
  <si>
    <t>150520</t>
  </si>
  <si>
    <t>150522</t>
  </si>
  <si>
    <t>Unidade Prisional Irmã Imelda</t>
  </si>
  <si>
    <t>150613</t>
  </si>
  <si>
    <t>60851-025</t>
  </si>
  <si>
    <t xml:space="preserve">Cadeia Pública de Caridade </t>
  </si>
  <si>
    <t>150524</t>
  </si>
  <si>
    <t>Caridade</t>
  </si>
  <si>
    <t>Rodovia BR-020, Km 327, Caridade</t>
  </si>
  <si>
    <t>62730-000</t>
  </si>
  <si>
    <t>CPPL UP de Carrapicho</t>
  </si>
  <si>
    <t>TFNPA-VI-120550(BI)</t>
  </si>
  <si>
    <t>Caucaia</t>
  </si>
  <si>
    <t>Rua Cem, 403 - Riachão</t>
  </si>
  <si>
    <t>61605-680</t>
  </si>
  <si>
    <t>Cadeia Pública de Cedro</t>
  </si>
  <si>
    <t>140093</t>
  </si>
  <si>
    <t>Cedro</t>
  </si>
  <si>
    <t>Rodovia CE-282, KM 02 - Vila Aroeira</t>
  </si>
  <si>
    <t>Cadeia Pública de Crato</t>
  </si>
  <si>
    <t>140094</t>
  </si>
  <si>
    <t>Crato</t>
  </si>
  <si>
    <t>Rua Mons. Tavares, 12, Centro</t>
  </si>
  <si>
    <t>63100-180</t>
  </si>
  <si>
    <t>Palacio do Governo</t>
  </si>
  <si>
    <t>130032</t>
  </si>
  <si>
    <t>Rua Carlos Antônio Sáles - Umirim</t>
  </si>
  <si>
    <t>62660-000</t>
  </si>
  <si>
    <t>Sede SAP</t>
  </si>
  <si>
    <t>150633</t>
  </si>
  <si>
    <t>Rua Tenente Benévolo, 1055 - Meireles</t>
  </si>
  <si>
    <t>60160-041</t>
  </si>
  <si>
    <t>Cadeia Pública de Fortim</t>
  </si>
  <si>
    <t>150559</t>
  </si>
  <si>
    <t>Fortim</t>
  </si>
  <si>
    <t>62815-000</t>
  </si>
  <si>
    <t>Cadeia Pública de Icó</t>
  </si>
  <si>
    <t>150587</t>
  </si>
  <si>
    <t>Icó</t>
  </si>
  <si>
    <t>Rodovia BR-404</t>
  </si>
  <si>
    <t>63430-000</t>
  </si>
  <si>
    <t>Institutto Penal Professor Olavo Oliveira II</t>
  </si>
  <si>
    <t>130007</t>
  </si>
  <si>
    <t>Hospital Penitenciário Otávio Lobo</t>
  </si>
  <si>
    <t>130055</t>
  </si>
  <si>
    <t>CPPL 6</t>
  </si>
  <si>
    <t>150565</t>
  </si>
  <si>
    <t xml:space="preserve">CPPL 1 </t>
  </si>
  <si>
    <t>150583</t>
  </si>
  <si>
    <t xml:space="preserve">CPPL 4 </t>
  </si>
  <si>
    <t>150590</t>
  </si>
  <si>
    <t xml:space="preserve">Centro de Execução Penal e Integração Social </t>
  </si>
  <si>
    <t>150695</t>
  </si>
  <si>
    <t>Cadeia Pública de Juazeiro do Norte</t>
  </si>
  <si>
    <t>130029</t>
  </si>
  <si>
    <t>Rua Francisco Medeiros da Silva, Campo Alegre</t>
  </si>
  <si>
    <t>63049-210</t>
  </si>
  <si>
    <t>Presidio Industrial Tourão</t>
  </si>
  <si>
    <t>150521</t>
  </si>
  <si>
    <t>Avenida Paizinho Sabiá, S/N - Campo Alegre</t>
  </si>
  <si>
    <t>Cadeia Pública de Novo Oriente</t>
  </si>
  <si>
    <t>150469</t>
  </si>
  <si>
    <t>Novo Oriente</t>
  </si>
  <si>
    <t>Rua Francisco Rufino, 508-530 - Vicente Rodrigues Vieira Novo Oriente</t>
  </si>
  <si>
    <t>63740-000</t>
  </si>
  <si>
    <t>Penitenciária Francisco Hélio Viana de Araújo</t>
  </si>
  <si>
    <t>110465</t>
  </si>
  <si>
    <t>Pacatuba</t>
  </si>
  <si>
    <t>Estrada Quibal, 537 - Alto do São João</t>
  </si>
  <si>
    <t>61800-000</t>
  </si>
  <si>
    <t>140095</t>
  </si>
  <si>
    <t>Cadeia Pública de Sobral</t>
  </si>
  <si>
    <t>150519</t>
  </si>
  <si>
    <t>Sobral</t>
  </si>
  <si>
    <t>Avenida Monsenhor Aloísio Pinto - Dom Expedito, Forquilha</t>
  </si>
  <si>
    <t>62115-000</t>
  </si>
  <si>
    <t>Penitenciária Industrial Regional de Sobral</t>
  </si>
  <si>
    <t>150528</t>
  </si>
  <si>
    <t>Rodovia Moésio Loiola - Jatobá</t>
  </si>
  <si>
    <t>62052-010</t>
  </si>
  <si>
    <t>150553</t>
  </si>
  <si>
    <t>Sobreira Amorim</t>
  </si>
  <si>
    <t>Vila Machado, Itaitinga</t>
  </si>
  <si>
    <t xml:space="preserve">Cadeia Pública de Trairi </t>
  </si>
  <si>
    <t>150560</t>
  </si>
  <si>
    <t>Trairi</t>
  </si>
  <si>
    <t>Rua João Oliveira Rola, 1 - Centro</t>
  </si>
  <si>
    <t>62690-000</t>
  </si>
  <si>
    <t>SEJUS PI</t>
  </si>
  <si>
    <t>SECRETARIA DO ESTADO DA JUSTIÇA DO PIAUÍ</t>
  </si>
  <si>
    <t>Penitenciária Regional de Oeiras</t>
  </si>
  <si>
    <t>TFNAP-IX-150243</t>
  </si>
  <si>
    <t xml:space="preserve"> Oeiras</t>
  </si>
  <si>
    <t>Rua Comadre Ana, s/n</t>
  </si>
  <si>
    <t>64500-000</t>
  </si>
  <si>
    <t>NUCBR-1-22-0114</t>
  </si>
  <si>
    <t>Penitenciária Irmão Guido - PIG</t>
  </si>
  <si>
    <t xml:space="preserve"> Teresina</t>
  </si>
  <si>
    <t>Rodovia BR-316, KM 7 - Bairro Santo Antonio</t>
  </si>
  <si>
    <t>64040-860</t>
  </si>
  <si>
    <t>Cadeia Pública de Altos - CPA</t>
  </si>
  <si>
    <t>TFNAP-IX-150612</t>
  </si>
  <si>
    <t>64290-000</t>
  </si>
  <si>
    <t>Penitenciária Dom Alonso Núñez - PDAAN</t>
  </si>
  <si>
    <t>TFNAP-IX-150586</t>
  </si>
  <si>
    <t>Bom Jesus</t>
  </si>
  <si>
    <t>Rodovia BR-135, KM 3.7 - Localidade Vila Stela</t>
  </si>
  <si>
    <t>64900-000</t>
  </si>
  <si>
    <t>Penitenciária José de Arimateia Barbosa Leite - PJABL</t>
  </si>
  <si>
    <t>TFNAP-IX-150530</t>
  </si>
  <si>
    <t>Campo Maior</t>
  </si>
  <si>
    <t>Avenida Nilo Oliveira, s/n - Localidade Fazendinha</t>
  </si>
  <si>
    <t>Penitenciária Gonçalo de Castro Lima - PGCL</t>
  </si>
  <si>
    <t>TFNAP-IX-150589</t>
  </si>
  <si>
    <t>Floriano</t>
  </si>
  <si>
    <t xml:space="preserve">Rodovia PI-140, KM 24 - Zona Rural </t>
  </si>
  <si>
    <t>64800-000</t>
  </si>
  <si>
    <t>Penitenciária Mista Juiz Fontes Ibiapina</t>
  </si>
  <si>
    <t>TFNAP-IX-150246</t>
  </si>
  <si>
    <t>Parnaíba</t>
  </si>
  <si>
    <t>Avenida Alvaro Mendes, s/n - Nova Parnaíba</t>
  </si>
  <si>
    <t>64218-902</t>
  </si>
  <si>
    <t>Penitenciária José de Deus Barros</t>
  </si>
  <si>
    <t>TFNAP-IX-150517</t>
  </si>
  <si>
    <t>64600-002</t>
  </si>
  <si>
    <t xml:space="preserve">Penitenciária Prof. José Ribamar Leite - PPJRL </t>
  </si>
  <si>
    <t>TFNAP-IX-150236</t>
  </si>
  <si>
    <t xml:space="preserve">Teresina </t>
  </si>
  <si>
    <t>SEJUS RO</t>
  </si>
  <si>
    <t>SECRETARIA DO ESTADO DE JUSTIÇA DE RONDÔNIA</t>
  </si>
  <si>
    <t>Centro de Ressocialização Jonas Ferreti</t>
  </si>
  <si>
    <t>TFN BR1 240031 AP-I-00656</t>
  </si>
  <si>
    <t>Buritis</t>
  </si>
  <si>
    <t>Estrada Projetada, KM 07</t>
  </si>
  <si>
    <t>76880-000</t>
  </si>
  <si>
    <t>NUCBRF-1-24-0022</t>
  </si>
  <si>
    <t>09:00 - 17:00</t>
  </si>
  <si>
    <t>6 Dias</t>
  </si>
  <si>
    <t>Cadeia Pública de Colorado do Oeste</t>
  </si>
  <si>
    <t>TFN BR1 240029 AP-I-00654</t>
  </si>
  <si>
    <t>Colorado do Oeste</t>
  </si>
  <si>
    <t>Avenida Guaporé, 3465 - Santa Luzia</t>
  </si>
  <si>
    <t>76993-000</t>
  </si>
  <si>
    <t>Centro de Ressocialização de Machadinho do Oeste</t>
  </si>
  <si>
    <t>TFN BR1 240028 AP-I-00653</t>
  </si>
  <si>
    <t>Machadinho D'Oeste</t>
  </si>
  <si>
    <t>Rodovia RO-133 - Machadinho D'Oeste</t>
  </si>
  <si>
    <t>76868-000</t>
  </si>
  <si>
    <t>Casa de Detenção de Ouro Preto do Oeste</t>
  </si>
  <si>
    <t>TFN BR1 240034 AP-I-00659</t>
  </si>
  <si>
    <t>Ouro Preto do Oeste</t>
  </si>
  <si>
    <t>Rua Padre Adolpho Rolh, 793 - Jardim Bandeirantes</t>
  </si>
  <si>
    <t>76920-000</t>
  </si>
  <si>
    <t>Penitenciária Milton Soares de Carvalho</t>
  </si>
  <si>
    <t>TFN BR1 240032 AP-I-00657</t>
  </si>
  <si>
    <t>Estrada da Penal, KM 6.5 - Zona Rural</t>
  </si>
  <si>
    <t>76834-899</t>
  </si>
  <si>
    <t>Casa de Detenção de São Miguel do Guaporé</t>
  </si>
  <si>
    <t>TFN BR1 240033 AP-I-00658</t>
  </si>
  <si>
    <t>São Miguel do Guaporé</t>
  </si>
  <si>
    <t>Rua Dom Pedro II, 2605 - Centro</t>
  </si>
  <si>
    <t>78700-220</t>
  </si>
  <si>
    <t>Centro de Ressocialização Cone Sul</t>
  </si>
  <si>
    <t>TFN BR1 240030 AP-I-00655</t>
  </si>
  <si>
    <t>Vilhena</t>
  </si>
  <si>
    <t>Rua 5409, 2200, Quadra CH 54, Lote 70/71</t>
  </si>
  <si>
    <t>76980-000</t>
  </si>
  <si>
    <t>SEJUSP MG</t>
  </si>
  <si>
    <t>SECRETARIA DE ESTADO DE JUSTIÇA E SEGURANÇA PÚBLICA</t>
  </si>
  <si>
    <t>Presídio de Carangola</t>
  </si>
  <si>
    <t xml:space="preserve"> Carangola</t>
  </si>
  <si>
    <t>Rua Archimedes Menicucci, 30 - Caixa D'Água</t>
  </si>
  <si>
    <t>36800-000</t>
  </si>
  <si>
    <t>NUCBRF-1-25-0048</t>
  </si>
  <si>
    <t>Presídio de Abre Campo</t>
  </si>
  <si>
    <t>CX6040BIS</t>
  </si>
  <si>
    <t>Abre Campo</t>
  </si>
  <si>
    <t>Rua Mauel Miranda, 100 - Bairro Serraria</t>
  </si>
  <si>
    <t>35365-000</t>
  </si>
  <si>
    <t>NUCBRF-1-25-0047</t>
  </si>
  <si>
    <t>Presídio de Aimorés</t>
  </si>
  <si>
    <t>Aimorés</t>
  </si>
  <si>
    <t>Rua do Camilão, 82 - Centro</t>
  </si>
  <si>
    <t xml:space="preserve"> 35200-000</t>
  </si>
  <si>
    <t>Presídio de Alfenas PREALF</t>
  </si>
  <si>
    <t>TFN BR1 230083 EV-I-00588</t>
  </si>
  <si>
    <t>Alfenas</t>
  </si>
  <si>
    <t>Rodovia Otoni Ferreira Barbosa, KM 3 - Cidade Jardim</t>
  </si>
  <si>
    <t>37130-350</t>
  </si>
  <si>
    <t>NUCBRF-1-23-0053</t>
  </si>
  <si>
    <t>Após 5 Dias sem resolução</t>
  </si>
  <si>
    <t>Presídio de Alfenas - PREALF</t>
  </si>
  <si>
    <t>TFNEV 01230007</t>
  </si>
  <si>
    <t>37130-000</t>
  </si>
  <si>
    <t>NUCBRF-1-23-0053-2</t>
  </si>
  <si>
    <t>Presídio de Alfenas</t>
  </si>
  <si>
    <t>TFNPV 14240036</t>
  </si>
  <si>
    <t>Rodovia Ottoni Ferreira Barbosa, KM 03, s/n</t>
  </si>
  <si>
    <t>37030-000</t>
  </si>
  <si>
    <t>NUCBRF-1-24-0020</t>
  </si>
  <si>
    <t>TFNPV 14240037</t>
  </si>
  <si>
    <t>Presídio de Andradas</t>
  </si>
  <si>
    <t>Andradas</t>
  </si>
  <si>
    <t>Rodovia Vereador Antônio de Lima Valim, s/n, MG 455 KM 4- Bairro Jardim Ipê</t>
  </si>
  <si>
    <t>37795-000</t>
  </si>
  <si>
    <t>Presídio De Araguari</t>
  </si>
  <si>
    <t>TFN BR1 230097 EV-I-00602</t>
  </si>
  <si>
    <t>Araguari</t>
  </si>
  <si>
    <t>João Rodrigues da Cunha, s/n - Parque dos Verdes, Araguari</t>
  </si>
  <si>
    <t>38440-000</t>
  </si>
  <si>
    <t>TFNPV 14240019</t>
  </si>
  <si>
    <t>Rua João Rodrigues da Cunha, s/n - Parque dos Verdes</t>
  </si>
  <si>
    <t>Presídio de Araxá</t>
  </si>
  <si>
    <t>TFNEV 01230018</t>
  </si>
  <si>
    <t>Araxá</t>
  </si>
  <si>
    <t>AvenidaTenente Coronel Ermenegildo Magalhães, 55 - Bairro Orosino Teixeira</t>
  </si>
  <si>
    <t>38181-531</t>
  </si>
  <si>
    <t>Penitenciária de Araxá</t>
  </si>
  <si>
    <t>TFNPV 14240011</t>
  </si>
  <si>
    <t>38181-431</t>
  </si>
  <si>
    <t>Ceresp Gameleira</t>
  </si>
  <si>
    <t>TFN BR1 230072 EV-I-00577</t>
  </si>
  <si>
    <t>Rua Cândido de Souza, 520 - Gameleira</t>
  </si>
  <si>
    <t>30510-070</t>
  </si>
  <si>
    <t>Complexo Penitenciário Estevão Pinto</t>
  </si>
  <si>
    <t>TFN BR1 230073 EV-I-00578</t>
  </si>
  <si>
    <t>Rua João Alfredo, 457-227 - Horto</t>
  </si>
  <si>
    <t>31015-012</t>
  </si>
  <si>
    <t>Complexo Penitenciário Feminino Estevão Pinto</t>
  </si>
  <si>
    <t>TFNPV 014240058</t>
  </si>
  <si>
    <t>Rua Conselheiro Rocha, 3792 Horto</t>
  </si>
  <si>
    <t>31035-007</t>
  </si>
  <si>
    <t>CERESP Betim</t>
  </si>
  <si>
    <t>TFN BR1 230074 EV-I-00579</t>
  </si>
  <si>
    <t>Betim</t>
  </si>
  <si>
    <t>Rodovia BR-262, KM 360, s/n - Bairro Pinto D'água</t>
  </si>
  <si>
    <t>32530-005</t>
  </si>
  <si>
    <t>NUCBRF-1-23-0053-3</t>
  </si>
  <si>
    <t>Centro de Remanejamento do Sistema Prisional de Betim</t>
  </si>
  <si>
    <t>TFNPV 14240013</t>
  </si>
  <si>
    <t>Presídio Boa Esperança</t>
  </si>
  <si>
    <t>Boa Esperança</t>
  </si>
  <si>
    <t>Rua Mariquinha Gomes, 215 - Bairro Nova Era</t>
  </si>
  <si>
    <t>37170-000</t>
  </si>
  <si>
    <t>Presídio de Campo Belo</t>
  </si>
  <si>
    <t>TFNPV 14240053</t>
  </si>
  <si>
    <t>Campo Belo</t>
  </si>
  <si>
    <t>Rua Aeroporto, 445 - Bairro Passatempo</t>
  </si>
  <si>
    <t>37270-000</t>
  </si>
  <si>
    <t xml:space="preserve">Presídio de Guaranésia/Guaxupé </t>
  </si>
  <si>
    <t>TFNPV 14240043</t>
  </si>
  <si>
    <t>Guaranésia</t>
  </si>
  <si>
    <t xml:space="preserve">Rodovia MG 491, Km 74, s/n° - Guaranésia </t>
  </si>
  <si>
    <t xml:space="preserve">37810-000 </t>
  </si>
  <si>
    <t>TFNPV 14240008</t>
  </si>
  <si>
    <t>Estrada Santa Luzia, KM 3/ KM 518 - BR-116 - Córrego dos Bias</t>
  </si>
  <si>
    <t>35300-000</t>
  </si>
  <si>
    <t>Complexo Penitenciário Nossa Senhora do Carmo</t>
  </si>
  <si>
    <t>TFN BR1 230079 EV-I-00584</t>
  </si>
  <si>
    <t>Carmo do Paranaíba</t>
  </si>
  <si>
    <t>Avenida Santa Cruz, 2150 - Bairro Santa Cruz</t>
  </si>
  <si>
    <t>38840-000</t>
  </si>
  <si>
    <t>TFNPV 14240028</t>
  </si>
  <si>
    <t>Avenida Santa Cruz - Bairro Santa Cruz</t>
  </si>
  <si>
    <t>Presídio de Cataguases</t>
  </si>
  <si>
    <t>TFNPV 14240070</t>
  </si>
  <si>
    <t>Rua Francisca de Souza Peixoto</t>
  </si>
  <si>
    <t>Presídio de Congonhas</t>
  </si>
  <si>
    <t>Praça Irmã Suzana, 28 - Bairro Praia</t>
  </si>
  <si>
    <t>36415-000</t>
  </si>
  <si>
    <t>Presídio de Conselheiro Lafaiate</t>
  </si>
  <si>
    <t>TFNPV 14240057</t>
  </si>
  <si>
    <t>Conselheiro Lafaiate</t>
  </si>
  <si>
    <t>Rua Rodrigues Maia, 455 - Bairro Angélica</t>
  </si>
  <si>
    <t>36001-011</t>
  </si>
  <si>
    <t>Presídio de Conselheiro Pena</t>
  </si>
  <si>
    <t>Conselheiro Pena</t>
  </si>
  <si>
    <t>Avenida João Siqueira, 45 - Bairro São Luís</t>
  </si>
  <si>
    <t>35240-000</t>
  </si>
  <si>
    <t>Complexo Penitenciário Nelson Hungria</t>
  </si>
  <si>
    <t>TFNEV 01230022</t>
  </si>
  <si>
    <t>Avenida VP1, s/n - Nova Contagem</t>
  </si>
  <si>
    <t>32050-030</t>
  </si>
  <si>
    <t>TFNPV 14240012</t>
  </si>
  <si>
    <t>TFNPV 14240049</t>
  </si>
  <si>
    <t>Presídio de Curvelo</t>
  </si>
  <si>
    <t>TFNEV 01230014</t>
  </si>
  <si>
    <t>Curvelo</t>
  </si>
  <si>
    <t>Avenida Bias Fortes, 3450 - Bairro Vila São José</t>
  </si>
  <si>
    <t>35790-000</t>
  </si>
  <si>
    <t>TFNPV 14240015</t>
  </si>
  <si>
    <t>Presídio de Diamantina</t>
  </si>
  <si>
    <t>TFNPV 14240005</t>
  </si>
  <si>
    <t>Diamantina</t>
  </si>
  <si>
    <t>Rua Neuza Lajes, 650,0m - Cidade Nova</t>
  </si>
  <si>
    <t>39100-000</t>
  </si>
  <si>
    <t>Presídio de Floramar</t>
  </si>
  <si>
    <t>TFNEV 01230025</t>
  </si>
  <si>
    <t>Divinopolis</t>
  </si>
  <si>
    <t>Rua Tinharé, 150 - Bairro Floramar</t>
  </si>
  <si>
    <t>35502-294</t>
  </si>
  <si>
    <t>TFNPV 14240046</t>
  </si>
  <si>
    <t>Avenida Tinhare, 150 - Floramar</t>
  </si>
  <si>
    <t>TFNPV 14240047</t>
  </si>
  <si>
    <t>Presídio de Coronel Fabriciano</t>
  </si>
  <si>
    <t>TFN BR1 230071 EV-I-00576</t>
  </si>
  <si>
    <t>Fabriciano</t>
  </si>
  <si>
    <t>Rua Três Grotas, s/n - Todos os Santos</t>
  </si>
  <si>
    <t>35170-320</t>
  </si>
  <si>
    <t>Presídio Coronel Fabriciano</t>
  </si>
  <si>
    <t>TFNPV 14240060</t>
  </si>
  <si>
    <t>Penitenciária de Formiga</t>
  </si>
  <si>
    <t>TFN BR1 230092 EV-I-00597</t>
  </si>
  <si>
    <t>Formiga</t>
  </si>
  <si>
    <t>Rua Alto do Pequi, 304</t>
  </si>
  <si>
    <t>35570-000</t>
  </si>
  <si>
    <t>TFNPV 14240044</t>
  </si>
  <si>
    <t>Rua Alto do Pequi, 351</t>
  </si>
  <si>
    <t>Penitenciária de Francisco Sá</t>
  </si>
  <si>
    <t>TFN BR1 230066 EV-I-00571</t>
  </si>
  <si>
    <t>Estrada para Francisco Sá, 14 - Canabrava</t>
  </si>
  <si>
    <t>Estrada de Francisco Sá para Cana Brava, Km 14</t>
  </si>
  <si>
    <t>39403-024</t>
  </si>
  <si>
    <t>Presídio de Frutal</t>
  </si>
  <si>
    <t>Frutal</t>
  </si>
  <si>
    <t>Rua Olavo Bilac, 225 - Centro</t>
  </si>
  <si>
    <t>38200-000</t>
  </si>
  <si>
    <t>Centro de Remanejamento do Sistema Prisional - CERESP Gameleira</t>
  </si>
  <si>
    <t>TFNPV 14240004</t>
  </si>
  <si>
    <t>Gameleira</t>
  </si>
  <si>
    <t>Rua Cândido de Souza, 520 - Bairro Nova Gameleira</t>
  </si>
  <si>
    <t>Penitenciária de Governador Valadares - I  Francisco Floriano de Paula</t>
  </si>
  <si>
    <t>TFN BR1 230088 EV-I-00593</t>
  </si>
  <si>
    <t>Avenida Principal, s/n - Vila Nova Floresta</t>
  </si>
  <si>
    <t>3510-7500</t>
  </si>
  <si>
    <t>Presídio de Governador Valadares</t>
  </si>
  <si>
    <t>TFN BR1 230089 EV-I-00594</t>
  </si>
  <si>
    <t>Rua Soldado Edson Veloso, s/n - Bairro Santos Dumont II</t>
  </si>
  <si>
    <t>35022-210</t>
  </si>
  <si>
    <t>TFNPV 14240041</t>
  </si>
  <si>
    <t>35022-282</t>
  </si>
  <si>
    <t>Penitenciária Francisco Floriano de Paula</t>
  </si>
  <si>
    <t>TFNPV 14240045</t>
  </si>
  <si>
    <t>Avenida Principal - Vila Nova Floresta</t>
  </si>
  <si>
    <t>35020-070</t>
  </si>
  <si>
    <t>Presídio Guaxupe Guaranesia</t>
  </si>
  <si>
    <t>TFNEV 01230016</t>
  </si>
  <si>
    <t>Rodovia MG-491, KM 74.5, s/n</t>
  </si>
  <si>
    <t>35810-000</t>
  </si>
  <si>
    <t>Penitenciária de Ipaba - Dênio Moreira de Carvalho</t>
  </si>
  <si>
    <t>TFN BR1 230087 EV-I-00592</t>
  </si>
  <si>
    <t>Ipaba</t>
  </si>
  <si>
    <t>Rua dos Esportes, s/n - Centro</t>
  </si>
  <si>
    <t>35198-000</t>
  </si>
  <si>
    <t>Penitenciária Dênio Moreira de Carvalho</t>
  </si>
  <si>
    <t>TFNPV 14240017</t>
  </si>
  <si>
    <t>CERASP - Centro de Remanejamento Provisório Ipatinga</t>
  </si>
  <si>
    <t>TFN BR1 230086 EV-I-00591</t>
  </si>
  <si>
    <t>Ipatinga</t>
  </si>
  <si>
    <t>Estrada do CERESP, s/n - Zona Rural</t>
  </si>
  <si>
    <t>35160-003</t>
  </si>
  <si>
    <t>CERESP de Ipatinga</t>
  </si>
  <si>
    <t>TFNPV 14240018</t>
  </si>
  <si>
    <t>Presídio de Itajubá</t>
  </si>
  <si>
    <t>TFN BR1 230085 EV-I-00590</t>
  </si>
  <si>
    <t>Itajubá</t>
  </si>
  <si>
    <t>Rua Comissário Benedito Vilas Boas - Ponte Alta</t>
  </si>
  <si>
    <t>37506-900</t>
  </si>
  <si>
    <t>TFNPV 14240032</t>
  </si>
  <si>
    <t>Rua Comissário Benedito Vilas Boas, s/n - Ponte Alta</t>
  </si>
  <si>
    <t>37500-000</t>
  </si>
  <si>
    <t>Presídio de Itaúna</t>
  </si>
  <si>
    <t>Itaúna</t>
  </si>
  <si>
    <t>Rua Santana, s/n - Bairro Das Graças</t>
  </si>
  <si>
    <t>35680-329</t>
  </si>
  <si>
    <t>Presídio de Ituiutaba</t>
  </si>
  <si>
    <t>Ituiutaba</t>
  </si>
  <si>
    <t>Rua Professor Jose Vieira de Mendonça, 650 - Bairro Setor Norte</t>
  </si>
  <si>
    <t>38307-034</t>
  </si>
  <si>
    <t>TFNPV 14240066</t>
  </si>
  <si>
    <t>Ituiutuba</t>
  </si>
  <si>
    <t>Avenida Professor José Vieira de Mendonça, 650 - Bairro Setor norte</t>
  </si>
  <si>
    <t>Presídio de Iturama</t>
  </si>
  <si>
    <t>TFNPV 14240052</t>
  </si>
  <si>
    <t>Iturama</t>
  </si>
  <si>
    <t>Fazenda Santa Rosa - Área Rural</t>
  </si>
  <si>
    <t>38170-000</t>
  </si>
  <si>
    <t>Fazenda Santa Rosa - Área rural de Iturama</t>
  </si>
  <si>
    <t>38280-000</t>
  </si>
  <si>
    <t>Presídio de Juatuba</t>
  </si>
  <si>
    <t>Juatuba</t>
  </si>
  <si>
    <t>Rua Minas Gerais, 140 - Bairro São Jerônimo</t>
  </si>
  <si>
    <t>35.675-000</t>
  </si>
  <si>
    <t>Penitenciária Ariosvaldo Campos Pires</t>
  </si>
  <si>
    <t>TFNEV 01230012</t>
  </si>
  <si>
    <t>Rua Diva Garcia, 3351 - Bairro Linhares</t>
  </si>
  <si>
    <t>36060-300</t>
  </si>
  <si>
    <t>Penitenciária José Edson Cavalieri</t>
  </si>
  <si>
    <t>TFNEV 01230013</t>
  </si>
  <si>
    <t>Centro de Remanejamento do Sistema Prisional de Juiz de Fora</t>
  </si>
  <si>
    <t>TFNEV 01230021</t>
  </si>
  <si>
    <t>Rua da Passagem s/n - Bairro Linhares</t>
  </si>
  <si>
    <t>36100-010</t>
  </si>
  <si>
    <t>Centro Socioeducativo de Juiz de Fora</t>
  </si>
  <si>
    <t>TFNEV 01230009</t>
  </si>
  <si>
    <t>Avenida JK, 01 - Jardim Santa Isabel</t>
  </si>
  <si>
    <t>36085-000</t>
  </si>
  <si>
    <t>CERESP de Juiz de Fora</t>
  </si>
  <si>
    <t>TFNPV 14240001</t>
  </si>
  <si>
    <t>Rua da Passagem - Bairro Linhares</t>
  </si>
  <si>
    <t>36048-340</t>
  </si>
  <si>
    <t>Penitenciária Professor Ariosvaldo Campos Pires</t>
  </si>
  <si>
    <t>TFNPV 14240042</t>
  </si>
  <si>
    <t>Rua Diva Garcia, 3351 - Linhares</t>
  </si>
  <si>
    <t>TFNPV 14240051</t>
  </si>
  <si>
    <t>Presídio de Lavras</t>
  </si>
  <si>
    <t>TFNPV 14240039</t>
  </si>
  <si>
    <t>Lavras</t>
  </si>
  <si>
    <t>Avenida Ernesto Matioli, 982 - Santa Efigênia</t>
  </si>
  <si>
    <t>37200-00</t>
  </si>
  <si>
    <t>Presídio de Manhuaçu</t>
  </si>
  <si>
    <t>TFNPV 14240007</t>
  </si>
  <si>
    <t>Manhuaçu</t>
  </si>
  <si>
    <t>Avenida Melo Viana, 221 - Bairro Bom Pastor</t>
  </si>
  <si>
    <t>36902-290</t>
  </si>
  <si>
    <t>Presídio de Manhumirim</t>
  </si>
  <si>
    <t xml:space="preserve">Manhumirim </t>
  </si>
  <si>
    <t>Rua Teófilo Tostes, 143 - Centro</t>
  </si>
  <si>
    <t>36970-000</t>
  </si>
  <si>
    <t>Presídio de Mantena</t>
  </si>
  <si>
    <t>Mantena</t>
  </si>
  <si>
    <t>Rua Dos Operarios, 249 - Bairro Santo Antônio</t>
  </si>
  <si>
    <t>35290-000</t>
  </si>
  <si>
    <t>Presídio de Mariana</t>
  </si>
  <si>
    <t>TFNPV 14240021</t>
  </si>
  <si>
    <t>Mariana</t>
  </si>
  <si>
    <t>Rua 16 de Julho, 1 - Centro</t>
  </si>
  <si>
    <t>35420-000</t>
  </si>
  <si>
    <t>Rua 16 de Julho - s/n - Centro</t>
  </si>
  <si>
    <t>35420-039</t>
  </si>
  <si>
    <t>Presídio de Monte Carmelo</t>
  </si>
  <si>
    <t>Monte Carmelo</t>
  </si>
  <si>
    <t>Avenida da Saudade, 380 - Vila Dourada</t>
  </si>
  <si>
    <t>38500-000</t>
  </si>
  <si>
    <t>Presídio de Montes Claros II (Pres-MOC-II)</t>
  </si>
  <si>
    <t>TFN BR1 230067 EV-I-00572</t>
  </si>
  <si>
    <t>Avenida Antônio de Freitas, s/n - Bairro Jaraguá II</t>
  </si>
  <si>
    <t>39404-205</t>
  </si>
  <si>
    <t>Presídio Alvorada</t>
  </si>
  <si>
    <t>TFNPV 14240059</t>
  </si>
  <si>
    <t>Avenida Engenheiro Rolando Trindade Bassi, 140 - Jardim Alvorada</t>
  </si>
  <si>
    <t>39402-251</t>
  </si>
  <si>
    <t>Presídio regional de Montes Claros</t>
  </si>
  <si>
    <t>Penitenciária Dr. Manoel Martins Lisboa Junior</t>
  </si>
  <si>
    <t>TFNEV 01230006</t>
  </si>
  <si>
    <t>Avenida Luciano Rodrigues de Paula 600 - Chácara Leblon</t>
  </si>
  <si>
    <t xml:space="preserve">36889-550 </t>
  </si>
  <si>
    <t>NUCBRF-1-23-0053-1</t>
  </si>
  <si>
    <t>Presídio de Muriaé</t>
  </si>
  <si>
    <t>TFNPV 14240002</t>
  </si>
  <si>
    <t>Rua José Freitas Lima, 02 - Bairro Zafira</t>
  </si>
  <si>
    <t>Penitenciária Doutor Manoel Martins Lisboa Junior</t>
  </si>
  <si>
    <t>TFNPV 14240003</t>
  </si>
  <si>
    <t>TFN BR1 250147 EV 1 00003</t>
  </si>
  <si>
    <t>Rua José Freitas Lima, 2 - Safira</t>
  </si>
  <si>
    <t>36883-045</t>
  </si>
  <si>
    <t>Presídio de Nanuque</t>
  </si>
  <si>
    <t>TFNPV 14240056</t>
  </si>
  <si>
    <t>Nanuque</t>
  </si>
  <si>
    <t>Rua Uberaba, 843 - Vila Militar</t>
  </si>
  <si>
    <t>39860-000</t>
  </si>
  <si>
    <t>Penitenciária de Contagem I - Nelson Hungria</t>
  </si>
  <si>
    <t>TFN BR1 230075 EV-I-00580</t>
  </si>
  <si>
    <t>Nova Contagem</t>
  </si>
  <si>
    <t>Rua VP-1</t>
  </si>
  <si>
    <t>Presídio de Nova Serrana</t>
  </si>
  <si>
    <t>TFNPV 14240069</t>
  </si>
  <si>
    <t>Nova Serrana</t>
  </si>
  <si>
    <t>Rua José Pedro da Silva, 225 - Bairro Francisco Lucas</t>
  </si>
  <si>
    <t>35519-000</t>
  </si>
  <si>
    <t>Presídio Doutor Nelson Pires</t>
  </si>
  <si>
    <t>TFNEV 01230024</t>
  </si>
  <si>
    <t>Oliveira</t>
  </si>
  <si>
    <t>Rodovia BR-369 Coronel João Alves, KM 1, 420 - Bairro Martins - Centro</t>
  </si>
  <si>
    <t>35540-000</t>
  </si>
  <si>
    <t>TFNPV 14240038</t>
  </si>
  <si>
    <t>Rodovia BR-369 - Bairro Martins</t>
  </si>
  <si>
    <t>BR369, KM 01, Bairro Martins</t>
  </si>
  <si>
    <t>Complexo Penitenciário Doutor Pio Canedo</t>
  </si>
  <si>
    <t>TFNPV 14240048</t>
  </si>
  <si>
    <t>Para de Minas</t>
  </si>
  <si>
    <t>Estrada dos Costas, s/n - Bairro Papa João Paulo II</t>
  </si>
  <si>
    <t>35661-599</t>
  </si>
  <si>
    <t>TFNEV 01230023</t>
  </si>
  <si>
    <t>Pará de Minas</t>
  </si>
  <si>
    <t>Estrada dos Costas - Bairro Papa João Paulo II</t>
  </si>
  <si>
    <t>Presídio de Paracatu</t>
  </si>
  <si>
    <t>Paracatu</t>
  </si>
  <si>
    <t>Rua da Contagem, s/n - Paracatuzinho</t>
  </si>
  <si>
    <t>38600-000</t>
  </si>
  <si>
    <t>Presídio de Passos</t>
  </si>
  <si>
    <t>TFNEV 01230017</t>
  </si>
  <si>
    <t>Passos</t>
  </si>
  <si>
    <t>Rua Turquesa, 1803 - Bairro Jardim Aclimação</t>
  </si>
  <si>
    <t>37901-702</t>
  </si>
  <si>
    <t>TFNPV 14240064</t>
  </si>
  <si>
    <t>Rua Turquesa, 1803 - Jardim Aclimacao</t>
  </si>
  <si>
    <t>Presídio Sebastião Satiro</t>
  </si>
  <si>
    <t>TFNEV 01230019</t>
  </si>
  <si>
    <t>Patos de Minas</t>
  </si>
  <si>
    <t>Avenida Ouro Branco, 355 - Bairro Distrito Insutrial II</t>
  </si>
  <si>
    <t>38706-735</t>
  </si>
  <si>
    <t>TFNPV 14240025</t>
  </si>
  <si>
    <t>Rua Ouro Branco, 355 - Distrito Industrial II</t>
  </si>
  <si>
    <t>38550-000</t>
  </si>
  <si>
    <t>Penitenciária Deputado Expedito de Faria Tavares</t>
  </si>
  <si>
    <t>TFN BR1 230080 EV-I-00585</t>
  </si>
  <si>
    <t>Patrocínio</t>
  </si>
  <si>
    <t>Estrada Municipal de Patrocínio, 004 - Zona Rural</t>
  </si>
  <si>
    <t>38740-000</t>
  </si>
  <si>
    <t>Penitenciária Expedito de Faria Tavares</t>
  </si>
  <si>
    <t>TFNPV 14240020</t>
  </si>
  <si>
    <t>Estrada Municipal de Patrocínio, 004 - Zona Rural,</t>
  </si>
  <si>
    <t>Presídio de Pirapora</t>
  </si>
  <si>
    <t>TFNPV 14240061</t>
  </si>
  <si>
    <t>Pirapora</t>
  </si>
  <si>
    <t>183 Avenida Benjamin Constant, 319 - Bairro Santos Dumont</t>
  </si>
  <si>
    <t>39274-174</t>
  </si>
  <si>
    <t>Presídio de Piumhi</t>
  </si>
  <si>
    <t>Piumhi</t>
  </si>
  <si>
    <t>Rua Liberdade, 240 - Bairro Colina</t>
  </si>
  <si>
    <t>37925-000</t>
  </si>
  <si>
    <t>Presídio de Poços de Caldas</t>
  </si>
  <si>
    <t>TFNPV 14240055</t>
  </si>
  <si>
    <t>Poços de Caldas</t>
  </si>
  <si>
    <t>Rua da Saudade, 169 - Campo da Mogiana</t>
  </si>
  <si>
    <t>37701-331</t>
  </si>
  <si>
    <t>Complexo Penitenciário de Ponte Nova</t>
  </si>
  <si>
    <t>TFN BR1 230070 EV-I-00575</t>
  </si>
  <si>
    <t>Ponte Nova</t>
  </si>
  <si>
    <t>Avenida Antônio Constantino Trivelato, 3000 - Cidade Nova</t>
  </si>
  <si>
    <t>35430-022</t>
  </si>
  <si>
    <t>TFNPV 14240006</t>
  </si>
  <si>
    <t>35430-000</t>
  </si>
  <si>
    <t>Presídio de Pouso Alegre I</t>
  </si>
  <si>
    <t>TFN BR1 230084 EV-I-00589</t>
  </si>
  <si>
    <t>Pouso Alegre</t>
  </si>
  <si>
    <t>Rua Bento Dória Ramos, 2050 - Bairro Santa 
Edvirges</t>
  </si>
  <si>
    <t>37550-000</t>
  </si>
  <si>
    <t>Presídio de Pouso Alegre</t>
  </si>
  <si>
    <t>TFNPV 14240031</t>
  </si>
  <si>
    <t>37552-479</t>
  </si>
  <si>
    <t>Penitenciária José Maria Alkimin</t>
  </si>
  <si>
    <t xml:space="preserve"> TFN BR1 230078 EV-I-00583</t>
  </si>
  <si>
    <t>Rua Vila Militar, s/n - Vila Esplanada,</t>
  </si>
  <si>
    <t>33805-660</t>
  </si>
  <si>
    <t>Presídio Antônio Dutra Ladeira</t>
  </si>
  <si>
    <t>TFN BR1 230077 EV-I-00582</t>
  </si>
  <si>
    <t>Rodovia MG-6, KM 09, s/n - Santa Paula</t>
  </si>
  <si>
    <t>33880-215</t>
  </si>
  <si>
    <t>TFN BR1 230096 EV-I-00601</t>
  </si>
  <si>
    <t>TFNPV 14240024</t>
  </si>
  <si>
    <t>Rodovia MG-06, KM 09, s/n - Fazenda das Lajes</t>
  </si>
  <si>
    <t>TFNPV 14240063</t>
  </si>
  <si>
    <t>Presídio José Maria Alkimin</t>
  </si>
  <si>
    <t>TFNPV 14240026</t>
  </si>
  <si>
    <t>Ribeirão Neves</t>
  </si>
  <si>
    <t>Praça das Esplanadas, s/n - Centro</t>
  </si>
  <si>
    <t>Presidio Inspetor José Martinho Drumond</t>
  </si>
  <si>
    <t>TFN BR1 230076 EV-I-00581</t>
  </si>
  <si>
    <t>Riberião das Neves</t>
  </si>
  <si>
    <t>Rodovia MG-06, KM 05 - Bairro Fazenda das Lajes</t>
  </si>
  <si>
    <t>33880-902</t>
  </si>
  <si>
    <t>Presídio de Santa Luzia</t>
  </si>
  <si>
    <t>Santa Luzia</t>
  </si>
  <si>
    <t>Rua Etelvina Viana Coutinho, 275 - Conunto Palmital (São Benedito)</t>
  </si>
  <si>
    <t>33140-310</t>
  </si>
  <si>
    <t>Presídio de Santa Rita do Sapucaí</t>
  </si>
  <si>
    <t>TFNPV 14240065</t>
  </si>
  <si>
    <t>Santa Rita do Sapucaí</t>
  </si>
  <si>
    <t>Rua Antônio Sancho Viléla, 200-300 - Pedro Sancho Viléla</t>
  </si>
  <si>
    <t>37540-000</t>
  </si>
  <si>
    <t>Presídio de São João Del Rei</t>
  </si>
  <si>
    <t>TFN BR1 230091 EV-I-00596</t>
  </si>
  <si>
    <t>São João Del Rei</t>
  </si>
  <si>
    <t>Estrada do Morro Grande, s/n - Fazenda do Mambengo</t>
  </si>
  <si>
    <t>36300-000</t>
  </si>
  <si>
    <t>TFNPV 14240023</t>
  </si>
  <si>
    <t>Rua Gama, s/n - Vila Brasil</t>
  </si>
  <si>
    <t>Penitenciária Profesor Jason Soares Albegaria</t>
  </si>
  <si>
    <t>TFN BR1 230064 EV-I-00569</t>
  </si>
  <si>
    <t>São Joaquim de Bicas</t>
  </si>
  <si>
    <t>Avenida C, 550</t>
  </si>
  <si>
    <t>32920-000</t>
  </si>
  <si>
    <t>Presídio São Joaquim de Bicas II</t>
  </si>
  <si>
    <t>TFN BR1 230065 EV-I-00570</t>
  </si>
  <si>
    <t>Avenida Bacharel Otacílio Teotônio de Lima, 555 - Bairro Primavera</t>
  </si>
  <si>
    <t>Presídio Professor Jason Soares Albergaria</t>
  </si>
  <si>
    <t>TFNPV 14240027</t>
  </si>
  <si>
    <t>Avenida C, 550 - Primavera</t>
  </si>
  <si>
    <t>Presídio de São Joaquim de Bicas II</t>
  </si>
  <si>
    <t>TFNPV 14240030</t>
  </si>
  <si>
    <t>Presidio de São Joaquim de Bicas I</t>
  </si>
  <si>
    <t>Avenida Bacharel Otacílio Teotônio de Lima, 325 - Primavera</t>
  </si>
  <si>
    <t>Presídio de São Joaquim de Bicas I</t>
  </si>
  <si>
    <t>TFN BR1 230081 EV-I-00586</t>
  </si>
  <si>
    <t>São Joaquim de
Bicas</t>
  </si>
  <si>
    <t>Presídio Regional de São Lourenço</t>
  </si>
  <si>
    <t>TFNPV 14240033</t>
  </si>
  <si>
    <t>São Lourenço</t>
  </si>
  <si>
    <t>Rua Ipiranga, 170</t>
  </si>
  <si>
    <t>37470-000</t>
  </si>
  <si>
    <t>Presídio de São Sebastião do Paraíso I</t>
  </si>
  <si>
    <t>TFNPV 14240035</t>
  </si>
  <si>
    <t>Rua Sérgio Lima, 250 - Conjunto Habitacional Santa Rita</t>
  </si>
  <si>
    <t>Presídio de São Sebastião do Paraiso</t>
  </si>
  <si>
    <t>Rua Sargento Lima, 250 - Bairro São Judas Tadeu</t>
  </si>
  <si>
    <t>Presídio de Serro</t>
  </si>
  <si>
    <t>TFNPV 14240016</t>
  </si>
  <si>
    <t>Serro</t>
  </si>
  <si>
    <t>Rua Padre Jovian, 40 - B. Rosário</t>
  </si>
  <si>
    <t>39150-000</t>
  </si>
  <si>
    <t>Presídio Promotor José Costa</t>
  </si>
  <si>
    <t>TFN BR1 230068 EV-I-00573</t>
  </si>
  <si>
    <t>Sete Lagoas</t>
  </si>
  <si>
    <t>Rua Promotor José Costa, s/n - Bairro Santa felicidade</t>
  </si>
  <si>
    <t>35703- 215</t>
  </si>
  <si>
    <t>TFNPV 14240014</t>
  </si>
  <si>
    <t>Rua Promotor José Costa, s/n - Bairro Santa Felicidade</t>
  </si>
  <si>
    <t>35703-207</t>
  </si>
  <si>
    <t>Presídio de Teófilo Otoni</t>
  </si>
  <si>
    <t>TFN BR1 230090 EV-I-00595</t>
  </si>
  <si>
    <t>Teófilo Otoni</t>
  </si>
  <si>
    <t>Córrego São Miguel do Pita, s/n - São Jacinto</t>
  </si>
  <si>
    <t>39803-000</t>
  </si>
  <si>
    <t>TFNPV 14240040</t>
  </si>
  <si>
    <t>Córrego São Miguel do Pita, KM 17, s/n - São Jacinto</t>
  </si>
  <si>
    <t>39800-000</t>
  </si>
  <si>
    <t>Penitenciária de Teófilo Otoni</t>
  </si>
  <si>
    <t>TFNPV 01240062</t>
  </si>
  <si>
    <t>Córrego São Miguel do Pita, s/n, KM 17, Caixa Postal 108</t>
  </si>
  <si>
    <t>Presídio de Timóteo</t>
  </si>
  <si>
    <t>Timóteo</t>
  </si>
  <si>
    <t>Rua Narciso, 5 - Bairro Primavera</t>
  </si>
  <si>
    <t>35182-530</t>
  </si>
  <si>
    <t>Penitenciária de Três Corações</t>
  </si>
  <si>
    <t>TFN BR1 230082 EV-I-00587</t>
  </si>
  <si>
    <t>Três Corações</t>
  </si>
  <si>
    <t>Rodovia LMG, KM 30, 862 - Zona Rural</t>
  </si>
  <si>
    <t>37410-000</t>
  </si>
  <si>
    <t>TFNPV 14240054</t>
  </si>
  <si>
    <t>Rua Projetada Dezoito</t>
  </si>
  <si>
    <t>37418-592</t>
  </si>
  <si>
    <t>TFNPV 14240068</t>
  </si>
  <si>
    <t>Presídio de Ubá (PRUBA 2)</t>
  </si>
  <si>
    <t>TFNPV 14240067</t>
  </si>
  <si>
    <t>Ubá</t>
  </si>
  <si>
    <t>Avenida Senador Levindo Coelho, s/n - Sítio Brejaúba, Zona Rural</t>
  </si>
  <si>
    <t>36508-899</t>
  </si>
  <si>
    <t>Presídio de Ubá</t>
  </si>
  <si>
    <t>Sitio Brejaub, Zona Rural, Avenida Senador Levindo Coelho, s/n</t>
  </si>
  <si>
    <t>Penitenciária professor Aluizo Inácio de Oliveira- PPAIO</t>
  </si>
  <si>
    <t>TFN BR1 230093 EV-I-00598</t>
  </si>
  <si>
    <t>Rua Doutor Décio Moreira, 400 - Zona Rural</t>
  </si>
  <si>
    <t xml:space="preserve">38072-510
</t>
  </si>
  <si>
    <t>Penitenciária Professor Aluizo Inácio de Oliveira PPAIO</t>
  </si>
  <si>
    <t>TFNPV 14240009</t>
  </si>
  <si>
    <t>38072-510</t>
  </si>
  <si>
    <t>Penitenciária Professor João Pimenta Da Veiga</t>
  </si>
  <si>
    <t>TFN BR1 230094 EV-I-00599</t>
  </si>
  <si>
    <t>Rodovia Municipal Daura Ferreira Cherulli, KM 5 - Zona Rural</t>
  </si>
  <si>
    <t>38407-215</t>
  </si>
  <si>
    <t>Presídio Professor Jacy De Assis</t>
  </si>
  <si>
    <t>TFN BR1 230095 EV-I-00600</t>
  </si>
  <si>
    <t>Rua Cirineu Costa Azevedo, 500 - Dom Almir</t>
  </si>
  <si>
    <t>38407-508</t>
  </si>
  <si>
    <t>Centro Socioeducativo de Uberlândia</t>
  </si>
  <si>
    <t>TFNEV 01230008</t>
  </si>
  <si>
    <t>Rua da Goiabinha - Residencial Integração</t>
  </si>
  <si>
    <t>38407-602</t>
  </si>
  <si>
    <t>Presídio Professor Jacy de Assis</t>
  </si>
  <si>
    <t>TFNPV 14240010</t>
  </si>
  <si>
    <t>TFNBR1250146EV100002</t>
  </si>
  <si>
    <t>Penitenciária Agostinho de Oliveria Junior</t>
  </si>
  <si>
    <t>TFNEV 01230015</t>
  </si>
  <si>
    <t>Unai</t>
  </si>
  <si>
    <t xml:space="preserve">Fazenda Macaúbas, s/n - Zona Rural </t>
  </si>
  <si>
    <t>38623-899</t>
  </si>
  <si>
    <t>Penitenciária Agostinho de Oliveira Junior</t>
  </si>
  <si>
    <t>TFNPV 14240029</t>
  </si>
  <si>
    <t>Unaí</t>
  </si>
  <si>
    <t>Presídio de Varginha</t>
  </si>
  <si>
    <t>TFNEV 01230020</t>
  </si>
  <si>
    <t>Varginha</t>
  </si>
  <si>
    <t>Avenida Eugenio Paiva Ferreira s/n - Bairro Padre Vitor</t>
  </si>
  <si>
    <t>37048-343</t>
  </si>
  <si>
    <t>TFNPV 14240034</t>
  </si>
  <si>
    <t>Avenida Eugênio Paiva Ferreira, 225 - Bairro Padre Vitor</t>
  </si>
  <si>
    <t>37048-340</t>
  </si>
  <si>
    <t>Presídio de Vespasiano</t>
  </si>
  <si>
    <t>TFN BR1 230069 EV-I-00574</t>
  </si>
  <si>
    <t>Vespasiano</t>
  </si>
  <si>
    <t>Rua São Paulo, 3100 - Nova Granja</t>
  </si>
  <si>
    <t>33200-000</t>
  </si>
  <si>
    <t>TFNPV 14240022</t>
  </si>
  <si>
    <t>33220-000</t>
  </si>
  <si>
    <t>TFNPV14240050</t>
  </si>
  <si>
    <t>SELT</t>
  </si>
  <si>
    <t>SECRETARIA DE LOGÍSTICA E TRANSPORTES</t>
  </si>
  <si>
    <t>Aeroporto Regional de Santo Ângelo</t>
  </si>
  <si>
    <t>TFN BR1 210085 AP-IX-00475</t>
  </si>
  <si>
    <t>Santo Angelo</t>
  </si>
  <si>
    <t>Rodovia RS-218, KM 13, s/n - Zona Rural</t>
  </si>
  <si>
    <t>98806-800</t>
  </si>
  <si>
    <t>NUCBRF-1-24-0039</t>
  </si>
  <si>
    <t>SENAPPEN</t>
  </si>
  <si>
    <t>SECRETARIA NACIONAL DE POLÍTICAS PENAIS</t>
  </si>
  <si>
    <t>Penitenciária Federal de Brasília</t>
  </si>
  <si>
    <t>TFN BR1 240039 AP-I-00664</t>
  </si>
  <si>
    <t>Rodovia BR-465, KM 4</t>
  </si>
  <si>
    <t>NUCBRF-1-24-0025</t>
  </si>
  <si>
    <t>Capital: 6 Dias
Demais: 10 Dias</t>
  </si>
  <si>
    <t>20 Dias</t>
  </si>
  <si>
    <t>Penitenciária Federal de Campo Grande</t>
  </si>
  <si>
    <t>TFN BR1 240040 AP-I-00665</t>
  </si>
  <si>
    <t>Presídio Federal de Catanduvas</t>
  </si>
  <si>
    <t>TFN BR1 240037 AP-I-00662</t>
  </si>
  <si>
    <t>Rodovia PR-471, KM 15 - Zona Rural</t>
  </si>
  <si>
    <t>85470-900</t>
  </si>
  <si>
    <t>TFN BR1 240038 AP-I-00663</t>
  </si>
  <si>
    <t>Penitenciária Federal em Mossoró</t>
  </si>
  <si>
    <t>TFN BR1 240035 AP-I-00660</t>
  </si>
  <si>
    <t>TFN BR1 240036 AP-I-00661</t>
  </si>
  <si>
    <t>Penitenciária Federa de Porto Velho</t>
  </si>
  <si>
    <t>TFN BR1 240072 AP-I-00696</t>
  </si>
  <si>
    <t>Rodovia BR-364, lote 13, gleba 13 A - Sitio Boa Esperança</t>
  </si>
  <si>
    <t>TFN BR1 240071 AP-I-00697</t>
  </si>
  <si>
    <t>SEPM</t>
  </si>
  <si>
    <t>SECRETARIA DO ESTADO DA POLÍCIA MILITAR</t>
  </si>
  <si>
    <t>TFN BR1 200208 AP-IX-00341</t>
  </si>
  <si>
    <t>Rua Evaristo da Veiga, 78 - Centro</t>
  </si>
  <si>
    <t>20031-040</t>
  </si>
  <si>
    <t>NUCBR-1-22-0119</t>
  </si>
  <si>
    <t>TFN BR1 200214 AP-IX-00347</t>
  </si>
  <si>
    <t>SESIPE</t>
  </si>
  <si>
    <t>FUNDO PENITENCIÁRIO DO DISTRITO FEDERAL - FUNPDF</t>
  </si>
  <si>
    <t>Fundo Penitenciário do Distrito Federal - CDP II</t>
  </si>
  <si>
    <t>TFNEV-I-17239</t>
  </si>
  <si>
    <t>NUCBR-1-25-0045</t>
  </si>
  <si>
    <t>Imediato</t>
  </si>
  <si>
    <t>TFNEV-I-17246</t>
  </si>
  <si>
    <t>TFNEV-I-17251</t>
  </si>
  <si>
    <t>NUCBR-1-24-0115</t>
  </si>
  <si>
    <t>Fundo Penitenciário do Distrito Federal</t>
  </si>
  <si>
    <t>TFNEV-I-17252</t>
  </si>
  <si>
    <t>Rua Sam Sec Seg Pública, s/n, Conjunto A, Bloco E</t>
  </si>
  <si>
    <t>70620-000</t>
  </si>
  <si>
    <t>TFNEV-I-17254</t>
  </si>
  <si>
    <t>TFNEV-I-17263</t>
  </si>
  <si>
    <t>TFNEV-I-17250</t>
  </si>
  <si>
    <t>Fundo Penitenciário do Distrito Federal - CDP III</t>
  </si>
  <si>
    <t>TFNEV-I-17237</t>
  </si>
  <si>
    <t>TFNEV-I-17255</t>
  </si>
  <si>
    <t>TFNEV-I-17265</t>
  </si>
  <si>
    <t>TFN BR1 170010 EV-I-00022</t>
  </si>
  <si>
    <t>Granja Luis Fernando, Área Especial 1, Núcleo Rural Alagado - Alta Norte (Gama)</t>
  </si>
  <si>
    <t>72460-000</t>
  </si>
  <si>
    <t>TFN BR1 170007 EV-I-00019</t>
  </si>
  <si>
    <t>SHEIN</t>
  </si>
  <si>
    <t>FLOGISTICS BRASIL LOGÍSTICA E TRANSPORTE LTDA</t>
  </si>
  <si>
    <t>Aeroporto de Guarulhos</t>
  </si>
  <si>
    <t>TFN BR1 230053 AP-XIII-00558</t>
  </si>
  <si>
    <t>Rodovia Hélio Smidt, s/n - Terminal Courier</t>
  </si>
  <si>
    <t>NUCBRF-1-24-0032</t>
  </si>
  <si>
    <t>TFN BR1 230055 AP-XIII-00560</t>
  </si>
  <si>
    <t>TFN BR1 240045 AP-XIII-00670</t>
  </si>
  <si>
    <t>TFN BR1 240047 AP-XIII-00672</t>
  </si>
  <si>
    <t xml:space="preserve"> TFN BR1 240046 AP-XIII-00671</t>
  </si>
  <si>
    <t>TFNAP-X-170080</t>
  </si>
  <si>
    <t>SIDI</t>
  </si>
  <si>
    <t>TFNAP-X-170081</t>
  </si>
  <si>
    <t>Rua Aguaçu, 171 - Lot. Alphaville Campinas</t>
  </si>
  <si>
    <t>13098-321</t>
  </si>
  <si>
    <t>NUCBR-1-25-0056</t>
  </si>
  <si>
    <t>TFNAP-X-170101</t>
  </si>
  <si>
    <t>Avenida República do Líbano, 251 Riomar Trade Center Torre 2, 29º andar - Pina</t>
  </si>
  <si>
    <t>51110-160</t>
  </si>
  <si>
    <t>NUCBR-1-21-0043</t>
  </si>
  <si>
    <t>SIEC</t>
  </si>
  <si>
    <t>SECRETARIA DA INFRAESTRUTURA DO ESTADO DO CEARÁ</t>
  </si>
  <si>
    <t>Aeroporto Regional de Sobral</t>
  </si>
  <si>
    <t>TFN BR1 200005 AP-IX-00138</t>
  </si>
  <si>
    <t>Rodovia CE-555, KM 03 - Patriarca</t>
  </si>
  <si>
    <t>60120-013</t>
  </si>
  <si>
    <t>NUCBRF-1-22-0001</t>
  </si>
  <si>
    <t>TFN BR1 200006 AP-IX-00139</t>
  </si>
  <si>
    <t>44945-0</t>
  </si>
  <si>
    <t>44944-0</t>
  </si>
  <si>
    <t>SOCICAM</t>
  </si>
  <si>
    <t>SPE CONCESSIONÁRIA AEROESTE AEROPORTOS S.A.</t>
  </si>
  <si>
    <t>Aeroporto de Sinop</t>
  </si>
  <si>
    <t>TFN BR1 210006 AP-IX-00396</t>
  </si>
  <si>
    <t>Sinop</t>
  </si>
  <si>
    <t>Avenida Bruno Martini, s/n - Bairro Eunice</t>
  </si>
  <si>
    <t>78559-899</t>
  </si>
  <si>
    <t>NUCBR-1-23-0027</t>
  </si>
  <si>
    <t>SSP</t>
  </si>
  <si>
    <t>SECRETARIA DE SEGURANÇA PÚBLICA DO ESTADO DE SÃO PAULO</t>
  </si>
  <si>
    <t>Gabinete do Secretário</t>
  </si>
  <si>
    <t>Rua Líbero Badaró, 39, 1º andar - Centro Histórico de São Paulo</t>
  </si>
  <si>
    <t>01009-000</t>
  </si>
  <si>
    <t>NUCBR-1-23-0081</t>
  </si>
  <si>
    <t>STF</t>
  </si>
  <si>
    <t>SUPREMO TRIBUNAL FEDERAL</t>
  </si>
  <si>
    <t>CX7555BI</t>
  </si>
  <si>
    <t>TFNAP-XI-180007</t>
  </si>
  <si>
    <t>Praça dos Três Poderes - Bairro Zona Cívico- Administrativa</t>
  </si>
  <si>
    <t>70175-900</t>
  </si>
  <si>
    <t>NUCBR-1-20-0036</t>
  </si>
  <si>
    <t>STM</t>
  </si>
  <si>
    <t>SUPREMO TRIBUNAL MILITAR</t>
  </si>
  <si>
    <t>TFN BR1 210104 AP-X-00494</t>
  </si>
  <si>
    <t>Setor de Autarquias Sul, quadra 1, Ed. Sede do STM, bloco B</t>
  </si>
  <si>
    <t>70098-900</t>
  </si>
  <si>
    <t>NUCBRF-1-23-0054</t>
  </si>
  <si>
    <t>TFN BR1 210106 AP-X-00496</t>
  </si>
  <si>
    <t>SUPEL</t>
  </si>
  <si>
    <t>DEPARTAMENTO DE ESTRADAS DE RODAGEM E TRANSPORTES - DER/RO</t>
  </si>
  <si>
    <t>Aeroporto de Cacoal</t>
  </si>
  <si>
    <t>TFN BR1 200219 AP-IX-00352</t>
  </si>
  <si>
    <t>Cacoal</t>
  </si>
  <si>
    <t>Linha E - Aeroporto</t>
  </si>
  <si>
    <t>74962-000</t>
  </si>
  <si>
    <t>NUCBRF-1-23-0006</t>
  </si>
  <si>
    <t>60 Dias</t>
  </si>
  <si>
    <t>SUSEPE</t>
  </si>
  <si>
    <t>SUPERINTENDENCIA DOS SERVIÇOS PENITENCIÁRIOS</t>
  </si>
  <si>
    <t>NUGESP</t>
  </si>
  <si>
    <t>TFN BR1 200199 AP-IX-00332</t>
  </si>
  <si>
    <t>Rua Doutor Salvador França, 284 - Jardim Botânico</t>
  </si>
  <si>
    <t>90690-000</t>
  </si>
  <si>
    <t>NUCBRF-1-22-0010</t>
  </si>
  <si>
    <t>Seg - Sexta</t>
  </si>
  <si>
    <t>Penitenciária Estadual Feminina Guaiba "Julia Balestro"</t>
  </si>
  <si>
    <t>TFN BR1 200231 AP-IX-00364</t>
  </si>
  <si>
    <t>Rodovia BR-116, KM 303, 211 - Estrada da Restinga</t>
  </si>
  <si>
    <t>92500-000</t>
  </si>
  <si>
    <t>Presídio Estadual de Agudo</t>
  </si>
  <si>
    <t>TFNAP 09240241</t>
  </si>
  <si>
    <t>Agudo</t>
  </si>
  <si>
    <t>Rua Euclides Kliemann, 735</t>
  </si>
  <si>
    <t>96540-000</t>
  </si>
  <si>
    <t>NUCBR-1-24-0128</t>
  </si>
  <si>
    <t>Presídio Regional de Bagé</t>
  </si>
  <si>
    <t>TFNAP 09240248</t>
  </si>
  <si>
    <t>197, Travessa Carolino Corrêa, 79 - Passo do Príncipe</t>
  </si>
  <si>
    <t>96425-400</t>
  </si>
  <si>
    <t>Presídio de Caçapava do Sul</t>
  </si>
  <si>
    <t>TFNAP 09240235</t>
  </si>
  <si>
    <t>Caçapava do Sul</t>
  </si>
  <si>
    <t>Rua Silva Jardim, 222</t>
  </si>
  <si>
    <t>96570-000</t>
  </si>
  <si>
    <t>Presídio Estadual de Camaquã</t>
  </si>
  <si>
    <t>TFN BR1 200229 AP-IX-00362</t>
  </si>
  <si>
    <t>Camaquã</t>
  </si>
  <si>
    <t>Avenida Sete de Setembro, 1224 - Bom Sucesso</t>
  </si>
  <si>
    <t>96180-000</t>
  </si>
  <si>
    <t>NUCBR-1-23-0070</t>
  </si>
  <si>
    <t>08:30 - 11:30
13:30 - 17:30</t>
  </si>
  <si>
    <t>Companhia Nacional de Abastecimento</t>
  </si>
  <si>
    <t>TFN BR1 200217 AP-IX-00350</t>
  </si>
  <si>
    <t>Canoas</t>
  </si>
  <si>
    <t>Rua Santo Antonio, 465 - Mato Grande</t>
  </si>
  <si>
    <t>92320-210</t>
  </si>
  <si>
    <t>TFN BR1 210004 AP-IX-00394</t>
  </si>
  <si>
    <t>Penitenciária de Carazinho</t>
  </si>
  <si>
    <t>TFNAP-IX-180226</t>
  </si>
  <si>
    <t>Carazinho</t>
  </si>
  <si>
    <t>Rua Santa Catarina, 256 - Santo Antonio</t>
  </si>
  <si>
    <t>99500-000</t>
  </si>
  <si>
    <t>NUCBR-1-20-0078</t>
  </si>
  <si>
    <t>Presídio Estadual de Cerro Largo</t>
  </si>
  <si>
    <t>TFNAP 09240237</t>
  </si>
  <si>
    <t>Cerro Largo</t>
  </si>
  <si>
    <t>Avenida 20 de Setembro, 724 - Bairro Floresta</t>
  </si>
  <si>
    <t>29106-280</t>
  </si>
  <si>
    <t>Penitenciária de Alta Segurança de Charqueadas II</t>
  </si>
  <si>
    <t>TFN BR1 200232 AP-IX-00365</t>
  </si>
  <si>
    <t>Charqueadas</t>
  </si>
  <si>
    <t>Rodovia RS-401, KM 16, s/n - Colonia Penal</t>
  </si>
  <si>
    <t>96745-000</t>
  </si>
  <si>
    <t>Penitenciária de Alta Segurança de Charqueadas I</t>
  </si>
  <si>
    <t>TFN BR1 200245 AP-IX-00178</t>
  </si>
  <si>
    <t>PEJ - Penitenciária Estadual do Jacuí</t>
  </si>
  <si>
    <t>TFN BR1 200194 AP-IX-00327</t>
  </si>
  <si>
    <t>Av. dos Jasmins - Santo Antônio, Charqueadas - RS, 96745-000</t>
  </si>
  <si>
    <t>TFN BR1 200220 AP-IX-00353</t>
  </si>
  <si>
    <t>Instituto Penal de Charqueadas</t>
  </si>
  <si>
    <t>TFNAP 09240220</t>
  </si>
  <si>
    <t>Rodovia RS-405, KM 3, s/n - Charqueadas</t>
  </si>
  <si>
    <t>Colônia Penal Agrícola General Daltro Filho</t>
  </si>
  <si>
    <t>TFNAP 09240232</t>
  </si>
  <si>
    <t>Rua Nelson Grings, s/n - Fazenda São Pedro</t>
  </si>
  <si>
    <t>Presídio Estadual de Dom Pedrito</t>
  </si>
  <si>
    <t>TFNAP 09240217</t>
  </si>
  <si>
    <t>Dom Pedrito</t>
  </si>
  <si>
    <t>Rua Moacir Dias 837</t>
  </si>
  <si>
    <t>96450-000</t>
  </si>
  <si>
    <t>Presídio Estadual de Encantado</t>
  </si>
  <si>
    <t>TFNAP 09240238</t>
  </si>
  <si>
    <t>Encantado</t>
  </si>
  <si>
    <t>Rua Duque de Caxias, 701 - Lambari</t>
  </si>
  <si>
    <t>95960-000</t>
  </si>
  <si>
    <t>Presídio Estadual de Encruzilhada do Sul</t>
  </si>
  <si>
    <t>TFN BR1 200233 AP-IX-00366</t>
  </si>
  <si>
    <t>Encruzilhada do Sul</t>
  </si>
  <si>
    <t>Rua São Cristóvão, 1500 – Vila dos Castros</t>
  </si>
  <si>
    <t>96610-000</t>
  </si>
  <si>
    <t>Presídio Estadual de Erechim</t>
  </si>
  <si>
    <t>TFNAP 09240247</t>
  </si>
  <si>
    <t>Erechim</t>
  </si>
  <si>
    <t>Rua Jacinto Godoy, 38 - Centro</t>
  </si>
  <si>
    <t>99700-000</t>
  </si>
  <si>
    <t>Presídio Estadual de Frederico Westphalen</t>
  </si>
  <si>
    <t>TFNAP 09240218</t>
  </si>
  <si>
    <t>Frederico Westphalen</t>
  </si>
  <si>
    <t>Linha Iraí, s/n - Barril</t>
  </si>
  <si>
    <t>98400-000</t>
  </si>
  <si>
    <t>Instituto Penal de Ijuí</t>
  </si>
  <si>
    <t>TFNAP 09240230</t>
  </si>
  <si>
    <t>Ijuí</t>
  </si>
  <si>
    <t>Rua Marechal Mallet, 797 - Bairro Penha</t>
  </si>
  <si>
    <t>98700-000</t>
  </si>
  <si>
    <t>Presídio Estadual de Itaqui</t>
  </si>
  <si>
    <t>TFNAP 09240226</t>
  </si>
  <si>
    <t>Itaqui</t>
  </si>
  <si>
    <t>Rua Rodrigues Lima, 461 - Várzea</t>
  </si>
  <si>
    <t>97650-000</t>
  </si>
  <si>
    <t>Presídio Estadual de Palmeira das Missões</t>
  </si>
  <si>
    <t>TFNAP 09240216</t>
  </si>
  <si>
    <t>Palmeira das Missões</t>
  </si>
  <si>
    <t xml:space="preserve">Rua Doutor Hildebrando Westphalen, 1067 </t>
  </si>
  <si>
    <t>98300-000</t>
  </si>
  <si>
    <t>Presidio Regional de Pelotas</t>
  </si>
  <si>
    <t>TFNEV-I-17223</t>
  </si>
  <si>
    <t>Avenida Cristovão José dos Santos, 462</t>
  </si>
  <si>
    <t>96060-000</t>
  </si>
  <si>
    <t>NUCBR-1-22-0157</t>
  </si>
  <si>
    <t>Intituto Penal Irmão Miguel Dário</t>
  </si>
  <si>
    <t>TFNAP 09240231</t>
  </si>
  <si>
    <t>Rua 1-Beco dos Marianos - Agronomia</t>
  </si>
  <si>
    <t>91540-600</t>
  </si>
  <si>
    <t>Presídio Estadual de Rosário do Sul</t>
  </si>
  <si>
    <t>TFNAP 09240221</t>
  </si>
  <si>
    <t>Rosário do Sul</t>
  </si>
  <si>
    <t>Avenida Mister Vaitses, 51 - Lafar Azevedo</t>
  </si>
  <si>
    <t>97590-000</t>
  </si>
  <si>
    <t>Instituto Penal de Santo Angelo</t>
  </si>
  <si>
    <t>TFNAP 09240229</t>
  </si>
  <si>
    <t>Rua Peru, s/n</t>
  </si>
  <si>
    <t>98805-630</t>
  </si>
  <si>
    <t>Presídio Estadual de São Francisco de Assis</t>
  </si>
  <si>
    <t>TFNAP 09240233</t>
  </si>
  <si>
    <t>São Francisco de Assis</t>
  </si>
  <si>
    <t>Rua Ernesto Alves, 1051 - A identificar</t>
  </si>
  <si>
    <t>97610-000</t>
  </si>
  <si>
    <t>Presídio Estadual de São Francisco de Paula</t>
  </si>
  <si>
    <t>TFNAP 09240253</t>
  </si>
  <si>
    <t>São Francisco de Paula</t>
  </si>
  <si>
    <t>Rua Tiradentes, 310</t>
  </si>
  <si>
    <t>95400-000</t>
  </si>
  <si>
    <t>Presídio Estadual de São Leopoldo</t>
  </si>
  <si>
    <t>TFNAP 09240219</t>
  </si>
  <si>
    <t>São Leopoldo</t>
  </si>
  <si>
    <t>Avenida Theodomiro Porto da Fonseca, 642 - Fião</t>
  </si>
  <si>
    <t>93020-080</t>
  </si>
  <si>
    <t>Presídio Estadual de Sepé</t>
  </si>
  <si>
    <t>TFNAP 09240239</t>
  </si>
  <si>
    <t>São Sepé</t>
  </si>
  <si>
    <t>Rua Doutor Ronay Brenner - Tatsch</t>
  </si>
  <si>
    <t>97340-000</t>
  </si>
  <si>
    <t>Penitenciária de Sapucaia do Sul</t>
  </si>
  <si>
    <t>TFNAP-IX-180310</t>
  </si>
  <si>
    <t>Rua Leão, 229 - São João Batista</t>
  </si>
  <si>
    <t>93022-520</t>
  </si>
  <si>
    <t>Presídio Estadula de Soledade</t>
  </si>
  <si>
    <t>TFNAP 09240246</t>
  </si>
  <si>
    <t>Soledade</t>
  </si>
  <si>
    <t>Rua Santos Filho, 1390 - Missões</t>
  </si>
  <si>
    <t>99300-000</t>
  </si>
  <si>
    <t>Presídio Estadual de Taquara</t>
  </si>
  <si>
    <t>TFNAP 09240227</t>
  </si>
  <si>
    <t>Taquara</t>
  </si>
  <si>
    <t>Rua Dezessete de Junho, 1761 - Morro do Leôncio</t>
  </si>
  <si>
    <t>95600-000</t>
  </si>
  <si>
    <t>TCE</t>
  </si>
  <si>
    <t>TRIBUNAL DE CONTAS DO ESTADO DO PIAUÍ</t>
  </si>
  <si>
    <t>TFN BR1 210040 AP-IX-00430</t>
  </si>
  <si>
    <t>Avenida Pedro Freitas, 2100 - Centro Administrativo</t>
  </si>
  <si>
    <t>64018-900</t>
  </si>
  <si>
    <t>NUCBRF-1-23-0070</t>
  </si>
  <si>
    <t>TFN BR1 210043 AP-IX-00433</t>
  </si>
  <si>
    <t>TCU</t>
  </si>
  <si>
    <t>TRIBUNAL DE CONTAS DA UNIÃO</t>
  </si>
  <si>
    <t>Anexo I - Térreo</t>
  </si>
  <si>
    <t>Setor de Administração Federal Sul, Quadra 4, Lote 1</t>
  </si>
  <si>
    <t>70042-900</t>
  </si>
  <si>
    <t>NUCBR-1-25-0138</t>
  </si>
  <si>
    <t>Sede - Térreo</t>
  </si>
  <si>
    <t>Anexo II - Térreo</t>
  </si>
  <si>
    <t>Garagem - Sede</t>
  </si>
  <si>
    <t>Anexo III - Subsolo</t>
  </si>
  <si>
    <t>TFK</t>
  </si>
  <si>
    <t>TFK BRASIL PARTICIPAÇÕES LTDA</t>
  </si>
  <si>
    <t>Aeroporto de GuarulhoS</t>
  </si>
  <si>
    <t>TFN BR1 230056 AP-XIII-00561</t>
  </si>
  <si>
    <t>NUCBR-1-24-0014</t>
  </si>
  <si>
    <t>TFN BR1 230057 AP-XIII-00562</t>
  </si>
  <si>
    <t>TFN BR1 230054 AP-XIII-00559</t>
  </si>
  <si>
    <t>NUCBR-1-24-0022</t>
  </si>
  <si>
    <t>TFN BR1 230060 AP-XIII-00565</t>
  </si>
  <si>
    <t>TFN BR1 190077 AP-VIII-000101</t>
  </si>
  <si>
    <t>NUCBR-1-24-0047</t>
  </si>
  <si>
    <t>TFNAP 13240073</t>
  </si>
  <si>
    <t>NUCBR-1-24-0051</t>
  </si>
  <si>
    <t>TFN AP 13230091</t>
  </si>
  <si>
    <t>TFN AP 13230106</t>
  </si>
  <si>
    <t>TFN AP 13230107</t>
  </si>
  <si>
    <t>TFN AP 13230109</t>
  </si>
  <si>
    <t>TFN BR1 240041 AP-XIII-00666</t>
  </si>
  <si>
    <t>TFNAP 13230090</t>
  </si>
  <si>
    <t>TFNAP 13230108</t>
  </si>
  <si>
    <t>TFN BR1 240044 AP-XIII-000669</t>
  </si>
  <si>
    <t>TFNAP 13240072</t>
  </si>
  <si>
    <t>TJDF</t>
  </si>
  <si>
    <t>TRIBUNAL DE JUSTIÇA DO DISTRITO FEDERAL</t>
  </si>
  <si>
    <t>Vara de Infância e Juventude</t>
  </si>
  <si>
    <t>00604004020002</t>
  </si>
  <si>
    <t>Pólo de Justiça, Cidadania e Cultura, SGAN 916, Lote F, Bloco 1 - Asa Norte</t>
  </si>
  <si>
    <t>70790-160</t>
  </si>
  <si>
    <t>NUCBR-1-23-0001</t>
  </si>
  <si>
    <t>00604004020008</t>
  </si>
  <si>
    <t>TJMS</t>
  </si>
  <si>
    <t>TRIBUNAL DE JUSTIÇA DO ESTADO DE MATO GROSSO DO SUL</t>
  </si>
  <si>
    <t>CIJUS</t>
  </si>
  <si>
    <t>TFN BR1 210116 AP-X-00506</t>
  </si>
  <si>
    <t>Rua 7 de Setembro, 174 - Centro</t>
  </si>
  <si>
    <t>79002-121</t>
  </si>
  <si>
    <t>NUCBR-1-23-0006-2</t>
  </si>
  <si>
    <t>Fórum da Comarca de Campo Grande</t>
  </si>
  <si>
    <t>TFNAP-X-170092</t>
  </si>
  <si>
    <t>Rua da Paz, 14, 4º andar, Bloco 01 - Jardim dos Estados</t>
  </si>
  <si>
    <t>79002-919</t>
  </si>
  <si>
    <t>NUCBR-1-24-0078</t>
  </si>
  <si>
    <t>TFNAP-X-170095</t>
  </si>
  <si>
    <t xml:space="preserve">TFNAP-X-170098 </t>
  </si>
  <si>
    <t>Fórum da Comarca de Corumbá</t>
  </si>
  <si>
    <t>TFN BR1 210113 AP-X-00503</t>
  </si>
  <si>
    <t>Rua 21 de setembro, 1633</t>
  </si>
  <si>
    <t>79320-110</t>
  </si>
  <si>
    <t>NUCBR-1-23-0006-1</t>
  </si>
  <si>
    <t>Fórum da Comarca de Três Lagoas</t>
  </si>
  <si>
    <t>TFN BR1 210105 AP-X-00495</t>
  </si>
  <si>
    <t>Três Lagoas</t>
  </si>
  <si>
    <t>Rua Zuleide Pérez Tabox, 10 - Centro</t>
  </si>
  <si>
    <t>79601-100</t>
  </si>
  <si>
    <t>TJMT</t>
  </si>
  <si>
    <t>FUNDO DE APOIO AO JUDICIÁRIO - FUNAJURIS</t>
  </si>
  <si>
    <t>Fórum da Comarca de Água Boa</t>
  </si>
  <si>
    <t>TFN BR1 200252 AP-IX-00385</t>
  </si>
  <si>
    <t>Água Boa</t>
  </si>
  <si>
    <t>Avenida Júlio José Campos, 390 - Centro</t>
  </si>
  <si>
    <t>78635-000</t>
  </si>
  <si>
    <t>NUCBRF-1-23-0002</t>
  </si>
  <si>
    <t>Fórum da Comarca De Alta Floresta</t>
  </si>
  <si>
    <t>TFN BR1 200021 AP-IX-00154</t>
  </si>
  <si>
    <t>Alta Floresta</t>
  </si>
  <si>
    <t>Avenida Ariosto da Riva, 1987</t>
  </si>
  <si>
    <t>78580-000</t>
  </si>
  <si>
    <t>NUCBRF-1-21-0010</t>
  </si>
  <si>
    <t>Fórum da Comarca de Alto Araguaia</t>
  </si>
  <si>
    <t>TFN BR1 190108 AP-IX-00132</t>
  </si>
  <si>
    <t>Alto do Araguaia</t>
  </si>
  <si>
    <t>Rua Onildo Taveira, 143 - Bairro Vila Aeroporto</t>
  </si>
  <si>
    <t>78780-000</t>
  </si>
  <si>
    <t>Fórum da Comarca De Barra do Garças</t>
  </si>
  <si>
    <t>TFN BR1 200022 AP-IX-00155</t>
  </si>
  <si>
    <t>Barra de Garças</t>
  </si>
  <si>
    <t>Rua Francisco Lira, 1051</t>
  </si>
  <si>
    <t>78600-906</t>
  </si>
  <si>
    <t>TFN BR1 200205 AP-IX-00338</t>
  </si>
  <si>
    <t>Fórum da Comarca de Barra dos Bugres</t>
  </si>
  <si>
    <t>TFN BR1 200009 AP-IX-00142</t>
  </si>
  <si>
    <t>Barra do Bugres</t>
  </si>
  <si>
    <t>Avenida Deputado Hitler Sansão, 1129 - Centro</t>
  </si>
  <si>
    <t>78390-000</t>
  </si>
  <si>
    <t>Fórum da Comarca De Cárceres</t>
  </si>
  <si>
    <t>TFN BR1 200206 AP-IX-00339</t>
  </si>
  <si>
    <t>Cárceres</t>
  </si>
  <si>
    <t>Rua São Pedro, 257 - Bairro Cavalhada</t>
  </si>
  <si>
    <t>78216-900</t>
  </si>
  <si>
    <t>Fórum da Comarca do Colíder</t>
  </si>
  <si>
    <t>TFN BR1 200034 AP-IX-00167</t>
  </si>
  <si>
    <t>Colíder</t>
  </si>
  <si>
    <t>Avenida Juiz Vladimir Aparecido Baptista, 494 - Colíder</t>
  </si>
  <si>
    <t>Fórum da Comarca de Cuiabá</t>
  </si>
  <si>
    <t>TFNAP-IX-170224</t>
  </si>
  <si>
    <t>Avenida Desembargador Milton Figueiredo Ferreira Mendes, s/n – Centro Político Administrativo</t>
  </si>
  <si>
    <t>78050-970</t>
  </si>
  <si>
    <t>NUCBR-1-20-0009</t>
  </si>
  <si>
    <t>TFNAP-IX-170225</t>
  </si>
  <si>
    <t>TFNAP-IX-190032</t>
  </si>
  <si>
    <t>TFNAP-IX-190031</t>
  </si>
  <si>
    <t>Tribunal de Justiça de Cuiabá</t>
  </si>
  <si>
    <t>TFNAP-IX-170192</t>
  </si>
  <si>
    <t>Rua C, s/n – Centro Político Administrativo</t>
  </si>
  <si>
    <t>78049-926</t>
  </si>
  <si>
    <t>TFNAP-IX-170194</t>
  </si>
  <si>
    <t>TFNAP-IX-170195</t>
  </si>
  <si>
    <t>Tribunal de Justiça do Mato Grosso</t>
  </si>
  <si>
    <t>TFN BR1 210048 AP-IX-00438</t>
  </si>
  <si>
    <t>Avenida Desembargador Milton Figueiredo, s/n - Centro Político Administrativo</t>
  </si>
  <si>
    <t>78049-075</t>
  </si>
  <si>
    <t>NUCBRF-1-23-0059</t>
  </si>
  <si>
    <t>Juizado Unificado do Mato Grosso</t>
  </si>
  <si>
    <t>TFN BR1 210051 AP-IX-00441</t>
  </si>
  <si>
    <t>Fórum da Comarca De Diamantino</t>
  </si>
  <si>
    <t>TFN BR1 200211 AP-IX-00344</t>
  </si>
  <si>
    <t>Diamantino</t>
  </si>
  <si>
    <t>Avenida Desembargador J P F MENDES, 2614</t>
  </si>
  <si>
    <t>78400-000</t>
  </si>
  <si>
    <t>Fórum da Comarca de Juara</t>
  </si>
  <si>
    <t>TFN BR1 200210 AP-IX-00343</t>
  </si>
  <si>
    <t>Juara</t>
  </si>
  <si>
    <t>Rua Anita Garibaldi, 94-W - Bairro Jardim Boa Vista</t>
  </si>
  <si>
    <t>78575-000</t>
  </si>
  <si>
    <t>Fórum da Comarca de Juína</t>
  </si>
  <si>
    <t>TFN BR1 200221 AP-IX-00354</t>
  </si>
  <si>
    <t>Juína</t>
  </si>
  <si>
    <t>Praça dos Três Poderes – Centro</t>
  </si>
  <si>
    <t>78320-000</t>
  </si>
  <si>
    <t>Fórum da Comarca De Lucas do Rio Verde</t>
  </si>
  <si>
    <t>TFN BR1 200225 AP-IX-00358</t>
  </si>
  <si>
    <t>Avenida Brasil, 3183</t>
  </si>
  <si>
    <t>78455-000</t>
  </si>
  <si>
    <t>Fórum da Comarca de Nova Mutum</t>
  </si>
  <si>
    <t>TFN BR1 200224 AP-IX-00357</t>
  </si>
  <si>
    <t>Nova Mutum</t>
  </si>
  <si>
    <t>Rua Das Helicônias, 444-N - Jardim das Orquídeas</t>
  </si>
  <si>
    <t>78450-000</t>
  </si>
  <si>
    <t>Fórum da Comarca de Nova Xavantina</t>
  </si>
  <si>
    <t>TFN BR1 200242 AP-IX-00375</t>
  </si>
  <si>
    <t>Nova Xavantina</t>
  </si>
  <si>
    <t>Rua Presidente João Goulart, 278 - Bairro Jardim Alvorada</t>
  </si>
  <si>
    <t>78690-000</t>
  </si>
  <si>
    <t>Fórum da Comarca de Paranatinga</t>
  </si>
  <si>
    <t>TFN BR1 200244 AP-IX-00377</t>
  </si>
  <si>
    <t>Paranatinga</t>
  </si>
  <si>
    <t>Avenida XV de Novembro, 118 - Centro</t>
  </si>
  <si>
    <t>78870-000</t>
  </si>
  <si>
    <t>Fórum da Comarca de Porto Alegre do Norte</t>
  </si>
  <si>
    <t>TFN BR1 200245 AP-IX-00378</t>
  </si>
  <si>
    <t>Porto Alegre do Norte</t>
  </si>
  <si>
    <t>Rua 16, Q. 20, Loteamento Santos Dumont</t>
  </si>
  <si>
    <t>78655-000</t>
  </si>
  <si>
    <t>Fórum da Comarca de Poxoréu</t>
  </si>
  <si>
    <t>TFN BR1 200248 AP-IX-00381</t>
  </si>
  <si>
    <t>Poxoréu</t>
  </si>
  <si>
    <t>Rua Euclides da Cunha, s/n - Bairro Santa Luzia</t>
  </si>
  <si>
    <t>78800-000</t>
  </si>
  <si>
    <t>Fórum da Comarca De Primavera do Leste</t>
  </si>
  <si>
    <t>TFN BR1 200017 AP-IX-00150</t>
  </si>
  <si>
    <t>Primavera do Leste</t>
  </si>
  <si>
    <t>Avenida Dom Sebastião Figueiredo, 460</t>
  </si>
  <si>
    <t>78850-000</t>
  </si>
  <si>
    <t>Fórum de Rondonopolis</t>
  </si>
  <si>
    <t>TFNAP-IX-170196</t>
  </si>
  <si>
    <t>Rondonópolis</t>
  </si>
  <si>
    <t>Rua Rio Branco, 2299 – Jardim Guanabara</t>
  </si>
  <si>
    <t>78710-100</t>
  </si>
  <si>
    <t>TFNAP-IX-190040</t>
  </si>
  <si>
    <t>Fórum da Comarca de São José do Rio Claro</t>
  </si>
  <si>
    <t>TFN BR1 200250 AP-IX-00383</t>
  </si>
  <si>
    <t>São José do Rio Claro</t>
  </si>
  <si>
    <t>Rua Santa Catarina, 737</t>
  </si>
  <si>
    <t>78435-000</t>
  </si>
  <si>
    <t>Fórum de Sinop</t>
  </si>
  <si>
    <t>TFNAP-IX-180279</t>
  </si>
  <si>
    <t>Praça dos Três Poderes, 175 – Centro</t>
  </si>
  <si>
    <t>78550-112</t>
  </si>
  <si>
    <t>Fórum da Comarca De Sorriso</t>
  </si>
  <si>
    <t>TFN BR1 200019 AP-IX-00152</t>
  </si>
  <si>
    <t>Sorriso</t>
  </si>
  <si>
    <t>Rua Canoas, 641</t>
  </si>
  <si>
    <t>78890-000</t>
  </si>
  <si>
    <t>Fórum da Comarca De Tangara da Serra</t>
  </si>
  <si>
    <t>TFN BR1 200020 AP-IX-00153</t>
  </si>
  <si>
    <t>Avenida Tancredo de Almeida Neves, 1220</t>
  </si>
  <si>
    <t>Fórum de Várzea Grande</t>
  </si>
  <si>
    <t>TFNAP-IX-180302</t>
  </si>
  <si>
    <t>Avenida Castelo Branco, s/n – Água Limpa</t>
  </si>
  <si>
    <t>78125-700</t>
  </si>
  <si>
    <t>TFN BR1 200212 AP-IX-00345</t>
  </si>
  <si>
    <t>Avenida Chapéu do Sol - Guarita II</t>
  </si>
  <si>
    <t>78158-720</t>
  </si>
  <si>
    <t>TJPB</t>
  </si>
  <si>
    <t>TRIBUNAL DE JUSTIÇA DO ESTADO DA PARAÍBA</t>
  </si>
  <si>
    <t>Fórum Affonso Campos</t>
  </si>
  <si>
    <t>TFN BR1 210050 AP-IX-00440</t>
  </si>
  <si>
    <t>Rua Vice Prefeito Antônio Carvalho de Souza, s/n - Bairro Liberdade</t>
  </si>
  <si>
    <t>58417-000</t>
  </si>
  <si>
    <t>NUCBRF-1-23-0067</t>
  </si>
  <si>
    <t>Prédio de Anexo Tribunal de Justiça Paraíba</t>
  </si>
  <si>
    <t>TFN BR1 210053 AP-IX-00443</t>
  </si>
  <si>
    <t>Praça Venâncio Neiva, s/n - Centro</t>
  </si>
  <si>
    <t>58013-140</t>
  </si>
  <si>
    <t>Fórum Cível Desembargador Mário Moacyr Porto</t>
  </si>
  <si>
    <t>TFN BR1 210032 AP-IX-00422</t>
  </si>
  <si>
    <t>Avenida João Machado, s/n - Jaguaribe</t>
  </si>
  <si>
    <t>58013-520</t>
  </si>
  <si>
    <t>Fórum Criminal Ministro Oswaldo Trigueiro de Albuquerque Mello</t>
  </si>
  <si>
    <t>TFN BR1 210055 AP-IX-00445</t>
  </si>
  <si>
    <t>TFN BR1 210067 AP-IX-00457</t>
  </si>
  <si>
    <t>Prédio Anexo do Tribunal de Justiça</t>
  </si>
  <si>
    <t>TFN BR1 210056 AP-IX-00446</t>
  </si>
  <si>
    <t>58100-246</t>
  </si>
  <si>
    <t>TJPR</t>
  </si>
  <si>
    <t>TRIBUNAL DE JUSTIÇA DO ESTADO DO PARANÁ</t>
  </si>
  <si>
    <t>Sede Palácio Da Justiça</t>
  </si>
  <si>
    <t>TFN BR1 200196 AP IX-00329</t>
  </si>
  <si>
    <t>Praça Nossa Senhora da Salette, s/n - Centro Cívico</t>
  </si>
  <si>
    <t>80530-912</t>
  </si>
  <si>
    <t>NUCBR-1-23-0033</t>
  </si>
  <si>
    <t>6H</t>
  </si>
  <si>
    <t>Tribunal do Júri</t>
  </si>
  <si>
    <t>TFN BR1 200215 AP-IX 00348</t>
  </si>
  <si>
    <t>80530-180</t>
  </si>
  <si>
    <t>Sede Anexo</t>
  </si>
  <si>
    <t>TFN BR1 200240 AP-IX-00373</t>
  </si>
  <si>
    <t>Rua Prefeito Rosaldo Gomes Mello Leitão - Centro Civico</t>
  </si>
  <si>
    <t>80530-210</t>
  </si>
  <si>
    <t>Fórum da Família da Criança e do Adolescente</t>
  </si>
  <si>
    <t>TFN BR1 200243 AP IX-00376</t>
  </si>
  <si>
    <t>Rua da Glória, 290 - Centro Cívico</t>
  </si>
  <si>
    <t>80030-060</t>
  </si>
  <si>
    <t>Sede Mauá</t>
  </si>
  <si>
    <t>TFN BR1 210008 AP-IX-00398</t>
  </si>
  <si>
    <t>Rua Mauá, 920 - Alto da Glória</t>
  </si>
  <si>
    <t>800530-901</t>
  </si>
  <si>
    <t>Tribunal de Justiça do Estado do Paraná</t>
  </si>
  <si>
    <t>TFN BR1 200204 AP-IX-00337</t>
  </si>
  <si>
    <t>Avenida Anita Garibaldi, 750 - Cabral</t>
  </si>
  <si>
    <t>80540-180</t>
  </si>
  <si>
    <t>Centro Judiciário - Fórum Criminal</t>
  </si>
  <si>
    <t>TFN BR1 200236 AP-IX 00369</t>
  </si>
  <si>
    <t>Comarca de Ponta Grossa</t>
  </si>
  <si>
    <t>TFN BR1 200193 AP-IX-00326</t>
  </si>
  <si>
    <t>Avenida Manoel Ribas, 500 - Bairro Conradinho</t>
  </si>
  <si>
    <t>85080-180</t>
  </si>
  <si>
    <t>NUCBR-1-23-0033(2)</t>
  </si>
  <si>
    <t>Comarca de Guarapuava</t>
  </si>
  <si>
    <t>TFN BR1 200195 AP-IX-00328</t>
  </si>
  <si>
    <t>Rua Leopoldo Guimarães da Cunha, 590</t>
  </si>
  <si>
    <t>84035-310</t>
  </si>
  <si>
    <t>Comarca de Cascavel</t>
  </si>
  <si>
    <t>TFN BR1 200207 AP-IX-00340</t>
  </si>
  <si>
    <t xml:space="preserve">Cascavel </t>
  </si>
  <si>
    <t>Avenida Tancredo Neves, 2320 - Centro</t>
  </si>
  <si>
    <t>85805-000</t>
  </si>
  <si>
    <t>NUCBR-1-23-0033(3)</t>
  </si>
  <si>
    <t>Comarca de Foz do Iguaçu</t>
  </si>
  <si>
    <t>TFN BR1 200251 AP-IX-00384</t>
  </si>
  <si>
    <t>Rua Pedro Basso, 1001, Alto São Francisco</t>
  </si>
  <si>
    <t>85863-915</t>
  </si>
  <si>
    <t>Comarca de Londrina - Fórum Criminal</t>
  </si>
  <si>
    <t>TFN BR1 210003 AP-IX-00393</t>
  </si>
  <si>
    <t>Avenida Tiradentes, 1575 - Jardim Shangri-la</t>
  </si>
  <si>
    <t>86070-545</t>
  </si>
  <si>
    <t>Comarca de Maringá - Fórum Principal</t>
  </si>
  <si>
    <t>TFN BR1 200216 AP-IX-00349</t>
  </si>
  <si>
    <t>Avenida Tiradentes, 380, Praça Desembargador Franco Ferreira da Costa</t>
  </si>
  <si>
    <t>87013-900</t>
  </si>
  <si>
    <t>TJRJ</t>
  </si>
  <si>
    <t>TRIBUNAL DE JUSTIÇA DO ESTADO DO RIO DE JANEIRO</t>
  </si>
  <si>
    <t>Fórum de Casemiro de Abreu</t>
  </si>
  <si>
    <t>TFN BR1 200025 AP-IX-00158</t>
  </si>
  <si>
    <t>Casemiro de Abreu</t>
  </si>
  <si>
    <t>Rua Waldemir Hering da Silva, 530/600</t>
  </si>
  <si>
    <t>28860-000</t>
  </si>
  <si>
    <t>NUCBR-1-20-0122</t>
  </si>
  <si>
    <t xml:space="preserve">Fórum de Cordeiro </t>
  </si>
  <si>
    <t>TFN BR1 210039 AP-IX-00429</t>
  </si>
  <si>
    <t>Cordeiro</t>
  </si>
  <si>
    <t xml:space="preserve">Avenida Raul Veiga - Cordeiro </t>
  </si>
  <si>
    <t>28540-000</t>
  </si>
  <si>
    <t>NUCBRF-1-23-0061</t>
  </si>
  <si>
    <t>Fórum de Italva</t>
  </si>
  <si>
    <t>TFN BR1 210046 AP-IX-00436</t>
  </si>
  <si>
    <t>Italva</t>
  </si>
  <si>
    <t>Rua Aristides Gonçalves de Souza, 86 - Nova Cidade</t>
  </si>
  <si>
    <t>28250-000</t>
  </si>
  <si>
    <t>Fórum de Itaocara</t>
  </si>
  <si>
    <t>TFN BR1 210044 AP-IX-00434</t>
  </si>
  <si>
    <t>Itaocara</t>
  </si>
  <si>
    <t>Rua Amaro - Jardim D'Aldeia</t>
  </si>
  <si>
    <t>28570-000</t>
  </si>
  <si>
    <t>Fórum de Mangaratiba</t>
  </si>
  <si>
    <t>TFN BR1 200027 AP-IX-00160</t>
  </si>
  <si>
    <t>Mangaratiba</t>
  </si>
  <si>
    <t>Estrada São João Marcos, s/n</t>
  </si>
  <si>
    <t>23860-000</t>
  </si>
  <si>
    <t>Fórum de Paracambi</t>
  </si>
  <si>
    <t>TFN BR1 200029 AP-IX-00162</t>
  </si>
  <si>
    <t>Paracambi</t>
  </si>
  <si>
    <t>Rua Alberto Leal Cardoso, 92</t>
  </si>
  <si>
    <t>Fórum de Paraty</t>
  </si>
  <si>
    <t>TFN BR1 200023 AP-IX-00156</t>
  </si>
  <si>
    <t>Paraty</t>
  </si>
  <si>
    <t>Travessa Santa Rita, 18</t>
  </si>
  <si>
    <t>23970-000</t>
  </si>
  <si>
    <t xml:space="preserve">Fórum de Paty do Alferes </t>
  </si>
  <si>
    <t>TFN BR1 210047 AP-IX-00437</t>
  </si>
  <si>
    <t>Paty do Alferes</t>
  </si>
  <si>
    <t>Praça George Jacob Abdue, s/n - Centro</t>
  </si>
  <si>
    <t>26950-000</t>
  </si>
  <si>
    <t>Fórum de Porto Real</t>
  </si>
  <si>
    <t>TFN BR1 200030 AP-IX-00163</t>
  </si>
  <si>
    <t>Porto Real</t>
  </si>
  <si>
    <t>Centro, s/n</t>
  </si>
  <si>
    <t>Fórum de Quissamã</t>
  </si>
  <si>
    <t>TFN BR1 200031 AP-IX-00164</t>
  </si>
  <si>
    <t>Quissamã</t>
  </si>
  <si>
    <t>Estrada do Correio Imperial, 1003 - Piteiras</t>
  </si>
  <si>
    <t>28735-000</t>
  </si>
  <si>
    <t>Fórum Central Dimex</t>
  </si>
  <si>
    <t>TFN BR1 200026 AP-IX-00159</t>
  </si>
  <si>
    <t>Avenida Erasmo Braga, 115, Terréo Lâmina - Centro</t>
  </si>
  <si>
    <t>20020-903</t>
  </si>
  <si>
    <t>Portaria Antonio Carlos</t>
  </si>
  <si>
    <t>TFNPV14240080</t>
  </si>
  <si>
    <t>Av. Presidente Antônio Carlos N 251, Centro</t>
  </si>
  <si>
    <t>20020-010</t>
  </si>
  <si>
    <t>NUCBRF-1-25-0046</t>
  </si>
  <si>
    <t>Lâmina 4</t>
  </si>
  <si>
    <t>TFNPV 14240078</t>
  </si>
  <si>
    <t>Rua da Miséricordia, 1, Centro</t>
  </si>
  <si>
    <t>20021-250</t>
  </si>
  <si>
    <t>Lâmina 3</t>
  </si>
  <si>
    <t>TFNPV 14240082</t>
  </si>
  <si>
    <t>Rua Dom Manoel, 37,  Centro</t>
  </si>
  <si>
    <t>20010-090</t>
  </si>
  <si>
    <t>Portaria Beco da Música</t>
  </si>
  <si>
    <t>TFNPV 14240077</t>
  </si>
  <si>
    <t>20020-115</t>
  </si>
  <si>
    <t>Portaria Palácio da Justiça</t>
  </si>
  <si>
    <t>TFNPV 14240084</t>
  </si>
  <si>
    <t>Rua Dom Manoel, S/N, Fórum Central, Centro</t>
  </si>
  <si>
    <t>TFNPV 14240083</t>
  </si>
  <si>
    <t>Fórum de Alcântara</t>
  </si>
  <si>
    <t>TFNPV 14240075</t>
  </si>
  <si>
    <t>R. Osório Costa, S/N - Colubandê</t>
  </si>
  <si>
    <t>24744-561</t>
  </si>
  <si>
    <t>Fórum de Duque de Caxias</t>
  </si>
  <si>
    <t>TFNPV14240076</t>
  </si>
  <si>
    <t>Duque de Caxias</t>
  </si>
  <si>
    <t>R.Gen.Dionísio,764 - Jardim Vinte e Cinco de Agosto</t>
  </si>
  <si>
    <t>25075-095</t>
  </si>
  <si>
    <t>Lâmina 5</t>
  </si>
  <si>
    <t>TFNPV 14240079</t>
  </si>
  <si>
    <t>Rua Beco da Música, 175 Centro</t>
  </si>
  <si>
    <t>Fórum de São João da Barra</t>
  </si>
  <si>
    <t>TFN BR1 200032 AP-IX-00165</t>
  </si>
  <si>
    <t>São João da Barra</t>
  </si>
  <si>
    <t>Rua São Benedito, 222</t>
  </si>
  <si>
    <t>28200-000</t>
  </si>
  <si>
    <t>Fórum de Sapucaia</t>
  </si>
  <si>
    <t>TFN BR1 210049 AP-IX-00439</t>
  </si>
  <si>
    <t>Sapucaia</t>
  </si>
  <si>
    <t>Rua Maurício de Abreu, 17 - Centro</t>
  </si>
  <si>
    <t>25880-000</t>
  </si>
  <si>
    <t>Fórum de Sumidouro</t>
  </si>
  <si>
    <t>TFN BR1 210068 AP-IX-00458</t>
  </si>
  <si>
    <t>Sumidouro</t>
  </si>
  <si>
    <t>Rua João Amâncio, 214 - Centro</t>
  </si>
  <si>
    <t>28637-000</t>
  </si>
  <si>
    <t>TJRN</t>
  </si>
  <si>
    <t>TRIBUNAL DE JUSTIÇA DO ESTADO DO RIO GRANDE DO NORTE</t>
  </si>
  <si>
    <t>TFNAP-X-170110</t>
  </si>
  <si>
    <t>Avenida Jerônimo Câmara, 2000 - Nossa Senhora Nazaré</t>
  </si>
  <si>
    <t>59060-300</t>
  </si>
  <si>
    <t>NUCBR-1-25-0004</t>
  </si>
  <si>
    <t>TJRO</t>
  </si>
  <si>
    <t>TRIBUNAL DE JUSTIÇA DO ESTADO DE RONDÔNIA</t>
  </si>
  <si>
    <t>Ji-Paraná</t>
  </si>
  <si>
    <t>Avenida Ji-Paraná, 615 - Urupá</t>
  </si>
  <si>
    <t>76900-261</t>
  </si>
  <si>
    <t>NUCBR-1-17-0051</t>
  </si>
  <si>
    <t>Avenida Daniel Comboni, 1480 - União</t>
  </si>
  <si>
    <t>Rua José Camacho, 585, 4° andar</t>
  </si>
  <si>
    <t>76801-330</t>
  </si>
  <si>
    <t>Avenida Luís Maziero, 4432 - Jardim América</t>
  </si>
  <si>
    <t>TJRR</t>
  </si>
  <si>
    <t>TRIBUNAL DE JUSTIÇA DO ESTADO DE RORAIMA</t>
  </si>
  <si>
    <t>Fórum Criminal Ministro Evandro Lins e Silva</t>
  </si>
  <si>
    <t>TFN BR1 200042 AP-IX-00175</t>
  </si>
  <si>
    <t>Avenida Cabo José Tabira de Alencar Macedo, 606 - Caranã</t>
  </si>
  <si>
    <t>69313-595</t>
  </si>
  <si>
    <t>NUCBR-1-21-0002</t>
  </si>
  <si>
    <t>10:00 - 12:00
15:00 - 17:00</t>
  </si>
  <si>
    <t>TJRS</t>
  </si>
  <si>
    <t>RIO GRANDE DO SUL PODER JUDICIÁRIO</t>
  </si>
  <si>
    <t>Fórum de Bage</t>
  </si>
  <si>
    <t>TFNAP-IX-180305</t>
  </si>
  <si>
    <t>Rua Bento Gonçalves, 499 - Centro</t>
  </si>
  <si>
    <t>96402-080</t>
  </si>
  <si>
    <t>NUCBR-1-19-0145</t>
  </si>
  <si>
    <t>Fórum de Cachoeira do Sul</t>
  </si>
  <si>
    <t>TFNAP 09190166</t>
  </si>
  <si>
    <t>Cachoeira do Sul</t>
  </si>
  <si>
    <t>Rua Silvio Scopel, 1200 - Centro</t>
  </si>
  <si>
    <t>96506-630</t>
  </si>
  <si>
    <t>NUCBR-1-20-0090</t>
  </si>
  <si>
    <t>Fórum de Cachoeirinha</t>
  </si>
  <si>
    <t>TFNAP-IX-170208</t>
  </si>
  <si>
    <t>Cachoeirinha</t>
  </si>
  <si>
    <t>Rua Manata, 690 - Jardim Colinas</t>
  </si>
  <si>
    <t>94940-190</t>
  </si>
  <si>
    <t>Fórum de Carazinho</t>
  </si>
  <si>
    <t>TFNAP-IX-180228</t>
  </si>
  <si>
    <t>NUCBR-1-20-0029</t>
  </si>
  <si>
    <t>Fórum de Caxias do Sul</t>
  </si>
  <si>
    <t>TFNAP-IX-180249</t>
  </si>
  <si>
    <t>Caxias do Sul</t>
  </si>
  <si>
    <t>Rua Doutor Montaury, 2107 - Madureira</t>
  </si>
  <si>
    <t>95020-190</t>
  </si>
  <si>
    <t>NUCBR-1-19-0117</t>
  </si>
  <si>
    <t>Fórum de Erechim</t>
  </si>
  <si>
    <t>TFNAP 09190165</t>
  </si>
  <si>
    <t>Rua Clementina Rossi, 129 - Bela Vista</t>
  </si>
  <si>
    <t>99704-900</t>
  </si>
  <si>
    <t>Fórum de Gravatai</t>
  </si>
  <si>
    <t>TFNAP-IX-170209</t>
  </si>
  <si>
    <t>Gravataí</t>
  </si>
  <si>
    <t>Rua Alfredo Soares Pitres, 255 - Santa Luzia</t>
  </si>
  <si>
    <t>94020-050</t>
  </si>
  <si>
    <t>Fórum de Guaiba</t>
  </si>
  <si>
    <t>TFNAP-IX-180301</t>
  </si>
  <si>
    <t>Guaiba</t>
  </si>
  <si>
    <t>Avenida Nestor de Moura Jardim, 387 - Parque 35</t>
  </si>
  <si>
    <t>Fórum de Lajeado</t>
  </si>
  <si>
    <t>TFNAP-IX-180308</t>
  </si>
  <si>
    <t>Lajeado</t>
  </si>
  <si>
    <t>Rua Paulo Frederico Schumacher, 77 - Moinhos</t>
  </si>
  <si>
    <t>95900-780</t>
  </si>
  <si>
    <t>Fórum de Novo Hamburgo</t>
  </si>
  <si>
    <t>TFNAP-IX-180309</t>
  </si>
  <si>
    <t>Novo Hamburgo</t>
  </si>
  <si>
    <t>Rua Doutor Bayard Toledo Mércio, 66 - Canudos</t>
  </si>
  <si>
    <t>93548- 011</t>
  </si>
  <si>
    <t>Fórum de Passo Fundo</t>
  </si>
  <si>
    <t>TFNAP-IX-180247</t>
  </si>
  <si>
    <t>Passo Fundo</t>
  </si>
  <si>
    <t>Avenida General Neto, 486 - Centro</t>
  </si>
  <si>
    <t>99010-021</t>
  </si>
  <si>
    <t>Fórum de Pelotas</t>
  </si>
  <si>
    <t>TFNAP-IX-180257</t>
  </si>
  <si>
    <t>Avenida Ferreira Viana, 1134 - Área</t>
  </si>
  <si>
    <t>96085-000</t>
  </si>
  <si>
    <t>Fórum de Porto Alegre I</t>
  </si>
  <si>
    <t>TFNAP-IX-180222</t>
  </si>
  <si>
    <t>Avenida Aureliano de Figueiredo Pinto, 105 - Praia de Belas</t>
  </si>
  <si>
    <t>90050-190</t>
  </si>
  <si>
    <t>TFNAP-IX-180227</t>
  </si>
  <si>
    <t>Fórum de Porto Alegre II</t>
  </si>
  <si>
    <t>TFNAP-IX-180242</t>
  </si>
  <si>
    <t>Rua Manoelito de Ornellas, 50 - Praia de Belas</t>
  </si>
  <si>
    <t>90110-230</t>
  </si>
  <si>
    <t>Fórum de Porto Alegre</t>
  </si>
  <si>
    <t>TFNAP-IX-180243</t>
  </si>
  <si>
    <t>Avenida Borges de Medeiros, 1565 - Praia de Belas</t>
  </si>
  <si>
    <t>90110-906</t>
  </si>
  <si>
    <t xml:space="preserve">Fórum de Porto Alegre </t>
  </si>
  <si>
    <t>TFNAP-IX-170191</t>
  </si>
  <si>
    <t>Praça Marechal Deodoro, 55 - Centro Histórico</t>
  </si>
  <si>
    <t>90010-906</t>
  </si>
  <si>
    <t>Fórum de Partenon</t>
  </si>
  <si>
    <t>TFNAP-IX-170193</t>
  </si>
  <si>
    <t>Rua Coronel Aparício Borges, 2025 - Partenon</t>
  </si>
  <si>
    <t>90680-570</t>
  </si>
  <si>
    <t>Fórum de Rio Grande</t>
  </si>
  <si>
    <t>TFNAP-IX-180307</t>
  </si>
  <si>
    <t>Rua Apody dos Reis, 16</t>
  </si>
  <si>
    <t>96214-264</t>
  </si>
  <si>
    <t>Fórum de Santa Cruz do Sul</t>
  </si>
  <si>
    <t>TFNAP 09190149</t>
  </si>
  <si>
    <t>Santa Cruz do Sul</t>
  </si>
  <si>
    <t>Rua Ernesto Alves, 945 - Centro</t>
  </si>
  <si>
    <t>96810-144</t>
  </si>
  <si>
    <t>Fórum de Santa Maria</t>
  </si>
  <si>
    <t>TFNAP-IX-180252</t>
  </si>
  <si>
    <t>Santa Maria</t>
  </si>
  <si>
    <t>Alameda Buenos Aíres, 201 - Nossa Senhora das Dores</t>
  </si>
  <si>
    <t>97050-545</t>
  </si>
  <si>
    <t>Fórum de Santo Ângelo</t>
  </si>
  <si>
    <t>TFNAP-IX-170255</t>
  </si>
  <si>
    <t>Santo Ângelo</t>
  </si>
  <si>
    <t>Avenida Venâncio Aíres, 1437 - São Carlos</t>
  </si>
  <si>
    <t>98801-660</t>
  </si>
  <si>
    <t>Fórum de São Borja</t>
  </si>
  <si>
    <t>TFNAP-IX-170254</t>
  </si>
  <si>
    <t>São Borja</t>
  </si>
  <si>
    <t>Rua Coronel Aparício Mariense, 1773 - Pirahy</t>
  </si>
  <si>
    <t>97670-000</t>
  </si>
  <si>
    <t>Fórum de São Leopoldo</t>
  </si>
  <si>
    <t>TFNAP-IX-180311</t>
  </si>
  <si>
    <t>Avenida Unisinos, 99 - São João Batista</t>
  </si>
  <si>
    <t>93022-414</t>
  </si>
  <si>
    <t>Fórum de Tramandai</t>
  </si>
  <si>
    <t>TFNAP-IX-180303</t>
  </si>
  <si>
    <t>Tramandaí</t>
  </si>
  <si>
    <t>Rua Vergueiros, 163</t>
  </si>
  <si>
    <t>95590-000</t>
  </si>
  <si>
    <t>Fórum de Uruguaiana</t>
  </si>
  <si>
    <t>TFNAP-IX-180306</t>
  </si>
  <si>
    <t>Uruguaiana</t>
  </si>
  <si>
    <t>Rua General Hipólito, 3392 - Centro</t>
  </si>
  <si>
    <t>97502-590</t>
  </si>
  <si>
    <t>Fórum de Vacaria</t>
  </si>
  <si>
    <t>TFNAP 09190164</t>
  </si>
  <si>
    <t>Vacaria</t>
  </si>
  <si>
    <t>Rua Vila Lobos, 31 - Carazinho</t>
  </si>
  <si>
    <t>95200-000</t>
  </si>
  <si>
    <t>TJSE</t>
  </si>
  <si>
    <t>TRIBUNAL DE JUSTIÇA DO ESTADO DE SERGIPE</t>
  </si>
  <si>
    <t>Fórum Olimpio Mendonça</t>
  </si>
  <si>
    <t>TFNAP-IX-170087</t>
  </si>
  <si>
    <t>Rua Central Três - Conjunto Orlando Dantas</t>
  </si>
  <si>
    <t>49042-149</t>
  </si>
  <si>
    <t>NUCBR-1-20-0041</t>
  </si>
  <si>
    <t>08:00 - 13:00</t>
  </si>
  <si>
    <t>SERGIPE JUSTIÇA ESTADUAL DE SEGUNDA INSTANCIA</t>
  </si>
  <si>
    <t>Fórum Gumersindo Bessa</t>
  </si>
  <si>
    <t>TFN BR1 200200 AP-IX-00333</t>
  </si>
  <si>
    <t>Avenida Tancredo Neve, s/n - Capacho</t>
  </si>
  <si>
    <t>49081-901</t>
  </si>
  <si>
    <t>NUCBR-1-22-0098</t>
  </si>
  <si>
    <t>07:00 - 13:00</t>
  </si>
  <si>
    <t>Fóruns Integrados IV</t>
  </si>
  <si>
    <t>TFN BR1 200201 AP-IX-00334</t>
  </si>
  <si>
    <t>Avenida Alexandre Alcino - Santa Maria</t>
  </si>
  <si>
    <t>49044-090</t>
  </si>
  <si>
    <t>Fórum Desembargador Antônio Xavier Assis Junior</t>
  </si>
  <si>
    <t>TFNAP-IX-170090</t>
  </si>
  <si>
    <t>Barra dos Coqueiros</t>
  </si>
  <si>
    <t xml:space="preserve">Rodovia José de Campos, s/n </t>
  </si>
  <si>
    <t>49140-000</t>
  </si>
  <si>
    <t>Fórum Arthur Oscar de O. Déda</t>
  </si>
  <si>
    <t>TFNAP-IX-170094</t>
  </si>
  <si>
    <t>Nossa Senhora do Socorro</t>
  </si>
  <si>
    <t>Rua Manoel dos Passos, s/n - Centro</t>
  </si>
  <si>
    <t>49160-000</t>
  </si>
  <si>
    <t>Fórum Desembargador Pedro Barreto de Andrade</t>
  </si>
  <si>
    <t>TFNAP-X-170103</t>
  </si>
  <si>
    <t>Avenida Coletora, s/n - Conjunto Marcos Freire II</t>
  </si>
  <si>
    <t>NUCBR-1-20-0135</t>
  </si>
  <si>
    <t>Fórum Professor Gonçalo Rolemberg Leite</t>
  </si>
  <si>
    <t>TFNAP-IX-170082</t>
  </si>
  <si>
    <t>São Cristovão</t>
  </si>
  <si>
    <t>Rua Governador João Alves Filho, 384</t>
  </si>
  <si>
    <t>49100-000</t>
  </si>
  <si>
    <t>TOTL</t>
  </si>
  <si>
    <t>TOTAL EXPRESS - TEX COURIER</t>
  </si>
  <si>
    <t>Avenida Piracema, 155 - Tamboré</t>
  </si>
  <si>
    <t>06460-030</t>
  </si>
  <si>
    <t>NUCBR-1-19-0084</t>
  </si>
  <si>
    <t>TFN BR1 200082 AP-XIII-00215</t>
  </si>
  <si>
    <t>NUCBR-1-21-0145</t>
  </si>
  <si>
    <t>TOTAL EXPRESS</t>
  </si>
  <si>
    <t>TFN BR1 240118 AP-XIII-00743</t>
  </si>
  <si>
    <t>NUCBR-1-24-0191(1)</t>
  </si>
  <si>
    <t>Estrada da Vargem do João Pinto, 450</t>
  </si>
  <si>
    <t>NUCBR-1-21-0063</t>
  </si>
  <si>
    <t>Superior a 24H</t>
  </si>
  <si>
    <t>Unidade Jundiaí</t>
  </si>
  <si>
    <t>Avenida Odila Chaves Rodrigues, s/n</t>
  </si>
  <si>
    <t>13213-087</t>
  </si>
  <si>
    <t>TRE CE</t>
  </si>
  <si>
    <t>TRIBUNAL REGIONAL ELEITORAL DO CEARÁ</t>
  </si>
  <si>
    <t>Sede Sul</t>
  </si>
  <si>
    <t>TFN BR1 210059 AP-IX-00449</t>
  </si>
  <si>
    <t>Rua Doutor Pontes Neto, 800 - Engenheiro Luciano Cavalcante</t>
  </si>
  <si>
    <t>60813-600</t>
  </si>
  <si>
    <t>NUCBRF-1-24-0003</t>
  </si>
  <si>
    <t>TFN BR1 210065 AP-IX-00455</t>
  </si>
  <si>
    <t>TRE MA</t>
  </si>
  <si>
    <t>TRIBUNAL REGIONAL ELEITORAL DO MARANHÃO</t>
  </si>
  <si>
    <t>Forum Eleitoral Doutor Petrônio Gomes de Sá</t>
  </si>
  <si>
    <t>TFN BR1 210033 AP-IX-00423</t>
  </si>
  <si>
    <t>Loteamento Juscelino Kubitschek, Quadra 17-A, s/n - Bairro Bom Jesus</t>
  </si>
  <si>
    <t>65074-115</t>
  </si>
  <si>
    <t>NUCBRF-1-24-0002</t>
  </si>
  <si>
    <t>Tribunal Regional Eleitoral do Maranhão</t>
  </si>
  <si>
    <t>TFN BR1 210034  AP-IX-00424</t>
  </si>
  <si>
    <t>Avenida Senador Vitorino Freire, s/n - Areinha</t>
  </si>
  <si>
    <t>65010-917</t>
  </si>
  <si>
    <t>Fórum Eleitoral de São Luís (Sede Provisória)</t>
  </si>
  <si>
    <t>TFN BR1 210035 AP-IX-00425</t>
  </si>
  <si>
    <t>Avenida Daniel de La Touche, 2800 - Cohama</t>
  </si>
  <si>
    <t>TRT1</t>
  </si>
  <si>
    <t>TRIBUNAL REGIONAL DO TRABALHO DA 1ª REGIÃO</t>
  </si>
  <si>
    <t>Fórum Marquês Do Lavradio</t>
  </si>
  <si>
    <t>TFN BR1 200055 AP-X-00188</t>
  </si>
  <si>
    <t>Rua do Lavradio, 132 - Centro</t>
  </si>
  <si>
    <t>20230-070</t>
  </si>
  <si>
    <t>NUCBRF-1-20-0116</t>
  </si>
  <si>
    <t>TFN BR1 200056 AP-X-00189</t>
  </si>
  <si>
    <t>Fórum Advogado Eugênio Roberto Haddock Lobo</t>
  </si>
  <si>
    <t>TFN BR1 200057 AP-X-00190</t>
  </si>
  <si>
    <t>Avenida Gomes Freire, 471 - Lapa</t>
  </si>
  <si>
    <t>20231-014</t>
  </si>
  <si>
    <t>Fórum Ministro Arnaldo Süssekind</t>
  </si>
  <si>
    <t>TFN BR1 200058 AP-X-00191</t>
  </si>
  <si>
    <t>Avenida Presidente Antônio Carlos, 251 - Centro</t>
  </si>
  <si>
    <t>TRT10</t>
  </si>
  <si>
    <t>TRIBUNAL REGIONAL DO TRABALHO DA 10ª REGIÃO</t>
  </si>
  <si>
    <t>Fórum Trabalhista de Palmas</t>
  </si>
  <si>
    <t>TFN BR1 200060 AP-X-00193</t>
  </si>
  <si>
    <t>Guarai</t>
  </si>
  <si>
    <t>SAS, Quadra 1, Bloco D, Praça Tribunais Superiores - Asa Sul</t>
  </si>
  <si>
    <t>70097-900</t>
  </si>
  <si>
    <t>NUCBRF-1-20-0008</t>
  </si>
  <si>
    <t>48h</t>
  </si>
  <si>
    <t>Foro Trabalhista de Brasília</t>
  </si>
  <si>
    <t>TFN BR1 190093 AP-X-00117</t>
  </si>
  <si>
    <t>Avenida W3 Norte, Quadra 513, Lotes 2 e 3 - Asa Norte</t>
  </si>
  <si>
    <t>70760-522</t>
  </si>
  <si>
    <t>TFN BR1 200046 AP-X-00179</t>
  </si>
  <si>
    <t>Edifício Sede</t>
  </si>
  <si>
    <t>TFN BR1 200047 AP-X-00180</t>
  </si>
  <si>
    <t>Foro do Trabalho de Taguatinga</t>
  </si>
  <si>
    <t>TFN BR1 200048 AP-X-00181</t>
  </si>
  <si>
    <t>C 12, Lotes 01 a 05 e Lotes 08 a 12, Taguatinga Centro</t>
  </si>
  <si>
    <t>72010-120</t>
  </si>
  <si>
    <t>TFN BR1 200052 AP-X-00185</t>
  </si>
  <si>
    <t>Praça 02, Lote 06, Setor Central</t>
  </si>
  <si>
    <t>72405-610</t>
  </si>
  <si>
    <t>Vara do Trabalho de Gama</t>
  </si>
  <si>
    <t>TFN BR1 200059 AP-X-00192</t>
  </si>
  <si>
    <t>Quadra 302 Norte, Conjunto QI 12, Alameda 2, Lote 1ª</t>
  </si>
  <si>
    <t>77006-338</t>
  </si>
  <si>
    <t>Prédio da Escola Judicial</t>
  </si>
  <si>
    <t>Foro Trabalhista de Araguaína</t>
  </si>
  <si>
    <t>Vara do Trabalho de Dianopolis</t>
  </si>
  <si>
    <t>Vara do Trabalho de Guarai</t>
  </si>
  <si>
    <t>Vara do Trabalho de Gurupi</t>
  </si>
  <si>
    <t>TRT15</t>
  </si>
  <si>
    <t>TRIBUNAL REGIONAL DO TRABALHO DA 15ª REGIÃO</t>
  </si>
  <si>
    <t>Fórum Trabalhista de Campinas</t>
  </si>
  <si>
    <t>TFN BR1 210026 AP-IX-00416</t>
  </si>
  <si>
    <t>Avenida José de Sousa Campos, 422 - Nova Campinas</t>
  </si>
  <si>
    <t xml:space="preserve"> 13090-615</t>
  </si>
  <si>
    <t>NUCBRF-1-23-0047</t>
  </si>
  <si>
    <t>TFN BR1 210027 AP-IX-00417</t>
  </si>
  <si>
    <t xml:space="preserve">Rua Barão de Jaguara, 901 - Conceição </t>
  </si>
  <si>
    <t>13015-001</t>
  </si>
  <si>
    <t>TFN BR1 210028 AP-IX-00418</t>
  </si>
  <si>
    <t>Avenida Francisco Glicério, 860 - Vila Lidia</t>
  </si>
  <si>
    <t>13012-100</t>
  </si>
  <si>
    <t>Tribunal Regional de Campinas</t>
  </si>
  <si>
    <t>TFN BR1 210029 AP-IX-00419</t>
  </si>
  <si>
    <t>Rua Barão de Jaguara, 945 - Centro</t>
  </si>
  <si>
    <t>Fórum Trabalhista de Jundiaí</t>
  </si>
  <si>
    <t>TFN BR1 210025 AP-IX-00415</t>
  </si>
  <si>
    <t>Avenida Carlos Salles Block, 56 - Anhangabaú</t>
  </si>
  <si>
    <t xml:space="preserve"> 13208-100</t>
  </si>
  <si>
    <t>TRT17</t>
  </si>
  <si>
    <t>TRIBUNAL REGIONAL DO TRABALHO DA 17ª REGIÃO</t>
  </si>
  <si>
    <t>TFN BR1 200069 AP-X-00202</t>
  </si>
  <si>
    <t>Avenida Nossa Senhora dos Navegantes, 1245 - Enseada do Suá</t>
  </si>
  <si>
    <t>29050-335</t>
  </si>
  <si>
    <t>NUCBRF-1-22-0011</t>
  </si>
  <si>
    <t>12:00 - 18:00</t>
  </si>
  <si>
    <t>TFN BR1 200073 AP-X-00206</t>
  </si>
  <si>
    <t>TFN BR1 210097 AP-X-00487</t>
  </si>
  <si>
    <t>TFN BR1 210097 AP-X-00488</t>
  </si>
  <si>
    <t>TRT18</t>
  </si>
  <si>
    <t>TRIBUNAL REGIONAL DO TRABALHO DA 18ª REGIÃO</t>
  </si>
  <si>
    <t>TFN BR1 200051 AP-X-00184</t>
  </si>
  <si>
    <t>Rua T-29, Esquina com a rua T-51, 1403, lotes 7-22, Quadra T-22 - Setor Bueno</t>
  </si>
  <si>
    <t>74215-901</t>
  </si>
  <si>
    <t>NUCBRF-1-20-0063</t>
  </si>
  <si>
    <t>GO: 24H
Demais: 72H</t>
  </si>
  <si>
    <t>TFN BR1 200049 AP-X-00182</t>
  </si>
  <si>
    <t>TFN BR1 200050 AP-X-00183</t>
  </si>
  <si>
    <t>TRT19</t>
  </si>
  <si>
    <t>TRIBUNAL REGIONAL DO TRABALHO DA 19ª REGIÃO</t>
  </si>
  <si>
    <t>Fórum Quintela Cavalcanti</t>
  </si>
  <si>
    <t>TFN BR1 200053 AP-X-00186</t>
  </si>
  <si>
    <t>Avenida da Paz, 2076 - Centro</t>
  </si>
  <si>
    <t>57020-440</t>
  </si>
  <si>
    <t>NUCBRF-1-20-0113</t>
  </si>
  <si>
    <t>Fórum Pontes de Miranda</t>
  </si>
  <si>
    <t>TFN BR1 200054 AP-X-00187</t>
  </si>
  <si>
    <t>TRT2</t>
  </si>
  <si>
    <t>TRIBUNAL REGIONAL DO TRABALHO DA 2ª REGIÃO</t>
  </si>
  <si>
    <t>Fórum Trabalhista de Arujá</t>
  </si>
  <si>
    <t>TFN BR1 210119 AP-X-00509</t>
  </si>
  <si>
    <t>Arujá</t>
  </si>
  <si>
    <t>Avenida Rotary, 175 - Jardim Nomura</t>
  </si>
  <si>
    <t>06717-090</t>
  </si>
  <si>
    <t>NUCBRF-1-24-0065</t>
  </si>
  <si>
    <t>Fórum Trabalhista Ruy Barbosa</t>
  </si>
  <si>
    <t>TFN BR1 210090 AP-IX-00480</t>
  </si>
  <si>
    <t>Barra Funda</t>
  </si>
  <si>
    <t>Avenida Marquês de São Vicente</t>
  </si>
  <si>
    <t>01139-001</t>
  </si>
  <si>
    <t>Fórum Trabalhista de Cajamar</t>
  </si>
  <si>
    <t>TFN BR1 210123 AP-X-00513</t>
  </si>
  <si>
    <t>Rua Avelino Toledo de Lima, 297 - Jordanésia</t>
  </si>
  <si>
    <t>07776-455</t>
  </si>
  <si>
    <t>Fórum Trabalhista de Cotia</t>
  </si>
  <si>
    <t>TFN BR1 210126 AP-X-00516</t>
  </si>
  <si>
    <t>Cotia</t>
  </si>
  <si>
    <t>Avenida Vereador João Fernandes da Silva, 336 - Vila Virgínia</t>
  </si>
  <si>
    <t>08576-000</t>
  </si>
  <si>
    <t>Fórum Trabalhista de Itaquaquecetuba</t>
  </si>
  <si>
    <t>TFN BR1 210118 AP-X-00508</t>
  </si>
  <si>
    <t>Rua Major Benjamin Franco, 88 - Centro</t>
  </si>
  <si>
    <t>07400-000</t>
  </si>
  <si>
    <t>TRT24</t>
  </si>
  <si>
    <t>TRIBUNAL REGIONAL DO TRABALHO DA 24ª REGIÃO</t>
  </si>
  <si>
    <t>TFNAP-IX-170079</t>
  </si>
  <si>
    <t>Rua Delegado Carlos Roberto Bastos de Oliveira, 208 - Jardim Veraneio</t>
  </si>
  <si>
    <t>79031-908</t>
  </si>
  <si>
    <t>NUCBR-1-18-0006</t>
  </si>
  <si>
    <t>TRT4</t>
  </si>
  <si>
    <t>TRIBUNAL REGIONAL DO TRABALHO DA 4ª REGIÃO</t>
  </si>
  <si>
    <t>Foro Trabalhista De Gravataí</t>
  </si>
  <si>
    <t>TFN BR1 200227 AP-IX-00360</t>
  </si>
  <si>
    <t>Rua dos Sabiás, 320, Diva Lessa de Jesus</t>
  </si>
  <si>
    <t>94858-690</t>
  </si>
  <si>
    <t>NUCBRF-1-23-0027</t>
  </si>
  <si>
    <t>Foro Trabalhista De Pelotas</t>
  </si>
  <si>
    <t>TFN BR1 200257 AP-IX-00390</t>
  </si>
  <si>
    <t>Rua 29 de Junho, 160, Areal</t>
  </si>
  <si>
    <t>96075-178</t>
  </si>
  <si>
    <t>Foro Trabalhista De Porto Alegre</t>
  </si>
  <si>
    <t>TFN BR1 210058 AP-IX-00448</t>
  </si>
  <si>
    <t>Avenida Praia de Belas, 1100 - Praia de Belas</t>
  </si>
  <si>
    <t>90110-903</t>
  </si>
  <si>
    <t>TRT7</t>
  </si>
  <si>
    <t>TRIBUNAL REGIONAL DO TRABALHO DA 7ª REGIÃO</t>
  </si>
  <si>
    <t>Justiça do Trabalho em Caucaia</t>
  </si>
  <si>
    <t>Avenida Contôrno Sul, 387 - Planalto Caucaia</t>
  </si>
  <si>
    <t>61605-650</t>
  </si>
  <si>
    <t>NUCBR-1-18-0002</t>
  </si>
  <si>
    <t>08:00 - 16:00</t>
  </si>
  <si>
    <t>Justiça do Trabalho do Eusébio</t>
  </si>
  <si>
    <t>Eusébio</t>
  </si>
  <si>
    <t>Rua Dermeval Carneiro, 115 - Mangabeira</t>
  </si>
  <si>
    <t>61760-000</t>
  </si>
  <si>
    <t>Fórum Autran Nunes</t>
  </si>
  <si>
    <t>Avenida Tristão Gonçalves, 912 - Centro</t>
  </si>
  <si>
    <t>60015-000</t>
  </si>
  <si>
    <t>Edifício Anexo II</t>
  </si>
  <si>
    <t>Rua Vicente Leite, 1281 - Aldeota</t>
  </si>
  <si>
    <t>60170-150</t>
  </si>
  <si>
    <t>Edifício Anexo I</t>
  </si>
  <si>
    <t>Avenida Santos Dumont, 3384 - Aldeota</t>
  </si>
  <si>
    <t>60150-162</t>
  </si>
  <si>
    <t>Edifício Desembargador Manoel Arízio de Castro</t>
  </si>
  <si>
    <t>Avenida Duque de Caxias, 1150 - Centro</t>
  </si>
  <si>
    <t>60035-110</t>
  </si>
  <si>
    <t>Fórum do Juazeiro do Norte</t>
  </si>
  <si>
    <t>Rua Rafael Malzoni, 761 - São José</t>
  </si>
  <si>
    <t>63024-030</t>
  </si>
  <si>
    <t>Fórum Desembargador Osmundo Pontes</t>
  </si>
  <si>
    <t>Maracanaú</t>
  </si>
  <si>
    <t>Rua Luiz Gonzaga Honório de Abreu, 80 - Antonio Justa</t>
  </si>
  <si>
    <t>61901-000</t>
  </si>
  <si>
    <t>Justiça do Trabalho de Pacajus</t>
  </si>
  <si>
    <t>Pacajus</t>
  </si>
  <si>
    <t>Rua Expedito Chaves Cavalcante, s/n - Centro</t>
  </si>
  <si>
    <t>62870-000</t>
  </si>
  <si>
    <t>TRT9</t>
  </si>
  <si>
    <t>TRIBUNAL REGIONAL DO TRABALHO DA 9ª REGIÃO</t>
  </si>
  <si>
    <t>Unidade Cáscavel</t>
  </si>
  <si>
    <t>TFN BR1 210107 AP-X-00497</t>
  </si>
  <si>
    <t>Rua Galibis, 328</t>
  </si>
  <si>
    <t>85806-390</t>
  </si>
  <si>
    <t>NUCBRF-1-23-0060</t>
  </si>
  <si>
    <t>Unidade Foz do Iguaçu</t>
  </si>
  <si>
    <t>TFN BR1 210108 AP-X-00498</t>
  </si>
  <si>
    <t>Avenida Paraná, 3710 (Entre a MPT e a Anvisa)</t>
  </si>
  <si>
    <t>85863-720</t>
  </si>
  <si>
    <t>Unidade Londrina</t>
  </si>
  <si>
    <t>TFN BR1 210109 AP-X-00499</t>
  </si>
  <si>
    <t>Avenida do Café, 600</t>
  </si>
  <si>
    <t>86038-000</t>
  </si>
  <si>
    <t>Unidade Maringá</t>
  </si>
  <si>
    <t>TFN BR1 210110 AP-X-00500</t>
  </si>
  <si>
    <t>Avenida Gastão Vidigal, 823</t>
  </si>
  <si>
    <t>87050-440</t>
  </si>
  <si>
    <t>Unidade Paranaguá</t>
  </si>
  <si>
    <t>TFN BR1 210111 AP-X-00501</t>
  </si>
  <si>
    <t>Rua Manuel Pereira, 2230 - Alvorada</t>
  </si>
  <si>
    <t>83206-322</t>
  </si>
  <si>
    <t>Unidade Ponta Grossa</t>
  </si>
  <si>
    <t>TFN BR1 210112 AP-X-00502</t>
  </si>
  <si>
    <t>Rua Maria Perpétuo da Cruz, 11</t>
  </si>
  <si>
    <t>84035-780</t>
  </si>
  <si>
    <t>TFN BR1 210115 AP-X-00505</t>
  </si>
  <si>
    <t>Rua das Nações Unidas, 1101</t>
  </si>
  <si>
    <t>83035-310</t>
  </si>
  <si>
    <t>VCP</t>
  </si>
  <si>
    <t>AEROPORTO BRASIL - VIRACOPOS S.A.</t>
  </si>
  <si>
    <t>Rodovia Santos Dumontm KM 66, s/n - Prédio Administrativo</t>
  </si>
  <si>
    <t>NUCBR-1-22-0143</t>
  </si>
  <si>
    <t>10010010010131</t>
  </si>
  <si>
    <t>TFN BR1 230050 AP-XIII-00555</t>
  </si>
  <si>
    <t>NUCBR-1-23-0170</t>
  </si>
  <si>
    <t>TFN BR1 240048 AP-XIII-00673</t>
  </si>
  <si>
    <t xml:space="preserve">Rodovia Santos Dumontm KM 66, s/n </t>
  </si>
  <si>
    <t>NUCBR-1-24-0052</t>
  </si>
  <si>
    <t>TFN BR1 240050 AP-XIII-00675</t>
  </si>
  <si>
    <t>TFN BR1 240120 AP-XIII-00745</t>
  </si>
  <si>
    <t>NUCBR-1-24-0145</t>
  </si>
  <si>
    <t>TFN BR1 240119 AP-XIII-00744</t>
  </si>
  <si>
    <t>VIVA</t>
  </si>
  <si>
    <t>VIVARA</t>
  </si>
  <si>
    <t>TFN BR1 200218 AP-IX-00351</t>
  </si>
  <si>
    <t>Rua Verbo Divino, 1207, Térreo, Pavimento 2 e 3 - Chácara Santo Antônio</t>
  </si>
  <si>
    <t>04719-901</t>
  </si>
  <si>
    <t>NUCBRF-1-23-0001</t>
  </si>
  <si>
    <t>VLME</t>
  </si>
  <si>
    <t>VILLARES METALS S.A.</t>
  </si>
  <si>
    <t>TFN BR1 190058 AP-IX-00082</t>
  </si>
  <si>
    <t>Rua Alfredo Dumont Villares, 155 - Jardim Santa Carolina</t>
  </si>
  <si>
    <t>13178-902</t>
  </si>
  <si>
    <t>NUCBRF-1-24-0017</t>
  </si>
  <si>
    <t>MILE EXPRESS AGENCIAMENTO DE CARGA AEREA LTDA</t>
  </si>
  <si>
    <t>Rodovia Santos Dumont, km 66 - Parque Viracopos</t>
  </si>
  <si>
    <t>13.052-900</t>
  </si>
  <si>
    <t>NUCBR-1-25-0123</t>
  </si>
  <si>
    <t>VOARE TAXI AEREO LTDA</t>
  </si>
  <si>
    <t>Aeródromo Pouso da Águia</t>
  </si>
  <si>
    <t>TFNAP 09240214</t>
  </si>
  <si>
    <t>Cantá</t>
  </si>
  <si>
    <t>Estrada da Malacacheta, KM 16 - Zona Rural</t>
  </si>
  <si>
    <t>69390-000</t>
  </si>
  <si>
    <t>NUCBR-1-25-0059</t>
  </si>
  <si>
    <t>CONCESSIONÁRIA DO AEROPORTO INTERNACIONAL DE CONFINS S.A.</t>
  </si>
  <si>
    <t>TFNBZ 14230411</t>
  </si>
  <si>
    <t>Rodovia MG-10, KM 09</t>
  </si>
  <si>
    <t>33500-900</t>
  </si>
  <si>
    <t>NUCBR-1-24-0001</t>
  </si>
  <si>
    <t>2 Dias corridos</t>
  </si>
  <si>
    <t>TFNBZ 14230412</t>
  </si>
  <si>
    <t>RA CATERING DO BRASIL</t>
  </si>
  <si>
    <t>Aeroporto Internacional Tancredo Neves</t>
  </si>
  <si>
    <t>TFN BR1 190001 PA-VIII-00025</t>
  </si>
  <si>
    <t>Rodovia MG-010, KM 9</t>
  </si>
  <si>
    <t>33500-972</t>
  </si>
  <si>
    <t>NUCBRF-1-24-0080</t>
  </si>
  <si>
    <t>CONCESSIONÁRIA DO AEROPORTO INTERNACIONAL DE FLORIANOPÓLIS S.A.</t>
  </si>
  <si>
    <t>Aeroporto Internacional de Florianopólis - Hercílio Luz</t>
  </si>
  <si>
    <t>TFNBZ 09210033</t>
  </si>
  <si>
    <t>Florianopólis</t>
  </si>
  <si>
    <t>Rodovia Acesso ao Aeroporto, 6200 - Carianos</t>
  </si>
  <si>
    <t>88047-902</t>
  </si>
  <si>
    <t>NUCBR-1-22-0085</t>
  </si>
  <si>
    <t>MUNICÍPIO DE GOVERNADOR VALADARES</t>
  </si>
  <si>
    <t>Aeroporto Coronel Altino Machado de Oliveira</t>
  </si>
  <si>
    <t>150382</t>
  </si>
  <si>
    <t>Avenida Industrial, s/n - Distrito Industrial</t>
  </si>
  <si>
    <t>35040-610</t>
  </si>
  <si>
    <t>NUCBR-1-22-0187</t>
  </si>
  <si>
    <t>MUNICÍPIO DE GUARAPUAVA</t>
  </si>
  <si>
    <t>Aeroporto de Guarapuava</t>
  </si>
  <si>
    <t>TFNAP-IX-180117</t>
  </si>
  <si>
    <t>Rodovia PR-277, s/n, KM 350 - Jardim das Américas</t>
  </si>
  <si>
    <t>85030-230</t>
  </si>
  <si>
    <t>NUCBR-1-25-0051</t>
  </si>
  <si>
    <t>PENITENCIÁRIA DE GUARIBA</t>
  </si>
  <si>
    <t>TFN BR1 240100 AP-IX-00490</t>
  </si>
  <si>
    <t>Guariba</t>
  </si>
  <si>
    <t>Rodovia SP-326, KM 323+967M - Brigadeiro Faria Lima</t>
  </si>
  <si>
    <t>14849-899</t>
  </si>
  <si>
    <t>NUCBRF-1-24-0070</t>
  </si>
  <si>
    <t>Centro de Progressão Penitenciária de Guariba</t>
  </si>
  <si>
    <t>TFN BR1 240097 AP-IX-00487</t>
  </si>
  <si>
    <t>CONCESSIONÁRIA DO AEROPORTO INTERNACIONAL DE GUARULHOS S.A.</t>
  </si>
  <si>
    <t>Aeroporto Internacional de Guarulhos - Governador André Franco Montoro</t>
  </si>
  <si>
    <t>NUCBR-1-19-0155</t>
  </si>
  <si>
    <t>TFNPA-XIII-170248</t>
  </si>
  <si>
    <t>Rodovia Hélio Smidt, s/n, Terminal 3 - Aeroporto</t>
  </si>
  <si>
    <t>NUCBR-1-20-0050</t>
  </si>
  <si>
    <t>16H</t>
  </si>
  <si>
    <t>TFNPA-XIII-170249</t>
  </si>
  <si>
    <t>TFNAP 13230104</t>
  </si>
  <si>
    <t>NUCBR-1-24-0028</t>
  </si>
  <si>
    <t>Urgente: 2 Dias
Comum: 5 Dias</t>
  </si>
  <si>
    <t>TFNAP 13230105</t>
  </si>
  <si>
    <t>TFNAP 13230102</t>
  </si>
  <si>
    <t>TFNAP 13230103</t>
  </si>
  <si>
    <t>TFNCH 08240004</t>
  </si>
  <si>
    <t>NUCBR-1-24-0041</t>
  </si>
  <si>
    <t>TFNCH 08240005</t>
  </si>
  <si>
    <t>TFNCH 08240006</t>
  </si>
  <si>
    <t>TFNCH 08240007</t>
  </si>
  <si>
    <t>CONCESSIONÁRIA DOS AEROPORTOS DA AMAZÔNIA</t>
  </si>
  <si>
    <t>Aeroporto Internacional de Manaus - Eduardo Gomes</t>
  </si>
  <si>
    <t>TFN BR1 240054 AP-XIII-00679</t>
  </si>
  <si>
    <t>Avenida Santos Dumont, 1350 - Tarumã</t>
  </si>
  <si>
    <t>69041-000</t>
  </si>
  <si>
    <t>NUCBR-1-24-0035</t>
  </si>
  <si>
    <t>MUNICÍPIO DE PONTA GROSSA</t>
  </si>
  <si>
    <t>Aeroporto de Ponta Grossa</t>
  </si>
  <si>
    <t>150215</t>
  </si>
  <si>
    <t>Rua Mathias Grani, 1001 - Cara-Cara</t>
  </si>
  <si>
    <t>84043-565</t>
  </si>
  <si>
    <t>NUCBR-1-25-0125</t>
  </si>
  <si>
    <t>POLÍCIA MILITAR DE SÃO PAULO</t>
  </si>
  <si>
    <t>Presídio Militar Romão Gomes</t>
  </si>
  <si>
    <t>HT2100DV</t>
  </si>
  <si>
    <t>TFNJY-17001</t>
  </si>
  <si>
    <t>Avenida Tenente Júlio Prado Neves, 451 - Vila Albertina</t>
  </si>
  <si>
    <t>02370-000</t>
  </si>
  <si>
    <t>NUCBR-1-24-0107</t>
  </si>
  <si>
    <t>POWER SEGURANÇA E VIGILÂNCIA LTDA</t>
  </si>
  <si>
    <t>Ministério da Fazenda</t>
  </si>
  <si>
    <t>150401</t>
  </si>
  <si>
    <t xml:space="preserve">Avenida Prestes Maia, 733 - Jardim Amanda I </t>
  </si>
  <si>
    <t>13188-232</t>
  </si>
  <si>
    <t>NUCBR-1-25-0111</t>
  </si>
  <si>
    <t>TFN BR1 160001 AP-IX-00001</t>
  </si>
  <si>
    <t>NUCBR-1-23-0183</t>
  </si>
  <si>
    <t>MUNICÍPIO DE TOLEDO</t>
  </si>
  <si>
    <t>Aeroporto Municipal de Toledo Luiz Dalcanale Filho</t>
  </si>
  <si>
    <t>TFNPA-VI-130770</t>
  </si>
  <si>
    <t>Toledo</t>
  </si>
  <si>
    <t>Rodovia PR-182</t>
  </si>
  <si>
    <t>NUCBR-1-25-0144</t>
  </si>
  <si>
    <t>MUNICÍPIO DE TRÊS LAGOAS</t>
  </si>
  <si>
    <t>Aeroporto de Três Lagoas</t>
  </si>
  <si>
    <t>TFNAP-IX-170227</t>
  </si>
  <si>
    <t>Avenida Antônio Trajano - Jupiá</t>
  </si>
  <si>
    <t>79601-002</t>
  </si>
  <si>
    <t>NUCBR-1-24-0180</t>
  </si>
  <si>
    <t>36H</t>
  </si>
  <si>
    <t>PREFEITURA MUNICIPAL DE TUCURUÍ</t>
  </si>
  <si>
    <t>150311</t>
  </si>
  <si>
    <t>NUCBR-1-22-0008</t>
  </si>
  <si>
    <t>NUCBR-1-25-0130</t>
  </si>
  <si>
    <t>CCEC</t>
  </si>
  <si>
    <t>CASA CIVIL DO ESTADO DO CEARA</t>
  </si>
  <si>
    <t>Centro Socioeducativo de Sobral</t>
  </si>
  <si>
    <t>TFN BR1 210117 AP-X-00507</t>
  </si>
  <si>
    <t xml:space="preserve">Estrada Groaíras, S/N - Parque Jatobá </t>
  </si>
  <si>
    <t>62050-340</t>
  </si>
  <si>
    <t>NUCBRF-1-25-0036</t>
  </si>
  <si>
    <t>Centro Socioeducativo Dr. Zequinha Parente</t>
  </si>
  <si>
    <t>TFN BR1 210120 AP-X-00510</t>
  </si>
  <si>
    <t>Rua Ministro Cesar Cals, 1530 - Terrenos Novos</t>
  </si>
  <si>
    <t>62010-970</t>
  </si>
  <si>
    <t>Centro Socioeducativo Jose Bezerra de Menezes</t>
  </si>
  <si>
    <t>TFN BR1 210121 AP-X-00511</t>
  </si>
  <si>
    <t>Rua Ladisclau de Arruda Campos, S/N - Parque Antonio Vieira</t>
  </si>
  <si>
    <t>63022-160</t>
  </si>
  <si>
    <t xml:space="preserve">Centro Socieducativo Padre Cícero </t>
  </si>
  <si>
    <t>TFN BR1 210124 AP-X-00514</t>
  </si>
  <si>
    <t>Avenida Maria Letícia S/N - Campo Alegre</t>
  </si>
  <si>
    <t>Centro Socieducativo Canindezinho</t>
  </si>
  <si>
    <t>TFN BR1 250005 AP-X-007700</t>
  </si>
  <si>
    <t>Rua José Mauricio S/N - São Bento</t>
  </si>
  <si>
    <t>60731-335</t>
  </si>
  <si>
    <t>Centro Socieducativo Dom Bosco</t>
  </si>
  <si>
    <t>Rua Eldorado, 800 - Passaré</t>
  </si>
  <si>
    <t>60862-340</t>
  </si>
  <si>
    <t>Centro Socieducativo Patativa do Assaré</t>
  </si>
  <si>
    <t xml:space="preserve">Centro Socieducativo Cardeal Aloísio Lorscheider </t>
  </si>
  <si>
    <t>TFN BR1 250006 AP-X-00771</t>
  </si>
  <si>
    <t>Rua Ipaumirim, 830 - Planalto Ayrton Senna</t>
  </si>
  <si>
    <t>60766-742</t>
  </si>
  <si>
    <t xml:space="preserve">Centro Socieducativo de Semiliberdade Mártir Francisca </t>
  </si>
  <si>
    <t>Rua Euclides Onofre de Sousa, 1505 - Sapiranga Coité</t>
  </si>
  <si>
    <t>60833-252</t>
  </si>
  <si>
    <t>Centro Socieducativo São Miguel</t>
  </si>
  <si>
    <t>Rua Menor Jerônimo S/N - Jardim União</t>
  </si>
  <si>
    <t>60865-660</t>
  </si>
  <si>
    <t>Centro Socieducativo Passaré</t>
  </si>
  <si>
    <t>60868-714</t>
  </si>
  <si>
    <t>Centro Socieducativo Aldaci Barbosa Mota</t>
  </si>
  <si>
    <t>Travessa Costa Rica, S/N - PE. Andrade</t>
  </si>
  <si>
    <t>60360-490</t>
  </si>
  <si>
    <t xml:space="preserve">Centro Socieducativo Antônio Bezerra </t>
  </si>
  <si>
    <t>TFN BR1 250007 AP-X-00772</t>
  </si>
  <si>
    <t xml:space="preserve">NE </t>
  </si>
  <si>
    <t>Rua Honduras, 181 - Padre Andrade</t>
  </si>
  <si>
    <t>Unidade de Recepção Luís Barros Montenegro</t>
  </si>
  <si>
    <t>TFN BR1 250008 AP-X-00773</t>
  </si>
  <si>
    <t>Rua Tabelião Fabião, 114 - P. Kennedy</t>
  </si>
  <si>
    <t>60320-010</t>
  </si>
  <si>
    <t>TFN BR1 240130-AP-X-00755</t>
  </si>
  <si>
    <t>13055-900</t>
  </si>
  <si>
    <t>NUCBR-1-25-0070</t>
  </si>
  <si>
    <t>NCUBRF-1-25-0055</t>
  </si>
  <si>
    <t>JFSE</t>
  </si>
  <si>
    <t>JUSTIÇA FEDERAL DE PRIMEIRO GRAU SEÇÃO JUDICIARIA DO SERGIPE</t>
  </si>
  <si>
    <t>Justiça Federal de Primeiro Grau de Sergipe</t>
  </si>
  <si>
    <t>TFN BR1 250001 AP-XIV-00766</t>
  </si>
  <si>
    <t>Av Dr. Carlos Rodrigues da Cruz, N 1500 Centro ADM</t>
  </si>
  <si>
    <t>49081-083</t>
  </si>
  <si>
    <t>NUCBRF-1-25-0049</t>
  </si>
  <si>
    <t>Fórum Tarcilio Vieira de Melo</t>
  </si>
  <si>
    <t>TFNBR1_ 210052_ AP-IX-00442</t>
  </si>
  <si>
    <t>Barreiras</t>
  </si>
  <si>
    <t>Rua Aníbal Alves Barbosa, S/N , 5º andar - Bairro Centro</t>
  </si>
  <si>
    <t>47800-163</t>
  </si>
  <si>
    <t>NUCBRF-1-23-0008-3</t>
  </si>
  <si>
    <t>N° Série</t>
  </si>
  <si>
    <t>PUBLICO lastRow=1670 lastCol=5</t>
  </si>
  <si>
    <t>Header row detectada (1-based):</t>
  </si>
  <si>
    <t>Cabeçalhos RAW (linha detectada):</t>
  </si>
  <si>
    <t>Cabeçalhos NORMALIZADOS:</t>
  </si>
  <si>
    <t>cliente</t>
  </si>
  <si>
    <t>local de inst.</t>
  </si>
  <si>
    <t>modelo</t>
  </si>
  <si>
    <t>n° série</t>
  </si>
  <si>
    <t>tempo para reparo on site</t>
  </si>
  <si>
    <t>Índice Série (0-based):</t>
  </si>
  <si>
    <t>Amostras de Série (10 primeiras):</t>
  </si>
  <si>
    <t>Campo de Vigências</t>
  </si>
  <si>
    <t>Ativo</t>
  </si>
  <si>
    <t>Indica que o contrato está vigente</t>
  </si>
  <si>
    <t>Indica que o contrato não está vigente</t>
  </si>
  <si>
    <t>Indica que ainda não foi informada a vigência deste contrato na planilha</t>
  </si>
  <si>
    <t>Campo de Nº Série</t>
  </si>
  <si>
    <t>Indica que o equipamento estava mencionado na planilha de contratos e da fábrica</t>
  </si>
  <si>
    <t>Indica que o equipamento está mencionado apenas na planilha de contratos</t>
  </si>
  <si>
    <t>Indica que o equipamento está mencionado apenas na planilha da fábrica</t>
  </si>
  <si>
    <t>Indica que o equipamento foi adicionado na planilha de contratos conforme a data de instalação</t>
  </si>
  <si>
    <t>EQUIPAMENTOS</t>
  </si>
  <si>
    <t>TOTAL INSTA</t>
  </si>
  <si>
    <t>MANUTENCAO</t>
  </si>
  <si>
    <t>LOCACAO</t>
  </si>
  <si>
    <t>TOTAL ATIVO</t>
  </si>
  <si>
    <t>TOTAL INATIVO</t>
  </si>
  <si>
    <t>CX6040BI-S</t>
  </si>
  <si>
    <t>HT2000GA/GAL</t>
  </si>
  <si>
    <t>MT1213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</si>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</sst>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sz val="11.0"/>
      <color rgb="FF000000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0.0"/>
      <color theme="1"/>
      <name val="Calibri"/>
    </font>
    <font>
      <u/>
      <sz val="11.0"/>
      <color theme="1"/>
      <name val="Calibri"/>
    </font>
    <font>
      <sz val="9.0"/>
      <color theme="1"/>
      <name val="Calibri"/>
    </font>
    <font>
      <sz val="10.0"/>
      <color rgb="FF212529"/>
      <name val="Arial"/>
    </font>
    <font>
      <b/>
      <sz val="11.0"/>
      <color theme="0"/>
      <name val="Calibri"/>
    </font>
    <font>
      <b/>
      <sz val="12.0"/>
      <color theme="1"/>
      <name val="Times New Roman"/>
    </font>
    <font>
      <sz val="11.0"/>
      <color theme="1"/>
      <name val="Times New Roman"/>
    </font>
    <font>
      <b/>
      <sz val="11.0"/>
      <color theme="1"/>
      <name val="Times New Roman"/>
    </font>
  </fonts>
  <fills count="11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E2EFD9"/>
        <bgColor rgb="FFE2EFD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7E6E6"/>
        <bgColor rgb="FFE7E6E6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3" fontId="2" numFmtId="0" xfId="0" applyAlignment="1" applyBorder="1" applyFill="1" applyFont="1">
      <alignment horizontal="center" vertical="center"/>
    </xf>
    <xf borderId="4" fillId="4" fontId="2" numFmtId="0" xfId="0" applyAlignment="1" applyBorder="1" applyFill="1" applyFont="1">
      <alignment horizontal="center" readingOrder="0" shrinkToFit="0" vertical="center" wrapText="1"/>
    </xf>
    <xf borderId="4" fillId="4" fontId="2" numFmtId="0" xfId="0" applyAlignment="1" applyBorder="1" applyFont="1">
      <alignment horizontal="center" shrinkToFit="0" vertical="center" wrapText="1"/>
    </xf>
    <xf borderId="4" fillId="5" fontId="1" numFmtId="0" xfId="0" applyAlignment="1" applyBorder="1" applyFill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6" fontId="1" numFmtId="0" xfId="0" applyAlignment="1" applyBorder="1" applyFill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5" fontId="1" numFmtId="0" xfId="0" applyAlignment="1" applyBorder="1" applyFont="1">
      <alignment horizontal="center" vertical="center"/>
    </xf>
    <xf borderId="4" fillId="3" fontId="1" numFmtId="0" xfId="0" applyAlignment="1" applyBorder="1" applyFont="1">
      <alignment horizontal="center" vertical="center"/>
    </xf>
    <xf borderId="4" fillId="0" fontId="1" numFmtId="49" xfId="0" applyAlignment="1" applyBorder="1" applyFont="1" applyNumberFormat="1">
      <alignment horizontal="center" shrinkToFit="0" vertical="center" wrapText="1"/>
    </xf>
    <xf borderId="4" fillId="0" fontId="1" numFmtId="49" xfId="0" applyAlignment="1" applyBorder="1" applyFont="1" applyNumberFormat="1">
      <alignment horizontal="center" vertical="center"/>
    </xf>
    <xf borderId="4" fillId="6" fontId="1" numFmtId="49" xfId="0" applyAlignment="1" applyBorder="1" applyFont="1" applyNumberFormat="1">
      <alignment horizontal="center" vertical="center"/>
    </xf>
    <xf borderId="4" fillId="3" fontId="1" numFmtId="49" xfId="0" applyAlignment="1" applyBorder="1" applyFont="1" applyNumberFormat="1">
      <alignment horizontal="center" vertical="center"/>
    </xf>
    <xf borderId="4" fillId="6" fontId="4" numFmtId="0" xfId="0" applyAlignment="1" applyBorder="1" applyFont="1">
      <alignment horizontal="center" shrinkToFit="0" vertical="center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4" fillId="0" fontId="5" numFmtId="14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0" fontId="5" numFmtId="14" xfId="0" applyAlignment="1" applyBorder="1" applyFont="1" applyNumberFormat="1">
      <alignment horizontal="center" shrinkToFit="0" vertical="center" wrapText="1"/>
    </xf>
    <xf borderId="4" fillId="7" fontId="1" numFmtId="0" xfId="0" applyAlignment="1" applyBorder="1" applyFont="1">
      <alignment horizontal="center" vertical="center"/>
    </xf>
    <xf borderId="4" fillId="2" fontId="5" numFmtId="14" xfId="0" applyAlignment="1" applyBorder="1" applyFont="1" applyNumberFormat="1">
      <alignment horizontal="center" vertical="center"/>
    </xf>
    <xf borderId="4" fillId="2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center"/>
    </xf>
    <xf borderId="4" fillId="3" fontId="4" numFmtId="1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shrinkToFit="0" vertical="center" wrapText="1"/>
    </xf>
    <xf borderId="4" fillId="6" fontId="1" numFmtId="49" xfId="0" applyAlignment="1" applyBorder="1" applyFont="1" applyNumberFormat="1">
      <alignment horizontal="center"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0" fillId="0" fontId="6" numFmtId="0" xfId="0" applyFont="1"/>
    <xf borderId="4" fillId="3" fontId="1" numFmtId="0" xfId="0" applyAlignment="1" applyBorder="1" applyFont="1">
      <alignment horizontal="center" shrinkToFit="0" vertical="center" wrapText="1"/>
    </xf>
    <xf borderId="4" fillId="8" fontId="1" numFmtId="0" xfId="0" applyAlignment="1" applyBorder="1" applyFont="1">
      <alignment horizontal="center" shrinkToFit="0" vertical="center" wrapText="1"/>
    </xf>
    <xf borderId="4" fillId="8" fontId="1" numFmtId="14" xfId="0" applyAlignment="1" applyBorder="1" applyFont="1" applyNumberFormat="1">
      <alignment horizontal="center" vertical="center"/>
    </xf>
    <xf borderId="4" fillId="8" fontId="1" numFmtId="0" xfId="0" applyAlignment="1" applyBorder="1" applyFont="1">
      <alignment shrinkToFit="0" vertical="center" wrapText="1"/>
    </xf>
    <xf borderId="5" fillId="8" fontId="1" numFmtId="0" xfId="0" applyAlignment="1" applyBorder="1" applyFont="1">
      <alignment vertical="center"/>
    </xf>
    <xf borderId="4" fillId="7" fontId="1" numFmtId="0" xfId="0" applyAlignment="1" applyBorder="1" applyFont="1">
      <alignment horizontal="center" shrinkToFit="0" vertical="center" wrapText="1"/>
    </xf>
    <xf borderId="4" fillId="7" fontId="1" numFmtId="49" xfId="0" applyAlignment="1" applyBorder="1" applyFont="1" applyNumberFormat="1">
      <alignment horizontal="center" vertical="center"/>
    </xf>
    <xf borderId="4" fillId="7" fontId="1" numFmtId="14" xfId="0" applyAlignment="1" applyBorder="1" applyFont="1" applyNumberFormat="1">
      <alignment horizontal="center" vertical="center"/>
    </xf>
    <xf borderId="4" fillId="6" fontId="2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4" fillId="8" fontId="1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shrinkToFit="0" vertical="center" wrapText="1"/>
    </xf>
    <xf borderId="4" fillId="7" fontId="1" numFmtId="49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shrinkToFit="0" wrapText="1"/>
    </xf>
    <xf borderId="4" fillId="0" fontId="1" numFmtId="0" xfId="0" applyBorder="1" applyFont="1"/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4" fillId="0" fontId="4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vertical="center"/>
    </xf>
    <xf borderId="4" fillId="3" fontId="2" numFmtId="49" xfId="0" applyAlignment="1" applyBorder="1" applyFont="1" applyNumberFormat="1">
      <alignment horizontal="center" vertical="center"/>
    </xf>
    <xf borderId="6" fillId="0" fontId="4" numFmtId="1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left" shrinkToFit="0" vertical="center" wrapText="1"/>
    </xf>
    <xf borderId="4" fillId="3" fontId="1" numFmtId="49" xfId="0" applyAlignment="1" applyBorder="1" applyFont="1" applyNumberFormat="1">
      <alignment horizontal="center" shrinkToFit="0" vertical="center" wrapText="1"/>
    </xf>
    <xf borderId="4" fillId="3" fontId="1" numFmtId="1" xfId="0" applyAlignment="1" applyBorder="1" applyFont="1" applyNumberFormat="1">
      <alignment horizontal="center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1" numFmtId="14" xfId="0" applyAlignment="1" applyBorder="1" applyFont="1" applyNumberFormat="1">
      <alignment horizontal="center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7" fillId="9" fontId="11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4" fillId="6" fontId="2" numFmtId="49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left" vertical="center"/>
    </xf>
    <xf borderId="4" fillId="2" fontId="2" numFmtId="0" xfId="0" applyAlignment="1" applyBorder="1" applyFont="1">
      <alignment horizontal="center" vertical="center"/>
    </xf>
    <xf borderId="0" fillId="0" fontId="1" numFmtId="0" xfId="0" applyAlignment="1" applyFont="1">
      <alignment horizontal="center"/>
    </xf>
    <xf borderId="9" fillId="10" fontId="12" numFmtId="0" xfId="0" applyAlignment="1" applyBorder="1" applyFill="1" applyFont="1">
      <alignment horizontal="center" vertical="center"/>
    </xf>
    <xf borderId="10" fillId="10" fontId="12" numFmtId="0" xfId="0" applyAlignment="1" applyBorder="1" applyFont="1">
      <alignment horizontal="center" vertical="center"/>
    </xf>
    <xf borderId="11" fillId="8" fontId="13" numFmtId="0" xfId="0" applyAlignment="1" applyBorder="1" applyFont="1">
      <alignment horizontal="center" vertical="center"/>
    </xf>
    <xf borderId="12" fillId="2" fontId="14" numFmtId="0" xfId="0" applyAlignment="1" applyBorder="1" applyFont="1">
      <alignment horizontal="center" vertical="center"/>
    </xf>
    <xf borderId="12" fillId="0" fontId="13" numFmtId="0" xfId="0" applyAlignment="1" applyBorder="1" applyFont="1">
      <alignment horizontal="center" vertical="center"/>
    </xf>
    <xf borderId="13" fillId="0" fontId="13" numFmtId="0" xfId="0" applyAlignment="1" applyBorder="1" applyFont="1">
      <alignment horizontal="center" vertical="center"/>
    </xf>
    <xf borderId="14" fillId="0" fontId="13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3" fontId="14" numFmtId="0" xfId="0" applyAlignment="1" applyBorder="1" applyFont="1">
      <alignment horizontal="center" vertical="center"/>
    </xf>
    <xf borderId="15" fillId="8" fontId="13" numFmtId="0" xfId="0" applyAlignment="1" applyBorder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6" fillId="3" fontId="14" numFmtId="0" xfId="0" applyAlignment="1" applyBorder="1" applyFont="1">
      <alignment horizontal="center" vertical="center"/>
    </xf>
    <xf borderId="13" fillId="2" fontId="14" numFmtId="0" xfId="0" applyAlignment="1" applyBorder="1" applyFont="1">
      <alignment horizontal="center" vertical="center"/>
    </xf>
    <xf borderId="16" fillId="2" fontId="14" numFmtId="0" xfId="0" applyAlignment="1" applyBorder="1" applyFont="1">
      <alignment horizontal="center" vertical="center"/>
    </xf>
    <xf borderId="17" fillId="8" fontId="13" numFmtId="0" xfId="0" applyAlignment="1" applyBorder="1" applyFont="1">
      <alignment horizontal="center" vertical="center"/>
    </xf>
    <xf borderId="18" fillId="2" fontId="14" numFmtId="0" xfId="0" applyAlignment="1" applyBorder="1" applyFont="1">
      <alignment horizontal="center" vertical="center"/>
    </xf>
    <xf borderId="19" fillId="8" fontId="13" numFmtId="0" xfId="0" applyAlignment="1" applyBorder="1" applyFont="1">
      <alignment horizontal="center" vertical="center"/>
    </xf>
    <xf borderId="20" fillId="2" fontId="14" numFmtId="0" xfId="0" applyAlignment="1" applyBorder="1" applyFont="1">
      <alignment horizontal="center" vertical="center"/>
    </xf>
    <xf borderId="20" fillId="0" fontId="13" numFmtId="0" xfId="0" applyAlignment="1" applyBorder="1" applyFont="1">
      <alignment horizontal="center" vertical="center"/>
    </xf>
    <xf borderId="20" fillId="6" fontId="14" numFmtId="0" xfId="0" applyAlignment="1" applyBorder="1" applyFont="1">
      <alignment horizontal="center" vertical="center"/>
    </xf>
    <xf borderId="20" fillId="3" fontId="14" numFmtId="0" xfId="0" applyAlignment="1" applyBorder="1" applyFont="1">
      <alignment horizontal="center" vertical="center"/>
    </xf>
    <xf borderId="19" fillId="8" fontId="14" numFmtId="0" xfId="0" applyAlignment="1" applyBorder="1" applyFont="1">
      <alignment horizontal="center" vertical="center"/>
    </xf>
  </cellXfs>
  <cellStyles count="1">
    <cellStyle xfId="0" name="Normal" builtinId="0"/>
  </cellStyles>
  <dxfs count="1">
    <dxf>
      <font>
        <b/>
      </font>
      <fill>
        <patternFill patternType="solid">
          <fgColor rgb="FFE2EFD9"/>
          <bgColor rgb="FFE2EF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iovana Conte" id="{4e097ff1-c505-472d-97fd-5bdf359cdc69}" providerId="google-sheets"/>
  <x18tc:person displayName="Leticia Ribeiro" id="{6c3cfef6-2a2b-4523-b695-882d6eeec17a}" providerId="google-sheets"/>
  <x18tc:person displayName="Fabio Barbosa" id="{23b4e6d8-a4cf-4525-853e-41d120ba628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C719" dT="2025-06-04T18:43:40.00" personId="{6c3cfef6-2a2b-4523-b695-882d6eeec17a}" id="{5a2c762b-e1d5-4828-aea3-0d7cb64d9faf}" done="0">
    <x18tc:text xml:space="preserve">Data de instalação</x18tc:text>
  </x18tc:threadedComment>
  <x18tc:threadedComment ref="S761" dT="2025-06-04T17:54:23.00" personId="{6c3cfef6-2a2b-4523-b695-882d6eeec17a}" id="{23760fbc-7192-4eb0-9d8b-bcb00ea90950}" done="0">
    <x18tc:text xml:space="preserve">Data de instalação</x18tc:text>
  </x18tc:threadedComment>
  <x18tc:threadedComment ref="S358" dT="2025-06-04T13:37:31.00" personId="{6c3cfef6-2a2b-4523-b695-882d6eeec17a}" id="{46d31bdf-bd67-4fb7-9906-b0ce98905c70}" done="0">
    <x18tc:text xml:space="preserve">Data de instalação</x18tc:text>
  </x18tc:threadedComment>
  <x18tc:threadedComment ref="AC1285" dT="2024-11-07T14:41:02.00" personId="{6c3cfef6-2a2b-4523-b695-882d6eeec17a}" id="{7a688c7a-ba5e-41d1-b5dc-cb219522685b}" done="0">
    <x18tc:text xml:space="preserve">Data simbólica informada pelo Cláudio</x18tc:text>
  </x18tc:threadedComment>
  <x18tc:threadedComment ref="S432" dT="2025-06-04T15:01:11.00" personId="{6c3cfef6-2a2b-4523-b695-882d6eeec17a}" id="{a0abe6d0-0edd-4a3f-ac51-f2d4d3970828}" done="0">
    <x18tc:text xml:space="preserve">Data do TRD</x18tc:text>
  </x18tc:threadedComment>
  <x18tc:threadedComment ref="S572" dT="2025-06-04T13:37:31.00" personId="{6c3cfef6-2a2b-4523-b695-882d6eeec17a}" id="{378e9214-e915-4ee6-90a9-67be92993df4}" done="0">
    <x18tc:text xml:space="preserve">Data de instalação</x18tc:text>
  </x18tc:threadedComment>
  <x18tc:threadedComment ref="S1377" dT="2025-06-09T18:10:30.00" personId="{6c3cfef6-2a2b-4523-b695-882d6eeec17a}" id="{50f83b5f-cc89-4c77-be26-deef009a9ff3}" done="0">
    <x18tc:text xml:space="preserve">Data de instalação</x18tc:text>
  </x18tc:threadedComment>
  <x18tc:threadedComment ref="S1368" dT="2025-06-09T18:10:30.00" personId="{6c3cfef6-2a2b-4523-b695-882d6eeec17a}" id="{f08b5543-2891-418e-8f99-76b461eb6cf8}" done="0">
    <x18tc:text xml:space="preserve">Data de instalação</x18tc:text>
  </x18tc:threadedComment>
  <x18tc:threadedComment ref="S969" dT="2025-06-09T16:26:26.00" personId="{6c3cfef6-2a2b-4523-b695-882d6eeec17a}" id="{54e4e167-e6e6-4069-800e-04010f0e5ff4}" done="0">
    <x18tc:text xml:space="preserve">Data de instalação</x18tc:text>
  </x18tc:threadedComment>
  <x18tc:threadedComment ref="AC1540" dT="2025-06-09T19:06:46.00" personId="{6c3cfef6-2a2b-4523-b695-882d6eeec17a}" id="{b1088604-46fd-43b5-958f-c084ddb4464e}" done="0">
    <x18tc:text xml:space="preserve">Data de instalação</x18tc:text>
  </x18tc:threadedComment>
  <x18tc:threadedComment ref="S1509" dT="2025-06-09T18:46:23.00" personId="{6c3cfef6-2a2b-4523-b695-882d6eeec17a}" id="{93b5a919-061f-40b4-b2cc-50850cb5d445}" done="0">
    <x18tc:text xml:space="preserve">Data de instalação</x18tc:text>
  </x18tc:threadedComment>
  <x18tc:threadedComment ref="AI832" dT="2025-06-05T18:14:31.00" personId="{6c3cfef6-2a2b-4523-b695-882d6eeec17a}" id="{ed0af116-f2d6-4100-a2ad-f8ab7c780490}" done="0">
    <x18tc:text xml:space="preserve">O problema deverá ser solucionado em até 48H, sendo remoto ou in-loco</x18tc:text>
  </x18tc:threadedComment>
  <x18tc:threadedComment ref="S772" dT="2025-06-04T17:54:23.00" personId="{6c3cfef6-2a2b-4523-b695-882d6eeec17a}" id="{dd1cce21-655c-47b3-92e8-19a6c76c625e}" done="0">
    <x18tc:text xml:space="preserve">Data de instalação</x18tc:text>
  </x18tc:threadedComment>
  <x18tc:threadedComment ref="X29" dT="2025-05-30T13:32:34.00" personId="{6c3cfef6-2a2b-4523-b695-882d6eeec17a}" id="{00c39ec8-7153-473a-82dd-88ffcf23f21e}" done="0">
    <x18tc:text xml:space="preserve">Data de instalação</x18tc:text>
  </x18tc:threadedComment>
  <x18tc:threadedComment ref="X784" dT="2025-02-25T12:45:16.00" personId="{6c3cfef6-2a2b-4523-b695-882d6eeec17a}" id="{1f3381a7-6836-498c-b4e9-9ce8abf3c18d}" done="0">
    <x18tc:text xml:space="preserve">Data informada no RP</x18tc:text>
  </x18tc:threadedComment>
  <x18tc:threadedComment ref="S1032" dT="2025-06-09T16:53:12.00" personId="{6c3cfef6-2a2b-4523-b695-882d6eeec17a}" id="{22ae33ba-c6a8-4fcc-9547-fe0da673405e}" done="0">
    <x18tc:text xml:space="preserve">Data da planilha de planejamento</x18tc:text>
  </x18tc:threadedComment>
  <x18tc:threadedComment ref="AC871" dT="2025-06-06T18:27:34.00" personId="{6c3cfef6-2a2b-4523-b695-882d6eeec17a}" id="{2681f867-5327-4363-97cc-67c002f40a0a}" done="0">
    <x18tc:text xml:space="preserve">Data de instalação</x18tc:text>
  </x18tc:threadedComment>
  <x18tc:threadedComment ref="AC1179" dT="2025-09-25T20:22:43.00" personId="{6c3cfef6-2a2b-4523-b695-882d6eeec17a}" id="{07461c09-0227-4725-802a-fc7cafa3c978}" done="0">
    <x18tc:text xml:space="preserve">Data de assinatura do contrato, mencionada no RP</x18tc:text>
  </x18tc:threadedComment>
  <x18tc:threadedComment ref="S1498" dT="2025-06-09T18:46:23.00" personId="{6c3cfef6-2a2b-4523-b695-882d6eeec17a}" id="{7b8bec2f-ff00-4f8e-a10a-bfb455c2a39b}" done="0">
    <x18tc:text xml:space="preserve">Data de instalação</x18tc:text>
  </x18tc:threadedComment>
  <x18tc:threadedComment ref="AC1322" dT="2025-06-09T17:35:03.00" personId="{6c3cfef6-2a2b-4523-b695-882d6eeec17a}" id="{442b7fd7-c485-440e-ac61-743d67c38d7f}" done="0">
    <x18tc:text xml:space="preserve">Data do 5º Temo Adt</x18tc:text>
  </x18tc:threadedComment>
  <x18tc:threadedComment ref="X229" dT="2025-01-31T18:15:26.00" personId="{6c3cfef6-2a2b-4523-b695-882d6eeec17a}" id="{8f12398b-b904-4638-833c-bdaaf1788fae}" done="0">
    <x18tc:text xml:space="preserve">Data do 1º Termo Aditivo</x18tc:text>
  </x18tc:threadedComment>
  <x18tc:threadedComment ref="AC622" dT="2025-02-07T13:56:10.00" personId="{6c3cfef6-2a2b-4523-b695-882d6eeec17a}" id="{f894731c-2a37-41a4-afe6-f4af7a3a667b}" done="0">
    <x18tc:text xml:space="preserve">Data de instalação</x18tc:text>
  </x18tc:threadedComment>
  <x18tc:threadedComment ref="AC1240" dT="2024-11-07T14:41:02.00" personId="{6c3cfef6-2a2b-4523-b695-882d6eeec17a}" id="{c21278a1-1784-4712-8ebb-1ccf9aeb3592}" done="0">
    <x18tc:text xml:space="preserve">Data de instalação</x18tc:text>
  </x18tc:threadedComment>
  <x18tc:threadedComment ref="S775" dT="2025-06-04T17:54:23.00" personId="{6c3cfef6-2a2b-4523-b695-882d6eeec17a}" id="{8a768850-eb42-4ae4-866d-ce9ed5a13462}" done="0">
    <x18tc:text xml:space="preserve">Data de instalação</x18tc:text>
  </x18tc:threadedComment>
  <x18tc:threadedComment ref="S984" dT="2024-11-01T18:44:47.00" personId="{6c3cfef6-2a2b-4523-b695-882d6eeec17a}" id="{bd12413c-6c28-4635-9b39-144452d494d3}" done="0">
    <x18tc:text xml:space="preserve">Data do TRD</x18tc:text>
  </x18tc:threadedComment>
  <x18tc:threadedComment ref="S66" dT="2025-05-30T13:32:34.00" personId="{6c3cfef6-2a2b-4523-b695-882d6eeec17a}" id="{83c5a074-9400-425d-89d0-3e05b8179d09}" done="0">
    <x18tc:text xml:space="preserve">Data de instalação</x18tc:text>
  </x18tc:threadedComment>
  <x18tc:threadedComment ref="AC1173" dT="2024-11-05T19:06:22.00" personId="{6c3cfef6-2a2b-4523-b695-882d6eeec17a}" id="{2159d6a7-4c3a-4f12-8924-ee190dd905d6}" done="0">
    <x18tc:text xml:space="preserve">Data de assinatura do contrato informada no RP</x18tc:text>
  </x18tc:threadedComment>
  <x18tc:threadedComment ref="S776" dT="2025-06-04T17:54:23.00" personId="{6c3cfef6-2a2b-4523-b695-882d6eeec17a}" id="{e0f5ead1-27d8-452f-987e-4967ba1b1a9f}" done="0">
    <x18tc:text xml:space="preserve">Data de instalação</x18tc:text>
  </x18tc:threadedComment>
  <x18tc:threadedComment ref="S940" dT="2024-11-01T18:44:47.00" personId="{6c3cfef6-2a2b-4523-b695-882d6eeec17a}" id="{8d3547fe-edef-41d0-8e68-01f92c2293dc}" done="0">
    <x18tc:text xml:space="preserve">Data do TRD</x18tc:text>
  </x18tc:threadedComment>
  <x18tc:threadedComment ref="AC888" dT="2025-06-06T18:27:34.00" personId="{6c3cfef6-2a2b-4523-b695-882d6eeec17a}" id="{fa90c521-4ac3-4808-91c2-619b8c89c9f7}" done="0">
    <x18tc:text xml:space="preserve">Data de instalação</x18tc:text>
  </x18tc:threadedComment>
  <x18tc:threadedComment ref="S744" dT="2025-06-04T17:54:23.00" personId="{6c3cfef6-2a2b-4523-b695-882d6eeec17a}" id="{d53051a8-012c-419a-a6c0-253d7fcf829e}" done="0">
    <x18tc:text xml:space="preserve">Data de instalação</x18tc:text>
  </x18tc:threadedComment>
  <x18tc:threadedComment ref="S354" dT="2025-06-04T13:37:31.00" personId="{6c3cfef6-2a2b-4523-b695-882d6eeec17a}" id="{0dad7437-8c77-4e25-b68f-1c5fb78bb1dd}" done="0">
    <x18tc:text xml:space="preserve">Data de instalação</x18tc:text>
  </x18tc:threadedComment>
  <x18tc:threadedComment ref="S521" dT="2025-06-04T15:01:11.00" personId="{6c3cfef6-2a2b-4523-b695-882d6eeec17a}" id="{68367002-3547-44df-a850-36015a81c9b9}" done="0">
    <x18tc:text xml:space="preserve">Data do TRD</x18tc:text>
  </x18tc:threadedComment>
  <x18tc:threadedComment ref="S405" dT="2025-02-05T11:22:19.00" personId="{6c3cfef6-2a2b-4523-b695-882d6eeec17a}" id="{10d2247a-f753-47ed-a8e1-7a6b5fcd6819}" done="0">
    <x18tc:text xml:space="preserve">Data do TRD</x18tc:text>
  </x18tc:threadedComment>
  <x18tc:threadedComment ref="S37" dT="2025-05-30T13:32:34.00" personId="{6c3cfef6-2a2b-4523-b695-882d6eeec17a}" id="{656712d7-88ee-4360-948b-15b2023b7aa9}" done="0">
    <x18tc:text xml:space="preserve">Data de instalação</x18tc:text>
  </x18tc:threadedComment>
  <x18tc:threadedComment ref="AC1633" dT="2025-06-04T13:37:31.00" personId="{6c3cfef6-2a2b-4523-b695-882d6eeec17a}" id="{be8b4a3a-fb6c-4889-8271-22a822a41f59}" done="0">
    <x18tc:text xml:space="preserve">Data de instalação</x18tc:text>
  </x18tc:threadedComment>
  <x18tc:threadedComment ref="AC543" dT="2025-02-07T13:56:10.00" personId="{6c3cfef6-2a2b-4523-b695-882d6eeec17a}" id="{39fcccf5-2f94-4afc-9039-76f271e45e3d}" done="0">
    <x18tc:text xml:space="preserve">Data do 4º Termo Adt</x18tc:text>
  </x18tc:threadedComment>
  <x18tc:threadedComment ref="AC931" dT="2025-03-11T14:50:45.00" personId="{6c3cfef6-2a2b-4523-b695-882d6eeec17a}" id="{9966f7cb-cc45-4a28-af94-1754f2962995}" done="0">
    <x18tc:text xml:space="preserve">Data de assinatura do contrato</x18tc:text>
  </x18tc:threadedComment>
  <x18tc:threadedComment ref="S45" dT="2025-05-30T13:32:34.00" personId="{6c3cfef6-2a2b-4523-b695-882d6eeec17a}" id="{c83bbd5f-f552-41a5-8cf7-460baf5911a2}" done="0">
    <x18tc:text xml:space="preserve">Data de instalação</x18tc:text>
  </x18tc:threadedComment>
  <x18tc:threadedComment ref="S1034" dT="2025-06-09T16:53:12.00" personId="{6c3cfef6-2a2b-4523-b695-882d6eeec17a}" id="{ccc59e85-de37-4f71-938e-aa59e0db74bf}" done="0">
    <x18tc:text xml:space="preserve">Data da planilha de planejamento</x18tc:text>
  </x18tc:threadedComment>
  <x18tc:threadedComment ref="S1460" dT="2025-06-09T18:46:23.00" personId="{6c3cfef6-2a2b-4523-b695-882d6eeec17a}" id="{1620a1a4-b286-4ed8-b263-5552a350f6ec}" done="0">
    <x18tc:text xml:space="preserve">Data de instalação</x18tc:text>
  </x18tc:threadedComment>
  <x18tc:threadedComment ref="S840" dT="2025-06-05T18:08:29.00" personId="{6c3cfef6-2a2b-4523-b695-882d6eeec17a}" id="{7ed979ee-bd98-43ac-8037-2daa8fb52254}" done="0">
    <x18tc:text xml:space="preserve">Data de instalação</x18tc:text>
  </x18tc:threadedComment>
  <x18tc:threadedComment ref="X42" dT="2025-07-17T17:43:09.00" personId="{6c3cfef6-2a2b-4523-b695-882d6eeec17a}" id="{d510787b-efd8-408f-b29b-632f69bd4562}" done="0">
    <x18tc:text xml:space="preserve">Data informada pelo Comercial, na planilha "Controle de Prazos de Garantia - Aena"</x18tc:text>
  </x18tc:threadedComment>
  <x18tc:threadedComment ref="X226" dT="2025-01-31T18:15:26.00" personId="{6c3cfef6-2a2b-4523-b695-882d6eeec17a}" id="{767d92ed-2530-426a-a7e4-e7f420c38884}" done="0">
    <x18tc:text xml:space="preserve">Data do 1º Termo Aditivo</x18tc:text>
  </x18tc:threadedComment>
  <x18tc:threadedComment ref="S911" dT="2025-09-26T12:20:36.00" personId="{6c3cfef6-2a2b-4523-b695-882d6eeec17a}" id="{54eb41cc-208b-4b34-a628-e9bbcf9307ab}" done="0">
    <x18tc:text xml:space="preserve">Data de instalação</x18tc:text>
  </x18tc:threadedComment>
  <x18tc:threadedComment ref="S102" dT="2025-05-30T13:32:34.00" personId="{6c3cfef6-2a2b-4523-b695-882d6eeec17a}" id="{25222fa8-a55b-4af4-a9e8-3085afc00acf}" done="0">
    <x18tc:text xml:space="preserve">Data de instalação</x18tc:text>
  </x18tc:threadedComment>
  <x18tc:threadedComment ref="AC611" dT="2025-02-07T13:56:10.00" personId="{6c3cfef6-2a2b-4523-b695-882d6eeec17a}" id="{e060d7aa-7e03-4765-aea9-396fc7a5bc2d}" done="0">
    <x18tc:text xml:space="preserve">Data de instalação</x18tc:text>
  </x18tc:threadedComment>
  <x18tc:threadedComment ref="X35" dT="2025-05-30T13:32:34.00" personId="{6c3cfef6-2a2b-4523-b695-882d6eeec17a}" id="{280daa8d-75e9-40d3-91c5-bcd319089ef8}" done="0">
    <x18tc:text xml:space="preserve">Data informada pelo Comercial, na planilha "Controle de Prazos de Garantia - Aena"</x18tc:text>
  </x18tc:threadedComment>
  <x18tc:threadedComment ref="S67" dT="2025-05-30T13:32:34.00" personId="{6c3cfef6-2a2b-4523-b695-882d6eeec17a}" id="{a66836a1-4e87-4aa7-a787-518010cc37e5}" done="0">
    <x18tc:text xml:space="preserve">Data de instalação</x18tc:text>
  </x18tc:threadedComment>
  <x18tc:threadedComment ref="S434" dT="2025-06-04T15:01:11.00" personId="{6c3cfef6-2a2b-4523-b695-882d6eeec17a}" id="{436ed369-83b5-4e0f-bd74-351825410f36}" done="0">
    <x18tc:text xml:space="preserve">Data do TRD</x18tc:text>
  </x18tc:threadedComment>
  <x18tc:threadedComment ref="AC602" dT="2025-02-07T13:56:10.00" personId="{6c3cfef6-2a2b-4523-b695-882d6eeec17a}" id="{6268d834-3b19-4077-9fbd-9f9a7d6759a0}" done="0">
    <x18tc:text xml:space="preserve">Data de instalação</x18tc:text>
  </x18tc:threadedComment>
  <x18tc:threadedComment ref="AC346" dT="2025-05-30T18:45:10.00" personId="{6c3cfef6-2a2b-4523-b695-882d6eeec17a}" id="{c9901fc8-1ecc-4b67-8714-817907a621f7}" done="0">
    <x18tc:text xml:space="preserve">Data de instalação</x18tc:text>
  </x18tc:threadedComment>
  <x18tc:threadedComment ref="S321" dT="2025-05-30T18:45:10.00" personId="{6c3cfef6-2a2b-4523-b695-882d6eeec17a}" id="{cf651f74-50a7-4c50-affd-56ee95e58726}" done="0">
    <x18tc:text xml:space="preserve">Data de instalação</x18tc:text>
  </x18tc:threadedComment>
  <x18tc:threadedComment ref="AC674" dT="2025-06-04T18:43:40.00" personId="{6c3cfef6-2a2b-4523-b695-882d6eeec17a}" id="{394e82d0-447d-40b4-be03-6a88fe4c30cc}" done="0">
    <x18tc:text xml:space="preserve">Data de instalação</x18tc:text>
  </x18tc:threadedComment>
  <x18tc:threadedComment ref="X83" dT="2025-07-17T16:54:55.00" personId="{6c3cfef6-2a2b-4523-b695-882d6eeec17a}" id="{6f22f95b-25fc-4f44-aaea-bce4271a68fb}" done="0">
    <x18tc:text xml:space="preserve">Data informada pelo Comercial, na planilha "Controle de Prazos de Garantia - Aena"</x18tc:text>
  </x18tc:threadedComment>
  <x18tc:threadedComment ref="S1468" dT="2025-06-09T18:46:23.00" personId="{6c3cfef6-2a2b-4523-b695-882d6eeec17a}" id="{3486d784-ed4f-4f1c-8544-5151d32345b2}" done="0">
    <x18tc:text xml:space="preserve">Data de instalação</x18tc:text>
  </x18tc:threadedComment>
  <x18tc:threadedComment ref="AC696" dT="2025-06-04T18:43:40.00" personId="{6c3cfef6-2a2b-4523-b695-882d6eeec17a}" id="{c523f83a-3ed3-46c1-b1fa-5d437ef26ed8}" done="0">
    <x18tc:text xml:space="preserve">Data de instalação</x18tc:text>
  </x18tc:threadedComment>
  <x18tc:threadedComment ref="S397" dT="2025-06-04T13:37:31.00" personId="{6c3cfef6-2a2b-4523-b695-882d6eeec17a}" id="{ee34eb0b-b919-461f-b210-1dbf031c9d21}" done="0">
    <x18tc:text xml:space="preserve">Data de instalação</x18tc:text>
  </x18tc:threadedComment>
  <x18tc:threadedComment ref="S511" dT="2024-11-05T17:51:32.00" personId="{6c3cfef6-2a2b-4523-b695-882d6eeec17a}" id="{41a922ed-1cc4-4383-a64c-5f73b6aa4150}" done="0">
    <x18tc:text xml:space="preserve">Data de inst.</x18tc:text>
  </x18tc:threadedComment>
  <x18tc:threadedComment ref="S319" dT="2025-05-30T18:33:18.00" personId="{6c3cfef6-2a2b-4523-b695-882d6eeec17a}" id="{8f15865c-ab4c-454e-9ad3-de0997247b7d}" done="0">
    <x18tc:text xml:space="preserve">Data de instalação</x18tc:text>
  </x18tc:threadedComment>
  <x18tc:threadedComment ref="S1442" dT="2024-11-05T14:01:53.00" personId="{6c3cfef6-2a2b-4523-b695-882d6eeec17a}" id="{e9b155b8-bdd0-415c-aa6d-43717e01d393}" done="0">
    <x18tc:text xml:space="preserve">Data do TRD</x18tc:text>
  </x18tc:threadedComment>
  <x18tc:threadedComment ref="S1106" dT="2025-06-09T17:58:09.00" personId="{6c3cfef6-2a2b-4523-b695-882d6eeec17a}" id="{a94afea9-2920-4765-b6f1-9ff064360cc5}" done="0">
    <x18tc:text xml:space="preserve">Data de instalação</x18tc:text>
  </x18tc:threadedComment>
  <x18tc:threadedComment ref="AC1169" dT="2024-11-07T14:41:02.00" personId="{6c3cfef6-2a2b-4523-b695-882d6eeec17a}" id="{e1b05047-c01e-422b-8e28-883b4337870b}" done="0">
    <x18tc:text xml:space="preserve">Data simbólica informada pelo Cláudio</x18tc:text>
  </x18tc:threadedComment>
  <x18tc:threadedComment ref="AC855" dT="2025-06-06T18:27:34.00" personId="{6c3cfef6-2a2b-4523-b695-882d6eeec17a}" id="{b465f669-8c7c-4e7d-886e-c13a8726e1d2}" done="0">
    <x18tc:text xml:space="preserve">Data de instalação</x18tc:text>
  </x18tc:threadedComment>
  <x18tc:threadedComment ref="AC1171" dT="2025-09-25T20:22:43.00" personId="{6c3cfef6-2a2b-4523-b695-882d6eeec17a}" id="{9187890b-b64b-4adf-9821-e965c07fbfe5}" done="0">
    <x18tc:text xml:space="preserve">Data de assinatura do contrato, mencionada no RP</x18tc:text>
  </x18tc:threadedComment>
  <x18tc:threadedComment ref="AC917" dT="2025-06-09T13:37:51.00" personId="{6c3cfef6-2a2b-4523-b695-882d6eeec17a}" id="{0becf766-90a1-4bff-b216-02f8c60050ab}" done="0">
    <x18tc:text xml:space="preserve">Data do 2º Termo Adt</x18tc:text>
  </x18tc:threadedComment>
  <x18tc:threadedComment ref="S459" dT="2025-06-04T15:01:11.00" personId="{6c3cfef6-2a2b-4523-b695-882d6eeec17a}" id="{59633173-c91e-4478-9fd4-4e57040d2414}" done="0">
    <x18tc:text xml:space="preserve">Data do TRD</x18tc:text>
  </x18tc:threadedComment>
  <x18tc:threadedComment ref="S21" dT="2025-05-30T13:32:34.00" personId="{6c3cfef6-2a2b-4523-b695-882d6eeec17a}" id="{9f9c00fc-b632-4360-bab7-0beab5b64e32}" done="0">
    <x18tc:text xml:space="preserve">Data de instalação</x18tc:text>
  </x18tc:threadedComment>
  <x18tc:threadedComment ref="AC1299" dT="2025-09-25T20:22:43.00" personId="{6c3cfef6-2a2b-4523-b695-882d6eeec17a}" id="{fa53ad19-2c98-48ba-a1f4-0aa8485eb4a4}" done="0">
    <x18tc:text xml:space="preserve">Data de assinatura do contrato, mencionada no RP</x18tc:text>
  </x18tc:threadedComment>
  <x18tc:threadedComment ref="S922" dT="2025-07-10T13:08:57.00" personId="{6c3cfef6-2a2b-4523-b695-882d6eeec17a}" id="{c8748441-c7d2-4067-9d57-8b5c76da8eb9}" done="0">
    <x18tc:text xml:space="preserve">Data do TRD</x18tc:text>
  </x18tc:threadedComment>
  <x18tc:threadedComment ref="S20" dT="2025-05-30T13:32:34.00" personId="{6c3cfef6-2a2b-4523-b695-882d6eeec17a}" id="{0e1fc97b-3576-416f-9025-e65ce464568c}" done="0">
    <x18tc:text xml:space="preserve">Data de instalação</x18tc:text>
  </x18tc:threadedComment>
  <x18tc:threadedComment ref="X228" dT="2025-01-31T18:15:26.00" personId="{6c3cfef6-2a2b-4523-b695-882d6eeec17a}" id="{1a088bd0-4f20-47a3-881a-7560985d6be9}" done="0">
    <x18tc:text xml:space="preserve">Data do 1º Termo Aditivo</x18tc:text>
  </x18tc:threadedComment>
  <x18tc:threadedComment ref="AC627" dT="2025-02-07T13:56:10.00" personId="{6c3cfef6-2a2b-4523-b695-882d6eeec17a}" id="{6a87380c-af7c-481b-be31-ccbf907d5047}" done="0">
    <x18tc:text xml:space="preserve">Data de instalação</x18tc:text>
  </x18tc:threadedComment>
  <x18tc:threadedComment ref="S1407" dT="2025-01-07T17:30:30.00" personId="{6c3cfef6-2a2b-4523-b695-882d6eeec17a}" id="{3fc51963-aec4-42bf-ac2a-2f56dc0bb017}" done="0">
    <x18tc:text xml:space="preserve">Data do TRD</x18tc:text>
  </x18tc:threadedComment>
  <x18tc:threadedComment ref="S1157" dT="2025-03-13T18:46:48.00" personId="{6c3cfef6-2a2b-4523-b695-882d6eeec17a}" id="{67cc6657-71e4-44ed-931a-00698fb30e0c}" done="0">
    <x18tc:text xml:space="preserve">Data do TRD</x18tc:text>
  </x18tc:threadedComment>
  <x18tc:threadedComment ref="S948" dT="2025-06-09T16:24:22.00" personId="{6c3cfef6-2a2b-4523-b695-882d6eeec17a}" id="{04746b3f-859e-41ed-a7f6-3aa428669b45}" done="0">
    <x18tc:text xml:space="preserve">Data de instalação</x18tc:text>
  </x18tc:threadedComment>
  <x18tc:threadedComment ref="S986" dT="2024-11-01T18:44:47.00" personId="{6c3cfef6-2a2b-4523-b695-882d6eeec17a}" id="{85c2fa59-bb4f-4060-a0bc-1c9ac701c722}" done="0">
    <x18tc:text xml:space="preserve">Data do TRD</x18tc:text>
  </x18tc:threadedComment>
  <x18tc:threadedComment ref="AC1298" dT="2025-09-25T20:22:43.00" personId="{6c3cfef6-2a2b-4523-b695-882d6eeec17a}" id="{2bf1a7c0-b941-4a66-bf32-a6995fa5e339}" done="0">
    <x18tc:text xml:space="preserve">Data de assinatura do contrato, mencionada no RP</x18tc:text>
  </x18tc:threadedComment>
  <x18tc:threadedComment ref="S1153" dT="2025-03-13T18:46:48.00" personId="{6c3cfef6-2a2b-4523-b695-882d6eeec17a}" id="{a8443e3a-947f-4d42-abb6-9faea6a4ee6c}" done="0">
    <x18tc:text xml:space="preserve">Data do TRD</x18tc:text>
  </x18tc:threadedComment>
  <x18tc:threadedComment ref="AC628" dT="2025-02-07T13:56:10.00" personId="{6c3cfef6-2a2b-4523-b695-882d6eeec17a}" id="{722c1917-f99d-4010-ad51-d5ab03a24f9c}" done="0">
    <x18tc:text xml:space="preserve">Data de instalação</x18tc:text>
  </x18tc:threadedComment>
  <x18tc:threadedComment ref="AC616" dT="2025-02-07T13:56:10.00" personId="{6c3cfef6-2a2b-4523-b695-882d6eeec17a}" id="{7a0b6b76-9838-40b6-b41e-3e1a13d2eef4}" done="0">
    <x18tc:text xml:space="preserve">Data de instalação</x18tc:text>
  </x18tc:threadedComment>
  <x18tc:threadedComment ref="S1584" dT="2025-03-18T18:54:47.00" personId="{6c3cfef6-2a2b-4523-b695-882d6eeec17a}" id="{df59bbc4-2a18-4e7e-b679-0da675c57fbe}" done="0">
    <x18tc:text xml:space="preserve">Data de instalação</x18tc:text>
  </x18tc:threadedComment>
  <x18tc:threadedComment ref="AC853" dT="2025-06-06T18:27:34.00" personId="{6c3cfef6-2a2b-4523-b695-882d6eeec17a}" id="{6c7a34c3-9f0f-4c25-bcd4-f7e73724e99d}" done="0">
    <x18tc:text xml:space="preserve">Data de instalação</x18tc:text>
  </x18tc:threadedComment>
  <x18tc:threadedComment ref="X5" dT="2025-07-17T16:57:11.00" personId="{6c3cfef6-2a2b-4523-b695-882d6eeec17a}" id="{7b9d1e31-ab60-4fc3-8fd8-03bc8bb3d061}" done="0">
    <x18tc:text xml:space="preserve">Data informada pelo Comercial, na planilha "Controle de Prazos de Garantia - Aena"</x18tc:text>
  </x18tc:threadedComment>
  <x18tc:threadedComment ref="S49" dT="2025-05-30T13:32:34.00" personId="{6c3cfef6-2a2b-4523-b695-882d6eeec17a}" id="{04c07887-194d-4c8b-93ab-4bb7b03c75f3}" done="0">
    <x18tc:text xml:space="preserve">Data de instalação</x18tc:text>
  </x18tc:threadedComment>
  <x18tc:threadedComment ref="AC882" dT="2025-06-06T18:27:34.00" personId="{6c3cfef6-2a2b-4523-b695-882d6eeec17a}" id="{481f7dd5-828d-4d47-890a-f47a95b4dd02}" done="0">
    <x18tc:text xml:space="preserve">Data de instalação</x18tc:text>
  </x18tc:threadedComment>
  <x18tc:threadedComment ref="AC1277" dT="2024-11-07T14:41:02.00" personId="{6c3cfef6-2a2b-4523-b695-882d6eeec17a}" id="{dbf7c297-cdfe-4064-a528-38cdc336b4ad}" done="0">
    <x18tc:text xml:space="preserve">Data simbólica informada pelo Cláudio</x18tc:text>
  </x18tc:threadedComment>
  <x18tc:threadedComment ref="S1022" dT="2025-06-09T16:50:36.00" personId="{6c3cfef6-2a2b-4523-b695-882d6eeec17a}" id="{7001e3c4-b76a-4fde-953c-f69c15dad447}" done="0">
    <x18tc:text xml:space="preserve">Data de instalação</x18tc:text>
  </x18tc:threadedComment>
  <x18tc:threadedComment ref="S1088" dT="2025-03-13T17:40:42.00" personId="{6c3cfef6-2a2b-4523-b695-882d6eeec17a}" id="{3f07b9b6-9ac7-40ff-af63-617b31f4842d}" done="0">
    <x18tc:text xml:space="preserve">Data do TRD</x18tc:text>
  </x18tc:threadedComment>
  <x18tc:threadedComment ref="AC654" dT="2025-02-07T13:56:10.00" personId="{6c3cfef6-2a2b-4523-b695-882d6eeec17a}" id="{3854cce0-b116-4136-8c89-2b1a0ea6c32e}" done="0">
    <x18tc:text xml:space="preserve">Data de instalação</x18tc:text>
  </x18tc:threadedComment>
  <x18tc:threadedComment ref="S989" dT="2024-11-01T18:44:47.00" personId="{6c3cfef6-2a2b-4523-b695-882d6eeec17a}" id="{8d2fc4bb-d175-49e2-9019-eecd7a234a5d}" done="0">
    <x18tc:text xml:space="preserve">Data do TRD</x18tc:text>
  </x18tc:threadedComment>
  <x18tc:threadedComment ref="AC579" dT="2025-02-07T13:56:10.00" personId="{6c3cfef6-2a2b-4523-b695-882d6eeec17a}" id="{9b3786c1-05d0-4957-8f7b-64b3b915a784}" done="0">
    <x18tc:text xml:space="preserve">Data do 4º Termo Adt</x18tc:text>
  </x18tc:threadedComment>
  <x18tc:threadedComment ref="X68" dT="2025-07-17T16:57:11.00" personId="{6c3cfef6-2a2b-4523-b695-882d6eeec17a}" id="{b8174b9a-4663-4be4-b0d0-a6909189dcce}" done="0">
    <x18tc:text xml:space="preserve">Data informada pelo Comercial, na planilha "Controle de Prazos de Garantia - Aena"</x18tc:text>
  </x18tc:threadedComment>
  <x18tc:threadedComment ref="S336" dT="2025-05-30T18:45:10.00" personId="{6c3cfef6-2a2b-4523-b695-882d6eeec17a}" id="{8ad7ce4d-763a-428d-9082-90dff0313925}" done="0">
    <x18tc:text xml:space="preserve">Data de instalação</x18tc:text>
  </x18tc:threadedComment>
  <x18tc:threadedComment ref="S585" dT="2025-06-04T13:37:31.00" personId="{6c3cfef6-2a2b-4523-b695-882d6eeec17a}" id="{b27b7bb6-9660-4f19-98b8-e3d645071026}" done="0">
    <x18tc:text xml:space="preserve">Data de instalação</x18tc:text>
  </x18tc:threadedComment>
  <x18tc:threadedComment ref="S1033" dT="2025-06-09T16:53:12.00" personId="{6c3cfef6-2a2b-4523-b695-882d6eeec17a}" id="{6de1771a-6ac4-480d-9a1c-e4be235acaa8}" done="0">
    <x18tc:text xml:space="preserve">Data da planilha de planejamento</x18tc:text>
  </x18tc:threadedComment>
  <x18tc:threadedComment ref="AC196" dT="2025-05-30T14:46:23.00" personId="{6c3cfef6-2a2b-4523-b695-882d6eeec17a}" id="{3cf67e56-484e-4598-b862-81e14de89d0d}" done="0">
    <x18tc:text xml:space="preserve">Data de instalação</x18tc:text>
  </x18tc:threadedComment>
  <x18tc:threadedComment ref="X863" dT="2025-06-06T18:21:21.00" personId="{6c3cfef6-2a2b-4523-b695-882d6eeec17a}" id="{20e0fe28-9615-4716-b952-e878f19d9082}" done="0">
    <x18tc:text xml:space="preserve">Data do Termo Adt</x18tc:text>
  </x18tc:threadedComment>
  <x18tc:threadedComment ref="S360" dT="2025-06-04T13:37:31.00" personId="{6c3cfef6-2a2b-4523-b695-882d6eeec17a}" id="{f557d683-edc2-458d-9c1f-2c0ba8ac76fa}" done="0">
    <x18tc:text xml:space="preserve">Data de instalação</x18tc:text>
  </x18tc:threadedComment>
  <x18tc:threadedComment ref="X1413" dT="2025-06-09T18:37:20.00" personId="{6c3cfef6-2a2b-4523-b695-882d6eeec17a}" id="{ea2feea7-9423-4a27-89df-efe1d67866e3}" done="0">
    <x18tc:text xml:space="preserve">Data do 1º Termo Adt</x18tc:text>
  </x18tc:threadedComment>
  <x18tc:threadedComment ref="S839" dT="2025-06-05T18:08:29.00" personId="{6c3cfef6-2a2b-4523-b695-882d6eeec17a}" id="{a47775ba-533a-4ede-be45-a7debb394157}" done="0">
    <x18tc:text xml:space="preserve">Data de instalação</x18tc:text>
  </x18tc:threadedComment>
  <x18tc:threadedComment ref="S1339" dT="2025-06-09T17:38:37.00" personId="{6c3cfef6-2a2b-4523-b695-882d6eeec17a}" id="{d88427a9-eb01-429d-b96a-d300e29d013e}" done="0">
    <x18tc:text xml:space="preserve">Data de instalação</x18tc:text>
  </x18tc:threadedComment>
  <x18tc:threadedComment ref="S243" dT="2025-05-30T14:46:23.00" personId="{6c3cfef6-2a2b-4523-b695-882d6eeec17a}" id="{cb08505c-6201-4a0b-902b-6e523b19ca5b}" done="0">
    <x18tc:text xml:space="preserve">Data de instalação</x18tc:text>
  </x18tc:threadedComment>
  <x18tc:threadedComment ref="S1156" dT="2025-03-13T18:46:48.00" personId="{6c3cfef6-2a2b-4523-b695-882d6eeec17a}" id="{bba0ebb5-2278-49a4-a6e4-bc09c1a7665b}" done="0">
    <x18tc:text xml:space="preserve">Data do TRD</x18tc:text>
  </x18tc:threadedComment>
  <x18tc:threadedComment ref="M1117" dT="2025-05-29T14:05:02.00" personId="{6c3cfef6-2a2b-4523-b695-882d6eeec17a}" id="{f0ef3689-e5d6-4800-838c-c4a289a34562}" done="0">
    <x18tc:text xml:space="preserve">Não localizada OS de instalação, data simbólica</x18tc:text>
  </x18tc:threadedComment>
  <x18tc:threadedComment ref="S1575" dT="2025-06-09T19:36:51.00" personId="{6c3cfef6-2a2b-4523-b695-882d6eeec17a}" id="{861c1cf0-f666-40de-a77c-84b9450f28c2}" done="0">
    <x18tc:text xml:space="preserve">Data de instalação</x18tc:text>
  </x18tc:threadedComment>
  <x18tc:threadedComment ref="S1462" dT="2025-06-09T18:46:23.00" personId="{6c3cfef6-2a2b-4523-b695-882d6eeec17a}" id="{7584ae82-0a96-49bc-9d57-c6825b793497}" done="0">
    <x18tc:text xml:space="preserve">Data de instalação</x18tc:text>
  </x18tc:threadedComment>
  <x18tc:threadedComment ref="S1589" dT="2025-03-18T18:54:47.00" personId="{6c3cfef6-2a2b-4523-b695-882d6eeec17a}" id="{143723d9-0e45-4ea2-b9f6-2a91ccd82696}" done="0">
    <x18tc:text xml:space="preserve">Data de instalação</x18tc:text>
  </x18tc:threadedComment>
  <x18tc:threadedComment ref="S27" dT="2025-05-30T13:32:34.00" personId="{6c3cfef6-2a2b-4523-b695-882d6eeec17a}" id="{e31afb09-6a05-49c1-8ba6-6fa1640e51a4}" done="0">
    <x18tc:text xml:space="preserve">Data de instalação</x18tc:text>
  </x18tc:threadedComment>
  <x18tc:threadedComment ref="S1027" dT="2025-06-09T16:53:12.00" personId="{6c3cfef6-2a2b-4523-b695-882d6eeec17a}" id="{7fde2a80-494d-4e79-9416-9c8911f62021}" done="0">
    <x18tc:text xml:space="preserve">Data da planilha de planejamento</x18tc:text>
  </x18tc:threadedComment>
  <x18tc:threadedComment ref="AC192" dT="2025-05-30T14:43:21.00" personId="{6c3cfef6-2a2b-4523-b695-882d6eeec17a}" id="{173c67b8-4488-47de-8c7e-6364a6b9871e}" done="0">
    <x18tc:text xml:space="preserve">Data 2º Adt</x18tc:text>
  </x18tc:threadedComment>
  <x18tc:threadedComment ref="X7" dT="2025-07-17T17:37:49.00" personId="{6c3cfef6-2a2b-4523-b695-882d6eeec17a}" id="{73e61f22-d61c-435d-8cfe-e24a4940e8c5}" done="0">
    <x18tc:text xml:space="preserve">Data informada pelo Comercial, na planilha "Controle de Prazos de Garantia - Aena"</x18tc:text>
  </x18tc:threadedComment>
  <x18tc:threadedComment ref="X49" dT="2025-07-17T17:49:14.00" personId="{6c3cfef6-2a2b-4523-b695-882d6eeec17a}" id="{04530913-04a2-45aa-9e56-cb726db18f7b}" done="0">
    <x18tc:text xml:space="preserve">Data informada pelo Comercial, na planilha "Controle de Prazos de Garantia - Aena"</x18tc:text>
  </x18tc:threadedComment>
  <x18tc:threadedComment ref="S762" dT="2025-06-04T17:54:23.00" personId="{6c3cfef6-2a2b-4523-b695-882d6eeec17a}" id="{7d55c27f-cd83-46a6-9714-1dfa5a994d74}" done="0">
    <x18tc:text xml:space="preserve">Data de instalação</x18tc:text>
  </x18tc:threadedComment>
  <x18tc:threadedComment ref="S1447" dT="2024-11-05T14:01:53.00" personId="{6c3cfef6-2a2b-4523-b695-882d6eeec17a}" id="{2daea1c2-aead-421d-806f-daa5e7c1b10f}" done="0">
    <x18tc:text xml:space="preserve">Data do TRD</x18tc:text>
  </x18tc:threadedComment>
  <x18tc:threadedComment ref="S384" dT="2025-06-04T13:37:31.00" personId="{6c3cfef6-2a2b-4523-b695-882d6eeec17a}" id="{6c5b4d87-c33f-4e11-bd57-df13335194d6}" done="0">
    <x18tc:text xml:space="preserve">Data de instalação</x18tc:text>
  </x18tc:threadedComment>
  <x18tc:threadedComment ref="S1064" dT="2024-11-01T18:44:47.00" personId="{6c3cfef6-2a2b-4523-b695-882d6eeec17a}" id="{63c2bfbd-1098-4b36-a342-3864d49af437}" done="0">
    <x18tc:text xml:space="preserve">Data do TRD</x18tc:text>
  </x18tc:threadedComment>
  <x18tc:threadedComment ref="AC1019" dT="2025-06-09T16:48:02.00" personId="{6c3cfef6-2a2b-4523-b695-882d6eeec17a}" id="{330cdcf8-d0cd-405a-9028-5f468fc477e8}" done="0">
    <x18tc:text xml:space="preserve">Data do 2º Termo Adt</x18tc:text>
  </x18tc:threadedComment>
  <x18tc:threadedComment ref="S325" dT="2025-05-30T18:39:21.00" personId="{6c3cfef6-2a2b-4523-b695-882d6eeec17a}" id="{0ca1b3b1-a5c4-40c2-a0b3-0d2126bd62ae}" done="0">
    <x18tc:text xml:space="preserve">Data de instalação</x18tc:text>
  </x18tc:threadedComment>
  <x18tc:threadedComment ref="S778" dT="2025-06-04T17:54:23.00" personId="{6c3cfef6-2a2b-4523-b695-882d6eeec17a}" id="{c4a12c55-ad1e-4b60-9dda-18c335a1073d}" done="0">
    <x18tc:text xml:space="preserve">Data de instalação</x18tc:text>
  </x18tc:threadedComment>
  <x18tc:threadedComment ref="S812" dT="2025-06-04T19:04:19.00" personId="{6c3cfef6-2a2b-4523-b695-882d6eeec17a}" id="{9e1c5f2d-ab40-4541-8258-62c904e68191}" done="0">
    <x18tc:text xml:space="preserve">Data de instalação</x18tc:text>
  </x18tc:threadedComment>
  <x18tc:threadedComment ref="S479" dT="2025-06-04T15:01:11.00" personId="{6c3cfef6-2a2b-4523-b695-882d6eeec17a}" id="{2e92e0cd-836f-4d56-b095-0e19d1eb8704}" done="0">
    <x18tc:text xml:space="preserve">Data do TRD</x18tc:text>
  </x18tc:threadedComment>
  <x18tc:threadedComment ref="S1475" dT="2025-06-09T18:46:23.00" personId="{6c3cfef6-2a2b-4523-b695-882d6eeec17a}" id="{ddcc2ce4-b357-4686-a0b1-7f42bd88b306}" done="0">
    <x18tc:text xml:space="preserve">Data de instalação</x18tc:text>
  </x18tc:threadedComment>
  <x18tc:threadedComment ref="S316" dT="2025-05-30T18:45:10.00" personId="{6c3cfef6-2a2b-4523-b695-882d6eeec17a}" id="{594b0c53-1e2b-490b-9448-ab9602ab3833}" done="0">
    <x18tc:text xml:space="preserve">Data de instalação</x18tc:text>
  </x18tc:threadedComment>
  <x18tc:threadedComment ref="AC1303" dT="2025-09-25T20:22:43.00" personId="{6c3cfef6-2a2b-4523-b695-882d6eeec17a}" id="{4fe04aca-24b2-4087-b6ed-a8dcb2d462ea}" done="0">
    <x18tc:text xml:space="preserve">Data de assinatura do contrato, mencionada no RP</x18tc:text>
  </x18tc:threadedComment>
  <x18tc:threadedComment ref="S1397" dT="2025-03-13T18:46:48.00" personId="{6c3cfef6-2a2b-4523-b695-882d6eeec17a}" id="{07b0d929-aacf-42c8-9b1f-f5166f0f5a9f}" done="0">
    <x18tc:text xml:space="preserve">Data do TRD</x18tc:text>
  </x18tc:threadedComment>
  <x18tc:threadedComment ref="S209" dT="2025-05-30T14:46:23.00" personId="{6c3cfef6-2a2b-4523-b695-882d6eeec17a}" id="{dda29a8e-3281-427e-ae19-58179d2f994a}" done="0">
    <x18tc:text xml:space="preserve">Data de instalação</x18tc:text>
  </x18tc:threadedComment>
  <x18tc:threadedComment ref="AC191" dT="2025-05-30T14:43:21.00" personId="{6c3cfef6-2a2b-4523-b695-882d6eeec17a}" id="{84358b60-8591-4622-b74f-3d9074522722}" done="0">
    <x18tc:text xml:space="preserve">Data 2º Adt</x18tc:text>
  </x18tc:threadedComment>
  <x18tc:threadedComment ref="S1363" dT="2025-06-09T18:03:00.00" personId="{6c3cfef6-2a2b-4523-b695-882d6eeec17a}" id="{398f95b1-7db3-41cf-9f67-8291ab3b54b0}" done="0">
    <x18tc:text xml:space="preserve">Data de instalação</x18tc:text>
  </x18tc:threadedComment>
  <x18tc:threadedComment ref="S484" dT="2025-06-04T13:37:31.00" personId="{6c3cfef6-2a2b-4523-b695-882d6eeec17a}" id="{3031cc89-340a-4537-9e37-92a0290759ed}" done="0">
    <x18tc:text xml:space="preserve">Data de instalação</x18tc:text>
  </x18tc:threadedComment>
  <x18tc:threadedComment ref="S1445" dT="2024-11-01T19:16:18.00" personId="{6c3cfef6-2a2b-4523-b695-882d6eeec17a}" id="{904cef56-77df-4c8a-acf9-8bc98c2d9daf}" done="0">
    <x18tc:text xml:space="preserve">Data do TRD</x18tc:text>
  </x18tc:threadedComment>
  <x18tc:threadedComment ref="X890" dT="2025-06-06T18:21:21.00" personId="{6c3cfef6-2a2b-4523-b695-882d6eeec17a}" id="{198fce03-9989-4572-9009-a6ea5b352373}" done="0">
    <x18tc:text xml:space="preserve">Data do Termo Adt</x18tc:text>
  </x18tc:threadedComment>
  <x18tc:threadedComment ref="S834" dT="2025-06-05T18:08:29.00" personId="{6c3cfef6-2a2b-4523-b695-882d6eeec17a}" id="{a6f71d4e-88bd-49cc-9fc0-9be72011cc88}" done="0">
    <x18tc:text xml:space="preserve">Data de instalação</x18tc:text>
  </x18tc:threadedComment>
  <x18tc:threadedComment ref="AC693" dT="2025-06-04T18:43:40.00" personId="{6c3cfef6-2a2b-4523-b695-882d6eeec17a}" id="{8ff0d6d9-b630-4c51-92db-1c985c3c1676}" done="0">
    <x18tc:text xml:space="preserve">Data de instalação</x18tc:text>
  </x18tc:threadedComment>
  <x18tc:threadedComment ref="X44" dT="2025-05-30T13:32:34.00" personId="{6c3cfef6-2a2b-4523-b695-882d6eeec17a}" id="{7d77d319-71e9-4702-807d-ec0464f547af}" done="0">
    <x18tc:text xml:space="preserve">Data informada pelo Comercial, na planilha "Controle de Prazos de Garantia - Aena"</x18tc:text>
  </x18tc:threadedComment>
  <x18tc:threadedComment ref="S1511" dT="2025-06-09T18:46:23.00" personId="{6c3cfef6-2a2b-4523-b695-882d6eeec17a}" id="{28f18abe-1bc6-4bca-aea6-63557c1f1a81}" done="0">
    <x18tc:text xml:space="preserve">Data de instalação</x18tc:text>
  </x18tc:threadedComment>
  <x18tc:threadedComment ref="AC1295" dT="2025-09-25T20:22:43.00" personId="{6c3cfef6-2a2b-4523-b695-882d6eeec17a}" id="{8841b03e-b2f2-487d-a524-ee1a5a0426e4}" done="0">
    <x18tc:text xml:space="preserve">Data de assinatura do contrato, mencionada no RP</x18tc:text>
  </x18tc:threadedComment>
  <x18tc:threadedComment ref="AC1189" dT="2024-11-07T14:41:02.00" personId="{6c3cfef6-2a2b-4523-b695-882d6eeec17a}" id="{0645566e-57eb-4e82-bf61-5eeca758c8a7}" done="0">
    <x18tc:text xml:space="preserve">Data simbólica informada pelo Cláudio</x18tc:text>
  </x18tc:threadedComment>
  <x18tc:threadedComment ref="S987" dT="2024-11-01T18:44:47.00" personId="{6c3cfef6-2a2b-4523-b695-882d6eeec17a}" id="{b13807e4-69d9-44b0-a006-87d3c5f86928}" done="0">
    <x18tc:text xml:space="preserve">Data do TRD</x18tc:text>
  </x18tc:threadedComment>
  <x18tc:threadedComment ref="S23" dT="2025-05-30T13:32:34.00" personId="{6c3cfef6-2a2b-4523-b695-882d6eeec17a}" id="{be28d9de-71ec-45b1-8f93-a4845c59f4af}" done="0">
    <x18tc:text xml:space="preserve">Data de instalação</x18tc:text>
  </x18tc:threadedComment>
  <x18tc:threadedComment ref="AC687" dT="2025-06-04T18:43:40.00" personId="{6c3cfef6-2a2b-4523-b695-882d6eeec17a}" id="{0e82cb18-67d5-4555-bed0-82e5406ba1aa}" done="0">
    <x18tc:text xml:space="preserve">Data de instalação</x18tc:text>
  </x18tc:threadedComment>
  <x18tc:threadedComment ref="X66" dT="2025-07-17T16:57:11.00" personId="{6c3cfef6-2a2b-4523-b695-882d6eeec17a}" id="{9d60364d-3247-4f5a-9b87-edcbd14e0934}" done="0">
    <x18tc:text xml:space="preserve">Data informada pelo Comercial, na planilha "Controle de Prazos de Garantia - Aena"</x18tc:text>
  </x18tc:threadedComment>
  <x18tc:threadedComment ref="S1046" dT="2025-06-09T16:53:12.00" personId="{6c3cfef6-2a2b-4523-b695-882d6eeec17a}" id="{2c19c9cb-f44b-480a-a0f1-1e1562f51aa7}" done="0">
    <x18tc:text xml:space="preserve">Data da planilha de planejamento</x18tc:text>
  </x18tc:threadedComment>
  <x18tc:threadedComment ref="AC625" dT="2025-02-07T13:56:10.00" personId="{6c3cfef6-2a2b-4523-b695-882d6eeec17a}" id="{16486cc8-5ac9-4f92-8bdb-26ef6bb980bd}" done="0">
    <x18tc:text xml:space="preserve">Data de instalação</x18tc:text>
  </x18tc:threadedComment>
  <x18tc:threadedComment ref="AC1328" dT="2025-06-09T17:35:03.00" personId="{6c3cfef6-2a2b-4523-b695-882d6eeec17a}" id="{f0bebd60-ce7d-4045-8084-29c3e76213a8}" done="0">
    <x18tc:text xml:space="preserve">Data do 5º Temo Adt</x18tc:text>
  </x18tc:threadedComment>
  <x18tc:threadedComment ref="AC672" dT="2025-06-04T18:43:40.00" personId="{6c3cfef6-2a2b-4523-b695-882d6eeec17a}" id="{a94ea441-dcd0-4c62-96bc-d442bda67f8f}" done="0">
    <x18tc:text xml:space="preserve">Data de instalação</x18tc:text>
  </x18tc:threadedComment>
  <x18tc:threadedComment ref="S273" dT="2025-05-30T18:33:18.00" personId="{6c3cfef6-2a2b-4523-b695-882d6eeec17a}" id="{e300eb2d-0ecc-4ce4-9134-b4d17baef60b}" done="0">
    <x18tc:text xml:space="preserve">Data de instalação</x18tc:text>
  </x18tc:threadedComment>
  <x18tc:threadedComment ref="S1385" dT="2025-06-09T18:10:30.00" personId="{6c3cfef6-2a2b-4523-b695-882d6eeec17a}" id="{09b2d8ec-6536-474a-9498-ff39471f4eab}" done="0">
    <x18tc:text xml:space="preserve">Data de instalação</x18tc:text>
  </x18tc:threadedComment>
  <x18tc:threadedComment ref="S1086" dT="2025-03-13T17:40:42.00" personId="{6c3cfef6-2a2b-4523-b695-882d6eeec17a}" id="{fdf85843-9461-4b3a-81c7-f100dd355cb8}" done="0">
    <x18tc:text xml:space="preserve">Data do TRD</x18tc:text>
  </x18tc:threadedComment>
  <x18tc:threadedComment ref="AC1290" dT="2025-09-25T20:22:43.00" personId="{6c3cfef6-2a2b-4523-b695-882d6eeec17a}" id="{7c71454f-ba15-4e6f-bc06-7710b54675cf}" done="0">
    <x18tc:text xml:space="preserve">Data de assinatura do contrato, mencionada no RP</x18tc:text>
  </x18tc:threadedComment>
  <x18tc:threadedComment ref="S58" dT="2025-05-30T13:32:34.00" personId="{6c3cfef6-2a2b-4523-b695-882d6eeec17a}" id="{2cd9cda5-649b-498b-8cc5-97b7962fd33a}" done="0">
    <x18tc:text xml:space="preserve">Data de instalação</x18tc:text>
  </x18tc:threadedComment>
  <x18tc:threadedComment ref="S90" dT="2025-05-30T13:32:34.00" personId="{6c3cfef6-2a2b-4523-b695-882d6eeec17a}" id="{523e8cc6-5289-46f9-9f84-1576c1166184}" done="0">
    <x18tc:text xml:space="preserve">Data de instalação</x18tc:text>
  </x18tc:threadedComment>
  <x18tc:threadedComment ref="AC1306" dT="2024-11-07T14:41:02.00" personId="{6c3cfef6-2a2b-4523-b695-882d6eeec17a}" id="{66da036a-1b23-4b91-82eb-bbf74d4414f7}" done="0">
    <x18tc:text xml:space="preserve">Data simbólica informada pelo Cláudio</x18tc:text>
  </x18tc:threadedComment>
  <x18tc:threadedComment ref="AC1201" dT="2024-11-07T14:41:02.00" personId="{6c3cfef6-2a2b-4523-b695-882d6eeec17a}" id="{138fe2e4-3387-44c9-86fc-b71a88477bf4}" done="0">
    <x18tc:text xml:space="preserve">Data simbólica informada pelo Cláudio</x18tc:text>
  </x18tc:threadedComment>
  <x18tc:threadedComment ref="AC1178" dT="2024-11-07T14:41:02.00" personId="{6c3cfef6-2a2b-4523-b695-882d6eeec17a}" id="{07f669a6-f0c8-46b5-8bab-76b43dadafee}" done="0">
    <x18tc:text xml:space="preserve">Data simbólica informada pelo Cláudio</x18tc:text>
  </x18tc:threadedComment>
  <x18tc:threadedComment ref="AC658" dT="2025-06-04T18:43:40.00" personId="{6c3cfef6-2a2b-4523-b695-882d6eeec17a}" id="{be196eba-7ddf-4fb8-9f8c-32ffbf8125c2}" done="0">
    <x18tc:text xml:space="preserve">Data de instalação</x18tc:text>
  </x18tc:threadedComment>
  <x18tc:threadedComment ref="S1002" dT="2025-06-09T16:34:42.00" personId="{6c3cfef6-2a2b-4523-b695-882d6eeec17a}" id="{744fbef6-bd3d-4395-8e26-6be2f9f4f514}" done="0">
    <x18tc:text xml:space="preserve">Data de instalação</x18tc:text>
  </x18tc:threadedComment>
  <x18tc:threadedComment ref="S1343" dT="2025-06-09T17:38:37.00" personId="{6c3cfef6-2a2b-4523-b695-882d6eeec17a}" id="{569c04df-3920-4812-bfc1-3a489739573c}" done="0">
    <x18tc:text xml:space="preserve">Data de instalação</x18tc:text>
  </x18tc:threadedComment>
  <x18tc:threadedComment ref="S402" dT="2025-06-04T13:37:31.00" personId="{6c3cfef6-2a2b-4523-b695-882d6eeec17a}" id="{f3602f6d-1bfb-427f-8655-ce80db335b62}" done="0">
    <x18tc:text xml:space="preserve">Data de instalação</x18tc:text>
  </x18tc:threadedComment>
  <x18tc:threadedComment ref="X1145" dT="2025-06-09T17:21:53.00" personId="{6c3cfef6-2a2b-4523-b695-882d6eeec17a}" id="{007c4db0-9872-40dd-a5fd-fba63f57acd6}" done="0">
    <x18tc:text xml:space="preserve">Data mencionada no RP</x18tc:text>
  </x18tc:threadedComment>
  <x18tc:threadedComment ref="S1152" dT="2025-03-13T18:46:48.00" personId="{6c3cfef6-2a2b-4523-b695-882d6eeec17a}" id="{a738686d-1465-48d3-93a4-1c6ab421b9f3}" done="0">
    <x18tc:text xml:space="preserve">Data do TRD</x18tc:text>
  </x18tc:threadedComment>
  <x18tc:threadedComment ref="S1636" dT="2025-06-04T13:37:31.00" personId="{6c3cfef6-2a2b-4523-b695-882d6eeec17a}" id="{b6e1a3f7-837b-4ccd-aa8b-e114f91ada42}" done="0">
    <x18tc:text xml:space="preserve">Data de instalação</x18tc:text>
  </x18tc:threadedComment>
  <x18tc:threadedComment ref="X13" dT="2025-05-30T13:32:34.00" personId="{6c3cfef6-2a2b-4523-b695-882d6eeec17a}" id="{62aff22d-a746-4bf0-a527-32b9780baa4c}" done="0">
    <x18tc:text xml:space="preserve">Data informada pelo Comercial, na planilha "Controle de Prazos de Garantia - Aena"</x18tc:text>
  </x18tc:threadedComment>
  <x18tc:threadedComment ref="S851" dT="2025-03-05T19:17:32.00" personId="{6c3cfef6-2a2b-4523-b695-882d6eeec17a}" id="{c7b1115d-37e6-4390-b5f9-4b0da6a3a93f}" done="0">
    <x18tc:text xml:space="preserve">Data do TRD</x18tc:text>
  </x18tc:threadedComment>
  <x18tc:threadedComment ref="AC862" dT="2025-06-06T18:27:34.00" personId="{6c3cfef6-2a2b-4523-b695-882d6eeec17a}" id="{dc18cf34-36ec-406d-b884-b6b27a406ddc}" done="0">
    <x18tc:text xml:space="preserve">Data de instalação</x18tc:text>
  </x18tc:threadedComment>
  <x18tc:threadedComment ref="S236" dT="2025-05-30T14:46:23.00" personId="{6c3cfef6-2a2b-4523-b695-882d6eeec17a}" id="{46346c05-b86f-4c9a-9895-aa194f866feb}" done="0">
    <x18tc:text xml:space="preserve">Data de instalação</x18tc:text>
  </x18tc:threadedComment>
  <x18tc:threadedComment ref="AC328" dT="2025-09-25T17:14:58.00" personId="{6c3cfef6-2a2b-4523-b695-882d6eeec17a}" id="{677faab9-d04e-45e6-ba2a-3a2fc6b2f540}" done="0">
    <x18tc:text xml:space="preserve">Data informada no RP</x18tc:text>
  </x18tc:threadedComment>
  <x18tc:threadedComment ref="S813" dT="2025-06-04T19:04:19.00" personId="{6c3cfef6-2a2b-4523-b695-882d6eeec17a}" id="{abd5dd87-6932-45b5-a459-5b7d016bfa1e}" done="0">
    <x18tc:text xml:space="preserve">Data de instalação</x18tc:text>
  </x18tc:threadedComment>
  <x18tc:threadedComment ref="AC683" dT="2025-06-04T18:43:40.00" personId="{6c3cfef6-2a2b-4523-b695-882d6eeec17a}" id="{579a0c63-0dd6-4242-b620-2db26299875d}" done="0">
    <x18tc:text xml:space="preserve">Data de instalação</x18tc:text>
  </x18tc:threadedComment>
  <x18tc:threadedComment ref="S843" dT="2025-06-05T18:08:29.00" personId="{6c3cfef6-2a2b-4523-b695-882d6eeec17a}" id="{f23b5cf7-0f31-447b-a2cf-096879313b93}" done="0">
    <x18tc:text xml:space="preserve">Data de instalação</x18tc:text>
  </x18tc:threadedComment>
  <x18tc:threadedComment ref="X59" dT="2025-07-17T16:57:11.00" personId="{6c3cfef6-2a2b-4523-b695-882d6eeec17a}" id="{a6d93149-fe12-4203-97c1-f03573995eb4}" done="0">
    <x18tc:text xml:space="preserve">Data informada pelo Comercial, na planilha "Controle de Prazos de Garantia - Aena"</x18tc:text>
  </x18tc:threadedComment>
  <x18tc:threadedComment ref="S40" dT="2025-05-30T13:32:34.00" personId="{6c3cfef6-2a2b-4523-b695-882d6eeec17a}" id="{ee1e4055-ac4e-40b0-8e43-34ce2b038a5b}" done="0">
    <x18tc:text xml:space="preserve">Data de instalação</x18tc:text>
  </x18tc:threadedComment>
  <x18tc:threadedComment ref="S366" dT="2025-06-04T13:37:31.00" personId="{6c3cfef6-2a2b-4523-b695-882d6eeec17a}" id="{55be5316-8a44-4be4-8d3a-c29fc92e0ac3}" done="0">
    <x18tc:text xml:space="preserve">Data de instalação</x18tc:text>
  </x18tc:threadedComment>
  <x18tc:threadedComment ref="AJ541" dT="2025-06-04T16:46:32.00" personId="{6c3cfef6-2a2b-4523-b695-882d6eeec17a}" id="{7cb779c9-9db8-4a63-9a75-11888ae62489}" done="0">
    <x18tc:text xml:space="preserve">Prazos contados para chamados abertos até as 15:00.
Após esse horário, a contagem começa as 06:00 do dia seguinte</x18tc:text>
  </x18tc:threadedComment>
  <x18tc:threadedComment ref="S816" dT="2025-06-04T19:04:19.00" personId="{6c3cfef6-2a2b-4523-b695-882d6eeec17a}" id="{d8f07e80-e240-4252-a0fb-49470aa7cf7f}" done="0">
    <x18tc:text xml:space="preserve">Data de instalação</x18tc:text>
  </x18tc:threadedComment>
  <x18tc:threadedComment ref="AC607" dT="2025-02-07T13:56:10.00" personId="{6c3cfef6-2a2b-4523-b695-882d6eeec17a}" id="{ab8e2741-c08c-4ad6-b85e-ef0e53bfe00a}" done="0">
    <x18tc:text xml:space="preserve">Data de instalação</x18tc:text>
  </x18tc:threadedComment>
  <x18tc:threadedComment ref="S1366" dT="2025-06-09T18:10:30.00" personId="{6c3cfef6-2a2b-4523-b695-882d6eeec17a}" id="{68bb36b3-d39c-4d1e-806f-c26544ef34b2}" done="0">
    <x18tc:text xml:space="preserve">Data de instalação</x18tc:text>
  </x18tc:threadedComment>
  <x18tc:threadedComment ref="X935" dT="2025-06-09T14:09:20.00" personId="{6c3cfef6-2a2b-4523-b695-882d6eeec17a}" id="{5ae76c7a-d089-437c-b10e-4e0b75a6bb71}" done="0">
    <x18tc:text xml:space="preserve">Data do 6º Termo Adt</x18tc:text>
  </x18tc:threadedComment>
  <x18tc:threadedComment ref="S954" dT="2024-11-01T18:44:47.00" personId="{6c3cfef6-2a2b-4523-b695-882d6eeec17a}" id="{aea04097-8f06-466a-b8bb-a0f0cf319308}" done="0">
    <x18tc:text xml:space="preserve">Data do TRD</x18tc:text>
  </x18tc:threadedComment>
  <x18tc:threadedComment ref="S506" dT="2025-02-05T11:22:19.00" personId="{6c3cfef6-2a2b-4523-b695-882d6eeec17a}" id="{54b6c205-4d97-4b21-b315-10757da94907}" done="0">
    <x18tc:text xml:space="preserve">Data do TRD</x18tc:text>
  </x18tc:threadedComment>
  <x18tc:threadedComment ref="S1105" dT="2025-06-09T17:58:09.00" personId="{6c3cfef6-2a2b-4523-b695-882d6eeec17a}" id="{1c59143c-0514-4933-8ff3-638bcea33814}" done="0">
    <x18tc:text xml:space="preserve">Data de instalação</x18tc:text>
  </x18tc:threadedComment>
  <x18tc:threadedComment ref="S832" dT="2025-06-05T18:08:29.00" personId="{6c3cfef6-2a2b-4523-b695-882d6eeec17a}" id="{5908ed69-a5a1-4df1-a8d7-8de1a7d107e6}" done="0">
    <x18tc:text xml:space="preserve">Data de instalação</x18tc:text>
  </x18tc:threadedComment>
  <x18tc:threadedComment ref="S900" dT="2025-06-06T19:01:59.00" personId="{6c3cfef6-2a2b-4523-b695-882d6eeec17a}" id="{8d404455-ffbe-4900-9bf7-c0e2c8d320c9}" done="0">
    <x18tc:text xml:space="preserve">Data de instalação</x18tc:text>
  </x18tc:threadedComment>
  <x18tc:threadedComment ref="X10" dT="2025-05-30T13:32:34.00" personId="{6c3cfef6-2a2b-4523-b695-882d6eeec17a}" id="{1527e432-4df6-494e-973a-318f67a4cab7}" done="0">
    <x18tc:text xml:space="preserve">Data de instalação</x18tc:text>
  </x18tc:threadedComment>
  <x18tc:threadedComment ref="S1457" dT="2025-06-09T18:46:23.00" personId="{6c3cfef6-2a2b-4523-b695-882d6eeec17a}" id="{5138f0a3-d29d-4bd2-90c2-cea371459c03}" done="0">
    <x18tc:text xml:space="preserve">Data de instalação</x18tc:text>
  </x18tc:threadedComment>
  <x18tc:threadedComment ref="AC647" dT="2025-02-07T13:56:10.00" personId="{6c3cfef6-2a2b-4523-b695-882d6eeec17a}" id="{d549ba4a-1769-489b-92e2-7e27da9aff7e}" done="0">
    <x18tc:text xml:space="preserve">Data de instalação</x18tc:text>
  </x18tc:threadedComment>
  <x18tc:threadedComment ref="X1139" dT="2025-06-09T17:19:07.00" personId="{6c3cfef6-2a2b-4523-b695-882d6eeec17a}" id="{e8075b6a-3fd6-4bdd-aedf-16529e600f19}" done="0">
    <x18tc:text xml:space="preserve">Data da Renovação Contratual</x18tc:text>
  </x18tc:threadedComment>
  <x18tc:threadedComment ref="X57" dT="2025-07-17T16:57:11.00" personId="{6c3cfef6-2a2b-4523-b695-882d6eeec17a}" id="{26c0e8d3-19d0-4d33-8717-488328f3e954}" done="0">
    <x18tc:text xml:space="preserve">Data informada pelo Comercial, na planilha "Controle de Prazos de Garantia - Aena"</x18tc:text>
  </x18tc:threadedComment>
  <x18tc:threadedComment ref="X1140" dT="2025-06-09T17:21:53.00" personId="{6c3cfef6-2a2b-4523-b695-882d6eeec17a}" id="{61bb03ee-2c2c-4d9e-91ff-96259f4faaad}" done="0">
    <x18tc:text xml:space="preserve">Data mencionada no RP</x18tc:text>
  </x18tc:threadedComment>
  <x18tc:threadedComment ref="S808" dT="2025-06-04T19:04:19.00" personId="{6c3cfef6-2a2b-4523-b695-882d6eeec17a}" id="{958d7e6c-c551-4d5a-a0b6-099fc3b4d3fc}" done="0">
    <x18tc:text xml:space="preserve">Data de instalação</x18tc:text>
  </x18tc:threadedComment>
  <x18tc:threadedComment ref="AC729" dT="2025-06-04T18:43:40.00" personId="{6c3cfef6-2a2b-4523-b695-882d6eeec17a}" id="{03a7033b-4008-4722-8482-c292c6ffa4c4}" done="0">
    <x18tc:text xml:space="preserve">Data de instalação</x18tc:text>
  </x18tc:threadedComment>
  <x18tc:threadedComment ref="S63" dT="2025-05-30T13:32:34.00" personId="{6c3cfef6-2a2b-4523-b695-882d6eeec17a}" id="{8a9e9bd2-64be-4a86-bd79-d1040f4ec982}" done="0">
    <x18tc:text xml:space="preserve">Data de instalação</x18tc:text>
  </x18tc:threadedComment>
  <x18tc:threadedComment ref="S848" dT="2025-06-06T18:53:04.00" personId="{6c3cfef6-2a2b-4523-b695-882d6eeec17a}" id="{2e5999bc-4a67-42f4-ad7a-023a8c0bcd77}" done="0">
    <x18tc:text xml:space="preserve">Data de instalação</x18tc:text>
  </x18tc:threadedComment>
  <x18tc:threadedComment ref="AC689" dT="2025-06-04T18:43:40.00" personId="{6c3cfef6-2a2b-4523-b695-882d6eeec17a}" id="{17f02074-2d64-44de-a138-2af287678a80}" done="0">
    <x18tc:text xml:space="preserve">Data de instalação</x18tc:text>
  </x18tc:threadedComment>
  <x18tc:threadedComment ref="X46" dT="2025-07-17T16:57:11.00" personId="{6c3cfef6-2a2b-4523-b695-882d6eeec17a}" id="{689e7737-ef77-415d-9680-d7dfc7231d38}" done="0">
    <x18tc:text xml:space="preserve">Data informada pelo Comercial, na planilha "Controle de Prazos de Garantia - Aena"</x18tc:text>
  </x18tc:threadedComment>
  <x18tc:threadedComment ref="S1621" dT="2025-06-04T13:37:31.00" personId="{6c3cfef6-2a2b-4523-b695-882d6eeec17a}" id="{b3a4dc8a-6011-495c-85a6-fc1af24d87a9}" done="0">
    <x18tc:text xml:space="preserve">Data de instalação</x18tc:text>
  </x18tc:threadedComment>
  <x18tc:threadedComment ref="AJ576" dT="2025-06-04T16:46:32.00" personId="{6c3cfef6-2a2b-4523-b695-882d6eeec17a}" id="{ac0fcd47-9ee7-45aa-8094-4cb25ea9a245}" done="0">
    <x18tc:text xml:space="preserve">Prazos contados para chamados abertos até as 15:00.
Após esse horário, a contagem começa as 06:00 do dia seguinte</x18tc:text>
  </x18tc:threadedComment>
  <x18tc:threadedComment ref="S1311" dT="2025-06-09T17:33:42.00" personId="{6c3cfef6-2a2b-4523-b695-882d6eeec17a}" id="{11a228a3-6f48-483d-80be-a5bb2ce1f103}" done="0">
    <x18tc:text xml:space="preserve">Data da ordem de início, mencionada no RP</x18tc:text>
  </x18tc:threadedComment>
  <x18tc:threadedComment ref="S1314" dT="2025-03-18T16:20:02.00" personId="{6c3cfef6-2a2b-4523-b695-882d6eeec17a}" id="{2f77818c-00f5-43d9-bacf-5798867095ee}" done="0">
    <x18tc:text xml:space="preserve">Data do TRD</x18tc:text>
  </x18tc:threadedComment>
  <x18tc:threadedComment ref="S442" dT="2025-02-05T11:22:19.00" personId="{6c3cfef6-2a2b-4523-b695-882d6eeec17a}" id="{8d8851a9-224a-4e46-b419-1a6182c36285}" done="0">
    <x18tc:text xml:space="preserve">Data do TRD</x18tc:text>
  </x18tc:threadedComment>
  <x18tc:threadedComment ref="AC1203" dT="2025-09-25T20:22:43.00" personId="{6c3cfef6-2a2b-4523-b695-882d6eeec17a}" id="{29d8ee26-a8d5-4e7c-89c7-82ebd87cb608}" done="0">
    <x18tc:text xml:space="preserve">Data de assinatura do contrato, mencionada no RP</x18tc:text>
  </x18tc:threadedComment>
  <x18tc:threadedComment ref="S331" dT="2025-05-30T18:45:10.00" personId="{6c3cfef6-2a2b-4523-b695-882d6eeec17a}" id="{0b87c2e3-9a4f-48d4-87b2-016ba5f7791a}" done="0">
    <x18tc:text xml:space="preserve">Data de instalação</x18tc:text>
  </x18tc:threadedComment>
  <x18tc:threadedComment ref="S798" dT="2025-06-04T19:04:19.00" personId="{6c3cfef6-2a2b-4523-b695-882d6eeec17a}" id="{24326955-4aa6-4666-890b-ec6ae4d52dce}" done="0">
    <x18tc:text xml:space="preserve">Data de instalação</x18tc:text>
  </x18tc:threadedComment>
  <x18tc:threadedComment ref="S355" dT="2025-06-04T13:37:31.00" personId="{6c3cfef6-2a2b-4523-b695-882d6eeec17a}" id="{8367464a-49ce-425c-bbe1-70af08357f9b}" done="0">
    <x18tc:text xml:space="preserve">Data de instalação</x18tc:text>
  </x18tc:threadedComment>
  <x18tc:threadedComment ref="S743" dT="2025-06-04T17:54:23.00" personId="{6c3cfef6-2a2b-4523-b695-882d6eeec17a}" id="{184ca5cb-cb74-4522-b3e8-b7061fd820f2}" done="0">
    <x18tc:text xml:space="preserve">Data de instalação</x18tc:text>
  </x18tc:threadedComment>
  <x18tc:threadedComment ref="AJ566" dT="2025-06-04T16:46:32.00" personId="{6c3cfef6-2a2b-4523-b695-882d6eeec17a}" id="{1df58627-e9ba-44bc-b7f6-b78d8cdc6dd5}" done="0">
    <x18tc:text xml:space="preserve">Prazos contados para chamados abertos até as 15:00.
Após esse horário, a contagem começa as 06:00 do dia seguinte</x18tc:text>
  </x18tc:threadedComment>
  <x18tc:threadedComment ref="S1467" dT="2025-06-09T18:46:23.00" personId="{6c3cfef6-2a2b-4523-b695-882d6eeec17a}" id="{4247d08e-b094-4025-b4bb-0df5f35d4c44}" done="0">
    <x18tc:text xml:space="preserve">Data de instalação</x18tc:text>
  </x18tc:threadedComment>
  <x18tc:threadedComment ref="S309" dT="2025-05-30T18:39:21.00" personId="{6c3cfef6-2a2b-4523-b695-882d6eeec17a}" id="{429f0b22-f587-417f-9754-0239668a6389}" done="0">
    <x18tc:text xml:space="preserve">Data de instalação</x18tc:text>
  </x18tc:threadedComment>
  <x18tc:threadedComment ref="S39" dT="2025-05-30T13:32:34.00" personId="{6c3cfef6-2a2b-4523-b695-882d6eeec17a}" id="{6f5f1ad6-6df8-4d8c-8740-4c772be48a62}" done="0">
    <x18tc:text xml:space="preserve">Data de instalação</x18tc:text>
  </x18tc:threadedComment>
  <x18tc:threadedComment ref="S803" dT="2025-06-04T19:04:19.00" personId="{6c3cfef6-2a2b-4523-b695-882d6eeec17a}" id="{db909ad1-12ea-4879-bb0d-909501e57753}" done="0">
    <x18tc:text xml:space="preserve">Data de instalação</x18tc:text>
  </x18tc:threadedComment>
  <x18tc:threadedComment ref="S169" dT="2025-05-30T14:31:17.00" personId="{6c3cfef6-2a2b-4523-b695-882d6eeec17a}" id="{31651ebd-293c-429c-874a-ec55fc9fa590}" done="0">
    <x18tc:text xml:space="preserve">Data de instalação</x18tc:text>
  </x18tc:threadedComment>
  <x18tc:threadedComment ref="S253" dT="2025-05-30T14:46:23.00" personId="{6c3cfef6-2a2b-4523-b695-882d6eeec17a}" id="{b6e406a7-4586-43b2-b8f8-54672c2ebc34}" done="0">
    <x18tc:text xml:space="preserve">Data de instalação</x18tc:text>
  </x18tc:threadedComment>
  <x18tc:threadedComment ref="S901" dT="2025-06-06T19:01:59.00" personId="{6c3cfef6-2a2b-4523-b695-882d6eeec17a}" id="{a0468119-d933-44ea-9c6f-1b6bf7a29f1a}" done="0">
    <x18tc:text xml:space="preserve">Data de instalação</x18tc:text>
  </x18tc:threadedComment>
  <x18tc:threadedComment ref="S502" dT="2025-02-05T16:59:48.00" personId="{6c3cfef6-2a2b-4523-b695-882d6eeec17a}" id="{2cec5ffa-aa42-4193-9a23-cd776d2c904f}" done="0">
    <x18tc:text xml:space="preserve">Data do TRD</x18tc:text>
  </x18tc:threadedComment>
  <x18tc:threadedComment ref="AC197" dT="2025-05-30T14:46:23.00" personId="{6c3cfef6-2a2b-4523-b695-882d6eeec17a}" id="{b7961fc0-953f-421d-83b1-9cad346e6cd2}" done="0">
    <x18tc:text xml:space="preserve">Data de instalação</x18tc:text>
  </x18tc:threadedComment>
  <x18tc:threadedComment ref="S353" dT="2025-06-04T13:37:31.00" personId="{6c3cfef6-2a2b-4523-b695-882d6eeec17a}" id="{f77ee3c5-f940-4e79-b236-5898309093ee}" done="0">
    <x18tc:text xml:space="preserve">Data de instalação</x18tc:text>
  </x18tc:threadedComment>
  <x18tc:threadedComment ref="S313" dT="2025-05-30T18:39:21.00" personId="{6c3cfef6-2a2b-4523-b695-882d6eeec17a}" id="{bfe4e1a1-dfb9-4fcc-9fe0-646ff6951927}" done="0">
    <x18tc:text xml:space="preserve">Data de instalação</x18tc:text>
  </x18tc:threadedComment>
  <x18tc:threadedComment ref="X1122" dT="2025-06-09T17:19:07.00" personId="{6c3cfef6-2a2b-4523-b695-882d6eeec17a}" id="{86062009-029c-4120-87e3-11fc49c1bb94}" done="0">
    <x18tc:text xml:space="preserve">Data da Renovação Contratual</x18tc:text>
  </x18tc:threadedComment>
  <x18tc:threadedComment ref="X1017" dT="2025-06-09T16:43:07.00" personId="{6c3cfef6-2a2b-4523-b695-882d6eeec17a}" id="{e105b86e-15ed-499b-9fb1-1c0476e18906}" done="0">
    <x18tc:text xml:space="preserve">Data do 1º Termo Adt</x18tc:text>
  </x18tc:threadedComment>
  <x18tc:threadedComment ref="S777" dT="2025-06-04T17:54:23.00" personId="{6c3cfef6-2a2b-4523-b695-882d6eeec17a}" id="{34b3bcdf-ad2d-4326-829b-308bb30f8fca}" done="0">
    <x18tc:text xml:space="preserve">Data de instalação</x18tc:text>
  </x18tc:threadedComment>
  <x18tc:threadedComment ref="X1023" dT="2025-05-30T14:38:00.00" personId="{6c3cfef6-2a2b-4523-b695-882d6eeec17a}" id="{784e17e8-5217-46f6-b428-8b67a407464b}" done="0">
    <x18tc:text xml:space="preserve">Data mencionada no RP</x18tc:text>
  </x18tc:threadedComment>
  <x18tc:threadedComment ref="S774" dT="2025-06-04T17:54:23.00" personId="{6c3cfef6-2a2b-4523-b695-882d6eeec17a}" id="{05aa8904-71b4-48d7-bb18-53e53756fac2}" done="0">
    <x18tc:text xml:space="preserve">Data de instalação</x18tc:text>
  </x18tc:threadedComment>
  <x18tc:threadedComment ref="S767" dT="2025-06-04T17:54:23.00" personId="{6c3cfef6-2a2b-4523-b695-882d6eeec17a}" id="{79d33ef5-09c2-471a-a91e-02dc111a3070}" done="0">
    <x18tc:text xml:space="preserve">Data de instalação</x18tc:text>
  </x18tc:threadedComment>
  <x18tc:threadedComment ref="AC188" dT="2025-05-30T14:43:21.00" personId="{6c3cfef6-2a2b-4523-b695-882d6eeec17a}" id="{683fbaa7-8ff6-4aea-bca3-feb48c3fdbba}" done="0">
    <x18tc:text xml:space="preserve">Data 2º Adt</x18tc:text>
  </x18tc:threadedComment>
  <x18tc:threadedComment ref="S1502" dT="2025-06-09T18:46:23.00" personId="{6c3cfef6-2a2b-4523-b695-882d6eeec17a}" id="{1dd1b4ea-59d7-4e57-b19c-a0215d4660bc}" done="0">
    <x18tc:text xml:space="preserve">Data de instalação</x18tc:text>
  </x18tc:threadedComment>
  <x18tc:threadedComment ref="AC715" dT="2025-06-04T18:43:40.00" personId="{6c3cfef6-2a2b-4523-b695-882d6eeec17a}" id="{35dd65cf-f0fd-448d-8079-f8f7dad7d471}" done="0">
    <x18tc:text xml:space="preserve">Data de instalação</x18tc:text>
  </x18tc:threadedComment>
  <x18tc:threadedComment ref="S3" dT="2025-05-30T13:32:34.00" personId="{6c3cfef6-2a2b-4523-b695-882d6eeec17a}" id="{7219ea81-5761-45d6-85a3-710b306d1752}" done="0">
    <x18tc:text xml:space="preserve">Data de instalação</x18tc:text>
  </x18tc:threadedComment>
  <x18tc:threadedComment ref="S1066" dT="2024-11-01T18:46:57.00" personId="{6c3cfef6-2a2b-4523-b695-882d6eeec17a}" id="{da071d09-6862-4dab-9109-5c0e0f9b8313}" done="0">
    <x18tc:text xml:space="preserve">Data do TRD</x18tc:text>
  </x18tc:threadedComment>
  <x18tc:threadedComment ref="S1042" dT="2025-06-09T16:53:12.00" personId="{6c3cfef6-2a2b-4523-b695-882d6eeec17a}" id="{4562debd-a518-406a-934f-d677fa099568}" done="0">
    <x18tc:text xml:space="preserve">Data da planilha de planejamento</x18tc:text>
  </x18tc:threadedComment>
  <x18tc:threadedComment ref="S1108" dT="2025-03-13T18:08:42.00" personId="{6c3cfef6-2a2b-4523-b695-882d6eeec17a}" id="{db0824d6-ece5-4222-a009-f4c0d9169f9b}" done="0">
    <x18tc:text xml:space="preserve">Data do TRD</x18tc:text>
  </x18tc:threadedComment>
  <x18tc:threadedComment ref="AC1638" dT="2025-06-04T13:37:31.00" personId="{6c3cfef6-2a2b-4523-b695-882d6eeec17a}" id="{0825cf26-68ec-4144-92cd-826c1d7d276d}" done="0">
    <x18tc:text xml:space="preserve">Data de instalação</x18tc:text>
  </x18tc:threadedComment>
  <x18tc:threadedComment ref="AC1226" dT="2024-11-07T14:41:02.00" personId="{6c3cfef6-2a2b-4523-b695-882d6eeec17a}" id="{77a5cb2c-aaaf-42c1-893f-ccd7ec93ea05}" done="0">
    <x18tc:text xml:space="preserve">Data simbólica informada pelo Cláudio</x18tc:text>
  </x18tc:threadedComment>
  <x18tc:threadedComment ref="S1349" dT="2025-06-09T17:58:09.00" personId="{6c3cfef6-2a2b-4523-b695-882d6eeec17a}" id="{64f2340c-8087-45a4-b035-eaaa708a6644}" done="0">
    <x18tc:text xml:space="preserve">Data de instalação</x18tc:text>
  </x18tc:threadedComment>
  <x18tc:threadedComment ref="AC637" dT="2025-02-07T13:56:10.00" personId="{6c3cfef6-2a2b-4523-b695-882d6eeec17a}" id="{c1eed5a4-12ee-4767-9049-daf909b25ac0}" done="0">
    <x18tc:text xml:space="preserve">Data de instalação</x18tc:text>
  </x18tc:threadedComment>
  <x18tc:threadedComment ref="AC1164" dT="2024-11-07T14:41:02.00" personId="{6c3cfef6-2a2b-4523-b695-882d6eeec17a}" id="{046189d7-b956-487c-8235-702e10d75297}" done="0">
    <x18tc:text xml:space="preserve">Data simbólica informada pelo Cláudio</x18tc:text>
  </x18tc:threadedComment>
  <x18tc:threadedComment ref="S946" dT="2024-12-13T11:57:07.00" personId="{6c3cfef6-2a2b-4523-b695-882d6eeec17a}" id="{f15a9966-7a4d-47bb-bebb-5b299ecdf14c}" done="0">
    <x18tc:text xml:space="preserve">Não localizada data, então preenchida igual a da outra unidade</x18tc:text>
  </x18tc:threadedComment>
  <x18tc:threadedComment ref="S597" dT="2025-02-07T14:14:47.00" personId="{6c3cfef6-2a2b-4523-b695-882d6eeec17a}" id="{216767fa-4eb9-4e76-a3dd-b5cbfc03ddb1}" done="0">
    <x18tc:text xml:space="preserve">Data do TRD</x18tc:text>
  </x18tc:threadedComment>
  <x18tc:threadedComment ref="S431" dT="2025-06-04T13:37:31.00" personId="{6c3cfef6-2a2b-4523-b695-882d6eeec17a}" id="{e1eeaab1-0f13-4959-8abc-6c8a10d5b519}" done="0">
    <x18tc:text xml:space="preserve">Data de instalação</x18tc:text>
  </x18tc:threadedComment>
  <x18tc:threadedComment ref="S926" dT="2025-07-10T13:08:57.00" personId="{6c3cfef6-2a2b-4523-b695-882d6eeec17a}" id="{8451923e-5d4c-46c7-a519-ef0d25e06b8f}" done="0">
    <x18tc:text xml:space="preserve">Data do TRD</x18tc:text>
  </x18tc:threadedComment>
  <x18tc:threadedComment ref="S1321" dT="2025-06-09T17:15:11.00" personId="{6c3cfef6-2a2b-4523-b695-882d6eeec17a}" id="{851e0f77-a26a-4077-8da9-b39f6899f149}" done="0">
    <x18tc:text xml:space="preserve">Data de instalação</x18tc:text>
  </x18tc:threadedComment>
  <x18tc:threadedComment ref="S1598" dT="2025-03-18T18:54:47.00" personId="{6c3cfef6-2a2b-4523-b695-882d6eeec17a}" id="{2e4a0c4a-542d-4396-a9a6-e8680a67e694}" done="0">
    <x18tc:text xml:space="preserve">Data de instalação</x18tc:text>
  </x18tc:threadedComment>
  <x18tc:threadedComment ref="S828" dT="2025-06-05T18:08:29.00" personId="{6c3cfef6-2a2b-4523-b695-882d6eeec17a}" id="{1811716e-804f-40fc-a583-2fa0d5ff86d9}" done="0">
    <x18tc:text xml:space="preserve">Data de instalação</x18tc:text>
  </x18tc:threadedComment>
  <x18tc:threadedComment ref="AC345" dT="2025-01-31T18:49:16.00" personId="{6c3cfef6-2a2b-4523-b695-882d6eeec17a}" id="{28d0aab2-66f0-4b88-b6f9-a579dd1725ca}" done="0">
    <x18tc:text xml:space="preserve">Data do 1º Termo Aditivo</x18tc:text>
  </x18tc:threadedComment>
  <x18tc:threadedComment ref="S768" dT="2025-06-04T17:54:23.00" personId="{6c3cfef6-2a2b-4523-b695-882d6eeec17a}" id="{6a577779-af86-4f00-9726-213137b04d56}" done="0">
    <x18tc:text xml:space="preserve">Data de instalação</x18tc:text>
  </x18tc:threadedComment>
  <x18tc:threadedComment ref="S94" dT="2025-05-30T13:32:34.00" personId="{6c3cfef6-2a2b-4523-b695-882d6eeec17a}" id="{d2a3bf2d-4237-41c4-a6cc-5a49d12287fa}" done="0">
    <x18tc:text xml:space="preserve">Data de instalação</x18tc:text>
  </x18tc:threadedComment>
  <x18tc:threadedComment ref="X1143" dT="2025-06-09T17:21:53.00" personId="{6c3cfef6-2a2b-4523-b695-882d6eeec17a}" id="{5b2bfd86-fdb6-4966-a0da-01b6f9aa17b1}" done="0">
    <x18tc:text xml:space="preserve">Data mencionada no RP</x18tc:text>
  </x18tc:threadedComment>
  <x18tc:threadedComment ref="S999" dT="2024-12-12T19:17:41.00" personId="{6c3cfef6-2a2b-4523-b695-882d6eeec17a}" id="{eef6e22c-e979-4588-9e74-4412a1b1b147}" done="0">
    <x18tc:text xml:space="preserve">Data de inst.</x18tc:text>
  </x18tc:threadedComment>
  <x18tc:threadedComment ref="AC886" dT="2025-06-06T18:27:34.00" personId="{6c3cfef6-2a2b-4523-b695-882d6eeec17a}" id="{57c9c6df-79ee-4664-b171-d7affdfe13b1}" done="0">
    <x18tc:text xml:space="preserve">Data de instalação</x18tc:text>
  </x18tc:threadedComment>
  <x18tc:threadedComment ref="AC202" dT="2025-05-30T14:46:23.00" personId="{6c3cfef6-2a2b-4523-b695-882d6eeec17a}" id="{d7f63f51-e9dd-4938-a1be-fcbf79741002}" done="0">
    <x18tc:text xml:space="preserve">Data de instalação</x18tc:text>
  </x18tc:threadedComment>
  <x18tc:threadedComment ref="AC578" dT="2025-02-07T13:56:10.00" personId="{6c3cfef6-2a2b-4523-b695-882d6eeec17a}" id="{2af08b8a-838b-419f-aacc-05f4497357f6}" done="0">
    <x18tc:text xml:space="preserve">Data do 4º Termo Adt</x18tc:text>
  </x18tc:threadedComment>
  <x18tc:threadedComment ref="S1443" dT="2024-11-05T14:01:53.00" personId="{6c3cfef6-2a2b-4523-b695-882d6eeec17a}" id="{cc7208f4-661b-48f0-b54b-dc55203ad66f}" done="0">
    <x18tc:text xml:space="preserve">Data do TRD</x18tc:text>
  </x18tc:threadedComment>
  <x18tc:threadedComment ref="S98" dT="2025-05-30T13:32:34.00" personId="{6c3cfef6-2a2b-4523-b695-882d6eeec17a}" id="{f6692887-2227-4d40-bcae-b3506b63e729}" done="0">
    <x18tc:text xml:space="preserve">Data de instalação</x18tc:text>
  </x18tc:threadedComment>
  <x18tc:threadedComment ref="S362" dT="2025-06-04T13:37:31.00" personId="{6c3cfef6-2a2b-4523-b695-882d6eeec17a}" id="{4be4bf6f-af3a-4793-b8d7-c78305ec1b54}" done="0">
    <x18tc:text xml:space="preserve">Data de instalação</x18tc:text>
  </x18tc:threadedComment>
  <x18tc:threadedComment ref="AC600" dT="2025-02-07T13:54:57.00" personId="{6c3cfef6-2a2b-4523-b695-882d6eeec17a}" id="{1919cd2f-edb7-415f-ab79-18ee1e29ba38}" done="0">
    <x18tc:text xml:space="preserve">Data informada no RP</x18tc:text>
  </x18tc:threadedComment>
  <x18tc:threadedComment ref="X86" dT="2025-07-17T16:57:11.00" personId="{6c3cfef6-2a2b-4523-b695-882d6eeec17a}" id="{4fcf9d0f-8658-4c28-9035-6fc10f9356ea}" done="0">
    <x18tc:text xml:space="preserve">Data informada pelo Comercial, na planilha "Controle de Prazos de Garantia - Aena"</x18tc:text>
  </x18tc:threadedComment>
  <x18tc:threadedComment ref="AC1269" dT="2025-09-25T20:22:43.00" personId="{6c3cfef6-2a2b-4523-b695-882d6eeec17a}" id="{e4b20610-347c-4f64-a615-33bff2024e86}" done="0">
    <x18tc:text xml:space="preserve">Data de assinatura do contrato, mencionada no RP</x18tc:text>
  </x18tc:threadedComment>
  <x18tc:threadedComment ref="X28" dT="2025-05-30T13:32:34.00" personId="{6c3cfef6-2a2b-4523-b695-882d6eeec17a}" id="{cadc46c5-c943-44f5-a0c3-431152aed663}" done="0">
    <x18tc:text xml:space="preserve">Data de instalação</x18tc:text>
  </x18tc:threadedComment>
  <x18tc:threadedComment ref="S978" dT="2024-11-01T18:44:47.00" personId="{6c3cfef6-2a2b-4523-b695-882d6eeec17a}" id="{ad43010e-3c45-44ee-8816-8d90320b359e}" done="0">
    <x18tc:text xml:space="preserve">Data do TRD</x18tc:text>
  </x18tc:threadedComment>
  <x18tc:threadedComment ref="S239" dT="2025-05-30T14:46:23.00" personId="{6c3cfef6-2a2b-4523-b695-882d6eeec17a}" id="{737bbf33-b637-4174-8b39-3299583bd9ec}" done="0">
    <x18tc:text xml:space="preserve">Data de instalação</x18tc:text>
  </x18tc:threadedComment>
  <x18tc:threadedComment ref="S1094" dT="2025-03-13T17:40:42.00" personId="{6c3cfef6-2a2b-4523-b695-882d6eeec17a}" id="{b922c763-5eb5-41ae-8199-93d24ee62061}" done="0">
    <x18tc:text xml:space="preserve">Data do TRD</x18tc:text>
  </x18tc:threadedComment>
  <x18tc:threadedComment ref="S47" dT="2025-05-30T13:32:34.00" personId="{6c3cfef6-2a2b-4523-b695-882d6eeec17a}" id="{54b9b79a-a41e-417a-ac4d-7cd5c1f758cf}" done="0">
    <x18tc:text xml:space="preserve">Data de instalação</x18tc:text>
  </x18tc:threadedComment>
  <x18tc:threadedComment ref="S1566" dT="2025-06-09T19:34:06.00" personId="{6c3cfef6-2a2b-4523-b695-882d6eeec17a}" id="{dadcd1d4-bb68-4d35-b127-80841ddd39fc}" done="0">
    <x18tc:text xml:space="preserve">Data do TRD</x18tc:text>
  </x18tc:threadedComment>
  <x18tc:threadedComment ref="X231" dT="2025-01-31T18:15:26.00" personId="{6c3cfef6-2a2b-4523-b695-882d6eeec17a}" id="{36a252d9-63f7-4e5b-b21d-2f15b6e78a2c}" done="0">
    <x18tc:text xml:space="preserve">Data do 1º Termo Aditivo</x18tc:text>
  </x18tc:threadedComment>
  <x18tc:threadedComment ref="S465" dT="2025-02-05T11:22:19.00" personId="{6c3cfef6-2a2b-4523-b695-882d6eeec17a}" id="{69f204b2-e6e6-4060-97e4-0c1852f62efa}" done="0">
    <x18tc:text xml:space="preserve">Data do TRD</x18tc:text>
  </x18tc:threadedComment>
  <x18tc:threadedComment ref="AC898" dT="2025-06-06T18:27:34.00" personId="{6c3cfef6-2a2b-4523-b695-882d6eeec17a}" id="{3baeddce-e88f-4665-9ab5-52a0aed74bf2}" done="0">
    <x18tc:text xml:space="preserve">Data de instalação</x18tc:text>
  </x18tc:threadedComment>
  <x18tc:threadedComment ref="S455" dT="2025-02-05T11:22:19.00" personId="{6c3cfef6-2a2b-4523-b695-882d6eeec17a}" id="{fbf5218d-305f-42e2-859e-37c3fc4e8473}" done="0">
    <x18tc:text xml:space="preserve">Data do TRD</x18tc:text>
  </x18tc:threadedComment>
  <x18tc:threadedComment ref="AC725" dT="2025-06-04T18:43:40.00" personId="{6c3cfef6-2a2b-4523-b695-882d6eeec17a}" id="{29299925-b542-4061-933a-43a9a0f8d400}" done="0">
    <x18tc:text xml:space="preserve">Data de instalação</x18tc:text>
  </x18tc:threadedComment>
  <x18tc:threadedComment ref="S53" dT="2025-05-30T13:32:34.00" personId="{6c3cfef6-2a2b-4523-b695-882d6eeec17a}" id="{bf8db6f0-bdc4-42a5-894f-5d99abfee7e0}" done="0">
    <x18tc:text xml:space="preserve">Data de instalação</x18tc:text>
  </x18tc:threadedComment>
  <x18tc:threadedComment ref="AC640" dT="2025-02-07T13:56:10.00" personId="{6c3cfef6-2a2b-4523-b695-882d6eeec17a}" id="{2fe0f470-ca31-4b4e-ad66-c3a14ab0921d}" done="0">
    <x18tc:text xml:space="preserve">Data de instalação</x18tc:text>
  </x18tc:threadedComment>
  <x18tc:threadedComment ref="X1124" dT="2025-06-09T17:19:07.00" personId="{6c3cfef6-2a2b-4523-b695-882d6eeec17a}" id="{e2867f31-b5d3-42db-a708-63a33c517f18}" done="0">
    <x18tc:text xml:space="preserve">Data da Renovação Contratual</x18tc:text>
  </x18tc:threadedComment>
  <x18tc:threadedComment ref="AJ551" dT="2025-06-04T16:46:32.00" personId="{6c3cfef6-2a2b-4523-b695-882d6eeec17a}" id="{a3831610-4f61-4ff9-8648-6e35d691574e}" done="0">
    <x18tc:text xml:space="preserve">Prazos contados para chamados abertos até as 15:00.
Após esse horário, a contagem começa as 06:00 do dia seguinte</x18tc:text>
  </x18tc:threadedComment>
  <x18tc:threadedComment ref="S1011" dT="2024-11-01T18:44:47.00" personId="{6c3cfef6-2a2b-4523-b695-882d6eeec17a}" id="{859907da-1eb9-4888-8546-78ba09b127ee}" done="0">
    <x18tc:text xml:space="preserve">Data do TRD</x18tc:text>
  </x18tc:threadedComment>
  <x18tc:threadedComment ref="S24" dT="2025-05-30T13:32:34.00" personId="{6c3cfef6-2a2b-4523-b695-882d6eeec17a}" id="{b42f62e6-5c08-4471-b8c4-476df3c24054}" done="0">
    <x18tc:text xml:space="preserve">Data de instalação</x18tc:text>
  </x18tc:threadedComment>
  <x18tc:threadedComment ref="X1142" dT="2025-06-09T17:21:53.00" personId="{6c3cfef6-2a2b-4523-b695-882d6eeec17a}" id="{040f7e0b-2a97-4b6f-90ae-119cd69ff9d4}" done="0">
    <x18tc:text xml:space="preserve">Data mencionada no RP</x18tc:text>
  </x18tc:threadedComment>
  <x18tc:threadedComment ref="S1053" dT="2025-06-09T17:02:24.00" personId="{6c3cfef6-2a2b-4523-b695-882d6eeec17a}" id="{bc822459-1807-4947-8a61-1b9e7db0fdf7}" done="0">
    <x18tc:text xml:space="preserve">Data de instalação</x18tc:text>
  </x18tc:threadedComment>
  <x18tc:threadedComment ref="S801" dT="2025-06-04T19:04:19.00" personId="{6c3cfef6-2a2b-4523-b695-882d6eeec17a}" id="{976cc86d-cb25-4edd-91a1-ba4813e4515a}" done="0">
    <x18tc:text xml:space="preserve">Data de instalação</x18tc:text>
  </x18tc:threadedComment>
  <x18tc:threadedComment ref="S967" dT="2024-11-01T18:44:47.00" personId="{6c3cfef6-2a2b-4523-b695-882d6eeec17a}" id="{cbe74ff1-f562-4ff3-acf1-9f8a75a24d8f}" done="0">
    <x18tc:text xml:space="preserve">Data do TRD</x18tc:text>
  </x18tc:threadedComment>
  <x18tc:threadedComment ref="X72" dT="2025-07-17T17:43:09.00" personId="{6c3cfef6-2a2b-4523-b695-882d6eeec17a}" id="{cbe9d1ae-8d69-438f-bc01-836af8ce8b25}" done="0">
    <x18tc:text xml:space="preserve">Data informada pelo Comercial, na planilha "Controle de Prazos de Garantia - Aena"</x18tc:text>
  </x18tc:threadedComment>
  <x18tc:threadedComment ref="X1132" dT="2025-06-09T17:19:07.00" personId="{6c3cfef6-2a2b-4523-b695-882d6eeec17a}" id="{366d23df-d0c5-411d-8e38-5b62c7048598}" done="0">
    <x18tc:text xml:space="preserve">Data da Renovação Contratual</x18tc:text>
  </x18tc:threadedComment>
  <x18tc:threadedComment ref="AC1281" dT="2024-11-07T14:41:02.00" personId="{6c3cfef6-2a2b-4523-b695-882d6eeec17a}" id="{2387545e-a421-4c7b-8293-9c3a66f6afd5}" done="0">
    <x18tc:text xml:space="preserve">Data simbólica informada pelo Cláudio</x18tc:text>
  </x18tc:threadedComment>
  <x18tc:threadedComment ref="X1136" dT="2025-06-09T17:19:07.00" personId="{6c3cfef6-2a2b-4523-b695-882d6eeec17a}" id="{57d8e98c-b5f2-423c-ac26-deafa0edd888}" done="0">
    <x18tc:text xml:space="preserve">Data da Renovação Contratual</x18tc:text>
  </x18tc:threadedComment>
  <x18tc:threadedComment ref="S1030" dT="2025-06-09T16:53:12.00" personId="{6c3cfef6-2a2b-4523-b695-882d6eeec17a}" id="{41195a8b-7549-4209-be5c-32b7f8abd300}" done="0">
    <x18tc:text xml:space="preserve">Data da planilha de planejamento</x18tc:text>
  </x18tc:threadedComment>
  <x18tc:threadedComment ref="X64" dT="2025-07-17T16:54:55.00" personId="{6c3cfef6-2a2b-4523-b695-882d6eeec17a}" id="{6a9117b9-3aeb-4011-be04-416e0ffd2faa}" done="0">
    <x18tc:text xml:space="preserve">Data informada pelo Comercial, na planilha "Controle de Prazos de Garantia - Aena"</x18tc:text>
  </x18tc:threadedComment>
  <x18tc:threadedComment ref="S1074" dT="2025-06-09T17:02:24.00" personId="{6c3cfef6-2a2b-4523-b695-882d6eeec17a}" id="{c4a6d65e-6370-4ce7-872e-635ca5b23c5f}" done="0">
    <x18tc:text xml:space="preserve">Data de instalação</x18tc:text>
  </x18tc:threadedComment>
  <x18tc:threadedComment ref="S1444" dT="2024-11-01T19:16:18.00" personId="{6c3cfef6-2a2b-4523-b695-882d6eeec17a}" id="{490ba730-44ec-415f-8c25-a74b504cf806}" done="0">
    <x18tc:text xml:space="preserve">Data do TRD</x18tc:text>
  </x18tc:threadedComment>
  <x18tc:threadedComment ref="S17" dT="2025-05-30T13:32:34.00" personId="{6c3cfef6-2a2b-4523-b695-882d6eeec17a}" id="{8774df85-02ce-43e1-8d9b-4dd7a0202190}" done="0">
    <x18tc:text xml:space="preserve">Data de instalação</x18tc:text>
  </x18tc:threadedComment>
  <x18tc:threadedComment ref="AC1326" dT="2025-06-09T17:35:03.00" personId="{6c3cfef6-2a2b-4523-b695-882d6eeec17a}" id="{d1ba4006-8689-498c-8c08-294a9af2567e}" done="0">
    <x18tc:text xml:space="preserve">Data do 5º Temo Adt</x18tc:text>
  </x18tc:threadedComment>
  <x18tc:threadedComment ref="S470" dT="2025-06-04T15:01:11.00" personId="{6c3cfef6-2a2b-4523-b695-882d6eeec17a}" id="{4c7e7f96-4e37-49bf-846a-20b753c50c7f}" done="0">
    <x18tc:text xml:space="preserve">Data do TRD</x18tc:text>
  </x18tc:threadedComment>
  <x18tc:threadedComment ref="S83" dT="2025-05-30T13:32:34.00" personId="{6c3cfef6-2a2b-4523-b695-882d6eeec17a}" id="{79736454-806e-4217-853d-2830d3639412}" done="0">
    <x18tc:text xml:space="preserve">Data de instalação</x18tc:text>
  </x18tc:threadedComment>
  <x18tc:threadedComment ref="S968" dT="2025-06-09T16:26:26.00" personId="{6c3cfef6-2a2b-4523-b695-882d6eeec17a}" id="{20e30ea3-2368-4a14-ba16-510d5ccb43b6}" done="0">
    <x18tc:text xml:space="preserve">Data de instalação</x18tc:text>
  </x18tc:threadedComment>
  <x18tc:threadedComment ref="AC641" dT="2025-02-07T13:56:10.00" personId="{6c3cfef6-2a2b-4523-b695-882d6eeec17a}" id="{738a303c-7b02-47cb-9b78-eea6c6341c21}" done="0">
    <x18tc:text xml:space="preserve">Data de instalação</x18tc:text>
  </x18tc:threadedComment>
  <x18tc:threadedComment ref="X1603" dT="2025-06-09T19:42:13.00" personId="{6c3cfef6-2a2b-4523-b695-882d6eeec17a}" id="{21bd3c6e-9585-4efa-9cbe-4303fbf17a7e}" done="0">
    <x18tc:text xml:space="preserve">Data mencionada no RP</x18tc:text>
  </x18tc:threadedComment>
  <x18tc:threadedComment ref="S1089" dT="2025-03-13T17:40:42.00" personId="{6c3cfef6-2a2b-4523-b695-882d6eeec17a}" id="{decd50a9-a459-4241-9a8a-f21a1b5d52e8}" done="0">
    <x18tc:text xml:space="preserve">Data do TRD</x18tc:text>
  </x18tc:threadedComment>
  <x18tc:threadedComment ref="M1382" dT="2024-12-26T19:17:52.00" personId="{6c3cfef6-2a2b-4523-b695-882d6eeec17a}" id="{3403973d-de39-4eb6-b315-85810959b6db}" done="0">
    <x18tc:text xml:space="preserve">O cliente não disponibilizou um local para que fosse instalado</x18tc:text>
  </x18tc:threadedComment>
  <x18tc:threadedComment ref="AC1246" dT="2024-11-07T14:41:02.00" personId="{6c3cfef6-2a2b-4523-b695-882d6eeec17a}" id="{70a8b988-aa4e-42d6-8439-21008fb6fcfb}" done="0">
    <x18tc:text xml:space="preserve">Data simbólica informada pelo Cláudio</x18tc:text>
  </x18tc:threadedComment>
  <x18tc:threadedComment ref="S1471" dT="2025-06-09T18:46:23.00" personId="{6c3cfef6-2a2b-4523-b695-882d6eeec17a}" id="{ad9d923e-212c-46e4-b8af-76b84cfd8e0c}" done="0">
    <x18tc:text xml:space="preserve">Data de instalação</x18tc:text>
  </x18tc:threadedComment>
  <x18tc:threadedComment ref="X1496" dT="2025-06-09T18:56:22.00" personId="{6c3cfef6-2a2b-4523-b695-882d6eeec17a}" id="{8b3c8601-6d9f-4dd9-adfd-e257c24bdc6d}" done="0">
    <x18tc:text xml:space="preserve">Data do 1º Termo Adt</x18tc:text>
  </x18tc:threadedComment>
  <x18tc:threadedComment ref="X3" dT="2025-07-17T17:37:49.00" personId="{6c3cfef6-2a2b-4523-b695-882d6eeec17a}" id="{ef45e826-6f67-427e-8606-919964803f39}" done="0">
    <x18tc:text xml:space="preserve">Data informada pelo Comercial, na planilha "Controle de Prazos de Garantia - Aena"</x18tc:text>
  </x18tc:threadedComment>
  <x18tc:threadedComment ref="AC1020" dT="2025-06-09T16:48:02.00" personId="{6c3cfef6-2a2b-4523-b695-882d6eeec17a}" id="{e61ce8b7-3734-4dd6-b32b-38b438528dee}" done="0">
    <x18tc:text xml:space="preserve">Data do 2º Termo Adt</x18tc:text>
  </x18tc:threadedComment>
  <x18tc:threadedComment ref="AJ830" dT="2025-06-05T18:14:31.00" personId="{6c3cfef6-2a2b-4523-b695-882d6eeec17a}" id="{2ca8dffa-dd33-4f81-8966-adfc107a4277}" done="0">
    <x18tc:text xml:space="preserve">O problema deverá ser solucionado em até 48H, sendo remoto ou in-loco</x18tc:text>
  </x18tc:threadedComment>
  <x18tc:threadedComment ref="S915" dT="2025-06-09T13:42:09.00" personId="{6c3cfef6-2a2b-4523-b695-882d6eeec17a}" id="{696e3a8c-6219-464e-97a7-0c71e08993e4}" done="0">
    <x18tc:text xml:space="preserve">Data de instalação</x18tc:text>
  </x18tc:threadedComment>
  <x18tc:threadedComment ref="S428" dT="2025-02-05T11:22:19.00" personId="{6c3cfef6-2a2b-4523-b695-882d6eeec17a}" id="{83fbb7a3-ca4c-4066-a80f-6b1d501202bd}" done="0">
    <x18tc:text xml:space="preserve">Data do TRD</x18tc:text>
  </x18tc:threadedComment>
  <x18tc:threadedComment ref="AC1191" dT="2025-09-25T20:22:43.00" personId="{6c3cfef6-2a2b-4523-b695-882d6eeec17a}" id="{8fc07a79-e151-480c-9d6d-1fa6ae1e1fb5}" done="0">
    <x18tc:text xml:space="preserve">Data de assinatura do contrato, mencionada no RP</x18tc:text>
  </x18tc:threadedComment>
  <x18tc:threadedComment ref="S580" dT="2025-06-04T13:37:31.00" personId="{6c3cfef6-2a2b-4523-b695-882d6eeec17a}" id="{14c8ce4b-18fa-4429-80c0-f8f2b0ee1595}" done="0">
    <x18tc:text xml:space="preserve">Data de instalação</x18tc:text>
  </x18tc:threadedComment>
  <x18tc:threadedComment ref="S1446" dT="2024-11-01T19:16:18.00" personId="{6c3cfef6-2a2b-4523-b695-882d6eeec17a}" id="{d110a24d-e286-4a39-8b4e-0954abc985aa}" done="0">
    <x18tc:text xml:space="preserve">Data do TRD</x18tc:text>
  </x18tc:threadedComment>
  <x18tc:threadedComment ref="S12" dT="2025-05-30T13:32:34.00" personId="{6c3cfef6-2a2b-4523-b695-882d6eeec17a}" id="{48d65c7c-cb85-416c-af1b-4365ae39687c}" done="0">
    <x18tc:text xml:space="preserve">Data de instalação</x18tc:text>
  </x18tc:threadedComment>
  <x18tc:threadedComment ref="S1067" dT="2024-11-01T18:46:57.00" personId="{6c3cfef6-2a2b-4523-b695-882d6eeec17a}" id="{f59a70ae-fae6-4d6a-9229-dcfd6af6e96c}" done="0">
    <x18tc:text xml:space="preserve">Data do TRD</x18tc:text>
  </x18tc:threadedComment>
  <x18tc:threadedComment ref="S1554" dT="2025-03-18T18:54:47.00" personId="{6c3cfef6-2a2b-4523-b695-882d6eeec17a}" id="{18c43b6d-711c-4c57-a1f0-8ae85f1ff9ec}" done="0">
    <x18tc:text xml:space="preserve">Data de instalação</x18tc:text>
  </x18tc:threadedComment>
  <x18tc:threadedComment ref="X223" dT="2025-01-31T18:15:26.00" personId="{6c3cfef6-2a2b-4523-b695-882d6eeec17a}" id="{a5c8367c-7aa2-47b9-917e-0a31691ec9d0}" done="0">
    <x18tc:text xml:space="preserve">Data do 1º Termo Aditivo</x18tc:text>
  </x18tc:threadedComment>
  <x18tc:threadedComment ref="AC1170" dT="2025-09-25T20:22:43.00" personId="{6c3cfef6-2a2b-4523-b695-882d6eeec17a}" id="{a8293963-a029-43cf-8135-95be35cdd5ba}" done="0">
    <x18tc:text xml:space="preserve">Data de assinatura do contrato, mencionada no RP</x18tc:text>
  </x18tc:threadedComment>
  <x18tc:threadedComment ref="S501" dT="2025-02-05T16:59:48.00" personId="{6c3cfef6-2a2b-4523-b695-882d6eeec17a}" id="{d985658e-281a-4911-a768-1ef4be4c5ae3}" done="0">
    <x18tc:text xml:space="preserve">Data do TRD</x18tc:text>
  </x18tc:threadedComment>
  <x18tc:threadedComment ref="S41" dT="2025-05-30T13:32:34.00" personId="{6c3cfef6-2a2b-4523-b695-882d6eeec17a}" id="{1f89f57c-307f-420a-ad64-3bc849b8ffaf}" done="0">
    <x18tc:text xml:space="preserve">Data de instalação</x18tc:text>
  </x18tc:threadedComment>
  <x18tc:threadedComment ref="S376" dT="2025-06-04T13:37:31.00" personId="{6c3cfef6-2a2b-4523-b695-882d6eeec17a}" id="{ad8e6c5c-783e-4171-8983-0f026f800871}" done="0">
    <x18tc:text xml:space="preserve">Data de instalação</x18tc:text>
  </x18tc:threadedComment>
  <x18tc:threadedComment ref="S1367" dT="2025-06-09T18:10:30.00" personId="{6c3cfef6-2a2b-4523-b695-882d6eeec17a}" id="{376465e6-ed19-4f5e-8405-d7773c5bd239}" done="0">
    <x18tc:text xml:space="preserve">Data de instalação</x18tc:text>
  </x18tc:threadedComment>
  <x18tc:threadedComment ref="AC660" dT="2025-06-04T18:43:40.00" personId="{6c3cfef6-2a2b-4523-b695-882d6eeec17a}" id="{104f3a21-8098-435a-8ab7-18cd74b20d6c}" done="0">
    <x18tc:text xml:space="preserve">Data de instalação</x18tc:text>
  </x18tc:threadedComment>
  <x18tc:threadedComment ref="AJ582" dT="2025-06-04T16:46:32.00" personId="{6c3cfef6-2a2b-4523-b695-882d6eeec17a}" id="{196b4a70-a7ce-4aa8-877b-ff47777d036e}" done="0">
    <x18tc:text xml:space="preserve">Prazos contados para chamados abertos até as 15:00.
Após esse horário, a contagem começa as 06:00 do dia seguinte</x18tc:text>
  </x18tc:threadedComment>
  <x18tc:threadedComment ref="S82" dT="2025-05-30T13:32:34.00" personId="{6c3cfef6-2a2b-4523-b695-882d6eeec17a}" id="{6758a0af-99a1-4175-957d-30df0b17f847}" done="0">
    <x18tc:text xml:space="preserve">Data de instalação</x18tc:text>
  </x18tc:threadedComment>
  <x18tc:threadedComment ref="S1348" dT="2025-06-09T17:38:37.00" personId="{6c3cfef6-2a2b-4523-b695-882d6eeec17a}" id="{3d10e526-022e-4232-9b3a-445b670850e7}" done="0">
    <x18tc:text xml:space="preserve">Data de instalação</x18tc:text>
  </x18tc:threadedComment>
  <x18tc:threadedComment ref="S963" dT="2025-06-09T16:36:29.00" personId="{6c3cfef6-2a2b-4523-b695-882d6eeec17a}" id="{e5a15888-06d0-4d1b-a80f-9a3f3ffd2681}" done="0">
    <x18tc:text xml:space="preserve">Data de instalação</x18tc:text>
  </x18tc:threadedComment>
  <x18tc:threadedComment ref="X23" dT="2025-05-30T13:32:34.00" personId="{6c3cfef6-2a2b-4523-b695-882d6eeec17a}" id="{3404e88a-25c3-473e-953a-53214b161c1c}" done="0">
    <x18tc:text xml:space="preserve">Data de instalação</x18tc:text>
  </x18tc:threadedComment>
  <x18tc:threadedComment ref="S977" dT="2024-11-01T18:44:47.00" personId="{6c3cfef6-2a2b-4523-b695-882d6eeec17a}" id="{013fc0a9-a4b3-4f6c-a4e4-903aa1902957}" done="0">
    <x18tc:text xml:space="preserve">Data do TRD</x18tc:text>
  </x18tc:threadedComment>
  <x18tc:threadedComment ref="S928" dT="2025-07-10T13:08:57.00" personId="{6c3cfef6-2a2b-4523-b695-882d6eeec17a}" id="{586bef92-a625-4a1d-a3fb-29d4d27508be}" done="0">
    <x18tc:text xml:space="preserve">Data do TRD</x18tc:text>
  </x18tc:threadedComment>
  <x18tc:threadedComment ref="S1096" dT="2025-03-13T17:40:42.00" personId="{6c3cfef6-2a2b-4523-b695-882d6eeec17a}" id="{b5433663-c2b6-4245-9c53-6f147e3ac74a}" done="0">
    <x18tc:text xml:space="preserve">Data do TRD</x18tc:text>
  </x18tc:threadedComment>
  <x18tc:threadedComment ref="S532" dT="2025-02-05T11:22:19.00" personId="{6c3cfef6-2a2b-4523-b695-882d6eeec17a}" id="{b91213a0-e33a-4d95-92f3-9afc1f7a80f2}" done="0">
    <x18tc:text xml:space="preserve">Data do TRD</x18tc:text>
  </x18tc:threadedComment>
  <x18tc:threadedComment ref="S1479" dT="2025-06-09T18:46:23.00" personId="{6c3cfef6-2a2b-4523-b695-882d6eeec17a}" id="{e0d95576-3f57-41cd-b220-0417a39d5392}" done="0">
    <x18tc:text xml:space="preserve">Data de instalação</x18tc:text>
  </x18tc:threadedComment>
  <x18tc:threadedComment ref="AC698" dT="2025-06-04T18:43:40.00" personId="{6c3cfef6-2a2b-4523-b695-882d6eeec17a}" id="{6ef69f90-0ffa-40b6-8c84-e2e0c9623b84}" done="0">
    <x18tc:text xml:space="preserve">Data de instalação</x18tc:text>
  </x18tc:threadedComment>
  <x18tc:threadedComment ref="AJ563" dT="2025-06-04T16:46:32.00" personId="{6c3cfef6-2a2b-4523-b695-882d6eeec17a}" id="{ebdf55f0-0efc-411b-be3e-9cc69c311f77}" done="0">
    <x18tc:text xml:space="preserve">Prazos contados para chamados abertos até as 15:00.
Após esse horário, a contagem começa as 06:00 do dia seguinte</x18tc:text>
  </x18tc:threadedComment>
  <x18tc:threadedComment ref="X58" dT="2025-07-17T16:57:11.00" personId="{6c3cfef6-2a2b-4523-b695-882d6eeec17a}" id="{590c5551-2dd9-4974-879b-a76e82f77d03}" done="0">
    <x18tc:text xml:space="preserve">Data informada pelo Comercial, na planilha "Controle de Prazos de Garantia - Aena"</x18tc:text>
  </x18tc:threadedComment>
  <x18tc:threadedComment ref="AC603" dT="2025-02-07T13:56:10.00" personId="{6c3cfef6-2a2b-4523-b695-882d6eeec17a}" id="{2ad524fa-1fbf-4fff-9086-18a7ac13bd70}" done="0">
    <x18tc:text xml:space="preserve">Data de instalação</x18tc:text>
  </x18tc:threadedComment>
  <x18tc:threadedComment ref="X1130" dT="2025-06-09T17:19:07.00" personId="{6c3cfef6-2a2b-4523-b695-882d6eeec17a}" id="{550bc176-ab2d-4e08-b979-fbf5dc25d4d1}" done="0">
    <x18tc:text xml:space="preserve">Data da Renovação Contratual</x18tc:text>
  </x18tc:threadedComment>
  <x18tc:threadedComment ref="S497" dT="2025-02-05T11:22:19.00" personId="{6c3cfef6-2a2b-4523-b695-882d6eeec17a}" id="{e6508ff0-50ba-4837-a702-178a60637a7e}" done="0">
    <x18tc:text xml:space="preserve">Data do TRD</x18tc:text>
  </x18tc:threadedComment>
  <x18tc:threadedComment ref="AC609" dT="2025-02-07T13:56:10.00" personId="{6c3cfef6-2a2b-4523-b695-882d6eeec17a}" id="{f6ff1a51-f029-48e2-a7c2-5b47203ec355}" done="0">
    <x18tc:text xml:space="preserve">Data de instalação</x18tc:text>
  </x18tc:threadedComment>
  <x18tc:threadedComment ref="S824" dT="2025-06-05T18:05:22.00" personId="{6c3cfef6-2a2b-4523-b695-882d6eeec17a}" id="{8a6ddb00-2e08-4c88-b93d-20745b35d216}" done="0">
    <x18tc:text xml:space="preserve">Data de instalação</x18tc:text>
  </x18tc:threadedComment>
  <x18tc:threadedComment ref="AC1207" dT="2025-09-25T20:22:43.00" personId="{6c3cfef6-2a2b-4523-b695-882d6eeec17a}" id="{17f8d41b-7f1d-4271-b4e3-74d57330fe87}" done="0">
    <x18tc:text xml:space="preserve">Data de assinatura do contrato, mencionada no RP</x18tc:text>
  </x18tc:threadedComment>
  <x18tc:threadedComment ref="AC1212" dT="2024-11-07T14:41:02.00" personId="{6c3cfef6-2a2b-4523-b695-882d6eeec17a}" id="{7a1b91c1-719d-4b43-b2aa-658ada7b0ef1}" done="0">
    <x18tc:text xml:space="preserve">Data simbólica informada pelo Cláudio</x18tc:text>
  </x18tc:threadedComment>
  <x18tc:threadedComment ref="AC1286" dT="2025-09-25T20:22:43.00" personId="{6c3cfef6-2a2b-4523-b695-882d6eeec17a}" id="{05047661-aeba-4041-bfbd-6e46f2f71e96}" done="0">
    <x18tc:text xml:space="preserve">Data de assinatura do contrato, mencionada no RP</x18tc:text>
  </x18tc:threadedComment>
  <x18tc:threadedComment ref="S312" dT="2025-05-30T18:39:21.00" personId="{6c3cfef6-2a2b-4523-b695-882d6eeec17a}" id="{716a51db-76a5-4e5a-836f-e1f66f3a814e}" done="0">
    <x18tc:text xml:space="preserve">Data de instalação</x18tc:text>
  </x18tc:threadedComment>
  <x18tc:threadedComment ref="X26" dT="2025-05-30T13:32:34.00" personId="{6c3cfef6-2a2b-4523-b695-882d6eeec17a}" id="{fdea1fdf-e6fa-41c4-8cbd-d66d0f1a10ec}" done="0">
    <x18tc:text xml:space="preserve">Data de instalação</x18tc:text>
  </x18tc:threadedComment>
  <x18tc:threadedComment ref="S1026" dT="2025-06-09T16:53:12.00" personId="{6c3cfef6-2a2b-4523-b695-882d6eeec17a}" id="{e3d29f52-daba-4c85-b79b-b95b18ddc295}" done="0">
    <x18tc:text xml:space="preserve">Data da planilha de planejamento</x18tc:text>
  </x18tc:threadedComment>
  <x18tc:threadedComment ref="S258" dT="2025-05-30T14:46:23.00" personId="{6c3cfef6-2a2b-4523-b695-882d6eeec17a}" id="{3b24dc12-ae69-4233-bd4a-78646df91226}" done="0">
    <x18tc:text xml:space="preserve">Data de instalação</x18tc:text>
  </x18tc:threadedComment>
  <x18tc:threadedComment ref="AC551" dT="2025-02-07T13:56:10.00" personId="{6c3cfef6-2a2b-4523-b695-882d6eeec17a}" id="{cbe95f8b-f3c2-4768-b27f-77c9bd2a4020}" done="0">
    <x18tc:text xml:space="preserve">Data do 4º Termo Adt</x18tc:text>
  </x18tc:threadedComment>
  <x18tc:threadedComment ref="AC327" dT="2025-09-25T17:14:58.00" personId="{6c3cfef6-2a2b-4523-b695-882d6eeec17a}" id="{bb0b6223-dce5-4dce-b704-879341844f1c}" done="0">
    <x18tc:text xml:space="preserve">Data informada no RP</x18tc:text>
  </x18tc:threadedComment>
  <x18tc:threadedComment ref="S1001" dT="2025-06-09T16:34:42.00" personId="{6c3cfef6-2a2b-4523-b695-882d6eeec17a}" id="{a1e612ec-a4df-4b0b-af12-5ec9ad9f747f}" done="0">
    <x18tc:text xml:space="preserve">Data de instalação</x18tc:text>
  </x18tc:threadedComment>
  <x18tc:threadedComment ref="S500" dT="2025-06-04T13:37:31.00" personId="{6c3cfef6-2a2b-4523-b695-882d6eeec17a}" id="{f248defe-4fc8-4853-bd65-74de6ad77857}" done="0">
    <x18tc:text xml:space="preserve">Data de instalação</x18tc:text>
  </x18tc:threadedComment>
  <x18tc:threadedComment ref="S454" dT="2025-02-05T12:56:49.00" personId="{6c3cfef6-2a2b-4523-b695-882d6eeec17a}" id="{a0c87104-b2d2-4fc3-94c4-3a9487855a0d}" done="0">
    <x18tc:text xml:space="preserve">Data de Inst.</x18tc:text>
  </x18tc:threadedComment>
  <x18tc:threadedComment ref="S1547" dT="2025-06-09T19:06:46.00" personId="{6c3cfef6-2a2b-4523-b695-882d6eeec17a}" id="{e49fe588-576d-4135-973e-0baf3dcd802a}" done="0">
    <x18tc:text xml:space="preserve">Data de instalação</x18tc:text>
  </x18tc:threadedComment>
  <x18tc:threadedComment ref="S509" dT="2025-02-05T16:59:48.00" personId="{6c3cfef6-2a2b-4523-b695-882d6eeec17a}" id="{52370da2-fcb1-4bd4-984f-59ecd296ad4f}" done="0">
    <x18tc:text xml:space="preserve">Data do TRD</x18tc:text>
  </x18tc:threadedComment>
  <x18tc:threadedComment ref="X905" dT="2025-06-06T19:13:12.00" personId="{6c3cfef6-2a2b-4523-b695-882d6eeec17a}" id="{a1514616-2f2e-4e29-8ded-5aceec1f785e}" done="0">
    <x18tc:text xml:space="preserve">Data mencionada no RP de renovação</x18tc:text>
  </x18tc:threadedComment>
  <x18tc:threadedComment ref="S36" dT="2025-05-30T13:32:34.00" personId="{6c3cfef6-2a2b-4523-b695-882d6eeec17a}" id="{dce2ee4a-e11e-4067-9d44-720f9eacefcc}" done="0">
    <x18tc:text xml:space="preserve">Data de instalação</x18tc:text>
  </x18tc:threadedComment>
  <x18tc:threadedComment ref="X858" dT="2025-06-06T18:21:21.00" personId="{6c3cfef6-2a2b-4523-b695-882d6eeec17a}" id="{28212a9c-542d-4cab-a216-445d947a4288}" done="0">
    <x18tc:text xml:space="preserve">Data do Termo Adt</x18tc:text>
  </x18tc:threadedComment>
  <x18tc:threadedComment ref="AC644" dT="2025-02-07T13:56:10.00" personId="{6c3cfef6-2a2b-4523-b695-882d6eeec17a}" id="{1da0b8cb-24dd-4806-a82f-c77ddd33fb7b}" done="0">
    <x18tc:text xml:space="preserve">Data de instalação</x18tc:text>
  </x18tc:threadedComment>
  <x18tc:threadedComment ref="S1482" dT="2025-06-09T18:46:23.00" personId="{6c3cfef6-2a2b-4523-b695-882d6eeec17a}" id="{7eac4742-3ba5-4943-8648-67d2343af771}" done="0">
    <x18tc:text xml:space="preserve">Data de instalação</x18tc:text>
  </x18tc:threadedComment>
  <x18tc:threadedComment ref="AC932" dT="2025-06-09T14:00:45.00" personId="{6c3cfef6-2a2b-4523-b695-882d6eeec17a}" id="{d94f0e2a-d58e-47dd-9561-bdb2de635e6d}" done="0">
    <x18tc:text xml:space="preserve">Data do 2º Termo Adt</x18tc:text>
  </x18tc:threadedComment>
  <x18tc:threadedComment ref="AC860" dT="2025-06-06T18:27:34.00" personId="{6c3cfef6-2a2b-4523-b695-882d6eeec17a}" id="{7b0aaf09-0797-412e-8790-63cd2eeab008}" done="0">
    <x18tc:text xml:space="preserve">Data de instalação</x18tc:text>
  </x18tc:threadedComment>
  <x18tc:threadedComment ref="X1129" dT="2025-06-09T17:19:07.00" personId="{6c3cfef6-2a2b-4523-b695-882d6eeec17a}" id="{fdafde79-ef9d-4504-a418-e12fab3601c3}" done="0">
    <x18tc:text xml:space="preserve">Data da Renovação Contratual</x18tc:text>
  </x18tc:threadedComment>
  <x18tc:threadedComment ref="S849" dT="2025-03-05T19:17:32.00" personId="{6c3cfef6-2a2b-4523-b695-882d6eeec17a}" id="{d2551460-ce1b-458c-b1b2-b6ff72854d96}" done="0">
    <x18tc:text xml:space="preserve">Data do TRD</x18tc:text>
  </x18tc:threadedComment>
  <x18tc:threadedComment ref="S1048" dT="2025-06-09T17:02:24.00" personId="{6c3cfef6-2a2b-4523-b695-882d6eeec17a}" id="{bbf09d88-721f-41d5-8b78-c841c05b763b}" done="0">
    <x18tc:text xml:space="preserve">Data de instalação</x18tc:text>
  </x18tc:threadedComment>
  <x18tc:threadedComment ref="S1541" dT="2025-06-09T19:06:46.00" personId="{6c3cfef6-2a2b-4523-b695-882d6eeec17a}" id="{fab9197c-9e43-4541-b556-bb1fc5360af2}" done="0">
    <x18tc:text xml:space="preserve">Data de instalação</x18tc:text>
  </x18tc:threadedComment>
  <x18tc:threadedComment ref="X877" dT="2025-06-06T18:21:21.00" personId="{6c3cfef6-2a2b-4523-b695-882d6eeec17a}" id="{bfda5716-bbc4-434d-be20-c23de3211a93}" done="0">
    <x18tc:text xml:space="preserve">Data do Termo Adt</x18tc:text>
  </x18tc:threadedComment>
  <x18tc:threadedComment ref="S1630" dT="2025-06-04T13:37:31.00" personId="{6c3cfef6-2a2b-4523-b695-882d6eeec17a}" id="{4edbbdae-80e0-4462-a10d-c1fd6aa822e3}" done="0">
    <x18tc:text xml:space="preserve">Data de instalação</x18tc:text>
  </x18tc:threadedComment>
  <x18tc:threadedComment ref="S764" dT="2025-06-04T17:54:23.00" personId="{6c3cfef6-2a2b-4523-b695-882d6eeec17a}" id="{0123d78d-616c-444b-afec-3263f9d348ce}" done="0">
    <x18tc:text xml:space="preserve">Data de instalação</x18tc:text>
  </x18tc:threadedComment>
  <x18tc:threadedComment ref="AC887" dT="2025-06-06T18:27:34.00" personId="{6c3cfef6-2a2b-4523-b695-882d6eeec17a}" id="{9db9e114-e6b4-4076-adc3-23c0a1732ad3}" done="0">
    <x18tc:text xml:space="preserve">Data de instalação</x18tc:text>
  </x18tc:threadedComment>
  <x18tc:threadedComment ref="AC1227" dT="2024-11-07T14:41:02.00" personId="{6c3cfef6-2a2b-4523-b695-882d6eeec17a}" id="{11652c37-f0c0-45a5-b6de-5859db537083}" done="0">
    <x18tc:text xml:space="preserve">Data simbólica informada pelo Cláudio</x18tc:text>
  </x18tc:threadedComment>
  <x18tc:threadedComment ref="S781" dT="2025-09-26T13:31:58.00" personId="{6c3cfef6-2a2b-4523-b695-882d6eeec17a}" id="{dad164c5-3d20-463c-a031-1f4cf2a9ae13}" done="0">
    <x18tc:text xml:space="preserve">Data simbólica, pois não foi localizada a data de instalação</x18tc:text>
  </x18tc:threadedComment>
  <x18tc:threadedComment ref="AC670" dT="2025-06-04T18:43:40.00" personId="{6c3cfef6-2a2b-4523-b695-882d6eeec17a}" id="{3ef46208-114f-4bae-b126-ab884d2e350a}" done="0">
    <x18tc:text xml:space="preserve">Data de instalação</x18tc:text>
  </x18tc:threadedComment>
  <x18tc:threadedComment ref="S25" dT="2025-05-30T13:32:34.00" personId="{6c3cfef6-2a2b-4523-b695-882d6eeec17a}" id="{cad5462d-29c9-42f4-b71a-d9f60a7b131c}" done="0">
    <x18tc:text xml:space="preserve">Data de instalação</x18tc:text>
  </x18tc:threadedComment>
  <x18tc:threadedComment ref="AC626" dT="2025-02-07T13:56:10.00" personId="{6c3cfef6-2a2b-4523-b695-882d6eeec17a}" id="{6345610d-69b9-447e-a42d-5e34b1bdf5e7}" done="0">
    <x18tc:text xml:space="preserve">Data de instalação</x18tc:text>
  </x18tc:threadedComment>
  <x18tc:threadedComment ref="M946" dT="2024-12-13T11:57:07.00" personId="{6c3cfef6-2a2b-4523-b695-882d6eeec17a}" id="{abff2942-2cf2-4285-be7b-1fa2547290f9}" done="0">
    <x18tc:text xml:space="preserve">Não localizada data, então preenchida igual a da outra unidade</x18tc:text>
  </x18tc:threadedComment>
  <x18tc:threadedComment ref="S1378" dT="2025-06-09T18:10:30.00" personId="{6c3cfef6-2a2b-4523-b695-882d6eeec17a}" id="{f6a2b877-f00e-4bcb-b6da-8319f79c75c0}" done="0">
    <x18tc:text xml:space="preserve">Data de instalação</x18tc:text>
  </x18tc:threadedComment>
  <x18tc:threadedComment ref="S1038" dT="2025-06-09T16:53:12.00" personId="{6c3cfef6-2a2b-4523-b695-882d6eeec17a}" id="{c6d5ab99-b1f1-4a53-8349-6e7cd02b49b2}" done="0">
    <x18tc:text xml:space="preserve">Data da planilha de planejamento</x18tc:text>
  </x18tc:threadedComment>
  <x18tc:threadedComment ref="AC180" dT="2025-05-30T14:43:21.00" personId="{6c3cfef6-2a2b-4523-b695-882d6eeec17a}" id="{e09bd78f-90b7-46bb-a9e7-5adda4cd25f4}" done="0">
    <x18tc:text xml:space="preserve">Data 2º Adt</x18tc:text>
  </x18tc:threadedComment>
  <x18tc:threadedComment ref="AC187" dT="2025-05-30T14:43:21.00" personId="{6c3cfef6-2a2b-4523-b695-882d6eeec17a}" id="{61595013-bc48-427a-a0de-ac2c31974d1b}" done="0">
    <x18tc:text xml:space="preserve">Data 2º Adt</x18tc:text>
  </x18tc:threadedComment>
  <x18tc:threadedComment ref="AC559" dT="2025-02-07T13:56:10.00" personId="{6c3cfef6-2a2b-4523-b695-882d6eeec17a}" id="{40dab98f-c744-484f-a76d-184ccbcb13fa}" done="0">
    <x18tc:text xml:space="preserve">Data do 4º Termo Adt</x18tc:text>
  </x18tc:threadedComment>
  <x18tc:threadedComment ref="S1076" dT="2025-06-09T17:02:24.00" personId="{6c3cfef6-2a2b-4523-b695-882d6eeec17a}" id="{bf4cad7f-a264-4735-bca3-4ed88397fb66}" done="0">
    <x18tc:text xml:space="preserve">Data de instalação</x18tc:text>
  </x18tc:threadedComment>
  <x18tc:threadedComment ref="S394" dT="2025-06-04T13:37:31.00" personId="{6c3cfef6-2a2b-4523-b695-882d6eeec17a}" id="{367359a0-c8e4-47ab-9325-1f4e60cbf6c1}" done="0">
    <x18tc:text xml:space="preserve">Data de instalação</x18tc:text>
  </x18tc:threadedComment>
  <x18tc:threadedComment ref="S1469" dT="2025-06-09T18:46:23.00" personId="{6c3cfef6-2a2b-4523-b695-882d6eeec17a}" id="{5f810e41-e19b-40a1-b997-04cd83e51f65}" done="0">
    <x18tc:text xml:space="preserve">Data de instalação</x18tc:text>
  </x18tc:threadedComment>
  <x18tc:threadedComment ref="S1379" dT="2025-06-09T18:10:30.00" personId="{6c3cfef6-2a2b-4523-b695-882d6eeec17a}" id="{cbd5c555-fbe4-49bd-bde0-bfb251cde875}" done="0">
    <x18tc:text xml:space="preserve">Data de instalação</x18tc:text>
  </x18tc:threadedComment>
  <x18tc:threadedComment ref="AC1325" dT="2025-06-09T17:35:03.00" personId="{6c3cfef6-2a2b-4523-b695-882d6eeec17a}" id="{0585b1d7-6934-4127-8b7c-ed945278d233}" done="0">
    <x18tc:text xml:space="preserve">Data do 5º Temo Adt</x18tc:text>
  </x18tc:threadedComment>
  <x18tc:threadedComment ref="AC881" dT="2025-06-06T18:27:34.00" personId="{6c3cfef6-2a2b-4523-b695-882d6eeec17a}" id="{52d05653-33f4-4b13-a5bd-ac03d76ce5b7}" done="0">
    <x18tc:text xml:space="preserve">Data de instalação</x18tc:text>
  </x18tc:threadedComment>
  <x18tc:threadedComment ref="S408" dT="2025-02-05T11:22:19.00" personId="{6c3cfef6-2a2b-4523-b695-882d6eeec17a}" id="{b9a6c4d5-d70d-4bfa-a26e-bb63525711ac}" done="0">
    <x18tc:text xml:space="preserve">Data do TRD</x18tc:text>
  </x18tc:threadedComment>
  <x18tc:threadedComment ref="S404" dT="2025-02-05T12:56:49.00" personId="{6c3cfef6-2a2b-4523-b695-882d6eeec17a}" id="{6ce642a8-c00c-44fe-9c03-6f11c12ed0c7}" done="0">
    <x18tc:text xml:space="preserve">Data de Inst.</x18tc:text>
  </x18tc:threadedComment>
  <x18tc:threadedComment ref="S1461" dT="2025-06-09T18:46:23.00" personId="{6c3cfef6-2a2b-4523-b695-882d6eeec17a}" id="{f0243904-a3f6-4807-bf57-1fcfd7340942}" done="0">
    <x18tc:text xml:space="preserve">Data de instalação</x18tc:text>
  </x18tc:threadedComment>
  <x18tc:threadedComment ref="AJ827" dT="2025-06-05T18:14:31.00" personId="{6c3cfef6-2a2b-4523-b695-882d6eeec17a}" id="{b2f0ba1d-8fe7-4c42-aef2-1a54a8904496}" done="0">
    <x18tc:text xml:space="preserve">O problema deverá ser solucionado em até 48H, sendo remoto ou in-loco</x18tc:text>
  </x18tc:threadedComment>
  <x18tc:threadedComment ref="S387" dT="2025-06-04T13:37:31.00" personId="{6c3cfef6-2a2b-4523-b695-882d6eeec17a}" id="{1015a564-6cb9-4169-b70f-0a81305a505e}" done="0">
    <x18tc:text xml:space="preserve">Data de instalação</x18tc:text>
  </x18tc:threadedComment>
  <x18tc:threadedComment ref="S524" dT="2025-02-05T11:22:19.00" personId="{6c3cfef6-2a2b-4523-b695-882d6eeec17a}" id="{12962199-69a3-425c-ad1e-7bb9ff364644}" done="0">
    <x18tc:text xml:space="preserve">Data do TRD</x18tc:text>
  </x18tc:threadedComment>
  <x18tc:threadedComment ref="S1440" dT="2024-11-05T14:01:53.00" personId="{6c3cfef6-2a2b-4523-b695-882d6eeec17a}" id="{35536c99-7287-4b83-988a-380d872d22ea}" done="0">
    <x18tc:text xml:space="preserve">Data do TRD</x18tc:text>
  </x18tc:threadedComment>
  <x18tc:threadedComment ref="AC863" dT="2025-06-06T18:27:34.00" personId="{6c3cfef6-2a2b-4523-b695-882d6eeec17a}" id="{bbb638f5-9d68-4f3b-aab4-870c742d708f}" done="0">
    <x18tc:text xml:space="preserve">Data de instalação</x18tc:text>
  </x18tc:threadedComment>
  <x18tc:threadedComment ref="S490" dT="2025-02-05T11:22:19.00" personId="{6c3cfef6-2a2b-4523-b695-882d6eeec17a}" id="{14b1cb3e-7db0-4b6e-bfd3-02358dd4ae14}" done="0">
    <x18tc:text xml:space="preserve">Data do TRD</x18tc:text>
  </x18tc:threadedComment>
  <x18tc:threadedComment ref="S417" dT="2025-06-04T16:28:25.00" personId="{6c3cfef6-2a2b-4523-b695-882d6eeec17a}" id="{cc8231f4-4000-494a-aff8-f85a29205cf5}" done="0">
    <x18tc:text xml:space="preserve">Data de instalação</x18tc:text>
  </x18tc:threadedComment>
  <x18tc:threadedComment ref="S356" dT="2025-06-04T13:37:31.00" personId="{6c3cfef6-2a2b-4523-b695-882d6eeec17a}" id="{b8b20e20-c40b-45d8-b100-bc22bff84d42}" done="0">
    <x18tc:text xml:space="preserve">Data de instalação</x18tc:text>
  </x18tc:threadedComment>
  <x18tc:threadedComment ref="S217" dT="2025-01-06T14:21:51.00" personId="{6c3cfef6-2a2b-4523-b695-882d6eeec17a}" id="{c0e8cbb9-71b2-4ed2-a1f7-c8070e1250b2}" done="0">
    <x18tc:text xml:space="preserve">Data do TRD</x18tc:text>
  </x18tc:threadedComment>
  <x18tc:threadedComment ref="S73" dT="2025-05-30T13:32:34.00" personId="{6c3cfef6-2a2b-4523-b695-882d6eeec17a}" id="{00dab997-3cad-4116-a52b-d94326f76568}" done="0">
    <x18tc:text xml:space="preserve">Data de instalação</x18tc:text>
  </x18tc:threadedComment>
  <x18tc:threadedComment ref="S385" dT="2025-06-04T13:37:31.00" personId="{6c3cfef6-2a2b-4523-b695-882d6eeec17a}" id="{8a529673-9831-4caa-b7b4-bda9fc07323e}" done="0">
    <x18tc:text xml:space="preserve">Data de instalação</x18tc:text>
  </x18tc:threadedComment>
  <x18tc:threadedComment ref="S975" dT="2024-11-01T18:44:47.00" personId="{6c3cfef6-2a2b-4523-b695-882d6eeec17a}" id="{32a91629-9caa-46cb-9bd9-b8a075e55a6d}" done="0">
    <x18tc:text xml:space="preserve">Data do TRD</x18tc:text>
  </x18tc:threadedComment>
  <x18tc:threadedComment ref="S332" dT="2025-05-30T18:45:10.00" personId="{6c3cfef6-2a2b-4523-b695-882d6eeec17a}" id="{1f0d9cbe-8ebe-4870-9bca-d15ac8fe31ca}" done="0">
    <x18tc:text xml:space="preserve">Data de instalação</x18tc:text>
  </x18tc:threadedComment>
  <x18tc:threadedComment ref="S846" dT="2025-06-05T18:08:29.00" personId="{6c3cfef6-2a2b-4523-b695-882d6eeec17a}" id="{3161456b-f69a-49fb-9afe-0ae530ef7075}" done="0">
    <x18tc:text xml:space="preserve">Data de instalação</x18tc:text>
  </x18tc:threadedComment>
  <x18tc:threadedComment ref="AC690" dT="2025-06-04T18:43:40.00" personId="{6c3cfef6-2a2b-4523-b695-882d6eeec17a}" id="{3f70782c-4bf6-49a8-a615-e55963409185}" done="0">
    <x18tc:text xml:space="preserve">Data de instalação</x18tc:text>
  </x18tc:threadedComment>
  <x18tc:threadedComment ref="X96" dT="2025-05-30T13:32:34.00" personId="{6c3cfef6-2a2b-4523-b695-882d6eeec17a}" id="{8ed293e4-10e9-4823-a2a8-a15d280581d3}" done="0">
    <x18tc:text xml:space="preserve">Data de instalação</x18tc:text>
  </x18tc:threadedComment>
  <x18tc:threadedComment ref="AC1186" dT="2024-11-07T14:41:02.00" personId="{6c3cfef6-2a2b-4523-b695-882d6eeec17a}" id="{7710dc69-7ad9-4775-8b7d-b9afd2323291}" done="0">
    <x18tc:text xml:space="preserve">Data simbólica informada pelo Cláudio</x18tc:text>
  </x18tc:threadedComment>
  <x18tc:threadedComment ref="S921" dT="2025-07-10T13:08:57.00" personId="{6c3cfef6-2a2b-4523-b695-882d6eeec17a}" id="{3752e6b5-0d0b-47ac-ba9e-8d7d365407c9}" done="0">
    <x18tc:text xml:space="preserve">Data do TRD</x18tc:text>
  </x18tc:threadedComment>
  <x18tc:threadedComment ref="S1499" dT="2025-06-09T18:46:23.00" personId="{6c3cfef6-2a2b-4523-b695-882d6eeec17a}" id="{417b3e4b-e7fa-4a73-8670-512bae04f11b}" done="0">
    <x18tc:text xml:space="preserve">Data de instalação</x18tc:text>
  </x18tc:threadedComment>
  <x18tc:threadedComment ref="AC707" dT="2025-06-04T18:43:40.00" personId="{6c3cfef6-2a2b-4523-b695-882d6eeec17a}" id="{cb69998e-6466-4079-8637-26dbbdacd3dd}" done="0">
    <x18tc:text xml:space="preserve">Data de instalação</x18tc:text>
  </x18tc:threadedComment>
  <x18tc:threadedComment ref="S841" dT="2025-06-05T18:08:29.00" personId="{6c3cfef6-2a2b-4523-b695-882d6eeec17a}" id="{284e4e3e-1839-48e3-8673-247861cc0247}" done="0">
    <x18tc:text xml:space="preserve">Data de instalação</x18tc:text>
  </x18tc:threadedComment>
  <x18tc:threadedComment ref="S1047" dT="2025-06-09T16:53:12.00" personId="{6c3cfef6-2a2b-4523-b695-882d6eeec17a}" id="{70a916e4-7a97-4791-9570-55e6813b79d7}" done="0">
    <x18tc:text xml:space="preserve">Data da planilha de planejamento</x18tc:text>
  </x18tc:threadedComment>
  <x18tc:threadedComment ref="AC1211" dT="2025-09-25T20:22:43.00" personId="{6c3cfef6-2a2b-4523-b695-882d6eeec17a}" id="{09a62c9f-7d09-4c2d-8552-4d4ac51c3a94}" done="0">
    <x18tc:text xml:space="preserve">Data de assinatura do contrato, mencionada no RP</x18tc:text>
  </x18tc:threadedComment>
  <x18tc:threadedComment ref="X62" dT="2025-07-17T16:57:11.00" personId="{6c3cfef6-2a2b-4523-b695-882d6eeec17a}" id="{cc84a7e5-88e8-4ed6-95fc-1be4e7c739f4}" done="0">
    <x18tc:text xml:space="preserve">Data informada pelo Comercial, na planilha "Controle de Prazos de Garantia - Aena"</x18tc:text>
  </x18tc:threadedComment>
  <x18tc:threadedComment ref="S1061" dT="2025-06-09T17:02:24.00" personId="{6c3cfef6-2a2b-4523-b695-882d6eeec17a}" id="{ba7e3043-2b48-4644-8317-062f838861c5}" done="0">
    <x18tc:text xml:space="preserve">Data de instalação</x18tc:text>
  </x18tc:threadedComment>
  <x18tc:threadedComment ref="S1031" dT="2025-06-09T16:53:12.00" personId="{6c3cfef6-2a2b-4523-b695-882d6eeec17a}" id="{0d9e1f27-b743-4cb0-ba5f-eb080278adba}" done="0">
    <x18tc:text xml:space="preserve">Data da planilha de planejamento</x18tc:text>
  </x18tc:threadedComment>
  <x18tc:threadedComment ref="AC1234" dT="2024-11-07T14:41:02.00" personId="{6c3cfef6-2a2b-4523-b695-882d6eeec17a}" id="{be19006b-60d0-441b-8e9a-bcc054820b6e}" done="0">
    <x18tc:text xml:space="preserve">Data de instalação</x18tc:text>
  </x18tc:threadedComment>
  <x18tc:threadedComment ref="S528" dT="2025-02-05T11:22:19.00" personId="{6c3cfef6-2a2b-4523-b695-882d6eeec17a}" id="{996a5524-aa4b-4d17-a9e0-2f3d095b3f13}" done="0">
    <x18tc:text xml:space="preserve">Data do TRD</x18tc:text>
  </x18tc:threadedComment>
  <x18tc:threadedComment ref="AC1162" dT="2024-11-05T19:06:22.00" personId="{6c3cfef6-2a2b-4523-b695-882d6eeec17a}" id="{afc1e08b-22a4-4db0-847d-a60ce628689a}" done="0">
    <x18tc:text xml:space="preserve">Data de assinatura do contrato informada no RP</x18tc:text>
  </x18tc:threadedComment>
  <x18tc:threadedComment ref="S850" dT="2025-03-05T19:17:32.00" personId="{6c3cfef6-2a2b-4523-b695-882d6eeec17a}" id="{eef5b781-7b38-443d-a630-b7081975b083}" done="0">
    <x18tc:text xml:space="preserve">Data do TRD</x18tc:text>
  </x18tc:threadedComment>
  <x18tc:threadedComment ref="AC718" dT="2025-06-04T18:43:40.00" personId="{6c3cfef6-2a2b-4523-b695-882d6eeec17a}" id="{e9e819b0-e3c0-4e07-8380-c1cbc5260433}" done="0">
    <x18tc:text xml:space="preserve">Data de instalação</x18tc:text>
  </x18tc:threadedComment>
  <x18tc:threadedComment ref="S13" dT="2025-05-30T13:32:34.00" personId="{6c3cfef6-2a2b-4523-b695-882d6eeec17a}" id="{82027386-5326-4ddc-ac90-742e6f2c6e5e}" done="0">
    <x18tc:text xml:space="preserve">Data de instalação</x18tc:text>
  </x18tc:threadedComment>
  <x18tc:threadedComment ref="S1476" dT="2025-06-09T18:46:23.00" personId="{6c3cfef6-2a2b-4523-b695-882d6eeec17a}" id="{029d5d68-7e70-4ac4-a42a-a7067384cf77}" done="0">
    <x18tc:text xml:space="preserve">Data de instalação</x18tc:text>
  </x18tc:threadedComment>
  <x18tc:threadedComment ref="X786" dT="2025-02-25T12:45:16.00" personId="{6c3cfef6-2a2b-4523-b695-882d6eeec17a}" id="{f5056e7c-e20e-4655-a5da-73cb66b26eca}" done="0">
    <x18tc:text xml:space="preserve">Data informada no RP</x18tc:text>
  </x18tc:threadedComment>
  <x18tc:threadedComment ref="S1433" dT="2024-11-05T19:36:25.00" personId="{6c3cfef6-2a2b-4523-b695-882d6eeec17a}" id="{90986ca2-2f88-47ae-9e45-df48a6de7f31}" done="0">
    <x18tc:text xml:space="preserve">Data do TRD</x18tc:text>
  </x18tc:threadedComment>
  <x18tc:threadedComment ref="AC894" dT="2025-06-06T18:27:34.00" personId="{6c3cfef6-2a2b-4523-b695-882d6eeec17a}" id="{2dd1bc07-f59a-4231-a3d3-b579fb68a81d}" done="0">
    <x18tc:text xml:space="preserve">Data de instalação</x18tc:text>
  </x18tc:threadedComment>
  <x18tc:threadedComment ref="S1544" dT="2025-03-19T13:34:06.00" personId="{6c3cfef6-2a2b-4523-b695-882d6eeec17a}" id="{a7c441b4-6df2-4915-9f0b-c347d24623f5}" done="0">
    <x18tc:text xml:space="preserve">Data do TRD</x18tc:text>
  </x18tc:threadedComment>
  <x18tc:threadedComment ref="S334" dT="2025-09-25T17:22:03.00" personId="{6c3cfef6-2a2b-4523-b695-882d6eeec17a}" id="{59091a20-4375-4f92-a6b0-2693a7be0372}" done="0">
    <x18tc:text xml:space="preserve">Data do TRD</x18tc:text>
  </x18tc:threadedComment>
  <x18tc:threadedComment ref="AC890" dT="2025-06-06T18:27:34.00" personId="{6c3cfef6-2a2b-4523-b695-882d6eeec17a}" id="{56c0a065-43d4-436b-a0e2-887a8fb16670}" done="0">
    <x18tc:text xml:space="preserve">Data de instalação</x18tc:text>
  </x18tc:threadedComment>
  <x18tc:threadedComment ref="AJ552" dT="2025-06-04T16:46:32.00" personId="{6c3cfef6-2a2b-4523-b695-882d6eeec17a}" id="{a538259c-34c5-49b2-aed6-12cad5719e58}" done="0">
    <x18tc:text xml:space="preserve">Prazos contados para chamados abertos até as 15:00.
Após esse horário, a contagem começa as 06:00 do dia seguinte</x18tc:text>
  </x18tc:threadedComment>
  <x18tc:threadedComment ref="S393" dT="2025-06-04T13:37:31.00" personId="{6c3cfef6-2a2b-4523-b695-882d6eeec17a}" id="{741a7555-58aa-497e-895f-07e5c8a2ec36}" done="0">
    <x18tc:text xml:space="preserve">Data de instalação</x18tc:text>
  </x18tc:threadedComment>
  <x18tc:threadedComment ref="S77" dT="2025-05-30T13:32:34.00" personId="{6c3cfef6-2a2b-4523-b695-882d6eeec17a}" id="{afc7b990-ebaa-453a-a4eb-910931d57c81}" done="0">
    <x18tc:text xml:space="preserve">Data de instalação</x18tc:text>
  </x18tc:threadedComment>
  <x18tc:threadedComment ref="S1370" dT="2025-06-09T18:03:00.00" personId="{6c3cfef6-2a2b-4523-b695-882d6eeec17a}" id="{8cac93ac-f177-4472-83ea-c95de5524fde}" done="0">
    <x18tc:text xml:space="preserve">Data de instalação</x18tc:text>
  </x18tc:threadedComment>
  <x18tc:threadedComment ref="AC787" dT="2025-06-04T19:30:19.00" personId="{6c3cfef6-2a2b-4523-b695-882d6eeec17a}" id="{39806320-5029-4f99-814e-c45523f518c4}" done="0">
    <x18tc:text xml:space="preserve">Data do 1º Termo Adt</x18tc:text>
  </x18tc:threadedComment>
  <x18tc:threadedComment ref="S1474" dT="2025-06-09T18:46:23.00" personId="{6c3cfef6-2a2b-4523-b695-882d6eeec17a}" id="{fe49f57c-0b66-4276-a42d-9a2425d9fda5}" done="0">
    <x18tc:text xml:space="preserve">Data de instalação</x18tc:text>
  </x18tc:threadedComment>
  <x18tc:threadedComment ref="AC621" dT="2025-02-07T13:56:10.00" personId="{6c3cfef6-2a2b-4523-b695-882d6eeec17a}" id="{b30c541e-9c2c-4d60-be96-55158b5ccb2e}" done="0">
    <x18tc:text xml:space="preserve">Data de instalação</x18tc:text>
  </x18tc:threadedComment>
  <x18tc:threadedComment ref="X61" dT="2025-07-17T17:49:14.00" personId="{6c3cfef6-2a2b-4523-b695-882d6eeec17a}" id="{1a884d38-195f-453b-9246-2a9d6809b71e}" done="0">
    <x18tc:text xml:space="preserve">Data informada pelo Comercial, na planilha "Controle de Prazos de Garantia - Aena"</x18tc:text>
  </x18tc:threadedComment>
  <x18tc:threadedComment ref="S237" dT="2025-05-30T14:46:23.00" personId="{6c3cfef6-2a2b-4523-b695-882d6eeec17a}" id="{7bf10915-2f6e-42ab-ae11-48f4d5a8626b}" done="0">
    <x18tc:text xml:space="preserve">Data do TRD</x18tc:text>
  </x18tc:threadedComment>
  <x18tc:threadedComment ref="S1421" dT="2024-11-01T19:16:18.00" personId="{6c3cfef6-2a2b-4523-b695-882d6eeec17a}" id="{0abdc532-0ce4-4309-bc44-41944365f052}" done="0">
    <x18tc:text xml:space="preserve">Data do TRD</x18tc:text>
  </x18tc:threadedComment>
  <x18tc:threadedComment ref="AC865" dT="2025-06-06T18:27:34.00" personId="{6c3cfef6-2a2b-4523-b695-882d6eeec17a}" id="{dfcc0dc7-3aef-4d49-be4b-5898f0f37e7d}" done="0">
    <x18tc:text xml:space="preserve">Data de instalação</x18tc:text>
  </x18tc:threadedComment>
  <x18tc:threadedComment ref="S1035" dT="2025-06-09T16:53:12.00" personId="{6c3cfef6-2a2b-4523-b695-882d6eeec17a}" id="{b6e1aa07-537c-41de-9042-18b0ad1e2c5f}" done="0">
    <x18tc:text xml:space="preserve">Data da planilha de planejamento</x18tc:text>
  </x18tc:threadedComment>
  <x18tc:threadedComment ref="AL1415" dT="2025-06-09T18:38:48.00" personId="{6c3cfef6-2a2b-4523-b695-882d6eeec17a}" id="{8dabd7fb-c2c9-475d-8f0c-719ab85b8d95}" done="0">
    <x18tc:text xml:space="preserve">Somente peças da lista</x18tc:text>
  </x18tc:threadedComment>
  <x18tc:threadedComment ref="X1128" dT="2025-06-09T17:19:07.00" personId="{6c3cfef6-2a2b-4523-b695-882d6eeec17a}" id="{d916517c-9dcd-47f6-9a9a-e885c4f8f65b}" done="0">
    <x18tc:text xml:space="preserve">Data da Renovação Contratual</x18tc:text>
  </x18tc:threadedComment>
  <x18tc:threadedComment ref="S1495" dT="2025-06-09T18:46:23.00" personId="{6c3cfef6-2a2b-4523-b695-882d6eeec17a}" id="{cc8a6b2f-2b70-4f6b-b0a7-adf40549a5b9}" done="0">
    <x18tc:text xml:space="preserve">Data de instalação</x18tc:text>
  </x18tc:threadedComment>
  <x18tc:threadedComment ref="S489" dT="2025-02-05T11:22:19.00" personId="{6c3cfef6-2a2b-4523-b695-882d6eeec17a}" id="{b6576fa6-2780-4b06-891a-0e9718811cdd}" done="0">
    <x18tc:text xml:space="preserve">Data do TRD</x18tc:text>
  </x18tc:threadedComment>
  <x18tc:threadedComment ref="X53" dT="2025-05-30T13:32:34.00" personId="{6c3cfef6-2a2b-4523-b695-882d6eeec17a}" id="{9cd10288-1d99-4178-8dab-be08a2833e5a}" done="0">
    <x18tc:text xml:space="preserve">Data de instalação</x18tc:text>
  </x18tc:threadedComment>
  <x18tc:threadedComment ref="S491" dT="2025-02-05T11:22:19.00" personId="{6c3cfef6-2a2b-4523-b695-882d6eeec17a}" id="{5a5f4c36-ff41-405c-89f8-72b36323752c}" done="0">
    <x18tc:text xml:space="preserve">Data do TRD</x18tc:text>
  </x18tc:threadedComment>
  <x18tc:threadedComment ref="S1371" dT="2025-06-09T18:10:30.00" personId="{6c3cfef6-2a2b-4523-b695-882d6eeec17a}" id="{caeac3f4-6df2-4716-93cd-fd2ea34ef45d}" done="0">
    <x18tc:text xml:space="preserve">Data de instalação</x18tc:text>
  </x18tc:threadedComment>
  <x18tc:threadedComment ref="S65" dT="2025-05-30T13:32:34.00" personId="{6c3cfef6-2a2b-4523-b695-882d6eeec17a}" id="{02544eab-b815-408e-acfa-c157606d0a27}" done="0">
    <x18tc:text xml:space="preserve">Data de instalação</x18tc:text>
  </x18tc:threadedComment>
  <x18tc:threadedComment ref="H58" dT="2025-07-17T17:06:22.00" personId="{6c3cfef6-2a2b-4523-b695-882d6eeec17a}" id="{a64e2554-15a1-4f15-ad56-1df783ed8d15}" done="0">
    <x18tc:text xml:space="preserve">Série 45906-0, mas plaquinha foi errada com número 45909-0</x18tc:text>
  </x18tc:threadedComment>
  <x18tc:threadedComment ref="S320" dT="2025-05-30T18:45:10.00" personId="{6c3cfef6-2a2b-4523-b695-882d6eeec17a}" id="{4d92813f-c25d-4389-8250-ebb741c9740c}" done="0">
    <x18tc:text xml:space="preserve">Data de instalação</x18tc:text>
  </x18tc:threadedComment>
  <x18tc:threadedComment ref="AC691" dT="2025-06-04T18:43:40.00" personId="{6c3cfef6-2a2b-4523-b695-882d6eeec17a}" id="{6313b21c-aafc-4174-9773-fe068b6b60b4}" done="0">
    <x18tc:text xml:space="preserve">Data de instalação</x18tc:text>
  </x18tc:threadedComment>
  <x18tc:threadedComment ref="S28" dT="2025-05-30T13:32:34.00" personId="{6c3cfef6-2a2b-4523-b695-882d6eeec17a}" id="{93af93b8-cdab-482c-a1bc-6e4a8db46b9e}" done="0">
    <x18tc:text xml:space="preserve">Data de instalação</x18tc:text>
  </x18tc:threadedComment>
  <x18tc:threadedComment ref="X1126" dT="2025-06-09T17:19:07.00" personId="{6c3cfef6-2a2b-4523-b695-882d6eeec17a}" id="{ba2ffd66-6cf4-4d43-bedc-d2f5a2c53106}" done="0">
    <x18tc:text xml:space="preserve">Data da Renovação Contratual</x18tc:text>
  </x18tc:threadedComment>
  <x18tc:threadedComment ref="S1622" dT="2025-06-04T13:37:31.00" personId="{6c3cfef6-2a2b-4523-b695-882d6eeec17a}" id="{54fad6fe-0662-47d0-b466-1334a66dff07}" done="0">
    <x18tc:text xml:space="preserve">Data de instalação</x18tc:text>
  </x18tc:threadedComment>
  <x18tc:threadedComment ref="S1041" dT="2025-06-09T16:53:12.00" personId="{6c3cfef6-2a2b-4523-b695-882d6eeec17a}" id="{c760b27e-d725-4c06-bc48-96b4a651278d}" done="0">
    <x18tc:text xml:space="preserve">Data da planilha de planejamento</x18tc:text>
  </x18tc:threadedComment>
  <x18tc:threadedComment ref="AJ831" dT="2025-06-05T18:14:31.00" personId="{6c3cfef6-2a2b-4523-b695-882d6eeec17a}" id="{1b576b90-f1b5-48bf-9cde-d78fbc07cd56}" done="0">
    <x18tc:text xml:space="preserve">O problema deverá ser solucionado em até 48H, sendo remoto ou in-loco</x18tc:text>
  </x18tc:threadedComment>
  <x18tc:threadedComment ref="S1422" dT="2024-11-01T19:16:18.00" personId="{6c3cfef6-2a2b-4523-b695-882d6eeec17a}" id="{6a7a1a70-1cda-42ee-aa17-34acc287939b}" done="0">
    <x18tc:text xml:space="preserve">Data do TRD</x18tc:text>
  </x18tc:threadedComment>
  <x18tc:threadedComment ref="S1085" dT="2025-03-13T17:40:42.00" personId="{6c3cfef6-2a2b-4523-b695-882d6eeec17a}" id="{f6a4f558-2730-415a-b2a5-dcb3f96f1dae}" done="0">
    <x18tc:text xml:space="preserve">Data do TRD</x18tc:text>
  </x18tc:threadedComment>
  <x18tc:threadedComment ref="AC1645" dT="2025-06-06T19:39:32.00" personId="{6c3cfef6-2a2b-4523-b695-882d6eeec17a}" id="{cd3fc9e0-7539-4d79-9831-f8ffad03ab52}" done="0">
    <x18tc:text xml:space="preserve">Data do 9º Termo Adt</x18tc:text>
  </x18tc:threadedComment>
  <x18tc:threadedComment ref="S1373" dT="2025-06-09T18:10:30.00" personId="{6c3cfef6-2a2b-4523-b695-882d6eeec17a}" id="{9beeaf50-c783-44a3-83ce-191e53d28d58}" done="0">
    <x18tc:text xml:space="preserve">Data de instalação</x18tc:text>
  </x18tc:threadedComment>
  <x18tc:threadedComment ref="S793" dT="2025-06-04T19:04:19.00" personId="{6c3cfef6-2a2b-4523-b695-882d6eeec17a}" id="{98cf3c5c-e3bc-4f08-994c-5a8ab9b74a04}" done="0">
    <x18tc:text xml:space="preserve">Data de instalação</x18tc:text>
  </x18tc:threadedComment>
  <x18tc:threadedComment ref="S96" dT="2025-05-30T13:32:34.00" personId="{6c3cfef6-2a2b-4523-b695-882d6eeec17a}" id="{22a0bb06-a83c-493a-bcf2-234fe3897b17}" done="0">
    <x18tc:text xml:space="preserve">Data de instalação</x18tc:text>
  </x18tc:threadedComment>
  <x18tc:threadedComment ref="S60" dT="2025-05-30T13:32:34.00" personId="{6c3cfef6-2a2b-4523-b695-882d6eeec17a}" id="{364e5291-4f7e-490d-bca9-a1d59fc8f42b}" done="0">
    <x18tc:text xml:space="preserve">Data de instalação</x18tc:text>
  </x18tc:threadedComment>
  <x18tc:threadedComment ref="X220" dT="2025-01-31T18:15:26.00" personId="{6c3cfef6-2a2b-4523-b695-882d6eeec17a}" id="{cffd3760-0e34-4369-8175-456716fcddde}" done="0">
    <x18tc:text xml:space="preserve">Data do 1º Termo Aditivo</x18tc:text>
  </x18tc:threadedComment>
  <x18tc:threadedComment ref="AL1626" dT="2025-06-06T19:19:16.00" personId="{6c3cfef6-2a2b-4523-b695-882d6eeec17a}" id="{1a08e39d-50c6-477e-b76c-b9d0bb77d0e3}" done="0">
    <x18tc:text xml:space="preserve">Somente as peças mencionadas na lista</x18tc:text>
  </x18tc:threadedComment>
  <x18tc:threadedComment ref="S411" dT="2025-02-05T11:22:19.00" personId="{6c3cfef6-2a2b-4523-b695-882d6eeec17a}" id="{e90db661-81c1-4eb5-a947-0ded325592ec}" done="0">
    <x18tc:text xml:space="preserve">Data do TRD</x18tc:text>
  </x18tc:threadedComment>
  <x18tc:threadedComment ref="X14" dT="2025-07-17T17:49:14.00" personId="{6c3cfef6-2a2b-4523-b695-882d6eeec17a}" id="{f1892047-97dd-45ec-b189-400cdc7601ce}" done="0">
    <x18tc:text xml:space="preserve">Data informada pelo Comercial, na planilha "Controle de Prazos de Garantia - Aena"</x18tc:text>
  </x18tc:threadedComment>
  <x18tc:threadedComment ref="X36" dT="2025-07-17T16:57:11.00" personId="{6c3cfef6-2a2b-4523-b695-882d6eeec17a}" id="{89261f32-4772-4a5a-8c8f-92848f53f73c}" done="0">
    <x18tc:text xml:space="preserve">Data informada pelo Comercial, na planilha "Controle de Prazos de Garantia - Aena"</x18tc:text>
  </x18tc:threadedComment>
  <x18tc:threadedComment ref="S1028" dT="2025-06-09T16:53:12.00" personId="{6c3cfef6-2a2b-4523-b695-882d6eeec17a}" id="{5a51a7f9-ceb2-447f-b3b3-6010febdb5d9}" done="0">
    <x18tc:text xml:space="preserve">Data da planilha de planejamento</x18tc:text>
  </x18tc:threadedComment>
  <x18tc:threadedComment ref="X88" dT="2025-07-17T16:57:11.00" personId="{6c3cfef6-2a2b-4523-b695-882d6eeec17a}" id="{10fc7b43-c60c-4a29-806a-2bb50c1c2092}" done="0">
    <x18tc:text xml:space="preserve">Data informada pelo Comercial, na planilha "Controle de Prazos de Garantia - Aena"</x18tc:text>
  </x18tc:threadedComment>
  <x18tc:threadedComment ref="S1395" dT="2025-06-09T18:21:04.00" personId="{6c3cfef6-2a2b-4523-b695-882d6eeec17a}" id="{57e2382b-3acb-4d5c-8229-a960ea5b912b}" done="0">
    <x18tc:text xml:space="preserve">Data do TRD</x18tc:text>
  </x18tc:threadedComment>
  <x18tc:threadedComment ref="AC675" dT="2025-06-04T18:43:40.00" personId="{6c3cfef6-2a2b-4523-b695-882d6eeec17a}" id="{a0b86f6b-0e5a-44e4-acdc-d5e93663e20f}" done="0">
    <x18tc:text xml:space="preserve">Data de instalação</x18tc:text>
  </x18tc:threadedComment>
  <x18tc:threadedComment ref="X82" dT="2025-07-17T17:49:14.00" personId="{6c3cfef6-2a2b-4523-b695-882d6eeec17a}" id="{7eb93877-2255-4c05-8f96-2db136170e3e}" done="0">
    <x18tc:text xml:space="preserve">Data informada pelo Comercial, na planilha "Controle de Prazos de Garantia - Aena"</x18tc:text>
  </x18tc:threadedComment>
  <x18tc:threadedComment ref="S92" dT="2025-05-30T13:32:34.00" personId="{6c3cfef6-2a2b-4523-b695-882d6eeec17a}" id="{f0c7007f-47c5-458e-9d69-5f10c1e3531b}" done="0">
    <x18tc:text xml:space="preserve">Data de instalação</x18tc:text>
  </x18tc:threadedComment>
  <x18tc:threadedComment ref="AJ548" dT="2025-06-04T16:46:32.00" personId="{6c3cfef6-2a2b-4523-b695-882d6eeec17a}" id="{dea69e5a-b343-472c-93f3-98e69508528a}" done="0">
    <x18tc:text xml:space="preserve">Prazos contados para chamados abertos até as 15:00.
Após esse horário, a contagem começa as 06:00 do dia seguinte</x18tc:text>
  </x18tc:threadedComment>
  <x18tc:threadedComment ref="S1505" dT="2025-06-09T18:46:23.00" personId="{6c3cfef6-2a2b-4523-b695-882d6eeec17a}" id="{e9ad0723-d739-45c0-aa6d-e4916fe66c97}" done="0">
    <x18tc:text xml:space="preserve">Data de instalação</x18tc:text>
  </x18tc:threadedComment>
  <x18tc:threadedComment ref="X1109" dT="2025-06-09T17:19:07.00" personId="{6c3cfef6-2a2b-4523-b695-882d6eeec17a}" id="{d45fea68-99c4-41db-abfe-c8290fef3d27}" done="0">
    <x18tc:text xml:space="preserve">Data da Renovação Contratual</x18tc:text>
  </x18tc:threadedComment>
  <x18tc:threadedComment ref="S257" dT="2025-05-30T14:46:23.00" personId="{6c3cfef6-2a2b-4523-b695-882d6eeec17a}" id="{c08f35c5-cb5b-41ec-92cb-963745073b41}" done="0">
    <x18tc:text xml:space="preserve">Data de instalação</x18tc:text>
  </x18tc:threadedComment>
  <x18tc:threadedComment ref="S518" dT="2025-02-05T11:22:19.00" personId="{6c3cfef6-2a2b-4523-b695-882d6eeec17a}" id="{76f19ed7-7e86-4deb-bb77-60e799d4e004}" done="0">
    <x18tc:text xml:space="preserve">Data do TRD</x18tc:text>
  </x18tc:threadedComment>
  <x18tc:threadedComment ref="AC1254" dT="2025-09-25T20:22:43.00" personId="{6c3cfef6-2a2b-4523-b695-882d6eeec17a}" id="{305425e6-4b3d-4ae9-8538-e98e9af4eb67}" done="0">
    <x18tc:text xml:space="preserve">Data de assinatura do contrato, mencionada no RP</x18tc:text>
  </x18tc:threadedComment>
  <x18tc:threadedComment ref="S1084" dT="2025-03-13T17:40:42.00" personId="{6c3cfef6-2a2b-4523-b695-882d6eeec17a}" id="{6bd676ae-d299-4ae7-a485-82dfc58f61b4}" done="0">
    <x18tc:text xml:space="preserve">Data do TRD</x18tc:text>
  </x18tc:threadedComment>
  <x18tc:threadedComment ref="S419" dT="2025-02-05T16:35:50.00" personId="{6c3cfef6-2a2b-4523-b695-882d6eeec17a}" id="{a06f7cb8-de18-4698-9204-5484d71c3591}" done="0">
    <x18tc:text xml:space="preserve">Data de Inst.</x18tc:text>
  </x18tc:threadedComment>
  <x18tc:threadedComment ref="AJ556" dT="2025-06-04T16:46:32.00" personId="{6c3cfef6-2a2b-4523-b695-882d6eeec17a}" id="{490c1373-dad1-4fb6-9ebe-b73a3aceb241}" done="0">
    <x18tc:text xml:space="preserve">Prazos contados para chamados abertos até as 15:00.
Após esse horário, a contagem começa as 06:00 do dia seguinte</x18tc:text>
  </x18tc:threadedComment>
  <x18tc:threadedComment ref="AC605" dT="2025-02-07T13:56:10.00" personId="{6c3cfef6-2a2b-4523-b695-882d6eeec17a}" id="{c97b694d-6e79-421a-9f06-7a603862fbc6}" done="0">
    <x18tc:text xml:space="preserve">Data de instalação</x18tc:text>
  </x18tc:threadedComment>
  <x18tc:threadedComment ref="X8" dT="2025-07-17T17:37:49.00" personId="{6c3cfef6-2a2b-4523-b695-882d6eeec17a}" id="{2ea1ad5e-4264-4620-86c2-430720770fa9}" done="0">
    <x18tc:text xml:space="preserve">Data informada pelo Comercial, na planilha "Controle de Prazos de Garantia - Aena"</x18tc:text>
  </x18tc:threadedComment>
  <x18tc:threadedComment ref="S1571" dT="2025-06-09T19:36:51.00" personId="{6c3cfef6-2a2b-4523-b695-882d6eeec17a}" id="{368e3d20-4b3b-43c9-8303-88ce6eec2666}" done="0">
    <x18tc:text xml:space="preserve">Data de instalação</x18tc:text>
  </x18tc:threadedComment>
  <x18tc:threadedComment ref="AJ583" dT="2025-06-04T16:46:32.00" personId="{6c3cfef6-2a2b-4523-b695-882d6eeec17a}" id="{88bae3ba-a69b-4a8f-9a0d-9db231df09d2}" done="0">
    <x18tc:text xml:space="preserve">Prazos contados para chamados abertos até as 15:00.
Após esse horário, a contagem começa as 06:00 do dia seguinte</x18tc:text>
  </x18tc:threadedComment>
  <x18tc:threadedComment ref="S1517" dT="2025-03-19T12:32:47.00" personId="{6c3cfef6-2a2b-4523-b695-882d6eeec17a}" id="{ec34f135-9750-45d8-bbdf-2a110f71056f}" done="0">
    <x18tc:text xml:space="preserve">Data do TRD</x18tc:text>
  </x18tc:threadedComment>
  <x18tc:threadedComment ref="X1414" dT="2025-06-09T18:37:20.00" personId="{6c3cfef6-2a2b-4523-b695-882d6eeec17a}" id="{56e75438-8b60-4591-83b7-ff4982ad4d93}" done="0">
    <x18tc:text xml:space="preserve">Data do 1º Termo Adt</x18tc:text>
  </x18tc:threadedComment>
  <x18tc:threadedComment ref="S1399" dT="2025-01-07T17:30:30.00" personId="{6c3cfef6-2a2b-4523-b695-882d6eeec17a}" id="{ffa5f660-c573-4a38-be18-85b26b93fd69}" done="0">
    <x18tc:text xml:space="preserve">Data do TRD</x18tc:text>
  </x18tc:threadedComment>
  <x18tc:threadedComment ref="S1104" dT="2025-03-13T17:40:42.00" personId="{6c3cfef6-2a2b-4523-b695-882d6eeec17a}" id="{9a6d7de7-7381-4241-ab21-391d77eec55e}" done="0">
    <x18tc:text xml:space="preserve">Data do TRD</x18tc:text>
  </x18tc:threadedComment>
  <x18tc:threadedComment ref="S427" dT="2025-02-05T11:22:19.00" personId="{6c3cfef6-2a2b-4523-b695-882d6eeec17a}" id="{adce4ee0-337e-48e7-9cd8-dccec8c9707e}" done="0">
    <x18tc:text xml:space="preserve">Data do TRD</x18tc:text>
  </x18tc:threadedComment>
  <x18tc:threadedComment ref="S266" dT="2025-05-30T18:45:10.00" personId="{6c3cfef6-2a2b-4523-b695-882d6eeec17a}" id="{c7529282-29bb-41c7-acc9-e0819037aab8}" done="0">
    <x18tc:text xml:space="preserve">Data de instalação</x18tc:text>
  </x18tc:threadedComment>
  <x18tc:threadedComment ref="X1390" dT="2025-06-09T18:20:19.00" personId="{6c3cfef6-2a2b-4523-b695-882d6eeec17a}" id="{84d865c4-2e6b-4786-92fb-6ffd4670e203}" done="0">
    <x18tc:text xml:space="preserve">Data mencionada no RP</x18tc:text>
  </x18tc:threadedComment>
  <x18tc:threadedComment ref="S942" dT="2024-11-01T18:44:47.00" personId="{6c3cfef6-2a2b-4523-b695-882d6eeec17a}" id="{1351acae-a455-4b9e-9fb5-6688cca2aae8}" done="0">
    <x18tc:text xml:space="preserve">Data do TRD</x18tc:text>
  </x18tc:threadedComment>
  <x18tc:threadedComment ref="AC1168" dT="2025-09-25T20:22:43.00" personId="{6c3cfef6-2a2b-4523-b695-882d6eeec17a}" id="{bcdbe992-7b09-436f-a3b6-487d669883da}" done="0">
    <x18tc:text xml:space="preserve">Data de assinatura do contrato, mencionada no RP</x18tc:text>
  </x18tc:threadedComment>
  <x18tc:threadedComment ref="S515" dT="2025-02-05T16:59:48.00" personId="{6c3cfef6-2a2b-4523-b695-882d6eeec17a}" id="{622b26d1-1488-4a48-82db-76bc56d070ea}" done="0">
    <x18tc:text xml:space="preserve">Data do TRD</x18tc:text>
  </x18tc:threadedComment>
  <x18tc:threadedComment ref="S406" dT="2025-02-05T12:56:49.00" personId="{6c3cfef6-2a2b-4523-b695-882d6eeec17a}" id="{e93091de-8a2d-49f4-8170-6ebf1ab48f32}" done="0">
    <x18tc:text xml:space="preserve">Data de Inst.</x18tc:text>
  </x18tc:threadedComment>
  <x18tc:threadedComment ref="S179" dT="2025-09-25T16:37:30.00" personId="{6c3cfef6-2a2b-4523-b695-882d6eeec17a}" id="{e7669371-ad7d-435d-94de-d8e63c3aba80}" done="0">
    <x18tc:text xml:space="preserve">Data de instalação</x18tc:text>
  </x18tc:threadedComment>
  <x18tc:threadedComment ref="S294" dT="2025-05-30T18:33:18.00" personId="{6c3cfef6-2a2b-4523-b695-882d6eeec17a}" id="{1999133b-cd13-4053-8f9f-aaa6ea682be6}" done="0">
    <x18tc:text xml:space="preserve">Data de instalação</x18tc:text>
  </x18tc:threadedComment>
  <x18tc:threadedComment ref="S1405" dT="2025-01-07T17:30:30.00" personId="{6c3cfef6-2a2b-4523-b695-882d6eeec17a}" id="{4e9c1536-2a3e-44bb-9079-126aa85b7455}" done="0">
    <x18tc:text xml:space="preserve">Data do TRD</x18tc:text>
  </x18tc:threadedComment>
  <x18tc:threadedComment ref="AC1216" dT="2025-07-03T17:39:15.00" personId="{6c3cfef6-2a2b-4523-b695-882d6eeec17a}" id="{f984f067-9692-4a86-932e-a98f4ca71739}" done="0">
    <x18tc:text xml:space="preserve">Data de instalação</x18tc:text>
  </x18tc:threadedComment>
  <x18tc:threadedComment ref="S388" dT="2025-06-04T13:37:31.00" personId="{6c3cfef6-2a2b-4523-b695-882d6eeec17a}" id="{1dd9b510-8997-41d0-b352-31aaf65452d1}" done="0">
    <x18tc:text xml:space="preserve">Data de instalação</x18tc:text>
  </x18tc:threadedComment>
  <x18tc:threadedComment ref="S1450" dT="2024-11-01T19:16:18.00" personId="{6c3cfef6-2a2b-4523-b695-882d6eeec17a}" id="{2de94e1b-fe17-48a3-b768-865732380c76}" done="0">
    <x18tc:text xml:space="preserve">Data do TRD</x18tc:text>
  </x18tc:threadedComment>
  <x18tc:threadedComment ref="AL806" dT="2025-12-12T12:15:46.00" personId="{23b4e6d8-a4cf-4525-853e-41d120ba6289}" id="{28fece5b-1fa8-4f66-9fed-0e3ba4687f5b}" done="0">
    <x18tc:text xml:space="preserve">Atendimento Preventivo e Corretivo
Envio de proposta caso necessário a substituição de peças.</x18tc:text>
  </x18tc:threadedComment>
  <x18tc:threadedComment ref="AC1327" dT="2025-06-09T17:35:03.00" personId="{6c3cfef6-2a2b-4523-b695-882d6eeec17a}" id="{5886364d-41bb-470b-80b8-2f930e8b1e60}" done="0">
    <x18tc:text xml:space="preserve">Data do 5º Temo Adt</x18tc:text>
  </x18tc:threadedComment>
  <x18tc:threadedComment ref="S765" dT="2025-06-04T17:54:23.00" personId="{6c3cfef6-2a2b-4523-b695-882d6eeec17a}" id="{1c09e4ac-ebb9-445e-a450-bf300c4d5d76}" done="0">
    <x18tc:text xml:space="preserve">Data de instalação</x18tc:text>
  </x18tc:threadedComment>
  <x18tc:threadedComment ref="S994" dT="2024-11-01T18:44:47.00" personId="{6c3cfef6-2a2b-4523-b695-882d6eeec17a}" id="{7f846871-01ab-467e-bbdf-f392eee2e344}" done="0">
    <x18tc:text xml:space="preserve">Data do TRD</x18tc:text>
  </x18tc:threadedComment>
  <x18tc:threadedComment ref="X4" dT="2025-07-17T17:37:49.00" personId="{6c3cfef6-2a2b-4523-b695-882d6eeec17a}" id="{e3147798-16f0-4349-add2-01bd684167b5}" done="0">
    <x18tc:text xml:space="preserve">Data informada pelo Comercial, na planilha "Controle de Prazos de Garantia - Aena"</x18tc:text>
  </x18tc:threadedComment>
  <x18tc:threadedComment ref="AC1262" dT="2024-11-07T14:41:02.00" personId="{6c3cfef6-2a2b-4523-b695-882d6eeec17a}" id="{f076ced9-24c6-4e4a-8dc4-83e1e05e5455}" done="0">
    <x18tc:text xml:space="preserve">Data simbólica informada pelo Cláudio</x18tc:text>
  </x18tc:threadedComment>
  <x18tc:threadedComment ref="AC649" dT="2025-02-07T13:56:10.00" personId="{6c3cfef6-2a2b-4523-b695-882d6eeec17a}" id="{9ca614b3-fea1-493e-a6bb-2ec1be2cd8f1}" done="0">
    <x18tc:text xml:space="preserve">Data de instalação</x18tc:text>
  </x18tc:threadedComment>
  <x18tc:threadedComment ref="S1050" dT="2024-11-01T18:46:57.00" personId="{6c3cfef6-2a2b-4523-b695-882d6eeec17a}" id="{51dfe81d-6f00-4bdd-8820-64fff7f9e6bc}" done="0">
    <x18tc:text xml:space="preserve">Data do TRD</x18tc:text>
  </x18tc:threadedComment>
  <x18tc:threadedComment ref="M1137" dT="2025-05-29T14:05:02.00" personId="{6c3cfef6-2a2b-4523-b695-882d6eeec17a}" id="{d5a9ba74-2dd3-4abd-97bb-528f15c6080c}" done="0">
    <x18tc:text xml:space="preserve">Não localizada OS de instalação, data simbólica</x18tc:text>
  </x18tc:threadedComment>
  <x18tc:threadedComment ref="X1116" dT="2025-06-09T17:19:07.00" personId="{6c3cfef6-2a2b-4523-b695-882d6eeec17a}" id="{d8652e93-4f35-4c57-bafb-fed1039cebb7}" done="0">
    <x18tc:text xml:space="preserve">Data da Renovação Contratual</x18tc:text>
  </x18tc:threadedComment>
  <x18tc:threadedComment ref="AC1172" dT="2024-11-07T14:41:02.00" personId="{6c3cfef6-2a2b-4523-b695-882d6eeec17a}" id="{da673405-abf0-4ade-91ee-3aa877d9deb3}" done="0">
    <x18tc:text xml:space="preserve">Data simbólica informada pelo Cláudio</x18tc:text>
  </x18tc:threadedComment>
  <x18tc:threadedComment ref="S210" dT="2025-05-30T14:46:23.00" personId="{6c3cfef6-2a2b-4523-b695-882d6eeec17a}" id="{65ee7cab-1005-4b31-8786-2c74a0815a16}" done="0">
    <x18tc:text xml:space="preserve">Data de instalação</x18tc:text>
  </x18tc:threadedComment>
  <x18tc:threadedComment ref="AC194" dT="2025-05-30T14:46:23.00" personId="{6c3cfef6-2a2b-4523-b695-882d6eeec17a}" id="{c99a1931-8bd0-4b3b-b98d-0e132637ef45}" done="0">
    <x18tc:text xml:space="preserve">Data de instalação</x18tc:text>
  </x18tc:threadedComment>
  <x18tc:threadedComment ref="S218" dT="2025-05-30T14:46:23.00" personId="{6c3cfef6-2a2b-4523-b695-882d6eeec17a}" id="{71aaf9ec-9543-456a-9ad8-912be748b252}" done="0">
    <x18tc:text xml:space="preserve">Data de instalação</x18tc:text>
  </x18tc:threadedComment>
  <x18tc:threadedComment ref="AC1260" dT="2024-11-07T14:41:02.00" personId="{6c3cfef6-2a2b-4523-b695-882d6eeec17a}" id="{e103327b-7533-413c-99f0-cc52c3c5708c}" done="0">
    <x18tc:text xml:space="preserve">Data simbólica informada pelo Cláudio</x18tc:text>
  </x18tc:threadedComment>
  <x18tc:threadedComment ref="S944" dT="2024-11-01T18:44:47.00" personId="{6c3cfef6-2a2b-4523-b695-882d6eeec17a}" id="{e666cc32-6347-440f-9608-fd14ef4c217c}" done="0">
    <x18tc:text xml:space="preserve">Data do TRD</x18tc:text>
  </x18tc:threadedComment>
  <x18tc:threadedComment ref="S1052" dT="2025-06-09T17:02:24.00" personId="{6c3cfef6-2a2b-4523-b695-882d6eeec17a}" id="{971635cb-d7c4-474d-9ebd-19d2b02fb36f}" done="0">
    <x18tc:text xml:space="preserve">Data de instalação</x18tc:text>
  </x18tc:threadedComment>
  <x18tc:threadedComment ref="S363" dT="2025-06-04T13:37:31.00" personId="{6c3cfef6-2a2b-4523-b695-882d6eeec17a}" id="{7bee2063-510e-4eed-b510-831d6682ea91}" done="0">
    <x18tc:text xml:space="preserve">Data de instalação</x18tc:text>
  </x18tc:threadedComment>
  <x18tc:threadedComment ref="X9" dT="2025-07-17T17:49:14.00" personId="{6c3cfef6-2a2b-4523-b695-882d6eeec17a}" id="{68a62da1-de0d-4d11-b84d-cb6640a4f145}" done="0">
    <x18tc:text xml:space="preserve">Data informada pelo Comercial, na planilha "Controle de Prazos de Garantia - Aena"</x18tc:text>
  </x18tc:threadedComment>
  <x18tc:threadedComment ref="S274" dT="2025-05-30T18:33:18.00" personId="{6c3cfef6-2a2b-4523-b695-882d6eeec17a}" id="{ee3f8126-92b5-4ce2-8ff9-914f3af797a1}" done="0">
    <x18tc:text xml:space="preserve">Data de instalação</x18tc:text>
  </x18tc:threadedComment>
  <x18tc:threadedComment ref="S1545" dT="2025-03-19T13:34:06.00" personId="{6c3cfef6-2a2b-4523-b695-882d6eeec17a}" id="{4fda2c12-01e3-4711-8d50-ea3e4669ecb3}" done="0">
    <x18tc:text xml:space="preserve">Data do TRD</x18tc:text>
  </x18tc:threadedComment>
  <x18tc:threadedComment ref="S300" dT="2025-05-30T18:45:10.00" personId="{6c3cfef6-2a2b-4523-b695-882d6eeec17a}" id="{0307688a-c49f-4f4b-ad4a-db1f99cb2cb4}" done="0">
    <x18tc:text xml:space="preserve">Data de instalação</x18tc:text>
  </x18tc:threadedComment>
  <x18tc:threadedComment ref="X918" dT="2025-06-06T19:45:10.00" personId="{6c3cfef6-2a2b-4523-b695-882d6eeec17a}" id="{d31e2b5c-200e-42a6-be2e-45f54fdb71a4}" done="0">
    <x18tc:text xml:space="preserve">Data mencionada no RP</x18tc:text>
  </x18tc:threadedComment>
  <x18tc:threadedComment ref="S357" dT="2025-06-04T13:37:31.00" personId="{6c3cfef6-2a2b-4523-b695-882d6eeec17a}" id="{09062b1f-e8f7-4a8a-a688-594abd45c595}" done="0">
    <x18tc:text xml:space="preserve">Data de instalação</x18tc:text>
  </x18tc:threadedComment>
  <x18tc:threadedComment ref="AC592" dT="2025-02-07T13:54:57.00" personId="{6c3cfef6-2a2b-4523-b695-882d6eeec17a}" id="{ae7bf284-545e-4384-92a1-fd913edff3ba}" done="0">
    <x18tc:text xml:space="preserve">Data informada no RP</x18tc:text>
  </x18tc:threadedComment>
  <x18tc:threadedComment ref="S1527" dT="2025-06-09T18:46:23.00" personId="{6c3cfef6-2a2b-4523-b695-882d6eeec17a}" id="{7dd031ff-ff21-4061-81c1-8ca35ce30712}" done="0">
    <x18tc:text xml:space="preserve">Data de instalação</x18tc:text>
  </x18tc:threadedComment>
  <x18tc:threadedComment ref="S1009" dT="2024-11-01T18:44:47.00" personId="{6c3cfef6-2a2b-4523-b695-882d6eeec17a}" id="{d5b20e6a-d3e3-45eb-885b-1343bfc80404}" done="0">
    <x18tc:text xml:space="preserve">Data do TRD</x18tc:text>
  </x18tc:threadedComment>
  <x18tc:threadedComment ref="X54" dT="2025-05-30T13:32:34.00" personId="{6c3cfef6-2a2b-4523-b695-882d6eeec17a}" id="{db34c907-c708-41f6-af3d-fc4a953fe248}" done="0">
    <x18tc:text xml:space="preserve">Data de instalação</x18tc:text>
  </x18tc:threadedComment>
  <x18tc:threadedComment ref="S1562" dT="2025-06-09T19:34:06.00" personId="{6c3cfef6-2a2b-4523-b695-882d6eeec17a}" id="{9c075a7f-bf6d-4c00-87cf-ff1e67244ab1}" done="0">
    <x18tc:text xml:space="preserve">Data do TRD</x18tc:text>
  </x18tc:threadedComment>
  <x18tc:threadedComment ref="S1568" dT="2025-03-18T18:54:47.00" personId="{6c3cfef6-2a2b-4523-b695-882d6eeec17a}" id="{c32ecc93-256f-406a-b8c0-044628051c9d}" done="0">
    <x18tc:text xml:space="preserve">Data de instalação</x18tc:text>
  </x18tc:threadedComment>
  <x18tc:threadedComment ref="X1647" dT="2025-06-06T19:14:54.00" personId="{6c3cfef6-2a2b-4523-b695-882d6eeec17a}" id="{cf825ebb-f308-4ee5-a9ab-54256fb5b107}" done="0">
    <x18tc:text xml:space="preserve">Data mencionada no RP</x18tc:text>
  </x18tc:threadedComment>
  <x18tc:threadedComment ref="AC669" dT="2025-06-04T18:43:40.00" personId="{6c3cfef6-2a2b-4523-b695-882d6eeec17a}" id="{cc7d9be6-62c3-4e5b-9aa8-a27d686c9295}" done="0">
    <x18tc:text xml:space="preserve">Data de instalação</x18tc:text>
  </x18tc:threadedComment>
  <x18tc:threadedComment ref="S7" dT="2025-05-30T13:32:34.00" personId="{6c3cfef6-2a2b-4523-b695-882d6eeec17a}" id="{8a018e3c-f500-44ce-a2dc-ab9a2e4370c4}" done="0">
    <x18tc:text xml:space="preserve">Data de instalação</x18tc:text>
  </x18tc:threadedComment>
  <x18tc:threadedComment ref="AJ560" dT="2025-06-04T16:46:32.00" personId="{6c3cfef6-2a2b-4523-b695-882d6eeec17a}" id="{c8f84e3a-10b3-41e8-ad33-31a8a65835c5}" done="0">
    <x18tc:text xml:space="preserve">Prazos contados para chamados abertos até as 15:00.
Após esse horário, a contagem começa as 06:00 do dia seguinte</x18tc:text>
  </x18tc:threadedComment>
  <x18tc:threadedComment ref="S752" dT="2025-06-04T17:54:23.00" personId="{6c3cfef6-2a2b-4523-b695-882d6eeec17a}" id="{bb18c1b3-0ba6-4b87-be66-b2a350ad42ea}" done="0">
    <x18tc:text xml:space="preserve">Data de instalação</x18tc:text>
  </x18tc:threadedComment>
  <x18tc:threadedComment ref="AC697" dT="2025-06-04T18:43:40.00" personId="{6c3cfef6-2a2b-4523-b695-882d6eeec17a}" id="{fb5c25b5-8166-4130-8923-c42e2f5fcc5e}" done="0">
    <x18tc:text xml:space="preserve">Data de instalação</x18tc:text>
  </x18tc:threadedComment>
  <x18tc:threadedComment ref="S957" dT="2024-11-01T18:44:47.00" personId="{6c3cfef6-2a2b-4523-b695-882d6eeec17a}" id="{655ca13a-96c2-4db5-b00b-f86d86abd2f1}" done="0">
    <x18tc:text xml:space="preserve">Data do TRD</x18tc:text>
  </x18tc:threadedComment>
  <x18tc:threadedComment ref="S18" dT="2025-05-30T13:32:34.00" personId="{6c3cfef6-2a2b-4523-b695-882d6eeec17a}" id="{d00724b4-e1f3-4b74-b0a5-261ba1cc8f97}" done="0">
    <x18tc:text xml:space="preserve">Data de instalação</x18tc:text>
  </x18tc:threadedComment>
  <x18tc:threadedComment ref="AC629" dT="2025-02-07T13:56:10.00" personId="{6c3cfef6-2a2b-4523-b695-882d6eeec17a}" id="{7e78d88e-dbe4-450f-9f74-19d09a01b4d9}" done="0">
    <x18tc:text xml:space="preserve">Data de instalação</x18tc:text>
  </x18tc:threadedComment>
  <x18tc:threadedComment ref="S436" dT="2025-02-05T16:59:48.00" personId="{6c3cfef6-2a2b-4523-b695-882d6eeec17a}" id="{96f236db-7dc7-46a0-bbca-f62c58493f6b}" done="0">
    <x18tc:text xml:space="preserve">Data do TRD</x18tc:text>
  </x18tc:threadedComment>
  <x18tc:threadedComment ref="S510" dT="2024-11-05T17:51:32.00" personId="{6c3cfef6-2a2b-4523-b695-882d6eeec17a}" id="{eef6bb9f-03b3-4551-8451-5c04ed80e068}" done="0">
    <x18tc:text xml:space="preserve">Data de inst.</x18tc:text>
  </x18tc:threadedComment>
  <x18tc:threadedComment ref="S378" dT="2025-06-04T13:37:31.00" personId="{6c3cfef6-2a2b-4523-b695-882d6eeec17a}" id="{97447975-e0e4-46fb-afa1-a11d3feefd16}" done="0">
    <x18tc:text xml:space="preserve">Data de instalação</x18tc:text>
  </x18tc:threadedComment>
  <x18tc:threadedComment ref="S838" dT="2025-06-05T18:08:29.00" personId="{6c3cfef6-2a2b-4523-b695-882d6eeec17a}" id="{b0cbb2fa-34df-4ed0-8884-c8d41e8d7cc8}" done="0">
    <x18tc:text xml:space="preserve">Data de instalação</x18tc:text>
  </x18tc:threadedComment>
  <x18tc:threadedComment ref="AC677" dT="2025-06-04T18:43:40.00" personId="{6c3cfef6-2a2b-4523-b695-882d6eeec17a}" id="{00e1a174-c3f5-410b-ae96-c05d0a74bd74}" done="0">
    <x18tc:text xml:space="preserve">Data de instalação</x18tc:text>
  </x18tc:threadedComment>
  <x18tc:threadedComment ref="S269" dT="2025-05-30T18:33:18.00" personId="{6c3cfef6-2a2b-4523-b695-882d6eeec17a}" id="{bfd9338a-2950-49b4-8712-421dc691a486}" done="0">
    <x18tc:text xml:space="preserve">Data de instalação</x18tc:text>
  </x18tc:threadedComment>
  <x18tc:threadedComment ref="AC1243" dT="2025-09-25T20:22:43.00" personId="{6c3cfef6-2a2b-4523-b695-882d6eeec17a}" id="{fb2d0e9f-8b53-4105-9a25-d8d99f25dfb1}" done="0">
    <x18tc:text xml:space="preserve">Data de assinatura do contrato, mencionada no RP</x18tc:text>
  </x18tc:threadedComment>
  <x18tc:threadedComment ref="S79" dT="2025-05-30T13:32:34.00" personId="{6c3cfef6-2a2b-4523-b695-882d6eeec17a}" id="{0e196dbe-7eaa-405b-9bc1-188de298db4a}" done="0">
    <x18tc:text xml:space="preserve">Data de instalação</x18tc:text>
  </x18tc:threadedComment>
  <x18tc:threadedComment ref="AC694" dT="2025-06-04T18:43:40.00" personId="{6c3cfef6-2a2b-4523-b695-882d6eeec17a}" id="{e4b07bb0-3975-4d95-9088-307660af9b8c}" done="0">
    <x18tc:text xml:space="preserve">Data de instalação</x18tc:text>
  </x18tc:threadedComment>
  <x18tc:threadedComment ref="S84" dT="2025-05-30T13:32:34.00" personId="{6c3cfef6-2a2b-4523-b695-882d6eeec17a}" id="{4acd05eb-4dfe-4e64-a0cb-bff9f03f6444}" done="0">
    <x18tc:text xml:space="preserve">Data de instalação</x18tc:text>
  </x18tc:threadedComment>
  <x18tc:threadedComment ref="AC686" dT="2025-06-04T18:43:40.00" personId="{6c3cfef6-2a2b-4523-b695-882d6eeec17a}" id="{ea5bcb5a-e04e-4999-b0e6-6d20c5a800e0}" done="0">
    <x18tc:text xml:space="preserve">Data de instalação</x18tc:text>
  </x18tc:threadedComment>
  <x18tc:threadedComment ref="AC1279" dT="2025-09-25T20:22:43.00" personId="{6c3cfef6-2a2b-4523-b695-882d6eeec17a}" id="{01baef73-7dde-4756-bd5c-cc7a2fa93a2f}" done="0">
    <x18tc:text xml:space="preserve">Data de assinatura do contrato, mencionada no RP</x18tc:text>
  </x18tc:threadedComment>
  <x18tc:threadedComment ref="S301" dT="2025-05-30T18:45:10.00" personId="{6c3cfef6-2a2b-4523-b695-882d6eeec17a}" id="{cfe246ab-5663-4509-80cb-65db09e08341}" done="0">
    <x18tc:text xml:space="preserve">Data de instalação</x18tc:text>
  </x18tc:threadedComment>
  <x18tc:threadedComment ref="AC564" dT="2025-02-07T13:56:10.00" personId="{6c3cfef6-2a2b-4523-b695-882d6eeec17a}" id="{042fb83a-be08-4deb-b16b-c674ab71a5a1}" done="0">
    <x18tc:text xml:space="preserve">Data do 4º Termo Adt</x18tc:text>
  </x18tc:threadedComment>
  <x18tc:threadedComment ref="S1342" dT="2025-06-09T17:38:37.00" personId="{6c3cfef6-2a2b-4523-b695-882d6eeec17a}" id="{9c6186fb-ab21-4f06-83c1-c7f21bcdbb0d}" done="0">
    <x18tc:text xml:space="preserve">Data de instalação</x18tc:text>
  </x18tc:threadedComment>
  <x18tc:threadedComment ref="X1394" dT="2025-06-09T18:20:19.00" personId="{6c3cfef6-2a2b-4523-b695-882d6eeec17a}" id="{acb7db95-3822-4445-91a5-d6a6c2420e9e}" done="0">
    <x18tc:text xml:space="preserve">Data mencionada no RP</x18tc:text>
  </x18tc:threadedComment>
  <x18tc:threadedComment ref="S403" dT="2025-06-04T13:37:31.00" personId="{6c3cfef6-2a2b-4523-b695-882d6eeec17a}" id="{9c933119-3a0a-40e7-b23e-3b4e6dd49011}" done="0">
    <x18tc:text xml:space="preserve">Data de instalação</x18tc:text>
  </x18tc:threadedComment>
  <x18tc:threadedComment ref="S483" dT="2025-02-05T12:56:49.00" personId="{6c3cfef6-2a2b-4523-b695-882d6eeec17a}" id="{a0638ac4-c07f-4349-b7ab-f2e278a12905}" done="0">
    <x18tc:text xml:space="preserve">Data de Inst.</x18tc:text>
  </x18tc:threadedComment>
  <x18tc:threadedComment ref="S1453" dT="2025-06-09T18:46:23.00" personId="{6c3cfef6-2a2b-4523-b695-882d6eeec17a}" id="{6dc3aeca-85c5-4e59-a81d-85fdbf6f3170}" done="0">
    <x18tc:text xml:space="preserve">Data de instalação</x18tc:text>
  </x18tc:threadedComment>
  <x18tc:threadedComment ref="S372" dT="2025-06-04T13:37:31.00" personId="{6c3cfef6-2a2b-4523-b695-882d6eeec17a}" id="{e35486e0-011b-4650-8893-2fced437453f}" done="0">
    <x18tc:text xml:space="preserve">Data de instalação</x18tc:text>
  </x18tc:threadedComment>
  <x18tc:threadedComment ref="AC636" dT="2025-02-07T13:56:10.00" personId="{6c3cfef6-2a2b-4523-b695-882d6eeec17a}" id="{a5057067-d277-4c4d-a288-309cd9fade8a}" done="0">
    <x18tc:text xml:space="preserve">Data de instalação</x18tc:text>
  </x18tc:threadedComment>
  <x18tc:threadedComment ref="X81" dT="2025-07-17T16:57:11.00" personId="{6c3cfef6-2a2b-4523-b695-882d6eeec17a}" id="{192c5741-d088-4ff7-9344-4a38cc027494}" done="0">
    <x18tc:text xml:space="preserve">Data informada pelo Comercial, na planilha "Controle de Prazos de Garantia - Aena"</x18tc:text>
  </x18tc:threadedComment>
  <x18tc:threadedComment ref="AC648" dT="2025-02-07T13:56:10.00" personId="{6c3cfef6-2a2b-4523-b695-882d6eeec17a}" id="{5ac28f5a-7538-4bcf-93da-ccce5c756bfa}" done="0">
    <x18tc:text xml:space="preserve">Data de instalação</x18tc:text>
  </x18tc:threadedComment>
  <x18tc:threadedComment ref="AC556" dT="2025-02-07T13:56:10.00" personId="{6c3cfef6-2a2b-4523-b695-882d6eeec17a}" id="{a5779669-13b9-4cc9-a979-4cec260bbc7f}" done="0">
    <x18tc:text xml:space="preserve">Data do 4º Termo Adt</x18tc:text>
  </x18tc:threadedComment>
  <x18tc:threadedComment ref="S1431" dT="2024-11-01T19:16:18.00" personId="{6c3cfef6-2a2b-4523-b695-882d6eeec17a}" id="{afb38fba-697d-43ed-a270-bceb92e6b00c}" done="0">
    <x18tc:text xml:space="preserve">Data do TRD</x18tc:text>
  </x18tc:threadedComment>
  <x18tc:threadedComment ref="S1552" dT="2025-03-18T18:54:47.00" personId="{6c3cfef6-2a2b-4523-b695-882d6eeec17a}" id="{2c0e6805-0bb9-4bcd-9ca4-a0d573f3a511}" done="0">
    <x18tc:text xml:space="preserve">Data de instalação</x18tc:text>
  </x18tc:threadedComment>
  <x18tc:threadedComment ref="S1312" dT="2025-03-18T16:20:02.00" personId="{6c3cfef6-2a2b-4523-b695-882d6eeec17a}" id="{bbb1e5c4-6d28-4e03-9b51-9772d74d59bd}" done="0">
    <x18tc:text xml:space="preserve">Data do TRD</x18tc:text>
  </x18tc:threadedComment>
  <x18tc:threadedComment ref="S1596" dT="2025-03-18T18:54:47.00" personId="{6c3cfef6-2a2b-4523-b695-882d6eeec17a}" id="{9d2a25ba-8832-411c-8227-d0a2a151a547}" done="0">
    <x18tc:text xml:space="preserve">Data de instalação</x18tc:text>
  </x18tc:threadedComment>
  <x18tc:threadedComment ref="AC663" dT="2025-06-04T18:43:40.00" personId="{6c3cfef6-2a2b-4523-b695-882d6eeec17a}" id="{b9723fcb-e2c0-4ff8-a9c8-b558142551e8}" done="0">
    <x18tc:text xml:space="preserve">Data de instalação</x18tc:text>
  </x18tc:threadedComment>
  <x18tc:threadedComment ref="X1120" dT="2025-06-09T17:19:07.00" personId="{6c3cfef6-2a2b-4523-b695-882d6eeec17a}" id="{a93063b0-d831-4a19-8685-559faf356076}" done="0">
    <x18tc:text xml:space="preserve">Data da Renovação Contratual</x18tc:text>
  </x18tc:threadedComment>
  <x18tc:threadedComment ref="S439" dT="2025-02-05T16:35:50.00" personId="{6c3cfef6-2a2b-4523-b695-882d6eeec17a}" id="{4e445ed8-6c88-45a6-bbb4-c9fa7e79f5d3}" done="0">
    <x18tc:text xml:space="preserve">Data de Inst.</x18tc:text>
  </x18tc:threadedComment>
  <x18tc:threadedComment ref="S575" dT="2025-06-04T13:37:31.00" personId="{6c3cfef6-2a2b-4523-b695-882d6eeec17a}" id="{5212699d-2d79-44d8-8fcf-02cd9419f709}" done="0">
    <x18tc:text xml:space="preserve">Data de instalação</x18tc:text>
  </x18tc:threadedComment>
  <x18tc:threadedComment ref="AC1266" dT="2024-11-07T14:41:02.00" personId="{6c3cfef6-2a2b-4523-b695-882d6eeec17a}" id="{105c2a16-e963-4e37-906f-ce5594585d46}" done="0">
    <x18tc:text xml:space="preserve">Data simbólica informada pelo Cláudio</x18tc:text>
  </x18tc:threadedComment>
  <x18tc:threadedComment ref="S1542" dT="2025-06-09T19:06:46.00" personId="{6c3cfef6-2a2b-4523-b695-882d6eeec17a}" id="{ae683769-2eb8-49ff-a496-ac1091720b97}" done="0">
    <x18tc:text xml:space="preserve">Data de instalação</x18tc:text>
  </x18tc:threadedComment>
  <x18tc:threadedComment ref="AC858" dT="2025-06-06T18:27:34.00" personId="{6c3cfef6-2a2b-4523-b695-882d6eeec17a}" id="{1cd1ad7e-0db2-494e-8fab-c61719c0ac9e}" done="0">
    <x18tc:text xml:space="preserve">Data de instalação</x18tc:text>
  </x18tc:threadedComment>
  <x18tc:threadedComment ref="S81" dT="2025-05-30T13:32:34.00" personId="{6c3cfef6-2a2b-4523-b695-882d6eeec17a}" id="{c3e249e0-78ce-43f0-bbd0-5519767f7e56}" done="0">
    <x18tc:text xml:space="preserve">Data de instalação</x18tc:text>
  </x18tc:threadedComment>
  <x18tc:threadedComment ref="S1597" dT="2025-03-18T18:54:47.00" personId="{6c3cfef6-2a2b-4523-b695-882d6eeec17a}" id="{56c59cd4-ed01-4de4-8e3e-374845d06aab}" done="0">
    <x18tc:text xml:space="preserve">Data de instalação</x18tc:text>
  </x18tc:threadedComment>
  <x18tc:threadedComment ref="X1626" dT="2025-06-06T19:14:54.00" personId="{6c3cfef6-2a2b-4523-b695-882d6eeec17a}" id="{17fa6688-8720-4675-a846-095f3e1de28d}" done="0">
    <x18tc:text xml:space="preserve">Data mencionada no RP</x18tc:text>
  </x18tc:threadedComment>
  <x18tc:threadedComment ref="S1317" dT="2025-03-18T16:20:02.00" personId="{6c3cfef6-2a2b-4523-b695-882d6eeec17a}" id="{c934bba5-3aee-49bd-b305-e4d9dd21d119}" done="0">
    <x18tc:text xml:space="preserve">Data do TRD</x18tc:text>
  </x18tc:threadedComment>
  <x18tc:threadedComment ref="S514" dT="2025-02-05T12:56:49.00" personId="{6c3cfef6-2a2b-4523-b695-882d6eeec17a}" id="{5c37b2bf-d21f-4fa1-b665-8b5240b9a085}" done="0">
    <x18tc:text xml:space="preserve">Data de Inst.</x18tc:text>
  </x18tc:threadedComment>
  <x18tc:threadedComment ref="S1464" dT="2025-06-09T18:46:23.00" personId="{6c3cfef6-2a2b-4523-b695-882d6eeec17a}" id="{96c60dff-b2b6-4e34-9d1f-fd634bc54ffd}" done="0">
    <x18tc:text xml:space="preserve">Data de instalação</x18tc:text>
  </x18tc:threadedComment>
  <x18tc:threadedComment ref="X15" dT="2025-07-17T17:49:14.00" personId="{6c3cfef6-2a2b-4523-b695-882d6eeec17a}" id="{7aa18af5-9a1f-4c56-9a21-ac3efd9ce644}" done="0">
    <x18tc:text xml:space="preserve">Data informada pelo Comercial, na planilha "Controle de Prazos de Garantia - Aena"</x18tc:text>
  </x18tc:threadedComment>
  <x18tc:threadedComment ref="X1347" dT="2025-06-09T17:11:51.00" personId="{6c3cfef6-2a2b-4523-b695-882d6eeec17a}" id="{3802050b-0ed0-4254-ab77-998c4fcbf9f6}" done="0">
    <x18tc:text xml:space="preserve">Data de instalação</x18tc:text>
  </x18tc:threadedComment>
  <x18tc:threadedComment ref="S1380" dT="2025-06-09T18:10:30.00" personId="{6c3cfef6-2a2b-4523-b695-882d6eeec17a}" id="{8bcad69f-cc56-4a87-b81b-52b518debf11}" done="0">
    <x18tc:text xml:space="preserve">Data de instalação</x18tc:text>
  </x18tc:threadedComment>
  <x18tc:threadedComment ref="S535" dT="2024-11-05T17:51:32.00" personId="{6c3cfef6-2a2b-4523-b695-882d6eeec17a}" id="{a1cba5fe-0ca1-4c1f-bd70-50572c79e268}" done="0">
    <x18tc:text xml:space="preserve">Data de inst.</x18tc:text>
  </x18tc:threadedComment>
  <x18tc:threadedComment ref="S598" dT="2025-02-07T14:14:47.00" personId="{6c3cfef6-2a2b-4523-b695-882d6eeec17a}" id="{9e75f383-1e02-4ea8-8c4f-fab935652322}" done="0">
    <x18tc:text xml:space="preserve">Data do TRD</x18tc:text>
  </x18tc:threadedComment>
  <x18tc:threadedComment ref="X1411" dT="2025-06-09T18:31:42.00" personId="{6c3cfef6-2a2b-4523-b695-882d6eeec17a}" id="{384627cb-76e0-4083-b5f4-4da138a48537}" done="0">
    <x18tc:text xml:space="preserve">Data mencionada no RP</x18tc:text>
  </x18tc:threadedComment>
  <x18tc:threadedComment ref="AC1183" dT="2025-07-03T17:39:15.00" personId="{6c3cfef6-2a2b-4523-b695-882d6eeec17a}" id="{981f6775-30ee-4dd1-9c6f-8ba8d2179adc}" done="0">
    <x18tc:text xml:space="preserve">Data de instalação</x18tc:text>
  </x18tc:threadedComment>
  <x18tc:threadedComment ref="AC1230" dT="2024-11-07T14:41:02.00" personId="{6c3cfef6-2a2b-4523-b695-882d6eeec17a}" id="{1658eea7-d116-4a3e-baf2-11fff6da207f}" done="0">
    <x18tc:text xml:space="preserve">Data simbólica informada pelo Cláudio</x18tc:text>
  </x18tc:threadedComment>
  <x18tc:threadedComment ref="S531" dT="2025-02-05T11:22:19.00" personId="{6c3cfef6-2a2b-4523-b695-882d6eeec17a}" id="{ffb17d80-985e-4ea7-a352-8c97135216a9}" done="0">
    <x18tc:text xml:space="preserve">Data do TRD</x18tc:text>
  </x18tc:threadedComment>
  <x18tc:threadedComment ref="S275" dT="2025-05-30T18:33:18.00" personId="{6c3cfef6-2a2b-4523-b695-882d6eeec17a}" id="{a324d272-a96f-46e5-88d4-a87e019beb80}" done="0">
    <x18tc:text xml:space="preserve">Data de instalação</x18tc:text>
  </x18tc:threadedComment>
  <x18tc:threadedComment ref="S927" dT="2025-07-10T13:08:57.00" personId="{6c3cfef6-2a2b-4523-b695-882d6eeec17a}" id="{4f9e1f35-9aca-466b-9996-4b0b79d57e4a}" done="0">
    <x18tc:text xml:space="preserve">Data do TRD</x18tc:text>
  </x18tc:threadedComment>
  <x18tc:threadedComment ref="X1606" dT="2025-06-09T19:42:13.00" personId="{6c3cfef6-2a2b-4523-b695-882d6eeec17a}" id="{35838c99-8790-4e86-ba5b-75f7825ada4f}" done="0">
    <x18tc:text xml:space="preserve">Data mencionada no RP</x18tc:text>
  </x18tc:threadedComment>
  <x18tc:threadedComment ref="S1520" dT="2025-06-09T18:46:23.00" personId="{6c3cfef6-2a2b-4523-b695-882d6eeec17a}" id="{1f041374-28cf-4597-a283-6216390d5b70}" done="0">
    <x18tc:text xml:space="preserve">Data de instalação</x18tc:text>
  </x18tc:threadedComment>
  <x18tc:threadedComment ref="S1081" dT="2024-11-01T18:44:47.00" personId="{6c3cfef6-2a2b-4523-b695-882d6eeec17a}" id="{1203b06e-c6d0-4c86-865d-d877e4df9e26}" done="0">
    <x18tc:text xml:space="preserve">Data do TRD</x18tc:text>
  </x18tc:threadedComment>
  <x18tc:threadedComment ref="S235" dT="2025-05-30T14:46:23.00" personId="{6c3cfef6-2a2b-4523-b695-882d6eeec17a}" id="{5fdf6f1f-7c32-4274-8257-dba850722e3a}" done="0">
    <x18tc:text xml:space="preserve">Data de instalação</x18tc:text>
  </x18tc:threadedComment>
  <x18tc:threadedComment ref="S443" dT="2025-02-05T12:56:49.00" personId="{6c3cfef6-2a2b-4523-b695-882d6eeec17a}" id="{5c6a60b3-bb1f-4483-918c-5728032205ef}" done="0">
    <x18tc:text xml:space="preserve">Data de Inst.</x18tc:text>
  </x18tc:threadedComment>
  <x18tc:threadedComment ref="AC555" dT="2025-02-07T13:56:10.00" personId="{6c3cfef6-2a2b-4523-b695-882d6eeec17a}" id="{0581cb5c-164b-46ac-947b-25ca6c2fe839}" done="0">
    <x18tc:text xml:space="preserve">Data do 4º Termo Adt</x18tc:text>
  </x18tc:threadedComment>
  <x18tc:threadedComment ref="X1016" dT="2025-06-09T16:43:07.00" personId="{6c3cfef6-2a2b-4523-b695-882d6eeec17a}" id="{d8187e88-a236-4f25-8ffb-bd2de81a2c46}" done="0">
    <x18tc:text xml:space="preserve">Data do 1º Termo Adt</x18tc:text>
  </x18tc:threadedComment>
  <x18tc:threadedComment ref="S76" dT="2025-05-30T13:32:34.00" personId="{6c3cfef6-2a2b-4523-b695-882d6eeec17a}" id="{a33feaee-c52e-465e-8161-55c332104231}" done="0">
    <x18tc:text xml:space="preserve">Data de instalação</x18tc:text>
  </x18tc:threadedComment>
  <x18tc:threadedComment ref="AC1163" dT="2024-11-07T14:41:02.00" personId="{6c3cfef6-2a2b-4523-b695-882d6eeec17a}" id="{b85879de-c437-4e1f-b842-25ff0c96ee20}" done="0">
    <x18tc:text xml:space="preserve">Data simbólica informada pelo Cláudio</x18tc:text>
  </x18tc:threadedComment>
  <x18tc:threadedComment ref="AC610" dT="2025-02-07T13:56:10.00" personId="{6c3cfef6-2a2b-4523-b695-882d6eeec17a}" id="{fbd118fc-6691-475b-934d-2ad7440ef072}" done="0">
    <x18tc:text xml:space="preserve">Data de instalação</x18tc:text>
  </x18tc:threadedComment>
  <x18tc:threadedComment ref="S303" dT="2025-05-30T18:33:18.00" personId="{6c3cfef6-2a2b-4523-b695-882d6eeec17a}" id="{071c43ad-97eb-40ff-9f73-a2c86849ce1c}" done="0">
    <x18tc:text xml:space="preserve">Data de instalação</x18tc:text>
  </x18tc:threadedComment>
  <x18tc:threadedComment ref="AJ549" dT="2025-06-04T16:46:32.00" personId="{6c3cfef6-2a2b-4523-b695-882d6eeec17a}" id="{8995dbd4-87ce-4636-aceb-b9e467ba1eb8}" done="0">
    <x18tc:text xml:space="preserve">Prazos contados para chamados abertos até as 15:00.
Após esse horário, a contagem começa as 06:00 do dia seguinte</x18tc:text>
  </x18tc:threadedComment>
  <x18tc:threadedComment ref="S1060" dT="2025-06-09T17:02:24.00" personId="{6c3cfef6-2a2b-4523-b695-882d6eeec17a}" id="{4f8fe1fc-14e7-4385-a518-bbbea1fc3aa5}" done="0">
    <x18tc:text xml:space="preserve">Data de instalação</x18tc:text>
  </x18tc:threadedComment>
  <x18tc:threadedComment ref="AC721" dT="2025-06-04T18:43:40.00" personId="{6c3cfef6-2a2b-4523-b695-882d6eeec17a}" id="{66853649-6be6-47d8-9550-7fede32298c7}" done="0">
    <x18tc:text xml:space="preserve">Data de instalação</x18tc:text>
  </x18tc:threadedComment>
  <x18tc:threadedComment ref="AC1253" dT="2024-11-07T14:41:02.00" personId="{6c3cfef6-2a2b-4523-b695-882d6eeec17a}" id="{d5cb4bdb-64bd-43ad-becc-68e4cc1ee61f}" done="0">
    <x18tc:text xml:space="preserve">Data simbólica informada pelo Cláudio</x18tc:text>
  </x18tc:threadedComment>
  <x18tc:threadedComment ref="S267" dT="2025-05-30T18:33:18.00" personId="{6c3cfef6-2a2b-4523-b695-882d6eeec17a}" id="{270566bd-d1df-408a-8c8e-6b1e5a190fa2}" done="0">
    <x18tc:text xml:space="preserve">Data de instalação</x18tc:text>
  </x18tc:threadedComment>
  <x18tc:threadedComment ref="S1452" dT="2024-11-01T19:16:18.00" personId="{6c3cfef6-2a2b-4523-b695-882d6eeec17a}" id="{57b15645-ec6d-4264-8dcb-c5a437ebfa7e}" done="0">
    <x18tc:text xml:space="preserve">Data do TRD</x18tc:text>
  </x18tc:threadedComment>
  <x18tc:threadedComment ref="S293" dT="2025-05-30T18:33:18.00" personId="{6c3cfef6-2a2b-4523-b695-882d6eeec17a}" id="{02040980-aaeb-4840-9cef-77acdebef51e}" done="0">
    <x18tc:text xml:space="preserve">Data de instalação</x18tc:text>
  </x18tc:threadedComment>
  <x18tc:threadedComment ref="S1564" dT="2025-06-09T19:34:06.00" personId="{6c3cfef6-2a2b-4523-b695-882d6eeec17a}" id="{0753c2cd-e9c8-49d4-ba22-32032a0c8e08}" done="0">
    <x18tc:text xml:space="preserve">Data do TRD</x18tc:text>
  </x18tc:threadedComment>
  <x18tc:threadedComment ref="S807" dT="2025-06-04T19:04:19.00" personId="{6c3cfef6-2a2b-4523-b695-882d6eeec17a}" id="{fbaffef6-a6c7-4f61-aef1-add595818533}" done="0">
    <x18tc:text xml:space="preserve">Data de instalação</x18tc:text>
  </x18tc:threadedComment>
  <x18tc:threadedComment ref="S1594" dT="2025-03-18T18:54:47.00" personId="{6c3cfef6-2a2b-4523-b695-882d6eeec17a}" id="{1d60c045-ba69-4dce-a6a3-783162091afe}" done="0">
    <x18tc:text xml:space="preserve">Data de instalação</x18tc:text>
  </x18tc:threadedComment>
  <x18tc:threadedComment ref="S1437" dT="2024-11-05T14:01:53.00" personId="{6c3cfef6-2a2b-4523-b695-882d6eeec17a}" id="{9a79f951-6e5e-4e0d-8062-78909adb7129}" done="0">
    <x18tc:text xml:space="preserve">Data do TRD</x18tc:text>
  </x18tc:threadedComment>
  <x18tc:threadedComment ref="AC1194" dT="2025-09-25T20:22:43.00" personId="{6c3cfef6-2a2b-4523-b695-882d6eeec17a}" id="{1ef159ec-e44f-49fa-bdd3-184897088b7a}" done="0">
    <x18tc:text xml:space="preserve">Data de assinatura do contrato, mencionada no RP</x18tc:text>
  </x18tc:threadedComment>
  <x18tc:threadedComment ref="S815" dT="2025-06-04T19:04:19.00" personId="{6c3cfef6-2a2b-4523-b695-882d6eeec17a}" id="{34c506ba-cf25-473c-823a-944794361184}" done="0">
    <x18tc:text xml:space="preserve">Data de instalação</x18tc:text>
  </x18tc:threadedComment>
  <x18tc:threadedComment ref="S383" dT="2025-06-04T13:37:31.00" personId="{6c3cfef6-2a2b-4523-b695-882d6eeec17a}" id="{e8f13f3b-845b-44a5-ba02-4d9e959a554f}" done="0">
    <x18tc:text xml:space="preserve">Data de instalação</x18tc:text>
  </x18tc:threadedComment>
  <x18tc:threadedComment ref="AC1261" dT="2025-09-25T20:22:43.00" personId="{6c3cfef6-2a2b-4523-b695-882d6eeec17a}" id="{39851b5d-d725-4d24-ad75-d3118ff93dde}" done="0">
    <x18tc:text xml:space="preserve">Data de assinatura do contrato, mencionada no RP</x18tc:text>
  </x18tc:threadedComment>
  <x18tc:threadedComment ref="AC1346" dT="2025-06-09T17:50:35.00" personId="{6c3cfef6-2a2b-4523-b695-882d6eeec17a}" id="{e1ced537-6dc0-41d2-adb5-90716ee3f149}" done="0">
    <x18tc:text xml:space="preserve">Data de instalação</x18tc:text>
  </x18tc:threadedComment>
  <x18tc:threadedComment ref="S276" dT="2025-05-30T18:45:10.00" personId="{6c3cfef6-2a2b-4523-b695-882d6eeec17a}" id="{999c077d-e776-4d85-9416-e9cbe5a20c3f}" done="0">
    <x18tc:text xml:space="preserve">Data de instalação</x18tc:text>
  </x18tc:threadedComment>
  <x18tc:threadedComment ref="AC1204" dT="2024-11-07T14:41:02.00" personId="{6c3cfef6-2a2b-4523-b695-882d6eeec17a}" id="{cc7629ac-eca6-4def-86a8-1ced7e612026}" done="0">
    <x18tc:text xml:space="preserve">Data simbólica informada pelo Cláudio</x18tc:text>
  </x18tc:threadedComment>
  <x18tc:threadedComment ref="S392" dT="2025-06-04T13:37:31.00" personId="{6c3cfef6-2a2b-4523-b695-882d6eeec17a}" id="{f22e76fa-63f9-4c74-9697-248049fa4463}" done="0">
    <x18tc:text xml:space="preserve">Data de instalação</x18tc:text>
  </x18tc:threadedComment>
  <x18tc:threadedComment ref="S1090" dT="2025-03-13T17:40:42.00" personId="{6c3cfef6-2a2b-4523-b695-882d6eeec17a}" id="{8713c108-87af-4feb-9022-7f6b8228e1f9}" done="0">
    <x18tc:text xml:space="preserve">Data do TRD</x18tc:text>
  </x18tc:threadedComment>
  <x18tc:threadedComment ref="S1073" dT="2025-06-09T17:02:24.00" personId="{6c3cfef6-2a2b-4523-b695-882d6eeec17a}" id="{90fe1a31-7ab8-443c-b29a-cc6e419631e2}" done="0">
    <x18tc:text xml:space="preserve">Data de instalação</x18tc:text>
  </x18tc:threadedComment>
  <x18tc:threadedComment ref="S1400" dT="2025-01-07T17:30:30.00" personId="{6c3cfef6-2a2b-4523-b695-882d6eeec17a}" id="{810f54b9-4ed4-47a2-a134-b6dd91b134be}" done="0">
    <x18tc:text xml:space="preserve">Data do TRD</x18tc:text>
  </x18tc:threadedComment>
  <x18tc:threadedComment ref="AC673" dT="2025-06-04T18:43:40.00" personId="{6c3cfef6-2a2b-4523-b695-882d6eeec17a}" id="{b48b3260-2d07-4333-b3a9-a899813a81cb}" done="0">
    <x18tc:text xml:space="preserve">Data de instalação</x18tc:text>
  </x18tc:threadedComment>
  <x18tc:threadedComment ref="S1611" dT="2025-06-09T19:43:23.00" personId="{6c3cfef6-2a2b-4523-b695-882d6eeec17a}" id="{2caeebed-b0f1-4b04-9609-ac3a4d095123}" done="0">
    <x18tc:text xml:space="preserve">Data de instalação</x18tc:text>
  </x18tc:threadedComment>
  <x18tc:threadedComment ref="S980" dT="2024-11-01T18:44:47.00" personId="{6c3cfef6-2a2b-4523-b695-882d6eeec17a}" id="{8adcc265-83d2-4d3c-afc0-420c01f9df9c}" done="0">
    <x18tc:text xml:space="preserve">Data do TRD</x18tc:text>
  </x18tc:threadedComment>
  <x18tc:threadedComment ref="S1451" dT="2024-11-01T19:16:18.00" personId="{6c3cfef6-2a2b-4523-b695-882d6eeec17a}" id="{dc2d53e9-5169-40eb-8c5a-6646c6690c59}" done="0">
    <x18tc:text xml:space="preserve">Data do TRD</x18tc:text>
  </x18tc:threadedComment>
  <x18tc:threadedComment ref="S364" dT="2025-06-04T13:37:31.00" personId="{6c3cfef6-2a2b-4523-b695-882d6eeec17a}" id="{7fa7b438-fa54-41c7-bd98-2ba9045b64c6}" done="0">
    <x18tc:text xml:space="preserve">Data de instalação</x18tc:text>
  </x18tc:threadedComment>
  <x18tc:threadedComment ref="S1381" dT="2025-06-09T18:10:30.00" personId="{6c3cfef6-2a2b-4523-b695-882d6eeec17a}" id="{5f524e5f-4484-4fa7-a37d-289bab4dec85}" done="0">
    <x18tc:text xml:space="preserve">Data de instalação</x18tc:text>
  </x18tc:threadedComment>
  <x18tc:threadedComment ref="S1642" dT="2025-06-04T13:37:31.00" personId="{6c3cfef6-2a2b-4523-b695-882d6eeec17a}" id="{e418d4f5-b594-4b3d-8899-95e955e414a3}" done="0">
    <x18tc:text xml:space="preserve">Data de instalação</x18tc:text>
  </x18tc:threadedComment>
  <x18tc:threadedComment ref="S379" dT="2025-06-04T13:37:31.00" personId="{6c3cfef6-2a2b-4523-b695-882d6eeec17a}" id="{6e8c2784-cae3-4ddf-9c3f-93874340d9e1}" done="0">
    <x18tc:text xml:space="preserve">Data de instalação</x18tc:text>
  </x18tc:threadedComment>
  <x18tc:threadedComment ref="S278" dT="2025-05-30T18:45:10.00" personId="{6c3cfef6-2a2b-4523-b695-882d6eeec17a}" id="{0837b40a-f208-40ac-8736-2c6d387136f2}" done="0">
    <x18tc:text xml:space="preserve">Data de instalação</x18tc:text>
  </x18tc:threadedComment>
  <x18tc:threadedComment ref="S822" dT="2025-06-05T18:05:22.00" personId="{6c3cfef6-2a2b-4523-b695-882d6eeec17a}" id="{a4c1aa9c-bbdc-4423-aeed-74cb10663886}" done="0">
    <x18tc:text xml:space="preserve">Data de instalação</x18tc:text>
  </x18tc:threadedComment>
  <x18tc:threadedComment ref="S34" dT="2025-05-30T13:32:34.00" personId="{6c3cfef6-2a2b-4523-b695-882d6eeec17a}" id="{3036c94f-a87e-4a2b-8fb1-fd30bc2754c4}" done="0">
    <x18tc:text xml:space="preserve">Data de instalação</x18tc:text>
  </x18tc:threadedComment>
  <x18tc:threadedComment ref="S1075" dT="2025-06-09T17:02:24.00" personId="{6c3cfef6-2a2b-4523-b695-882d6eeec17a}" id="{a3fb0925-fcdb-4a89-8c7e-13d115aa112d}" done="0">
    <x18tc:text xml:space="preserve">Data de instalação</x18tc:text>
  </x18tc:threadedComment>
  <x18tc:threadedComment ref="S286" dT="2025-05-30T18:39:21.00" personId="{6c3cfef6-2a2b-4523-b695-882d6eeec17a}" id="{65b56016-6e33-47a9-aad6-e6bedc31f54c}" done="0">
    <x18tc:text xml:space="preserve">Data de instalação</x18tc:text>
  </x18tc:threadedComment>
  <x18tc:threadedComment ref="S477" dT="2025-02-05T11:22:19.00" personId="{6c3cfef6-2a2b-4523-b695-882d6eeec17a}" id="{17890a76-f583-4dcf-a1e4-fbaf21f5c59a}" done="0">
    <x18tc:text xml:space="preserve">Data do TRD</x18tc:text>
  </x18tc:threadedComment>
  <x18tc:threadedComment ref="AC347" dT="2025-05-30T18:45:10.00" personId="{6c3cfef6-2a2b-4523-b695-882d6eeec17a}" id="{e9b5ceff-5854-436f-a7d1-bf9c30b1b8ee}" done="0">
    <x18tc:text xml:space="preserve">Data de instalação</x18tc:text>
  </x18tc:threadedComment>
  <x18tc:threadedComment ref="S91" dT="2025-05-30T13:32:34.00" personId="{6c3cfef6-2a2b-4523-b695-882d6eeec17a}" id="{d9c1dea7-1963-4912-be5b-212ea3f73f87}" done="0">
    <x18tc:text xml:space="preserve">Data de instalação</x18tc:text>
  </x18tc:threadedComment>
  <x18tc:threadedComment ref="AC877" dT="2025-06-06T18:27:34.00" personId="{6c3cfef6-2a2b-4523-b695-882d6eeec17a}" id="{28866c38-b5be-42a6-96fc-a1aa1a410fcb}" done="0">
    <x18tc:text xml:space="preserve">Data de instalação</x18tc:text>
  </x18tc:threadedComment>
  <x18tc:threadedComment ref="S50" dT="2025-05-30T13:32:34.00" personId="{6c3cfef6-2a2b-4523-b695-882d6eeec17a}" id="{736eee5b-b94b-484a-9113-dbb13ae067ad}" done="0">
    <x18tc:text xml:space="preserve">Data de instalação</x18tc:text>
  </x18tc:threadedComment>
  <x18tc:threadedComment ref="S530" dT="2025-06-04T15:01:11.00" personId="{6c3cfef6-2a2b-4523-b695-882d6eeec17a}" id="{908b8502-07da-4c7c-b3ed-f1586fc61b5a}" done="0">
    <x18tc:text xml:space="preserve">Data do TRD</x18tc:text>
  </x18tc:threadedComment>
  <x18tc:threadedComment ref="S71" dT="2025-05-30T13:32:34.00" personId="{6c3cfef6-2a2b-4523-b695-882d6eeec17a}" id="{7d3be879-6be9-4f03-a60d-803a33e69297}" done="0">
    <x18tc:text xml:space="preserve">Data de instalação</x18tc:text>
  </x18tc:threadedComment>
  <x18tc:threadedComment ref="S504" dT="2025-02-05T12:56:49.00" personId="{6c3cfef6-2a2b-4523-b695-882d6eeec17a}" id="{2d160525-fdd7-4296-bf12-58911d7c5fb6}" done="0">
    <x18tc:text xml:space="preserve">Data de Inst.</x18tc:text>
  </x18tc:threadedComment>
  <x18tc:threadedComment ref="X97" dT="2025-05-30T13:32:34.00" personId="{6c3cfef6-2a2b-4523-b695-882d6eeec17a}" id="{0314d5fc-792a-452b-b7d1-b6f5075c7277}" done="0">
    <x18tc:text xml:space="preserve">Data de instalação</x18tc:text>
  </x18tc:threadedComment>
  <x18tc:threadedComment ref="S1551" dT="2025-03-18T18:54:47.00" personId="{6c3cfef6-2a2b-4523-b695-882d6eeec17a}" id="{edc398d4-197f-47f4-b2c6-87dc1cdccbbb}" done="0">
    <x18tc:text xml:space="preserve">Data de instalação</x18tc:text>
  </x18tc:threadedComment>
  <x18tc:threadedComment ref="S1432" dT="2024-11-01T19:16:18.00" personId="{6c3cfef6-2a2b-4523-b695-882d6eeec17a}" id="{f9ec93ef-6851-4f30-a4e7-2e5e77a21655}" done="0">
    <x18tc:text xml:space="preserve">Data do TRD</x18tc:text>
  </x18tc:threadedComment>
  <x18tc:threadedComment ref="AC685" dT="2025-06-04T18:43:40.00" personId="{6c3cfef6-2a2b-4523-b695-882d6eeec17a}" id="{4c86bf89-5c49-4dc0-8b83-706693db20f8}" done="0">
    <x18tc:text xml:space="preserve">Data de instalação</x18tc:text>
  </x18tc:threadedComment>
  <x18tc:threadedComment ref="AC1174" dT="2024-11-07T14:41:02.00" personId="{6c3cfef6-2a2b-4523-b695-882d6eeec17a}" id="{f78dffa7-f350-4502-b8e7-ff8282d843a3}" done="0">
    <x18tc:text xml:space="preserve">Data simbólica informada pelo Cláudio</x18tc:text>
  </x18tc:threadedComment>
  <x18tc:threadedComment ref="S970" dT="2024-11-01T18:44:47.00" personId="{6c3cfef6-2a2b-4523-b695-882d6eeec17a}" id="{2b480b08-081c-48f8-8a2a-d34430151b95}" done="0">
    <x18tc:text xml:space="preserve">Data do TRD</x18tc:text>
  </x18tc:threadedComment>
  <x18tc:threadedComment ref="AC857" dT="2025-06-06T18:27:34.00" personId="{6c3cfef6-2a2b-4523-b695-882d6eeec17a}" id="{50c1bc1c-cf63-435d-8a31-f2d164704dcb}" done="0">
    <x18tc:text xml:space="preserve">Data de instalação</x18tc:text>
  </x18tc:threadedComment>
  <x18tc:threadedComment ref="S458" dT="2025-06-04T15:01:11.00" personId="{6c3cfef6-2a2b-4523-b695-882d6eeec17a}" id="{284768f8-823e-4d33-97b3-5eab68db6fa6}" done="0">
    <x18tc:text xml:space="preserve">Data do TRD</x18tc:text>
  </x18tc:threadedComment>
  <x18tc:threadedComment ref="S259" dT="2025-05-30T14:46:23.00" personId="{6c3cfef6-2a2b-4523-b695-882d6eeec17a}" id="{e47619c1-8705-412a-b059-554fe3a4b6e0}" done="0">
    <x18tc:text xml:space="preserve">Data de instalação</x18tc:text>
  </x18tc:threadedComment>
  <x18tc:threadedComment ref="S1383" dT="2025-06-09T18:10:30.00" personId="{6c3cfef6-2a2b-4523-b695-882d6eeec17a}" id="{f467a6d6-af41-4cba-89a8-08104c398d0f}" done="0">
    <x18tc:text xml:space="preserve">Data de instalação</x18tc:text>
  </x18tc:threadedComment>
  <x18tc:threadedComment ref="X89" dT="2025-07-17T16:54:55.00" personId="{6c3cfef6-2a2b-4523-b695-882d6eeec17a}" id="{d89c5fc6-a105-4df8-b361-80f9cd71a07f}" done="0">
    <x18tc:text xml:space="preserve">Data informada pelo Comercial, na planilha "Controle de Prazos de Garantia - Aena"</x18tc:text>
  </x18tc:threadedComment>
  <x18tc:threadedComment ref="S1579" dT="2025-03-19T13:34:06.00" personId="{6c3cfef6-2a2b-4523-b695-882d6eeec17a}" id="{1d143345-3b93-44b9-9173-92dbc24b3fa0}" done="0">
    <x18tc:text xml:space="preserve">Data do TRD</x18tc:text>
  </x18tc:threadedComment>
  <x18tc:threadedComment ref="AC1225" dT="2025-07-03T17:39:15.00" personId="{6c3cfef6-2a2b-4523-b695-882d6eeec17a}" id="{bd2da0cd-0b18-4151-9d03-94ef80a6113b}" done="0">
    <x18tc:text xml:space="preserve">Data de instalação</x18tc:text>
  </x18tc:threadedComment>
  <x18tc:threadedComment ref="S291" dT="2025-05-30T18:45:10.00" personId="{6c3cfef6-2a2b-4523-b695-882d6eeec17a}" id="{c06d1c9a-9ae0-416c-ba0f-dd35a0a2d4a9}" done="0">
    <x18tc:text xml:space="preserve">Data de instalação</x18tc:text>
  </x18tc:threadedComment>
  <x18tc:threadedComment ref="AC713" dT="2025-06-04T18:43:40.00" personId="{6c3cfef6-2a2b-4523-b695-882d6eeec17a}" id="{fc41262a-8471-4cb6-8403-be4ba2dc076d}" done="0">
    <x18tc:text xml:space="preserve">Data de instalação</x18tc:text>
  </x18tc:threadedComment>
  <x18tc:threadedComment ref="AC548" dT="2025-02-07T13:56:10.00" personId="{6c3cfef6-2a2b-4523-b695-882d6eeec17a}" id="{7028ddb0-6677-436f-8f42-9aa557d38d44}" done="0">
    <x18tc:text xml:space="preserve">Data do 4º Termo Adt</x18tc:text>
  </x18tc:threadedComment>
  <x18tc:threadedComment ref="AC1198" dT="2025-09-25T20:22:43.00" personId="{6c3cfef6-2a2b-4523-b695-882d6eeec17a}" id="{32dcf1d1-5d8c-41d6-8817-39d7b99b9aef}" done="0">
    <x18tc:text xml:space="preserve">Data de assinatura do contrato, mencionada no RP</x18tc:text>
  </x18tc:threadedComment>
  <x18tc:threadedComment ref="S4" dT="2025-05-30T13:32:34.00" personId="{6c3cfef6-2a2b-4523-b695-882d6eeec17a}" id="{406c9d07-a488-4224-829c-ade8b0c8eb56}" done="0">
    <x18tc:text xml:space="preserve">Data de instalação</x18tc:text>
  </x18tc:threadedComment>
  <x18tc:threadedComment ref="S1620" dT="2025-06-09T19:43:23.00" personId="{6c3cfef6-2a2b-4523-b695-882d6eeec17a}" id="{3f88963c-223f-4f59-8dc8-1ea30918ee53}" done="0">
    <x18tc:text xml:space="preserve">Data de instalação</x18tc:text>
  </x18tc:threadedComment>
  <x18tc:threadedComment ref="X1119" dT="2025-06-09T17:19:07.00" personId="{6c3cfef6-2a2b-4523-b695-882d6eeec17a}" id="{27229955-3ac6-45e6-8465-a32838be92a1}" done="0">
    <x18tc:text xml:space="preserve">Data da Renovação Contratual</x18tc:text>
  </x18tc:threadedComment>
  <x18tc:threadedComment ref="M1141" dT="2025-05-30T13:19:35.00" personId="{6c3cfef6-2a2b-4523-b695-882d6eeec17a}" id="{e0fc94ec-5419-4221-a7e3-57eb406d31bf}" done="0">
    <x18tc:text xml:space="preserve">Não localizada data de inst. - Inserida data simbólica</x18tc:text>
  </x18tc:threadedComment>
  <x18tc:threadedComment ref="S1091" dT="2025-03-13T17:40:42.00" personId="{6c3cfef6-2a2b-4523-b695-882d6eeec17a}" id="{bc9991a1-1dfe-4868-9d92-0409be8b1d7f}" done="0">
    <x18tc:text xml:space="preserve">Data do TRD</x18tc:text>
  </x18tc:threadedComment>
  <x18tc:threadedComment ref="S837" dT="2025-06-05T18:08:29.00" personId="{6c3cfef6-2a2b-4523-b695-882d6eeec17a}" id="{f41fcd6a-2578-4885-83d9-549d1b09fc15}" done="0">
    <x18tc:text xml:space="preserve">Data de instalação</x18tc:text>
  </x18tc:threadedComment>
  <x18tc:threadedComment ref="S282" dT="2025-05-30T18:39:21.00" personId="{6c3cfef6-2a2b-4523-b695-882d6eeec17a}" id="{d50a018d-cf14-4b42-a22a-b0bc0025369f}" done="0">
    <x18tc:text xml:space="preserve">Data de instalação</x18tc:text>
  </x18tc:threadedComment>
  <x18tc:threadedComment ref="S446" dT="2025-02-05T12:56:49.00" personId="{6c3cfef6-2a2b-4523-b695-882d6eeec17a}" id="{210f96a6-4b44-4155-b3c1-dfcd8b98e028}" done="0">
    <x18tc:text xml:space="preserve">Data de Inst.</x18tc:text>
  </x18tc:threadedComment>
  <x18tc:threadedComment ref="S973" dT="2024-11-01T18:44:47.00" personId="{6c3cfef6-2a2b-4523-b695-882d6eeec17a}" id="{3c11b87b-9397-404a-b434-bc69c272bae3}" done="0">
    <x18tc:text xml:space="preserve">Data do TRD</x18tc:text>
  </x18tc:threadedComment>
  <x18tc:threadedComment ref="X785" dT="2025-02-25T12:45:16.00" personId="{6c3cfef6-2a2b-4523-b695-882d6eeec17a}" id="{5b4c71b5-7e3b-4f32-badf-cb65c01aa9e8}" done="0">
    <x18tc:text xml:space="preserve">Data informada no RP</x18tc:text>
  </x18tc:threadedComment>
  <x18tc:threadedComment ref="S836" dT="2025-06-05T18:08:29.00" personId="{6c3cfef6-2a2b-4523-b695-882d6eeec17a}" id="{486134df-916d-4d4c-8d78-08e1c6266774}" done="0">
    <x18tc:text xml:space="preserve">Data de instalação</x18tc:text>
  </x18tc:threadedComment>
  <x18tc:threadedComment ref="S1531" dT="2025-06-09T19:06:46.00" personId="{6c3cfef6-2a2b-4523-b695-882d6eeec17a}" id="{8a6783b7-acca-48eb-949b-8c7302898762}" done="0">
    <x18tc:text xml:space="preserve">Data de instalação</x18tc:text>
  </x18tc:threadedComment>
  <x18tc:threadedComment ref="S523" dT="2025-02-05T11:22:19.00" personId="{6c3cfef6-2a2b-4523-b695-882d6eeec17a}" id="{bc47c76a-a094-401d-b9cd-8e1d95d6d563}" done="0">
    <x18tc:text xml:space="preserve">Data do TRD</x18tc:text>
  </x18tc:threadedComment>
  <x18tc:threadedComment ref="S1456" dT="2025-06-09T18:46:23.00" personId="{6c3cfef6-2a2b-4523-b695-882d6eeec17a}" id="{13974be6-93c9-4ecb-abf3-83520a1cc65e}" done="0">
    <x18tc:text xml:space="preserve">Data de instalação</x18tc:text>
  </x18tc:threadedComment>
  <x18tc:threadedComment ref="S304" dT="2025-05-30T18:45:10.00" personId="{6c3cfef6-2a2b-4523-b695-882d6eeec17a}" id="{94cbb838-d9c0-453e-9426-7a7bf0997aa0}" done="0">
    <x18tc:text xml:space="preserve">Data de instalação</x18tc:text>
  </x18tc:threadedComment>
  <x18tc:threadedComment ref="S351" dT="2025-06-04T13:37:31.00" personId="{6c3cfef6-2a2b-4523-b695-882d6eeec17a}" id="{d700e262-391c-4554-8b24-0b7993d86f9b}" done="0">
    <x18tc:text xml:space="preserve">Data de instalação</x18tc:text>
  </x18tc:threadedComment>
  <x18tc:threadedComment ref="AC879" dT="2025-06-06T18:27:34.00" personId="{6c3cfef6-2a2b-4523-b695-882d6eeec17a}" id="{f687c34e-7e7c-42ee-b4e2-82d19ee60d09}" done="0">
    <x18tc:text xml:space="preserve">Data de assinatura do 19º Contrato</x18tc:text>
  </x18tc:threadedComment>
  <x18tc:threadedComment ref="AC1250" dT="2025-09-25T20:22:43.00" personId="{6c3cfef6-2a2b-4523-b695-882d6eeec17a}" id="{362a19f2-91b5-4058-85a5-49604fb3b803}" done="0">
    <x18tc:text xml:space="preserve">Data de assinatura do contrato, mencionada no RP</x18tc:text>
  </x18tc:threadedComment>
  <x18tc:threadedComment ref="AC692" dT="2025-06-04T18:43:40.00" personId="{6c3cfef6-2a2b-4523-b695-882d6eeec17a}" id="{ee4bf730-c4f8-49bd-9d03-de9a439a8753}" done="0">
    <x18tc:text xml:space="preserve">Data de instalação</x18tc:text>
  </x18tc:threadedComment>
  <x18tc:threadedComment ref="AC916" dT="2025-06-09T13:37:51.00" personId="{6c3cfef6-2a2b-4523-b695-882d6eeec17a}" id="{864eb08d-cebb-4297-abdb-31f2c8c66396}" done="0">
    <x18tc:text xml:space="preserve">Data do 2º Termo Adt</x18tc:text>
  </x18tc:threadedComment>
  <x18tc:threadedComment ref="S909" dT="2025-06-06T19:32:16.00" personId="{6c3cfef6-2a2b-4523-b695-882d6eeec17a}" id="{6c81df17-ed3d-41c1-a220-2cd3bfb65fb7}" done="0">
    <x18tc:text xml:space="preserve">Data de instalação</x18tc:text>
  </x18tc:threadedComment>
  <x18tc:threadedComment ref="S811" dT="2025-06-04T19:04:19.00" personId="{6c3cfef6-2a2b-4523-b695-882d6eeec17a}" id="{ca198a29-c18c-41f3-9f8c-7d20e7ecaf62}" done="0">
    <x18tc:text xml:space="preserve">Data de instalação</x18tc:text>
  </x18tc:threadedComment>
  <x18tc:threadedComment ref="S1449" dT="2024-11-01T19:16:18.00" personId="{6c3cfef6-2a2b-4523-b695-882d6eeec17a}" id="{8e252d8f-5250-4c64-8cce-9dce16035d32}" done="0">
    <x18tc:text xml:space="preserve">Data do TRD</x18tc:text>
  </x18tc:threadedComment>
  <x18tc:threadedComment ref="S831" dT="2025-06-05T18:08:29.00" personId="{6c3cfef6-2a2b-4523-b695-882d6eeec17a}" id="{1068db93-5e8b-49c1-80e9-3a647513ff11}" done="0">
    <x18tc:text xml:space="preserve">Data de instalação</x18tc:text>
  </x18tc:threadedComment>
  <x18tc:threadedComment ref="AC710" dT="2025-06-04T18:43:40.00" personId="{6c3cfef6-2a2b-4523-b695-882d6eeec17a}" id="{54202c50-894e-427f-9c40-47f431c1fd7b}" done="0">
    <x18tc:text xml:space="preserve">Data de instalação</x18tc:text>
  </x18tc:threadedComment>
  <x18tc:threadedComment ref="AC589" dT="2025-02-07T13:54:57.00" personId="{6c3cfef6-2a2b-4523-b695-882d6eeec17a}" id="{bcabd031-2476-40ae-bb93-4c53a8059da6}" done="0">
    <x18tc:text xml:space="preserve">Data informada no RP</x18tc:text>
  </x18tc:threadedComment>
  <x18tc:threadedComment ref="S823" dT="2025-06-05T18:05:22.00" personId="{6c3cfef6-2a2b-4523-b695-882d6eeec17a}" id="{5a7215aa-6886-4061-b077-84b5b3ed1a43}" done="0">
    <x18tc:text xml:space="preserve">Data de instalação</x18tc:text>
  </x18tc:threadedComment>
  <x18tc:threadedComment ref="S1044" dT="2025-06-09T16:53:12.00" personId="{6c3cfef6-2a2b-4523-b695-882d6eeec17a}" id="{5ddfe8b7-db2c-44bf-8d73-f3b050c6c03b}" done="0">
    <x18tc:text xml:space="preserve">Data da planilha de planejamento</x18tc:text>
  </x18tc:threadedComment>
  <x18tc:threadedComment ref="S914" dT="2025-06-09T13:42:09.00" personId="{6c3cfef6-2a2b-4523-b695-882d6eeec17a}" id="{2e97807f-a6b8-47be-80c8-30d6bd2bfcb7}" done="0">
    <x18tc:text xml:space="preserve">Data de instalação</x18tc:text>
  </x18tc:threadedComment>
  <x18tc:threadedComment ref="S983" dT="2024-11-01T18:44:47.00" personId="{6c3cfef6-2a2b-4523-b695-882d6eeec17a}" id="{8f9ec32d-eb18-4998-9ac4-5b017a83cf98}" done="0">
    <x18tc:text xml:space="preserve">Data do TRD</x18tc:text>
  </x18tc:threadedComment>
  <x18tc:threadedComment ref="S1051" dT="2025-06-09T17:02:24.00" personId="{6c3cfef6-2a2b-4523-b695-882d6eeec17a}" id="{d9d04f96-da75-4448-b174-126394220c8f}" done="0">
    <x18tc:text xml:space="preserve">Data de instalação</x18tc:text>
  </x18tc:threadedComment>
  <x18tc:threadedComment ref="S1507" dT="2025-06-09T19:06:46.00" personId="{6c3cfef6-2a2b-4523-b695-882d6eeec17a}" id="{28eddaae-8a35-45b4-bf5b-028f1401add4}" done="0">
    <x18tc:text xml:space="preserve">Data de instalação</x18tc:text>
  </x18tc:threadedComment>
  <x18tc:threadedComment ref="AC349" dT="2025-01-31T18:49:16.00" personId="{6c3cfef6-2a2b-4523-b695-882d6eeec17a}" id="{61e0d437-7aba-494c-9133-e01b92837966}" done="0">
    <x18tc:text xml:space="preserve">Data do 2º Termo Aditivo</x18tc:text>
  </x18tc:threadedComment>
  <x18tc:threadedComment ref="S1013" dT="2024-11-01T18:44:47.00" personId="{6c3cfef6-2a2b-4523-b695-882d6eeec17a}" id="{3780ae1d-d7b9-4e83-8244-abb91bdeadf8}" done="0">
    <x18tc:text xml:space="preserve">Data do TRD</x18tc:text>
  </x18tc:threadedComment>
  <x18tc:threadedComment ref="X1391" dT="2025-06-09T18:20:19.00" personId="{6c3cfef6-2a2b-4523-b695-882d6eeec17a}" id="{9f9ff828-bb9f-410e-83b6-336f805e0c95}" done="0">
    <x18tc:text xml:space="preserve">Data mencionada no RP</x18tc:text>
  </x18tc:threadedComment>
  <x18tc:threadedComment ref="S469" dT="2025-06-04T15:01:11.00" personId="{6c3cfef6-2a2b-4523-b695-882d6eeec17a}" id="{8f30c07c-aef3-4c69-9257-2579e8222339}" done="0">
    <x18tc:text xml:space="preserve">Data do TRD</x18tc:text>
  </x18tc:threadedComment>
  <x18tc:threadedComment ref="S795" dT="2025-06-04T19:04:19.00" personId="{6c3cfef6-2a2b-4523-b695-882d6eeec17a}" id="{1ee4d2c9-5333-486c-b2f0-8790430520a7}" done="0">
    <x18tc:text xml:space="preserve">Data de instalação</x18tc:text>
  </x18tc:threadedComment>
  <x18tc:threadedComment ref="S1059" dT="2025-06-09T17:02:24.00" personId="{6c3cfef6-2a2b-4523-b695-882d6eeec17a}" id="{16892cf5-dfd2-4eba-a88d-8aac96199263}" done="0">
    <x18tc:text xml:space="preserve">Data de instalação</x18tc:text>
  </x18tc:threadedComment>
  <x18tc:threadedComment ref="S1040" dT="2025-06-09T16:53:12.00" personId="{6c3cfef6-2a2b-4523-b695-882d6eeec17a}" id="{81928f5e-5e0c-4b5f-9cb3-63b7f9c29edf}" done="0">
    <x18tc:text xml:space="preserve">Data da planilha de planejamento</x18tc:text>
  </x18tc:threadedComment>
  <x18tc:threadedComment ref="S165" dT="2025-05-30T14:31:17.00" personId="{6c3cfef6-2a2b-4523-b695-882d6eeec17a}" id="{d482b8b6-851c-4d75-b15d-91f3d76b96f6}" done="0">
    <x18tc:text xml:space="preserve">Data de instalação</x18tc:text>
  </x18tc:threadedComment>
  <x18tc:threadedComment ref="AC546" dT="2025-02-07T13:56:10.00" personId="{6c3cfef6-2a2b-4523-b695-882d6eeec17a}" id="{5e8fb484-ee31-400d-adff-75c23055309b}" done="0">
    <x18tc:text xml:space="preserve">Data do 4º Termo Adt</x18tc:text>
  </x18tc:threadedComment>
  <x18tc:threadedComment ref="AC1265" dT="2024-11-05T19:06:22.00" personId="{6c3cfef6-2a2b-4523-b695-882d6eeec17a}" id="{5c7a6e65-fe5c-429f-b279-d02fad2aed47}" done="0">
    <x18tc:text xml:space="preserve">Data de assinatura do contrato informada no RP</x18tc:text>
  </x18tc:threadedComment>
  <x18tc:threadedComment ref="S1352" dT="2025-06-09T17:58:09.00" personId="{6c3cfef6-2a2b-4523-b695-882d6eeec17a}" id="{71079c9e-1350-4352-9f4c-ee0eae0cabd3}" done="0">
    <x18tc:text xml:space="preserve">Data de instalação</x18tc:text>
  </x18tc:threadedComment>
  <x18tc:threadedComment ref="AJ544" dT="2025-06-04T16:46:32.00" personId="{6c3cfef6-2a2b-4523-b695-882d6eeec17a}" id="{ab6bad5a-b57a-4339-badf-b71faace7bc6}" done="0">
    <x18tc:text xml:space="preserve">Prazos contados para chamados abertos até as 15:00.
Após esse horário, a contagem começa as 06:00 do dia seguinte</x18tc:text>
  </x18tc:threadedComment>
  <x18tc:threadedComment ref="S48" dT="2025-05-30T13:32:34.00" personId="{6c3cfef6-2a2b-4523-b695-882d6eeec17a}" id="{c870a812-0394-4cb2-b4b3-87b8b5dac8f1}" done="0">
    <x18tc:text xml:space="preserve">Data de instalação</x18tc:text>
  </x18tc:threadedComment>
  <x18tc:threadedComment ref="S1355" dT="2025-06-09T18:10:30.00" personId="{6c3cfef6-2a2b-4523-b695-882d6eeec17a}" id="{1bcbfa9c-1712-4124-a623-131e6464a3bf}" done="0">
    <x18tc:text xml:space="preserve">Data de instalação</x18tc:text>
  </x18tc:threadedComment>
  <x18tc:threadedComment ref="X1110" dT="2025-06-09T17:19:07.00" personId="{6c3cfef6-2a2b-4523-b695-882d6eeec17a}" id="{5ce66629-de34-4fcb-a7b8-1e8f622f94c7}" done="0">
    <x18tc:text xml:space="preserve">Data da Renovação Contratual</x18tc:text>
  </x18tc:threadedComment>
  <x18tc:threadedComment ref="AJ584" dT="2025-06-04T16:46:32.00" personId="{6c3cfef6-2a2b-4523-b695-882d6eeec17a}" id="{259348b7-e688-43be-99b4-a7b9f6092b08}" done="0">
    <x18tc:text xml:space="preserve">Prazos contados para chamados abertos até as 15:00.
Após esse horário, a contagem começa as 06:00 do dia seguinte</x18tc:text>
  </x18tc:threadedComment>
  <x18tc:threadedComment ref="S498" dT="2025-02-05T16:35:50.00" personId="{6c3cfef6-2a2b-4523-b695-882d6eeec17a}" id="{16f48f9f-2c29-4efa-bb97-d1cfb1db0ff9}" done="0">
    <x18tc:text xml:space="preserve">Data de Inst.</x18tc:text>
  </x18tc:threadedComment>
  <x18tc:threadedComment ref="S29" dT="2025-05-30T13:32:34.00" personId="{6c3cfef6-2a2b-4523-b695-882d6eeec17a}" id="{a571a5f5-b90b-4a9e-9c6b-d1ed0dc1884a}" done="0">
    <x18tc:text xml:space="preserve">Data de instalação</x18tc:text>
  </x18tc:threadedComment>
  <x18tc:threadedComment ref="S1037" dT="2025-06-09T16:53:12.00" personId="{6c3cfef6-2a2b-4523-b695-882d6eeec17a}" id="{41aa1704-0587-434e-a6fc-75ac398ff315}" done="0">
    <x18tc:text xml:space="preserve">Data da planilha de planejamento</x18tc:text>
  </x18tc:threadedComment>
  <x18tc:threadedComment ref="X1415" dT="2025-06-09T18:37:20.00" personId="{6c3cfef6-2a2b-4523-b695-882d6eeec17a}" id="{130ea8b5-a00d-4a99-9a37-e12e9a3dcc5a}" done="0">
    <x18tc:text xml:space="preserve">Data do 1º Termo Adt</x18tc:text>
  </x18tc:threadedComment>
  <x18tc:threadedComment ref="S68" dT="2025-05-30T13:32:34.00" personId="{6c3cfef6-2a2b-4523-b695-882d6eeec17a}" id="{2ed99762-a3b0-4b09-94c4-880a00559b49}" done="0">
    <x18tc:text xml:space="preserve">Data de instalação</x18tc:text>
  </x18tc:threadedComment>
  <x18tc:threadedComment ref="AC565" dT="2025-02-07T13:56:10.00" personId="{6c3cfef6-2a2b-4523-b695-882d6eeec17a}" id="{85626c8f-7bac-46f7-b97d-9a3926d0ef0e}" done="0">
    <x18tc:text xml:space="preserve">Data do 4º Termo Adt</x18tc:text>
  </x18tc:threadedComment>
  <x18tc:threadedComment ref="S1427" dT="2024-11-01T19:16:18.00" personId="{6c3cfef6-2a2b-4523-b695-882d6eeec17a}" id="{583cf928-8399-4342-bc47-53343981f986}" done="0">
    <x18tc:text xml:space="preserve">Data do TRD</x18tc:text>
  </x18tc:threadedComment>
  <x18tc:threadedComment ref="X16" dT="2025-07-17T17:49:14.00" personId="{6c3cfef6-2a2b-4523-b695-882d6eeec17a}" id="{8572fb30-d136-42b7-ac0c-65f86a4bfa4b}" done="0">
    <x18tc:text xml:space="preserve">Data informada pelo Comercial, na planilha "Controle de Prazos de Garantia - Aena"</x18tc:text>
  </x18tc:threadedComment>
  <x18tc:threadedComment ref="X1138" dT="2025-06-09T17:19:07.00" personId="{6c3cfef6-2a2b-4523-b695-882d6eeec17a}" id="{c5391e99-047d-4a24-9635-30e32f4587ab}" done="0">
    <x18tc:text xml:space="preserve">Data da Renovação Contratual</x18tc:text>
  </x18tc:threadedComment>
  <x18tc:threadedComment ref="AC702" dT="2025-06-04T18:43:40.00" personId="{6c3cfef6-2a2b-4523-b695-882d6eeec17a}" id="{2de90dff-9507-45ec-8e20-48b353ff4d67}" done="0">
    <x18tc:text xml:space="preserve">Data de instalação</x18tc:text>
  </x18tc:threadedComment>
  <x18tc:threadedComment ref="S749" dT="2025-06-04T17:54:23.00" personId="{6c3cfef6-2a2b-4523-b695-882d6eeec17a}" id="{9aba1390-25b2-4375-b282-138bb567e8bd}" done="0">
    <x18tc:text xml:space="preserve">Data de instalação</x18tc:text>
  </x18tc:threadedComment>
  <x18tc:threadedComment ref="S492" dT="2025-06-04T15:01:11.00" personId="{6c3cfef6-2a2b-4523-b695-882d6eeec17a}" id="{fea8bbd6-5c53-4fa0-87a3-25ff54e157d1}" done="0">
    <x18tc:text xml:space="preserve">Data do TRD</x18tc:text>
  </x18tc:threadedComment>
  <x18tc:threadedComment ref="S425" dT="2025-02-05T11:22:19.00" personId="{6c3cfef6-2a2b-4523-b695-882d6eeec17a}" id="{ccb742bf-efeb-49bd-b360-7664ef0484e1}" done="0">
    <x18tc:text xml:space="preserve">Data do TRD</x18tc:text>
  </x18tc:threadedComment>
  <x18tc:threadedComment ref="S1504" dT="2025-06-09T18:46:23.00" personId="{6c3cfef6-2a2b-4523-b695-882d6eeec17a}" id="{10b3ecab-7304-481d-a92c-dd7aa47cb7a3}" done="0">
    <x18tc:text xml:space="preserve">Data de instalação</x18tc:text>
  </x18tc:threadedComment>
  <x18tc:threadedComment ref="S1543" dT="2025-03-19T13:34:06.00" personId="{6c3cfef6-2a2b-4523-b695-882d6eeec17a}" id="{3af584db-a075-4991-8336-88756a405edb}" done="0">
    <x18tc:text xml:space="preserve">Data do TRD</x18tc:text>
  </x18tc:threadedComment>
  <x18tc:threadedComment ref="X1393" dT="2025-06-09T18:20:19.00" personId="{6c3cfef6-2a2b-4523-b695-882d6eeec17a}" id="{863dde9a-4520-447f-8587-297e3e6a5265}" done="0">
    <x18tc:text xml:space="preserve">Data mencionada no RP</x18tc:text>
  </x18tc:threadedComment>
  <x18tc:threadedComment ref="S1313" dT="2025-03-18T16:20:02.00" personId="{6c3cfef6-2a2b-4523-b695-882d6eeec17a}" id="{5218b2d3-6bad-414e-a157-d6a7945de206}" done="0">
    <x18tc:text xml:space="preserve">Data do TRD</x18tc:text>
  </x18tc:threadedComment>
  <x18tc:threadedComment ref="X70" dT="2025-07-17T16:57:11.00" personId="{6c3cfef6-2a2b-4523-b695-882d6eeec17a}" id="{deedfb98-692f-4e79-922a-862aadf140a5}" done="0">
    <x18tc:text xml:space="preserve">Data informada pelo Comercial, na planilha "Controle de Prazos de Garantia - Aena"</x18tc:text>
  </x18tc:threadedComment>
  <x18tc:threadedComment ref="AC614" dT="2025-02-07T13:56:10.00" personId="{6c3cfef6-2a2b-4523-b695-882d6eeec17a}" id="{908218dc-d777-4dce-abf6-12b36f29e365}" done="0">
    <x18tc:text xml:space="preserve">Data de instalação</x18tc:text>
  </x18tc:threadedComment>
  <x18tc:threadedComment ref="S759" dT="2025-06-04T17:54:23.00" personId="{6c3cfef6-2a2b-4523-b695-882d6eeec17a}" id="{fe04cd83-837b-4d7e-93ee-ff36ddbfd3d4}" done="0">
    <x18tc:text xml:space="preserve">Data de instalação</x18tc:text>
  </x18tc:threadedComment>
  <x18tc:threadedComment ref="AC541" dT="2025-02-07T13:56:10.00" personId="{6c3cfef6-2a2b-4523-b695-882d6eeec17a}" id="{0cacd9e6-6da3-430c-bbc2-f8ef3cb6e957}" done="0">
    <x18tc:text xml:space="preserve">Data do 4º Termo Adt</x18tc:text>
  </x18tc:threadedComment>
  <x18tc:threadedComment ref="X1133" dT="2025-06-09T17:19:07.00" personId="{6c3cfef6-2a2b-4523-b695-882d6eeec17a}" id="{f8ce94d7-1dcc-41fa-b394-cedc48cdc770}" done="0">
    <x18tc:text xml:space="preserve">Data da Renovação Contratual</x18tc:text>
  </x18tc:threadedComment>
  <x18tc:threadedComment ref="AC595" dT="2025-02-07T13:54:57.00" personId="{6c3cfef6-2a2b-4523-b695-882d6eeec17a}" id="{2ca97f9a-588f-4bae-b3c5-4b8040eb8350}" done="0">
    <x18tc:text xml:space="preserve">Data informada no RP</x18tc:text>
  </x18tc:threadedComment>
  <x18tc:threadedComment ref="AC655" dT="2025-02-07T13:56:10.00" personId="{6c3cfef6-2a2b-4523-b695-882d6eeec17a}" id="{7f2698dc-d72b-46bd-bdda-b3c52046a259}" done="0">
    <x18tc:text xml:space="preserve">Data de instalação</x18tc:text>
  </x18tc:threadedComment>
  <x18tc:threadedComment ref="S407" dT="2025-02-05T11:22:19.00" personId="{6c3cfef6-2a2b-4523-b695-882d6eeec17a}" id="{4b08c7ef-30de-4b10-b160-c0618dd26826}" done="0">
    <x18tc:text xml:space="preserve">Data do TRD</x18tc:text>
  </x18tc:threadedComment>
  <x18tc:threadedComment ref="AC1640" dT="2025-06-04T13:37:31.00" personId="{6c3cfef6-2a2b-4523-b695-882d6eeec17a}" id="{b219e22c-7bfa-4781-bfee-9d7f08aa823d}" done="0">
    <x18tc:text xml:space="preserve">Data de instalação</x18tc:text>
  </x18tc:threadedComment>
  <x18tc:threadedComment ref="S54" dT="2025-05-30T13:32:34.00" personId="{6c3cfef6-2a2b-4523-b695-882d6eeec17a}" id="{2ef4c0d1-6b36-4932-9c19-a76889fadb33}" done="0">
    <x18tc:text xml:space="preserve">Data de instalação</x18tc:text>
  </x18tc:threadedComment>
  <x18tc:threadedComment ref="S1553" dT="2025-03-18T18:54:47.00" personId="{6c3cfef6-2a2b-4523-b695-882d6eeec17a}" id="{d6a5239f-650b-4cc4-b4cd-a42c3038cc19}" done="0">
    <x18tc:text xml:space="preserve">Data de instalação</x18tc:text>
  </x18tc:threadedComment>
  <x18tc:threadedComment ref="S991" dT="2024-11-01T18:44:47.00" personId="{6c3cfef6-2a2b-4523-b695-882d6eeec17a}" id="{1703ebca-d4b0-45da-a5a0-bb8cb75c12f8}" done="0">
    <x18tc:text xml:space="preserve">Data do TRD</x18tc:text>
  </x18tc:threadedComment>
  <x18tc:threadedComment ref="S1438" dT="2024-11-01T19:16:18.00" personId="{6c3cfef6-2a2b-4523-b695-882d6eeec17a}" id="{a317bc4c-a099-4c8e-8a16-409888b7c5d3}" done="0">
    <x18tc:text xml:space="preserve">Data do TRD</x18tc:text>
  </x18tc:threadedComment>
  <x18tc:threadedComment ref="S953" dT="2024-11-01T18:44:47.00" personId="{6c3cfef6-2a2b-4523-b695-882d6eeec17a}" id="{23a9ddae-2460-4e67-ae15-758634d91a12}" done="0">
    <x18tc:text xml:space="preserve">Data do TRD</x18tc:text>
  </x18tc:threadedComment>
  <x18tc:threadedComment ref="S959" dT="2024-11-01T18:44:47.00" personId="{6c3cfef6-2a2b-4523-b695-882d6eeec17a}" id="{11bc8e99-ddc8-488a-88b9-aa79eaec6920}" done="0">
    <x18tc:text xml:space="preserve">Data do TRD</x18tc:text>
  </x18tc:threadedComment>
  <x18tc:threadedComment ref="S802" dT="2025-06-04T19:04:19.00" personId="{6c3cfef6-2a2b-4523-b695-882d6eeec17a}" id="{2e9a8fee-1aaf-45b9-8509-60c01d41b62e}" done="0">
    <x18tc:text xml:space="preserve">Data de instalação</x18tc:text>
  </x18tc:threadedComment>
  <x18tc:threadedComment ref="AC896" dT="2025-06-06T18:27:34.00" personId="{6c3cfef6-2a2b-4523-b695-882d6eeec17a}" id="{aba82d43-eb66-4bba-b6a6-a13e38c02023}" done="0">
    <x18tc:text xml:space="preserve">Data de instalação</x18tc:text>
  </x18tc:threadedComment>
  <x18tc:threadedComment ref="AC705" dT="2025-06-04T18:43:40.00" personId="{6c3cfef6-2a2b-4523-b695-882d6eeec17a}" id="{e82a122f-123c-4f46-8648-31b219ac8f06}" done="0">
    <x18tc:text xml:space="preserve">Data de instalação</x18tc:text>
  </x18tc:threadedComment>
  <x18tc:threadedComment ref="S1585" dT="2025-03-18T18:54:47.00" personId="{6c3cfef6-2a2b-4523-b695-882d6eeec17a}" id="{74638844-76dd-43b2-b444-cb0dd4524401}" done="0">
    <x18tc:text xml:space="preserve">Data de instalação</x18tc:text>
  </x18tc:threadedComment>
  <x18tc:threadedComment ref="S981" dT="2024-11-01T18:44:47.00" personId="{6c3cfef6-2a2b-4523-b695-882d6eeec17a}" id="{3c3c278c-5798-442e-8cf2-d1bb47603aa0}" done="0">
    <x18tc:text xml:space="preserve">Data do TRD</x18tc:text>
  </x18tc:threadedComment>
  <x18tc:threadedComment ref="S52" dT="2025-05-30T13:32:34.00" personId="{6c3cfef6-2a2b-4523-b695-882d6eeec17a}" id="{c97368c0-7b23-4d45-948a-80439295a795}" done="0">
    <x18tc:text xml:space="preserve">Data de instalação</x18tc:text>
  </x18tc:threadedComment>
  <x18tc:threadedComment ref="S961" dT="2024-11-01T18:44:47.00" personId="{6c3cfef6-2a2b-4523-b695-882d6eeec17a}" id="{7333fd00-0f63-42a9-82a3-fe25a641446a}" done="0">
    <x18tc:text xml:space="preserve">Data do TRD</x18tc:text>
  </x18tc:threadedComment>
  <x18tc:threadedComment ref="AJ588" dT="2025-06-04T16:46:32.00" personId="{6c3cfef6-2a2b-4523-b695-882d6eeec17a}" id="{0ab0856c-7885-45d0-9e8c-f8b6252faae4}" done="0">
    <x18tc:text xml:space="preserve">Prazos contados para chamados abertos até as 15:00.
Após esse horário, a contagem começa as 06:00 do dia seguinte</x18tc:text>
  </x18tc:threadedComment>
  <x18tc:threadedComment ref="AC1196" dT="2025-09-25T20:22:43.00" personId="{6c3cfef6-2a2b-4523-b695-882d6eeec17a}" id="{4dd88d83-1ef7-4adc-b914-751c2eb2db98}" done="0">
    <x18tc:text xml:space="preserve">Data de assinatura do contrato, mencionada no RP</x18tc:text>
  </x18tc:threadedComment>
  <x18tc:threadedComment ref="AC668" dT="2025-06-04T18:43:40.00" personId="{6c3cfef6-2a2b-4523-b695-882d6eeec17a}" id="{4d6d43fa-f3de-4395-935b-62f2d2ed7178}" done="0">
    <x18tc:text xml:space="preserve">Data de instalação</x18tc:text>
  </x18tc:threadedComment>
  <x18tc:threadedComment ref="S480" dT="2025-06-04T15:01:11.00" personId="{6c3cfef6-2a2b-4523-b695-882d6eeec17a}" id="{5419d831-a7aa-4f9b-a477-42c67ebda045}" done="0">
    <x18tc:text xml:space="preserve">Data do TRD</x18tc:text>
  </x18tc:threadedComment>
  <x18tc:threadedComment ref="S444" dT="2024-11-05T17:51:32.00" personId="{6c3cfef6-2a2b-4523-b695-882d6eeec17a}" id="{478f3749-17ca-479b-b485-19e8f417a1c3}" done="0">
    <x18tc:text xml:space="preserve">Data de inst.</x18tc:text>
  </x18tc:threadedComment>
  <x18tc:threadedComment ref="AC1255" dT="2024-11-07T14:41:02.00" personId="{6c3cfef6-2a2b-4523-b695-882d6eeec17a}" id="{6c491b97-b442-46d6-8113-8150a15fa097}" done="0">
    <x18tc:text xml:space="preserve">Data simbólica informada pelo Cláudio</x18tc:text>
  </x18tc:threadedComment>
  <x18tc:threadedComment ref="AC1210" dT="2024-11-07T14:41:02.00" personId="{6c3cfef6-2a2b-4523-b695-882d6eeec17a}" id="{56e6dcad-3706-4c1c-9551-366f66b2fe75}" done="0">
    <x18tc:text xml:space="preserve">Data simbólica informada pelo Cláudio</x18tc:text>
  </x18tc:threadedComment>
  <x18tc:threadedComment ref="AC204" dT="2025-05-30T14:46:23.00" personId="{6c3cfef6-2a2b-4523-b695-882d6eeec17a}" id="{8f68cfca-d178-4ae4-ac66-850f9c6fe18c}" done="0">
    <x18tc:text xml:space="preserve">Data de instalação</x18tc:text>
  </x18tc:threadedComment>
  <x18tc:threadedComment ref="AC1185" dT="2025-09-25T20:22:43.00" personId="{6c3cfef6-2a2b-4523-b695-882d6eeec17a}" id="{221f736b-dcbe-485a-9c5e-b99885c0b93f}" done="0">
    <x18tc:text xml:space="preserve">Data de assinatura do contrato, mencionada no RP</x18tc:text>
  </x18tc:threadedComment>
  <x18tc:threadedComment ref="S456" dT="2025-02-05T11:22:19.00" personId="{6c3cfef6-2a2b-4523-b695-882d6eeec17a}" id="{cdfc9c24-1145-45bc-9672-468bebf17881}" done="0">
    <x18tc:text xml:space="preserve">Data do TRD</x18tc:text>
  </x18tc:threadedComment>
  <x18tc:threadedComment ref="X39" dT="2025-07-17T16:57:11.00" personId="{6c3cfef6-2a2b-4523-b695-882d6eeec17a}" id="{d3f788fc-6714-4f28-9ae0-c15e890436a1}" done="0">
    <x18tc:text xml:space="preserve">Data informada pelo Comercial, na planilha "Controle de Prazos de Garantia - Aena"</x18tc:text>
  </x18tc:threadedComment>
  <x18tc:threadedComment ref="S1420" dT="2024-11-05T14:01:53.00" personId="{6c3cfef6-2a2b-4523-b695-882d6eeec17a}" id="{883e43fe-4f06-4459-b490-89719b52600d}" done="0">
    <x18tc:text xml:space="preserve">Data do TRD</x18tc:text>
  </x18tc:threadedComment>
  <x18tc:threadedComment ref="AC861" dT="2025-06-06T18:27:34.00" personId="{6c3cfef6-2a2b-4523-b695-882d6eeec17a}" id="{734fe155-a8fd-40ef-a2e4-6a58375e3423}" done="0">
    <x18tc:text xml:space="preserve">Data de instalação</x18tc:text>
  </x18tc:threadedComment>
  <x18tc:threadedComment ref="S170" dT="2025-05-30T14:31:17.00" personId="{6c3cfef6-2a2b-4523-b695-882d6eeec17a}" id="{b1cdeae7-1f7c-4ebb-a2f4-282552dc3d6d}" done="0">
    <x18tc:text xml:space="preserve">Data de instalação</x18tc:text>
  </x18tc:threadedComment>
  <x18tc:threadedComment ref="S1404" dT="2025-01-07T17:30:30.00" personId="{6c3cfef6-2a2b-4523-b695-882d6eeec17a}" id="{30bdd0b6-b380-45ac-90b4-17887c522d26}" done="0">
    <x18tc:text xml:space="preserve">Data do TRD</x18tc:text>
  </x18tc:threadedComment>
  <x18tc:threadedComment ref="AC1209" dT="2025-09-25T20:22:43.00" personId="{6c3cfef6-2a2b-4523-b695-882d6eeec17a}" id="{833fca29-0a5b-4812-b2bf-3ce068d5ca8c}" done="0">
    <x18tc:text xml:space="preserve">Data de assinatura do contrato, mencionada no RP</x18tc:text>
  </x18tc:threadedComment>
  <x18tc:threadedComment ref="S290" dT="2025-05-30T18:45:10.00" personId="{6c3cfef6-2a2b-4523-b695-882d6eeec17a}" id="{e1a9b12b-2224-4a23-b6c5-bdd3951b4c2c}" done="0">
    <x18tc:text xml:space="preserve">Data de instalação</x18tc:text>
  </x18tc:threadedComment>
  <x18tc:threadedComment ref="AC613" dT="2025-02-07T13:56:10.00" personId="{6c3cfef6-2a2b-4523-b695-882d6eeec17a}" id="{1c25e9f2-b001-43c9-a051-b68a71ff98cb}" done="0">
    <x18tc:text xml:space="preserve">Data de instalação</x18tc:text>
  </x18tc:threadedComment>
  <x18tc:threadedComment ref="AC1190" dT="2024-11-07T14:41:02.00" personId="{6c3cfef6-2a2b-4523-b695-882d6eeec17a}" id="{0b50f18d-e9dd-4c6e-a175-1f2c81ea18ac}" done="0">
    <x18tc:text xml:space="preserve">Data simbólica informada pelo Cláudio</x18tc:text>
  </x18tc:threadedComment>
  <x18tc:threadedComment ref="S420" dT="2025-02-05T16:35:50.00" personId="{6c3cfef6-2a2b-4523-b695-882d6eeec17a}" id="{e4b18d6c-6fbf-4142-b475-5d9e8ac2db7e}" done="0">
    <x18tc:text xml:space="preserve">Data de Inst.</x18tc:text>
  </x18tc:threadedComment>
  <x18tc:threadedComment ref="S415" dT="2025-06-04T15:01:11.00" personId="{6c3cfef6-2a2b-4523-b695-882d6eeec17a}" id="{1384736e-a23b-486e-aa79-3278ab85a86e}" done="0">
    <x18tc:text xml:space="preserve">Data do TRD</x18tc:text>
  </x18tc:threadedComment>
  <x18tc:threadedComment ref="S5" dT="2025-05-30T13:32:34.00" personId="{6c3cfef6-2a2b-4523-b695-882d6eeec17a}" id="{421c6fb0-881e-4271-b31a-80f33894844d}" done="0">
    <x18tc:text xml:space="preserve">Data de instalação</x18tc:text>
  </x18tc:threadedComment>
  <x18tc:threadedComment ref="S1107" dT="2025-06-09T17:58:09.00" personId="{6c3cfef6-2a2b-4523-b695-882d6eeec17a}" id="{b2b52662-c501-4cce-91f0-ea0a120b18e8}" done="0">
    <x18tc:text xml:space="preserve">Data de instalação</x18tc:text>
  </x18tc:threadedComment>
  <x18tc:threadedComment ref="S842" dT="2025-06-05T18:08:29.00" personId="{6c3cfef6-2a2b-4523-b695-882d6eeec17a}" id="{7da7ca91-d36b-431c-b5eb-481b02ce79a2}" done="0">
    <x18tc:text xml:space="preserve">Data de instalação</x18tc:text>
  </x18tc:threadedComment>
  <x18tc:threadedComment ref="X33" dT="2025-05-30T13:32:34.00" personId="{6c3cfef6-2a2b-4523-b695-882d6eeec17a}" id="{eb3c2dff-72f0-4381-8481-c6c7d2bfa86b}" done="0">
    <x18tc:text xml:space="preserve">Data informada pelo Comercial, na planilha "Controle de Prazos de Garantia - Aena"</x18tc:text>
  </x18tc:threadedComment>
  <x18tc:threadedComment ref="X6" dT="2025-07-17T17:37:49.00" personId="{6c3cfef6-2a2b-4523-b695-882d6eeec17a}" id="{6e00f91c-91d7-411f-b8ad-85a799d8fedb}" done="0">
    <x18tc:text xml:space="preserve">Data informada pelo Comercial, na planilha "Controle de Prazos de Garantia - Aena"</x18tc:text>
  </x18tc:threadedComment>
  <x18tc:threadedComment ref="X225" dT="2025-01-31T18:15:26.00" personId="{6c3cfef6-2a2b-4523-b695-882d6eeec17a}" id="{55726655-4b77-4ad8-b818-5ff6e853f211}" done="0">
    <x18tc:text xml:space="preserve">Data do 1º Termo Aditivo</x18tc:text>
  </x18tc:threadedComment>
  <x18tc:threadedComment ref="S537" dT="2024-11-05T17:51:32.00" personId="{6c3cfef6-2a2b-4523-b695-882d6eeec17a}" id="{1e2db0f0-ac24-4a1b-96c8-62c0cf1fc98c}" done="0">
    <x18tc:text xml:space="preserve">Data de inst.</x18tc:text>
  </x18tc:threadedComment>
  <x18tc:threadedComment ref="S473" dT="2024-11-05T17:51:32.00" personId="{6c3cfef6-2a2b-4523-b695-882d6eeec17a}" id="{3b6584dd-fdcc-45d3-bed0-94c7fb39843b}" done="0">
    <x18tc:text xml:space="preserve">Data de inst.</x18tc:text>
  </x18tc:threadedComment>
  <x18tc:threadedComment ref="S1436" dT="2024-11-05T14:01:53.00" personId="{6c3cfef6-2a2b-4523-b695-882d6eeec17a}" id="{db8d836b-c604-4c7b-bf7e-ca94b47fb3a8}" done="0">
    <x18tc:text xml:space="preserve">Data do TRD</x18tc:text>
  </x18tc:threadedComment>
  <x18tc:threadedComment ref="S426" dT="2025-02-05T11:22:19.00" personId="{6c3cfef6-2a2b-4523-b695-882d6eeec17a}" id="{cd07bebd-4b86-49e1-ae0b-6f2a1afac9c2}" done="0">
    <x18tc:text xml:space="preserve">Data do TRD</x18tc:text>
  </x18tc:threadedComment>
  <x18tc:threadedComment ref="S268" dT="2025-05-30T18:33:18.00" personId="{6c3cfef6-2a2b-4523-b695-882d6eeec17a}" id="{a710231c-ac36-4729-941b-317c20e39a6f}" done="0">
    <x18tc:text xml:space="preserve">Data de instalação</x18tc:text>
  </x18tc:threadedComment>
  <x18tc:threadedComment ref="S821" dT="2025-06-05T18:05:22.00" personId="{6c3cfef6-2a2b-4523-b695-882d6eeec17a}" id="{fbeb4728-41ad-453b-a686-47c8aeee429d}" done="0">
    <x18tc:text xml:space="preserve">Data de instalação</x18tc:text>
  </x18tc:threadedComment>
  <x18tc:threadedComment ref="S1521" dT="2025-06-09T19:06:46.00" personId="{6c3cfef6-2a2b-4523-b695-882d6eeec17a}" id="{c3039ff7-2771-4085-8056-79e04da6b9bd}" done="0">
    <x18tc:text xml:space="preserve">Data de instalação</x18tc:text>
  </x18tc:threadedComment>
  <x18tc:threadedComment ref="S1344" dT="2025-06-09T17:38:37.00" personId="{6c3cfef6-2a2b-4523-b695-882d6eeec17a}" id="{c533a69e-786d-4b4b-8704-efcac9e57e4d}" done="0">
    <x18tc:text xml:space="preserve">Data de instalação</x18tc:text>
  </x18tc:threadedComment>
  <x18tc:threadedComment ref="S1590" dT="2025-03-18T18:54:47.00" personId="{6c3cfef6-2a2b-4523-b695-882d6eeec17a}" id="{f6ffb2b0-bccd-4150-a760-b3b05144601d}" done="0">
    <x18tc:text xml:space="preserve">Data de instalação</x18tc:text>
  </x18tc:threadedComment>
  <x18tc:threadedComment ref="S1619" dT="2025-06-09T19:43:23.00" personId="{6c3cfef6-2a2b-4523-b695-882d6eeec17a}" id="{dff94d40-2a7d-432f-9999-6818f8a7e4df}" done="0">
    <x18tc:text xml:space="preserve">Data de instalação</x18tc:text>
  </x18tc:threadedComment>
  <x18tc:threadedComment ref="S487" dT="2025-06-04T16:28:25.00" personId="{6c3cfef6-2a2b-4523-b695-882d6eeec17a}" id="{ca5390ba-5d0c-446d-b8a6-34208b5df928}" done="0">
    <x18tc:text xml:space="preserve">Data de instalação</x18tc:text>
  </x18tc:threadedComment>
  <x18tc:threadedComment ref="S1426" dT="2024-11-01T19:16:18.00" personId="{6c3cfef6-2a2b-4523-b695-882d6eeec17a}" id="{cc023076-b8d5-4b17-b777-9b49cc2a6f72}" done="0">
    <x18tc:text xml:space="preserve">Data do TRD</x18tc:text>
  </x18tc:threadedComment>
  <x18tc:threadedComment ref="S448" dT="2025-02-05T11:22:19.00" personId="{6c3cfef6-2a2b-4523-b695-882d6eeec17a}" id="{11e99ac3-808d-4de6-b8f0-cdde42c9130c}" done="0">
    <x18tc:text xml:space="preserve">Data do TRD</x18tc:text>
  </x18tc:threadedComment>
  <x18tc:threadedComment ref="AC933" dT="2025-06-09T14:00:45.00" personId="{6c3cfef6-2a2b-4523-b695-882d6eeec17a}" id="{7ece10c9-7308-47ba-9b37-621beccb0a7d}" done="0">
    <x18tc:text xml:space="preserve">Data do 2º Termo Adt</x18tc:text>
  </x18tc:threadedComment>
  <x18tc:threadedComment ref="AC1264" dT="2025-09-25T20:22:43.00" personId="{6c3cfef6-2a2b-4523-b695-882d6eeec17a}" id="{6625a4c9-ab11-476b-beaf-85035bf492a5}" done="0">
    <x18tc:text xml:space="preserve">Data de assinatura do contrato, mencionada no RP</x18tc:text>
  </x18tc:threadedComment>
  <x18tc:threadedComment ref="S310" dT="2025-05-30T18:39:21.00" personId="{6c3cfef6-2a2b-4523-b695-882d6eeec17a}" id="{1b3c7ced-ee1b-46b5-a910-e3750ec206ec}" done="0">
    <x18tc:text xml:space="preserve">Data de instalação</x18tc:text>
  </x18tc:threadedComment>
  <x18tc:threadedComment ref="S1396" dT="2025-06-09T18:21:04.00" personId="{6c3cfef6-2a2b-4523-b695-882d6eeec17a}" id="{eb1abfcb-55c5-46b6-a334-23ec8da1c16c}" done="0">
    <x18tc:text xml:space="preserve">Data do TRD</x18tc:text>
  </x18tc:threadedComment>
  <x18tc:threadedComment ref="X936" dT="2025-06-09T14:10:53.00" personId="{6c3cfef6-2a2b-4523-b695-882d6eeec17a}" id="{8faa2019-b863-486a-b168-4baa33c05481}" done="0">
    <x18tc:text xml:space="preserve">Data mencionada na planilha confiável</x18tc:text>
  </x18tc:threadedComment>
  <x18tc:threadedComment ref="AC606" dT="2025-02-07T13:56:10.00" personId="{6c3cfef6-2a2b-4523-b695-882d6eeec17a}" id="{66509a77-1dca-4742-a1ab-d153cc65252e}" done="0">
    <x18tc:text xml:space="preserve">Data de instalação</x18tc:text>
  </x18tc:threadedComment>
  <x18tc:threadedComment ref="AC646" dT="2025-02-07T13:56:10.00" personId="{6c3cfef6-2a2b-4523-b695-882d6eeec17a}" id="{134f2af3-ec15-4faf-b97b-28b4afb68a24}" done="0">
    <x18tc:text xml:space="preserve">Data de instalação</x18tc:text>
  </x18tc:threadedComment>
  <x18tc:threadedComment ref="S245" dT="2025-05-30T14:46:23.00" personId="{6c3cfef6-2a2b-4523-b695-882d6eeec17a}" id="{4e77d18d-7c6c-4393-83d2-21697e7f5cdd}" done="0">
    <x18tc:text xml:space="preserve">Data de instalação</x18tc:text>
  </x18tc:threadedComment>
  <x18tc:threadedComment ref="AC344" dT="2025-06-04T13:27:16.00" personId="{6c3cfef6-2a2b-4523-b695-882d6eeec17a}" id="{d93a0a90-2bdb-42dd-8d29-0f0ac8e4b0e7}" done="0">
    <x18tc:text xml:space="preserve">Data do 2º Termo Adt</x18tc:text>
  </x18tc:threadedComment>
  <x18tc:threadedComment ref="AC619" dT="2025-02-07T13:56:10.00" personId="{6c3cfef6-2a2b-4523-b695-882d6eeec17a}" id="{410eed0f-0587-481f-b7aa-9c5974c01b8d}" done="0">
    <x18tc:text xml:space="preserve">Data de instalação</x18tc:text>
  </x18tc:threadedComment>
  <x18tc:threadedComment ref="S1007" dT="2024-11-01T18:44:47.00" personId="{6c3cfef6-2a2b-4523-b695-882d6eeec17a}" id="{08dfe65f-b457-4ca7-9c06-c2e56f16bb21}" done="0">
    <x18tc:text xml:space="preserve">Data do TRD</x18tc:text>
  </x18tc:threadedComment>
  <x18tc:threadedComment ref="AC594" dT="2025-02-07T13:54:57.00" personId="{6c3cfef6-2a2b-4523-b695-882d6eeec17a}" id="{fe7b0950-59b8-4a60-a6d7-6f487d8279c6}" done="0">
    <x18tc:text xml:space="preserve">Data informada no RP</x18tc:text>
  </x18tc:threadedComment>
  <x18tc:threadedComment ref="S952" dT="2024-11-01T18:44:47.00" personId="{6c3cfef6-2a2b-4523-b695-882d6eeec17a}" id="{4f5c0ce4-adbb-47e3-b521-96b7d193be5a}" done="0">
    <x18tc:text xml:space="preserve">Data do TRD</x18tc:text>
  </x18tc:threadedComment>
  <x18tc:threadedComment ref="S586" dT="2025-06-04T13:37:31.00" personId="{6c3cfef6-2a2b-4523-b695-882d6eeec17a}" id="{a4ea05b8-9316-49d8-930e-afcc4f21647e}" done="0">
    <x18tc:text xml:space="preserve">Data de instalação</x18tc:text>
  </x18tc:threadedComment>
  <x18tc:threadedComment ref="X24" dT="2025-05-30T13:32:34.00" personId="{6c3cfef6-2a2b-4523-b695-882d6eeec17a}" id="{552e8f0e-7edd-447d-b28e-72b36bab7029}" done="0">
    <x18tc:text xml:space="preserve">Data de instalação</x18tc:text>
  </x18tc:threadedComment>
  <x18tc:threadedComment ref="X27" dT="2025-05-30T13:32:34.00" personId="{6c3cfef6-2a2b-4523-b695-882d6eeec17a}" id="{680b1e88-fddf-4e43-9e50-3261e83c82a9}" done="0">
    <x18tc:text xml:space="preserve">Data de instalação</x18tc:text>
  </x18tc:threadedComment>
  <x18tc:threadedComment ref="AC563" dT="2025-02-07T13:56:10.00" personId="{6c3cfef6-2a2b-4523-b695-882d6eeec17a}" id="{1ab42776-311f-4d7b-b584-d1284ab0856b}" done="0">
    <x18tc:text xml:space="preserve">Data do 4º Termo Adt</x18tc:text>
  </x18tc:threadedComment>
  <x18tc:threadedComment ref="AC1308" dT="2024-11-07T14:41:02.00" personId="{6c3cfef6-2a2b-4523-b695-882d6eeec17a}" id="{937c5599-a1f0-46aa-b774-a30a532af631}" done="0">
    <x18tc:text xml:space="preserve">Data simbólica informada pelo Cláudio</x18tc:text>
  </x18tc:threadedComment>
  <x18tc:threadedComment ref="AC631" dT="2025-02-07T13:56:10.00" personId="{6c3cfef6-2a2b-4523-b695-882d6eeec17a}" id="{d17a38fa-7272-48d8-8d46-ac19fa71945c}" done="0">
    <x18tc:text xml:space="preserve">Data de instalação</x18tc:text>
  </x18tc:threadedComment>
  <x18tc:threadedComment ref="S101" dT="2025-05-30T13:32:34.00" personId="{6c3cfef6-2a2b-4523-b695-882d6eeec17a}" id="{e5b2d29b-4209-4d62-a2c0-aded38af2022}" done="0">
    <x18tc:text xml:space="preserve">Data de instalação</x18tc:text>
  </x18tc:threadedComment>
  <x18tc:threadedComment ref="S247" dT="2025-05-30T14:46:23.00" personId="{6c3cfef6-2a2b-4523-b695-882d6eeec17a}" id="{d91094c9-177a-488b-af86-bae0197f2af7}" done="0">
    <x18tc:text xml:space="preserve">Data de instalação</x18tc:text>
  </x18tc:threadedComment>
  <x18tc:threadedComment ref="S212" dT="2025-01-31T14:23:27.00" personId="{6c3cfef6-2a2b-4523-b695-882d6eeec17a}" id="{8e8a7249-6234-4822-9fa3-2f9725656ba4}" done="0">
    <x18tc:text xml:space="preserve">Data do TRD</x18tc:text>
  </x18tc:threadedComment>
  <x18tc:threadedComment ref="S561" dT="2025-06-04T13:37:31.00" personId="{6c3cfef6-2a2b-4523-b695-882d6eeec17a}" id="{78e2161b-5c24-4ccc-b17b-2b29bced63d3}" done="0">
    <x18tc:text xml:space="preserve">Data de instalação</x18tc:text>
  </x18tc:threadedComment>
  <x18tc:threadedComment ref="S440" dT="2025-02-05T16:35:50.00" personId="{6c3cfef6-2a2b-4523-b695-882d6eeec17a}" id="{050e3b2d-a18c-468c-8423-d81873a638ff}" done="0">
    <x18tc:text xml:space="preserve">Data de Inst.</x18tc:text>
  </x18tc:threadedComment>
  <x18tc:threadedComment ref="S1154" dT="2025-03-13T18:46:48.00" personId="{6c3cfef6-2a2b-4523-b695-882d6eeec17a}" id="{8456a63e-d3a2-4fa9-9299-efcbb903cc54}" done="0">
    <x18tc:text xml:space="preserve">Data do TRD</x18tc:text>
  </x18tc:threadedComment>
  <x18tc:threadedComment ref="X85" dT="2025-07-17T18:11:02.00" personId="{6c3cfef6-2a2b-4523-b695-882d6eeec17a}" id="{ffdd5c02-5824-42d3-9ef4-97489fb64236}" done="0">
    <x18tc:text xml:space="preserve">Data informada pelo Comercial, na planilha "Controle de Prazos de Garantia - Aena"</x18tc:text>
  </x18tc:threadedComment>
  <x18tc:threadedComment ref="S1045" dT="2025-06-09T16:53:12.00" personId="{6c3cfef6-2a2b-4523-b695-882d6eeec17a}" id="{eb8e396e-7259-48ef-b8ee-21239ba8ea9c}" done="0">
    <x18tc:text xml:space="preserve">Data da planilha de planejamento</x18tc:text>
  </x18tc:threadedComment>
  <x18tc:threadedComment ref="X19" dT="2025-07-17T16:57:11.00" personId="{6c3cfef6-2a2b-4523-b695-882d6eeec17a}" id="{35a03c2e-dbc3-4b1a-b20a-ef980574b36d}" done="0">
    <x18tc:text xml:space="preserve">Data informada pelo Comercial, na planilha "Controle de Prazos de Garantia - Aena"</x18tc:text>
  </x18tc:threadedComment>
  <x18tc:threadedComment ref="AC635" dT="2025-02-07T13:56:10.00" personId="{6c3cfef6-2a2b-4523-b695-882d6eeec17a}" id="{81b6b00c-cabb-4628-9416-56a4bc93b4de}" done="0">
    <x18tc:text xml:space="preserve">Data de instalação</x18tc:text>
  </x18tc:threadedComment>
  <x18tc:threadedComment ref="S214" dT="2025-01-31T14:23:27.00" personId="{6c3cfef6-2a2b-4523-b695-882d6eeec17a}" id="{725d10ea-9aaa-42a8-bfe8-4f1d1445f1a5}" done="0">
    <x18tc:text xml:space="preserve">Data do TRD</x18tc:text>
  </x18tc:threadedComment>
  <x18tc:threadedComment ref="AC1193" dT="2024-11-07T14:41:02.00" personId="{6c3cfef6-2a2b-4523-b695-882d6eeec17a}" id="{b6b070dc-43dc-489d-b664-5c465343d070}" done="0">
    <x18tc:text xml:space="preserve">Data simbólica informada pelo Cláudio</x18tc:text>
  </x18tc:threadedComment>
  <x18tc:threadedComment ref="AC1639" dT="2025-06-04T13:37:31.00" personId="{6c3cfef6-2a2b-4523-b695-882d6eeec17a}" id="{f09a210b-65aa-4145-9b27-88d099a186d4}" done="0">
    <x18tc:text xml:space="preserve">Data de instalação</x18tc:text>
  </x18tc:threadedComment>
  <x18tc:threadedComment ref="X25" dT="2025-05-30T13:32:34.00" personId="{6c3cfef6-2a2b-4523-b695-882d6eeec17a}" id="{b4accf1d-2588-453d-9691-515c9d0bf519}" done="0">
    <x18tc:text xml:space="preserve">Data de instalação</x18tc:text>
  </x18tc:threadedComment>
  <x18tc:threadedComment ref="S380" dT="2025-06-04T13:37:31.00" personId="{6c3cfef6-2a2b-4523-b695-882d6eeec17a}" id="{09cfc1a9-83dc-4178-b013-254ec68c6170}" done="0">
    <x18tc:text xml:space="preserve">Data de instalação</x18tc:text>
  </x18tc:threadedComment>
  <x18tc:threadedComment ref="S400" dT="2025-06-04T13:37:31.00" personId="{6c3cfef6-2a2b-4523-b695-882d6eeec17a}" id="{f4c72a73-953c-4336-96fc-8e7390b67e1f}" done="0">
    <x18tc:text xml:space="preserve">Data de instalação</x18tc:text>
  </x18tc:threadedComment>
  <x18tc:threadedComment ref="S779" dT="2025-06-04T17:54:23.00" personId="{6c3cfef6-2a2b-4523-b695-882d6eeec17a}" id="{a4c33164-1937-4746-a029-969f74159d76}" done="0">
    <x18tc:text xml:space="preserve">Data de instalação</x18tc:text>
  </x18tc:threadedComment>
  <x18tc:threadedComment ref="X51" dT="2025-05-30T13:32:34.00" personId="{6c3cfef6-2a2b-4523-b695-882d6eeec17a}" id="{fc558a6f-11b6-4f2c-93d3-d4709617ef7e}" done="0">
    <x18tc:text xml:space="preserve">Data de instalação</x18tc:text>
  </x18tc:threadedComment>
  <x18tc:threadedComment ref="S517" dT="2025-02-05T11:22:19.00" personId="{6c3cfef6-2a2b-4523-b695-882d6eeec17a}" id="{f286072d-52db-4abb-bc75-bb7a214c80ba}" done="0">
    <x18tc:text xml:space="preserve">Data do TRD</x18tc:text>
  </x18tc:threadedComment>
  <x18tc:threadedComment ref="AC1223" dT="2024-11-07T14:41:02.00" personId="{6c3cfef6-2a2b-4523-b695-882d6eeec17a}" id="{e0701b10-cd79-4691-8123-af9218e41426}" done="0">
    <x18tc:text xml:space="preserve">Data simbólica informada pelo Cláudio</x18tc:text>
  </x18tc:threadedComment>
  <x18tc:threadedComment ref="X1127" dT="2025-06-09T17:19:07.00" personId="{6c3cfef6-2a2b-4523-b695-882d6eeec17a}" id="{7e9e030e-9f6b-4452-a6e1-56f0524691bc}" done="0">
    <x18tc:text xml:space="preserve">Data da Renovação Contratual</x18tc:text>
  </x18tc:threadedComment>
  <x18tc:threadedComment ref="S758" dT="2025-06-04T17:54:23.00" personId="{6c3cfef6-2a2b-4523-b695-882d6eeec17a}" id="{972e185d-b59c-4eff-8892-d1b1d3c9928c}" done="0">
    <x18tc:text xml:space="preserve">Data de instalação</x18tc:text>
  </x18tc:threadedComment>
  <x18tc:threadedComment ref="AJ559" dT="2025-06-04T16:46:32.00" personId="{6c3cfef6-2a2b-4523-b695-882d6eeec17a}" id="{c34f7533-afc0-441f-8dcc-500357a6d960}" done="0">
    <x18tc:text xml:space="preserve">Prazos contados para chamados abertos até as 15:00.
Após esse horário, a contagem começa as 06:00 do dia seguinte</x18tc:text>
  </x18tc:threadedComment>
  <x18tc:threadedComment ref="S112" dT="2025-08-21T17:46:46.00" personId="{6c3cfef6-2a2b-4523-b695-882d6eeec17a}" id="{6b19e2d1-0193-40ab-b26d-bd2b7c88e0ca}" done="0">
    <x18tc:text xml:space="preserve">Data de instalação</x18tc:text>
  </x18tc:threadedComment>
  <x18tc:threadedComment ref="S844" dT="2025-06-05T18:08:29.00" personId="{6c3cfef6-2a2b-4523-b695-882d6eeec17a}" id="{6c83b345-3727-4dd1-92e4-34793df92628}" done="0">
    <x18tc:text xml:space="preserve">Data de instalação</x18tc:text>
  </x18tc:threadedComment>
  <x18tc:threadedComment ref="S1570" dT="2025-03-18T18:54:47.00" personId="{6c3cfef6-2a2b-4523-b695-882d6eeec17a}" id="{d2cbee33-0498-4083-b513-a860a28391d5}" done="0">
    <x18tc:text xml:space="preserve">Data de instalação</x18tc:text>
  </x18tc:threadedComment>
  <x18tc:threadedComment ref="S819" dT="2025-06-04T19:04:19.00" personId="{6c3cfef6-2a2b-4523-b695-882d6eeec17a}" id="{d9bface9-de5a-4a0d-a449-206f7c7b77c0}" done="0">
    <x18tc:text xml:space="preserve">Data de instalação</x18tc:text>
  </x18tc:threadedComment>
  <x18tc:threadedComment ref="S389" dT="2025-06-04T13:37:31.00" personId="{6c3cfef6-2a2b-4523-b695-882d6eeec17a}" id="{878444f9-dab3-4f8d-ac33-9af0d2d74a7d}" done="0">
    <x18tc:text xml:space="preserve">Data de instalação</x18tc:text>
  </x18tc:threadedComment>
  <x18tc:threadedComment ref="S424" dT="2025-02-05T11:22:19.00" personId="{6c3cfef6-2a2b-4523-b695-882d6eeec17a}" id="{6ec62a4e-5c17-4721-8a96-73ef99933bfb}" done="0">
    <x18tc:text xml:space="preserve">Data do TRD</x18tc:text>
  </x18tc:threadedComment>
  <x18tc:threadedComment ref="AC678" dT="2025-06-04T18:43:40.00" personId="{6c3cfef6-2a2b-4523-b695-882d6eeec17a}" id="{b675c0cf-3ac8-40d4-96ca-79f71f6b6056}" done="0">
    <x18tc:text xml:space="preserve">Data de instalação</x18tc:text>
  </x18tc:threadedComment>
  <x18tc:threadedComment ref="S1508" dT="2025-06-09T18:46:23.00" personId="{6c3cfef6-2a2b-4523-b695-882d6eeec17a}" id="{6db6e1a3-8df8-4b0f-be41-e18d6aa422d7}" done="0">
    <x18tc:text xml:space="preserve">Data de instalação</x18tc:text>
  </x18tc:threadedComment>
  <x18tc:threadedComment ref="AC711" dT="2025-06-04T18:43:40.00" personId="{6c3cfef6-2a2b-4523-b695-882d6eeec17a}" id="{940acbb5-81b5-4f11-ae5b-a62bd7dbc75c}" done="0">
    <x18tc:text xml:space="preserve">Data de instalação</x18tc:text>
  </x18tc:threadedComment>
  <x18tc:threadedComment ref="S943" dT="2024-11-01T18:44:47.00" personId="{6c3cfef6-2a2b-4523-b695-882d6eeec17a}" id="{1e4ba421-5083-4e67-877d-a5c3b59947d5}" done="0">
    <x18tc:text xml:space="preserve">Data do TRD</x18tc:text>
  </x18tc:threadedComment>
  <x18tc:threadedComment ref="S964" dT="2024-11-01T18:44:47.00" personId="{6c3cfef6-2a2b-4523-b695-882d6eeec17a}" id="{65fcae9f-11e3-46d9-9697-3e24248aeb35}" done="0">
    <x18tc:text xml:space="preserve">Data do TRD</x18tc:text>
  </x18tc:threadedComment>
  <x18tc:threadedComment ref="S748" dT="2025-06-04T17:54:23.00" personId="{6c3cfef6-2a2b-4523-b695-882d6eeec17a}" id="{dfa457d7-45e3-46ac-9f14-ba590e35d78b}" done="0">
    <x18tc:text xml:space="preserve">Data de instalação</x18tc:text>
  </x18tc:threadedComment>
  <x18tc:threadedComment ref="S1318" dT="2025-03-18T16:20:02.00" personId="{6c3cfef6-2a2b-4523-b695-882d6eeec17a}" id="{8b635541-8f8e-434d-8536-96c35807ea2b}" done="0">
    <x18tc:text xml:space="preserve">Data do TRD</x18tc:text>
  </x18tc:threadedComment>
  <x18tc:threadedComment ref="S437" dT="2025-02-05T11:22:19.00" personId="{6c3cfef6-2a2b-4523-b695-882d6eeec17a}" id="{d590a167-4e08-4284-896e-03ca919ac3a6}" done="0">
    <x18tc:text xml:space="preserve">Data do TRD</x18tc:text>
  </x18tc:threadedComment>
  <x18tc:threadedComment ref="S756" dT="2025-06-04T17:54:23.00" personId="{6c3cfef6-2a2b-4523-b695-882d6eeec17a}" id="{7885404b-5b8e-485c-9f43-66a77d4717f3}" done="0">
    <x18tc:text xml:space="preserve">Data de instalação</x18tc:text>
  </x18tc:threadedComment>
  <x18tc:threadedComment ref="S10" dT="2025-05-30T13:32:34.00" personId="{6c3cfef6-2a2b-4523-b695-882d6eeec17a}" id="{06a7aa48-8560-4ecc-9ff7-6fb7f37ae09a}" done="0">
    <x18tc:text xml:space="preserve">Data de instalação</x18tc:text>
  </x18tc:threadedComment>
  <x18tc:threadedComment ref="S797" dT="2025-06-04T19:04:19.00" personId="{6c3cfef6-2a2b-4523-b695-882d6eeec17a}" id="{b0d96e37-b324-4b45-adc6-0fc6a6b778c0}" done="0">
    <x18tc:text xml:space="preserve">Data de instalação</x18tc:text>
  </x18tc:threadedComment>
  <x18tc:threadedComment ref="S753" dT="2025-06-04T17:54:23.00" personId="{6c3cfef6-2a2b-4523-b695-882d6eeec17a}" id="{c44ec410-b9e3-4d44-8b31-fa42431a34a0}" done="0">
    <x18tc:text xml:space="preserve">Data de instalação</x18tc:text>
  </x18tc:threadedComment>
  <x18tc:threadedComment ref="S474" dT="2024-11-05T17:51:32.00" personId="{6c3cfef6-2a2b-4523-b695-882d6eeec17a}" id="{b2087338-077a-4535-9870-4de841d05635}" done="0">
    <x18tc:text xml:space="preserve">Data de inst.</x18tc:text>
  </x18tc:threadedComment>
  <x18tc:threadedComment ref="S1043" dT="2025-06-09T16:53:12.00" personId="{6c3cfef6-2a2b-4523-b695-882d6eeec17a}" id="{6eb8a38a-0a50-4064-818d-f9744c920576}" done="0">
    <x18tc:text xml:space="preserve">Data da planilha de planejamento</x18tc:text>
  </x18tc:threadedComment>
  <x18tc:threadedComment ref="S1409" dT="2025-01-07T17:30:30.00" personId="{6c3cfef6-2a2b-4523-b695-882d6eeec17a}" id="{c4504589-af28-4fdd-b646-0226b6f8a51a}" done="0">
    <x18tc:text xml:space="preserve">Data do TRD</x18tc:text>
  </x18tc:threadedComment>
  <x18tc:threadedComment ref="S976" dT="2024-11-01T18:44:47.00" personId="{6c3cfef6-2a2b-4523-b695-882d6eeec17a}" id="{4cbf674b-0677-45ee-8cac-630f36b97d45}" done="0">
    <x18tc:text xml:space="preserve">Data do TRD</x18tc:text>
  </x18tc:threadedComment>
  <x18tc:threadedComment ref="S1375" dT="2025-06-09T18:10:30.00" personId="{6c3cfef6-2a2b-4523-b695-882d6eeec17a}" id="{91808f14-3fe5-4be8-aa78-eaf7d2e301f1}" done="0">
    <x18tc:text xml:space="preserve">Data de instalação</x18tc:text>
  </x18tc:threadedComment>
  <x18tc:threadedComment ref="AC639" dT="2025-02-07T13:56:10.00" personId="{6c3cfef6-2a2b-4523-b695-882d6eeec17a}" id="{35515677-d8cd-4970-9cf4-f0f239058612}" done="0">
    <x18tc:text xml:space="preserve">Data de instalação</x18tc:text>
  </x18tc:threadedComment>
  <x18tc:threadedComment ref="S281" dT="2025-05-30T18:33:18.00" personId="{6c3cfef6-2a2b-4523-b695-882d6eeec17a}" id="{67e470f6-1c58-4c7f-8265-e8732c620ca6}" done="0">
    <x18tc:text xml:space="preserve">Data de instalação</x18tc:text>
  </x18tc:threadedComment>
  <x18tc:threadedComment ref="S1151" dT="2025-03-13T18:46:48.00" personId="{6c3cfef6-2a2b-4523-b695-882d6eeec17a}" id="{c378eb8a-c314-44f4-8629-468fc8a9be46}" done="0">
    <x18tc:text xml:space="preserve">Data do TRD</x18tc:text>
  </x18tc:threadedComment>
  <x18tc:threadedComment ref="S1008" dT="2024-11-01T18:44:47.00" personId="{6c3cfef6-2a2b-4523-b695-882d6eeec17a}" id="{3aa027fb-1e75-4ab9-b61d-eca83e5ac649}" done="0">
    <x18tc:text xml:space="preserve">Data do TRD</x18tc:text>
  </x18tc:threadedComment>
  <x18tc:threadedComment ref="X50" dT="2025-07-17T16:57:11.00" personId="{6c3cfef6-2a2b-4523-b695-882d6eeec17a}" id="{3042e204-0483-4112-b557-22dce5ab7525}" done="0">
    <x18tc:text xml:space="preserve">Data informada pelo Comercial, na planilha "Controle de Prazos de Garantia - Aena"</x18tc:text>
  </x18tc:threadedComment>
  <x18tc:threadedComment ref="AC544" dT="2025-02-07T13:56:10.00" personId="{6c3cfef6-2a2b-4523-b695-882d6eeec17a}" id="{6aa0750e-09b0-4129-938d-713add460e0f}" done="0">
    <x18tc:text xml:space="preserve">Data do 4º Termo Adt</x18tc:text>
  </x18tc:threadedComment>
  <x18tc:threadedComment ref="AC717" dT="2025-06-04T18:43:40.00" personId="{6c3cfef6-2a2b-4523-b695-882d6eeec17a}" id="{48404ea8-60e5-4a36-8576-a3867e74a728}" done="0">
    <x18tc:text xml:space="preserve">Data de instalação</x18tc:text>
  </x18tc:threadedComment>
  <x18tc:threadedComment ref="S55" dT="2025-05-30T13:32:34.00" personId="{6c3cfef6-2a2b-4523-b695-882d6eeec17a}" id="{5dcc9adc-8655-4927-9b56-5b4606bab9ec}" done="0">
    <x18tc:text xml:space="preserve">Data de instalação</x18tc:text>
  </x18tc:threadedComment>
  <x18tc:threadedComment ref="X1648" dT="2025-06-06T19:15:10.00" personId="{6c3cfef6-2a2b-4523-b695-882d6eeec17a}" id="{48619b17-a7cf-4abb-bb14-e8342a08f0af}" done="0">
    <x18tc:text xml:space="preserve">Data do 3º Termo Adt</x18tc:text>
  </x18tc:threadedComment>
  <x18tc:threadedComment ref="AC292" dT="2025-05-30T18:45:10.00" personId="{6c3cfef6-2a2b-4523-b695-882d6eeec17a}" id="{43ae77c0-07c6-482c-bd1c-f908ec5be47a}" done="0">
    <x18tc:text xml:space="preserve">Data de instalação</x18tc:text>
  </x18tc:threadedComment>
  <x18tc:threadedComment ref="S306" dT="2025-05-30T18:33:18.00" personId="{6c3cfef6-2a2b-4523-b695-882d6eeec17a}" id="{2ffc2a8a-19c3-4310-8c8f-0bace20272b0}" done="0">
    <x18tc:text xml:space="preserve">Data de instalação</x18tc:text>
  </x18tc:threadedComment>
  <x18tc:threadedComment ref="S1555" dT="2025-03-18T18:54:47.00" personId="{6c3cfef6-2a2b-4523-b695-882d6eeec17a}" id="{a3a82f37-73e1-4a51-8af9-f77e84a45fd6}" done="0">
    <x18tc:text xml:space="preserve">Data de instalação</x18tc:text>
  </x18tc:threadedComment>
  <x18tc:threadedComment ref="AC569" dT="2025-02-07T13:56:10.00" personId="{6c3cfef6-2a2b-4523-b695-882d6eeec17a}" id="{874e20e9-7a73-4a31-94f9-7f0c88a6f905}" done="0">
    <x18tc:text xml:space="preserve">Data do 4º Termo Adt</x18tc:text>
  </x18tc:threadedComment>
  <x18tc:threadedComment ref="S399" dT="2025-06-04T13:37:31.00" personId="{6c3cfef6-2a2b-4523-b695-882d6eeec17a}" id="{52d69c67-8913-40e8-ab16-dddc6cba127e}" done="0">
    <x18tc:text xml:space="preserve">Data de instalação</x18tc:text>
  </x18tc:threadedComment>
  <x18tc:threadedComment ref="S315" dT="2025-05-30T18:45:10.00" personId="{6c3cfef6-2a2b-4523-b695-882d6eeec17a}" id="{eecd857b-c39e-4826-9001-0c770aefec11}" done="0">
    <x18tc:text xml:space="preserve">Data de instalação</x18tc:text>
  </x18tc:threadedComment>
  <x18tc:threadedComment ref="S1518" dT="2025-06-09T18:46:23.00" personId="{6c3cfef6-2a2b-4523-b695-882d6eeec17a}" id="{dbaca5a9-44b8-45e2-9a96-1cace5c283f4}" done="0">
    <x18tc:text xml:space="preserve">Data de instalação</x18tc:text>
  </x18tc:threadedComment>
  <x18tc:threadedComment ref="X1117" dT="2025-06-09T17:19:07.00" personId="{6c3cfef6-2a2b-4523-b695-882d6eeec17a}" id="{f4dd16c3-dc91-4e44-b24c-3762c2be4e88}" done="0">
    <x18tc:text xml:space="preserve">Data da Renovação Contratual</x18tc:text>
  </x18tc:threadedComment>
  <x18tc:threadedComment ref="AC1537" dT="2025-06-09T19:06:46.00" personId="{6c3cfef6-2a2b-4523-b695-882d6eeec17a}" id="{fa527ab0-88f0-434f-bafc-a5e4e5914cd7}" done="0">
    <x18tc:text xml:space="preserve">Data de instalação</x18tc:text>
  </x18tc:threadedComment>
  <x18tc:threadedComment ref="S495" dT="2025-02-05T11:22:19.00" personId="{6c3cfef6-2a2b-4523-b695-882d6eeec17a}" id="{f7333655-5561-49aa-a6ac-d642304552b0}" done="0">
    <x18tc:text xml:space="preserve">Data do TRD</x18tc:text>
  </x18tc:threadedComment>
  <x18tc:threadedComment ref="S314" dT="2025-05-30T18:45:10.00" personId="{6c3cfef6-2a2b-4523-b695-882d6eeec17a}" id="{5e1a84f5-c345-4134-8216-dd12d37a52fe}" done="0">
    <x18tc:text xml:space="preserve">Data de instalação</x18tc:text>
  </x18tc:threadedComment>
  <x18tc:threadedComment ref="S995" dT="2024-11-01T18:44:47.00" personId="{6c3cfef6-2a2b-4523-b695-882d6eeec17a}" id="{6fb98ac7-4355-4837-bcdb-61e44731a8fc}" done="0">
    <x18tc:text xml:space="preserve">Data do TRD</x18tc:text>
  </x18tc:threadedComment>
  <x18tc:threadedComment ref="X1121" dT="2025-06-09T17:19:07.00" personId="{6c3cfef6-2a2b-4523-b695-882d6eeec17a}" id="{b4dfba4d-ff4c-4b3a-b51c-81411d74600b}" done="0">
    <x18tc:text xml:space="preserve">Data da Renovação Contratual</x18tc:text>
  </x18tc:threadedComment>
  <x18tc:threadedComment ref="S958" dT="2024-11-01T18:44:47.00" personId="{6c3cfef6-2a2b-4523-b695-882d6eeec17a}" id="{ec0ea978-4e2d-4eda-907e-bd314fa8de1c}" done="0">
    <x18tc:text xml:space="preserve">Data do TRD</x18tc:text>
  </x18tc:threadedComment>
  <x18tc:threadedComment ref="AC584" dT="2025-02-07T13:56:10.00" personId="{6c3cfef6-2a2b-4523-b695-882d6eeec17a}" id="{e151ebcc-c90b-47af-8027-532b3d6f7f7a}" done="0">
    <x18tc:text xml:space="preserve">Data do 4º Termo Adt</x18tc:text>
  </x18tc:threadedComment>
  <x18tc:threadedComment ref="S1441" dT="2024-11-05T14:01:53.00" personId="{6c3cfef6-2a2b-4523-b695-882d6eeec17a}" id="{075b712d-9344-461a-b6d9-b8b7ef2b9bba}" done="0">
    <x18tc:text xml:space="preserve">Data do TRD</x18tc:text>
  </x18tc:threadedComment>
  <x18tc:threadedComment ref="S486" dT="2025-06-04T16:28:25.00" personId="{6c3cfef6-2a2b-4523-b695-882d6eeec17a}" id="{691b6375-fcab-403a-8b0a-c0a787e2f5b1}" done="0">
    <x18tc:text xml:space="preserve">Data de instalação</x18tc:text>
  </x18tc:threadedComment>
  <x18tc:threadedComment ref="X84" dT="2025-07-17T16:54:55.00" personId="{6c3cfef6-2a2b-4523-b695-882d6eeec17a}" id="{6c6c46c6-0c24-4abc-8713-32cf731420d8}" done="0">
    <x18tc:text xml:space="preserve">Data informada pelo Comercial, na planilha "Controle de Prazos de Garantia - Aena"</x18tc:text>
  </x18tc:threadedComment>
  <x18tc:threadedComment ref="S377" dT="2025-06-04T13:37:31.00" personId="{6c3cfef6-2a2b-4523-b695-882d6eeec17a}" id="{81fbbd8a-8498-439b-8b69-70abd29d5d87}" done="0">
    <x18tc:text xml:space="preserve">Data de instalação</x18tc:text>
  </x18tc:threadedComment>
  <x18tc:threadedComment ref="S416" dT="2025-02-05T11:22:19.00" personId="{6c3cfef6-2a2b-4523-b695-882d6eeec17a}" id="{67f655b8-82ff-4c06-892e-46227fb485ed}" done="0">
    <x18tc:text xml:space="preserve">Data do TRD</x18tc:text>
  </x18tc:threadedComment>
  <x18tc:threadedComment ref="S1549" dT="2025-06-09T19:06:46.00" personId="{6c3cfef6-2a2b-4523-b695-882d6eeec17a}" id="{948a509f-b07e-431c-b67b-2901c78cbf07}" done="0">
    <x18tc:text xml:space="preserve">Data de instalação</x18tc:text>
  </x18tc:threadedComment>
  <x18tc:threadedComment ref="AC1238" dT="2024-11-07T14:41:02.00" personId="{6c3cfef6-2a2b-4523-b695-882d6eeec17a}" id="{784e05af-55ee-4514-9297-9f08c211733d}" done="0">
    <x18tc:text xml:space="preserve">Data simbólica informada pelo Cláudio</x18tc:text>
  </x18tc:threadedComment>
  <x18tc:threadedComment ref="AC706" dT="2025-06-04T18:43:40.00" personId="{6c3cfef6-2a2b-4523-b695-882d6eeec17a}" id="{bab8c991-1f92-4ae4-ba4a-72f5cb27bf06}" done="0">
    <x18tc:text xml:space="preserve">Data de instalação</x18tc:text>
  </x18tc:threadedComment>
  <x18tc:threadedComment ref="S244" dT="2025-05-30T14:46:23.00" personId="{6c3cfef6-2a2b-4523-b695-882d6eeec17a}" id="{2b662587-cb2e-4036-9e33-a287be08b972}" done="0">
    <x18tc:text xml:space="preserve">Data de instalação</x18tc:text>
  </x18tc:threadedComment>
  <x18tc:threadedComment ref="X1114" dT="2025-06-09T17:19:07.00" personId="{6c3cfef6-2a2b-4523-b695-882d6eeec17a}" id="{8ba69db7-5997-4b13-be45-8c9c7e9b909e}" done="0">
    <x18tc:text xml:space="preserve">Data da Renovação Contratual</x18tc:text>
  </x18tc:threadedComment>
  <x18tc:threadedComment ref="AC709" dT="2025-06-04T18:43:40.00" personId="{6c3cfef6-2a2b-4523-b695-882d6eeec17a}" id="{05bd9438-25d4-4bad-86ac-36be99249281}" done="0">
    <x18tc:text xml:space="preserve">Data de instalação</x18tc:text>
  </x18tc:threadedComment>
  <x18tc:threadedComment ref="X73" dT="2025-05-30T13:32:34.00" personId="{6c3cfef6-2a2b-4523-b695-882d6eeec17a}" id="{0e254b71-0576-4b8a-b3eb-7be4847c1434}" done="0">
    <x18tc:text xml:space="preserve">Data informada pelo Comercial, na planilha "Controle de Prazos de Garantia - Aena"</x18tc:text>
  </x18tc:threadedComment>
  <x18tc:threadedComment ref="X52" dT="2025-05-30T13:32:34.00" personId="{6c3cfef6-2a2b-4523-b695-882d6eeec17a}" id="{bd90378b-9b8b-4c0c-aa42-d5d82202dbf3}" done="0">
    <x18tc:text xml:space="preserve">Data de instalação</x18tc:text>
  </x18tc:threadedComment>
  <x18tc:threadedComment ref="AC870" dT="2025-06-06T18:27:34.00" personId="{6c3cfef6-2a2b-4523-b695-882d6eeec17a}" id="{4c593cae-4076-4c6a-97bb-f0462bb77902}" done="0">
    <x18tc:text xml:space="preserve">Data de instalação</x18tc:text>
  </x18tc:threadedComment>
  <x18tc:threadedComment ref="AC1237" dT="2024-11-07T14:41:02.00" personId="{6c3cfef6-2a2b-4523-b695-882d6eeec17a}" id="{27dc35ee-d9c0-44ef-b4cc-cb7f92299828}" done="0">
    <x18tc:text xml:space="preserve">Data simbólica informada pelo Cláudio</x18tc:text>
  </x18tc:threadedComment>
  <x18tc:threadedComment ref="S1320" dT="2025-06-09T17:15:11.00" personId="{6c3cfef6-2a2b-4523-b695-882d6eeec17a}" id="{3d58bb91-0f2c-457a-a2da-2f5867555ea5}" done="0">
    <x18tc:text xml:space="preserve">Data de instalação</x18tc:text>
  </x18tc:threadedComment>
  <x18tc:threadedComment ref="X870" dT="2025-06-06T18:21:21.00" personId="{6c3cfef6-2a2b-4523-b695-882d6eeec17a}" id="{07b20d99-c4c4-4993-aa68-077a2469910d}" done="0">
    <x18tc:text xml:space="preserve">Data do Termo Adt</x18tc:text>
  </x18tc:threadedComment>
  <x18tc:threadedComment ref="S62" dT="2025-05-30T13:32:34.00" personId="{6c3cfef6-2a2b-4523-b695-882d6eeec17a}" id="{4867c856-ccf6-4cf4-8570-6abcf5552fd5}" done="0">
    <x18tc:text xml:space="preserve">Data de instalação</x18tc:text>
  </x18tc:threadedComment>
  <x18tc:threadedComment ref="AC581" dT="2025-02-07T13:56:10.00" personId="{6c3cfef6-2a2b-4523-b695-882d6eeec17a}" id="{e76309ed-f052-4a66-b70e-b3a43d4e5706}" done="0">
    <x18tc:text xml:space="preserve">Data do 4º Termo Adt</x18tc:text>
  </x18tc:threadedComment>
  <x18tc:threadedComment ref="AC726" dT="2025-06-04T18:43:40.00" personId="{6c3cfef6-2a2b-4523-b695-882d6eeec17a}" id="{fb566b1b-7d9e-441e-a732-dee625ba74d6}" done="0">
    <x18tc:text xml:space="preserve">Data de instalação</x18tc:text>
  </x18tc:threadedComment>
  <x18tc:threadedComment ref="S80" dT="2025-05-30T13:32:34.00" personId="{6c3cfef6-2a2b-4523-b695-882d6eeec17a}" id="{9a9a48fd-ff76-47d6-977e-4293047562bf}" done="0">
    <x18tc:text xml:space="preserve">Data de instalação</x18tc:text>
  </x18tc:threadedComment>
  <x18tc:threadedComment ref="S1049" dT="2024-11-01T18:44:47.00" personId="{6c3cfef6-2a2b-4523-b695-882d6eeec17a}" id="{5339365c-24cc-46c1-831f-507328ff0f26}" done="0">
    <x18tc:text xml:space="preserve">Data do TRD</x18tc:text>
  </x18tc:threadedComment>
  <x18tc:threadedComment ref="S1336" dT="2025-06-09T17:38:37.00" personId="{6c3cfef6-2a2b-4523-b695-882d6eeec17a}" id="{1cc841d5-9a09-4b73-8511-b79b7d63a2ea}" done="0">
    <x18tc:text xml:space="preserve">Data de instalação</x18tc:text>
  </x18tc:threadedComment>
  <x18tc:threadedComment ref="S1351" dT="2024-11-05T14:01:53.00" personId="{6c3cfef6-2a2b-4523-b695-882d6eeec17a}" id="{273d6d9b-7303-44c0-b9a5-2aa5793b710b}" done="0">
    <x18tc:text xml:space="preserve">Data do TRD</x18tc:text>
  </x18tc:threadedComment>
  <x18tc:threadedComment ref="AC1256" dT="2024-11-07T14:41:02.00" personId="{6c3cfef6-2a2b-4523-b695-882d6eeec17a}" id="{f58a51d0-34e2-4441-91dd-98629eaeac6b}" done="0">
    <x18tc:text xml:space="preserve">Data de instalação</x18tc:text>
  </x18tc:threadedComment>
  <x18tc:threadedComment ref="S1357" dT="2025-06-09T18:03:00.00" personId="{6c3cfef6-2a2b-4523-b695-882d6eeec17a}" id="{ba2f77c6-f58e-4eb6-ade8-c928e3d30ba2}" done="0">
    <x18tc:text xml:space="preserve">Data de instalação</x18tc:text>
  </x18tc:threadedComment>
  <x18tc:threadedComment ref="S1493" dT="2025-06-09T18:46:23.00" personId="{6c3cfef6-2a2b-4523-b695-882d6eeec17a}" id="{c066ecbd-ffce-4bcb-ad23-1804d746daea}" done="0">
    <x18tc:text xml:space="preserve">Data de instalação</x18tc:text>
  </x18tc:threadedComment>
  <x18tc:threadedComment ref="AC712" dT="2025-06-04T18:43:40.00" personId="{6c3cfef6-2a2b-4523-b695-882d6eeec17a}" id="{16dc5df6-a1db-42da-b951-2aed9578c5b8}" done="0">
    <x18tc:text xml:space="preserve">Data de instalação</x18tc:text>
  </x18tc:threadedComment>
  <x18tc:threadedComment ref="S69" dT="2025-05-30T13:32:34.00" personId="{6c3cfef6-2a2b-4523-b695-882d6eeec17a}" id="{a05683df-24d4-4fe3-a467-8c4488375359}" done="0">
    <x18tc:text xml:space="preserve">Data de instalação</x18tc:text>
  </x18tc:threadedComment>
  <x18tc:threadedComment ref="S1029" dT="2025-06-09T16:53:12.00" personId="{6c3cfef6-2a2b-4523-b695-882d6eeec17a}" id="{161e0817-a251-4293-aa8c-69cb5040fd38}" done="0">
    <x18tc:text xml:space="preserve">Data da planilha de planejamento</x18tc:text>
  </x18tc:threadedComment>
  <x18tc:threadedComment ref="AC883" dT="2025-06-06T18:27:34.00" personId="{6c3cfef6-2a2b-4523-b695-882d6eeec17a}" id="{72c88238-2128-47a4-91bc-0e54895ee2d2}" done="0">
    <x18tc:text xml:space="preserve">Data de instalação</x18tc:text>
  </x18tc:threadedComment>
  <x18tc:threadedComment ref="S996" dT="2024-11-01T18:44:47.00" personId="{6c3cfef6-2a2b-4523-b695-882d6eeec17a}" id="{117865bf-da99-4b62-ac8e-8cd10d9b447e}" done="0">
    <x18tc:text xml:space="preserve">Data do TRD</x18tc:text>
  </x18tc:threadedComment>
  <x18tc:threadedComment ref="S1428" dT="2024-11-01T19:16:18.00" personId="{6c3cfef6-2a2b-4523-b695-882d6eeec17a}" id="{35877d71-0d08-40e5-a5e4-4372273410f2}" done="0">
    <x18tc:text xml:space="preserve">Data do TRD</x18tc:text>
  </x18tc:threadedComment>
  <x18tc:threadedComment ref="AC1242" dT="2024-11-07T14:41:02.00" personId="{6c3cfef6-2a2b-4523-b695-882d6eeec17a}" id="{475fd46f-3291-4838-be75-543acdd97eb5}" done="0">
    <x18tc:text xml:space="preserve">Data simbólica informada pelo Cláudio</x18tc:text>
  </x18tc:threadedComment>
  <x18tc:threadedComment ref="S435" dT="2025-06-04T15:01:11.00" personId="{6c3cfef6-2a2b-4523-b695-882d6eeec17a}" id="{71abad24-c5f7-4434-947a-0e7b456c9380}" done="0">
    <x18tc:text xml:space="preserve">Data do TRD</x18tc:text>
  </x18tc:threadedComment>
  <x18tc:threadedComment ref="X1144" dT="2025-06-09T17:21:53.00" personId="{6c3cfef6-2a2b-4523-b695-882d6eeec17a}" id="{675981a6-430c-4212-8a0d-4d1fccb55527}" done="0">
    <x18tc:text xml:space="preserve">Data mencionada no RP</x18tc:text>
  </x18tc:threadedComment>
  <x18tc:threadedComment ref="S1012" dT="2024-11-01T18:44:47.00" personId="{6c3cfef6-2a2b-4523-b695-882d6eeec17a}" id="{ee384eb3-157e-4560-bc82-4f7297f0bdb4}" done="0">
    <x18tc:text xml:space="preserve">Data do TRD</x18tc:text>
  </x18tc:threadedComment>
  <x18tc:threadedComment ref="AC1646" dT="2025-06-06T19:39:32.00" personId="{6c3cfef6-2a2b-4523-b695-882d6eeec17a}" id="{cb186b26-2601-470c-9897-20781d8702d2}" done="0">
    <x18tc:text xml:space="preserve">Data do 6º Termo Adt</x18tc:text>
  </x18tc:threadedComment>
  <x18tc:threadedComment ref="AC588" dT="2025-02-07T13:56:10.00" personId="{6c3cfef6-2a2b-4523-b695-882d6eeec17a}" id="{738eccf7-cb66-4253-ad63-e9a41bdba82f}" done="0">
    <x18tc:text xml:space="preserve">Data do 4º Termo Adt</x18tc:text>
  </x18tc:threadedComment>
  <x18tc:threadedComment ref="S1353" dT="2025-06-09T17:58:09.00" personId="{6c3cfef6-2a2b-4523-b695-882d6eeec17a}" id="{cfe642f2-f490-4f51-801f-af67ec0cb76c}" done="0">
    <x18tc:text xml:space="preserve">Data de instalação</x18tc:text>
  </x18tc:threadedComment>
  <x18tc:threadedComment ref="S43" dT="2025-05-30T13:32:34.00" personId="{6c3cfef6-2a2b-4523-b695-882d6eeec17a}" id="{5b6b7237-8c47-4c14-b24b-d58d444dfb8d}" done="0">
    <x18tc:text xml:space="preserve">Data de instalação</x18tc:text>
  </x18tc:threadedComment>
  <x18tc:threadedComment ref="AC623" dT="2025-02-07T13:56:10.00" personId="{6c3cfef6-2a2b-4523-b695-882d6eeec17a}" id="{ca246db1-aa52-4b22-901d-a37ef01491c4}" done="0">
    <x18tc:text xml:space="preserve">Data de instalação</x18tc:text>
  </x18tc:threadedComment>
  <x18tc:threadedComment ref="S219" dT="2025-05-30T14:46:23.00" personId="{6c3cfef6-2a2b-4523-b695-882d6eeec17a}" id="{7039cc16-c0c4-4fe2-ace3-55522eed0519}" done="0">
    <x18tc:text xml:space="preserve">Data de instalação</x18tc:text>
  </x18tc:threadedComment>
  <x18tc:threadedComment ref="S1102" dT="2025-03-13T17:40:42.00" personId="{6c3cfef6-2a2b-4523-b695-882d6eeec17a}" id="{60fbbde2-aea2-4074-8e13-7339b41c5923}" done="0">
    <x18tc:text xml:space="preserve">Data do TRD</x18tc:text>
  </x18tc:threadedComment>
  <x18tc:threadedComment ref="X38" dT="2025-07-17T16:57:11.00" personId="{6c3cfef6-2a2b-4523-b695-882d6eeec17a}" id="{3eb530c1-593a-47ab-b040-37fe2e8c53b3}" done="0">
    <x18tc:text xml:space="preserve">Data informada pelo Comercial, na planilha "Controle de Prazos de Garantia - Aena"</x18tc:text>
  </x18tc:threadedComment>
  <x18tc:threadedComment ref="AC612" dT="2025-02-07T13:56:10.00" personId="{6c3cfef6-2a2b-4523-b695-882d6eeec17a}" id="{f7cbe241-3118-47f5-a0f6-ed8db2b5c0d7}" done="0">
    <x18tc:text xml:space="preserve">Data de instalação</x18tc:text>
  </x18tc:threadedComment>
  <x18tc:threadedComment ref="S1535" dT="2025-06-09T19:06:46.00" personId="{6c3cfef6-2a2b-4523-b695-882d6eeec17a}" id="{5163e82a-b26f-4460-8309-7b28b7cbc143}" done="0">
    <x18tc:text xml:space="preserve">Data de instalação</x18tc:text>
  </x18tc:threadedComment>
  <x18tc:threadedComment ref="S370" dT="2025-06-04T13:37:31.00" personId="{6c3cfef6-2a2b-4523-b695-882d6eeec17a}" id="{cf5e2aef-c308-46ff-b011-eb65d575c5b0}" done="0">
    <x18tc:text xml:space="preserve">Data de instalação</x18tc:text>
  </x18tc:threadedComment>
  <x18tc:threadedComment ref="AL292" dT="2025-05-30T18:51:14.00" personId="{6c3cfef6-2a2b-4523-b695-882d6eeec17a}" id="{58e42994-d3bd-48a6-bda3-89b6580510e4}" done="0">
    <x18tc:text xml:space="preserve">Não inclui consumíveis</x18tc:text>
  </x18tc:threadedComment>
  <x18tc:threadedComment ref="AC591" dT="2025-02-07T13:54:57.00" personId="{6c3cfef6-2a2b-4523-b695-882d6eeec17a}" id="{f667bd82-d611-45fd-9cd6-9c39829dbdc3}" done="0">
    <x18tc:text xml:space="preserve">Data informada no RP</x18tc:text>
  </x18tc:threadedComment>
  <x18tc:threadedComment ref="AC878" dT="2025-06-06T18:27:34.00" personId="{6c3cfef6-2a2b-4523-b695-882d6eeec17a}" id="{86a8b74f-80ef-4c80-8384-2a083074cfcb}" done="0">
    <x18tc:text xml:space="preserve">Data de instalação</x18tc:text>
  </x18tc:threadedComment>
  <x18tc:threadedComment ref="S1435" dT="2024-11-01T19:16:18.00" personId="{6c3cfef6-2a2b-4523-b695-882d6eeec17a}" id="{494dad17-2bde-4151-9436-888ded25f376}" done="0">
    <x18tc:text xml:space="preserve">Data do TRD</x18tc:text>
  </x18tc:threadedComment>
  <x18tc:threadedComment ref="S1406" dT="2025-01-07T17:30:30.00" personId="{6c3cfef6-2a2b-4523-b695-882d6eeec17a}" id="{d4479333-cb24-4a55-8793-293458776752}" done="0">
    <x18tc:text xml:space="preserve">Data do TRD</x18tc:text>
  </x18tc:threadedComment>
  <x18tc:threadedComment ref="S1356" dT="2025-06-09T18:10:30.00" personId="{6c3cfef6-2a2b-4523-b695-882d6eeec17a}" id="{7050653d-269f-49b0-92ea-0479c688a6da}" done="0">
    <x18tc:text xml:space="preserve">Data de instalação</x18tc:text>
  </x18tc:threadedComment>
  <x18tc:threadedComment ref="S297" dT="2025-05-30T18:33:18.00" personId="{6c3cfef6-2a2b-4523-b695-882d6eeec17a}" id="{f9834ab5-0822-404a-9d70-7efcc808df5d}" done="0">
    <x18tc:text xml:space="preserve">Data de instalação</x18tc:text>
  </x18tc:threadedComment>
  <x18tc:threadedComment ref="S1087" dT="2025-03-13T17:40:42.00" personId="{6c3cfef6-2a2b-4523-b695-882d6eeec17a}" id="{96f73223-ec61-446f-bdfa-d1fe2b5dc128}" done="0">
    <x18tc:text xml:space="preserve">Data do TRD</x18tc:text>
  </x18tc:threadedComment>
  <x18tc:threadedComment ref="S962" dT="2024-11-01T18:44:47.00" personId="{6c3cfef6-2a2b-4523-b695-882d6eeec17a}" id="{8089f1c4-e5d0-47b7-b931-95ae1acbe92e}" done="0">
    <x18tc:text xml:space="preserve">Data do TRD</x18tc:text>
  </x18tc:threadedComment>
  <x18tc:threadedComment ref="AC620" dT="2025-02-07T13:56:10.00" personId="{6c3cfef6-2a2b-4523-b695-882d6eeec17a}" id="{15c15831-b718-468d-81fa-107daf116b94}" done="0">
    <x18tc:text xml:space="preserve">Data de instalação</x18tc:text>
  </x18tc:threadedComment>
  <x18tc:threadedComment ref="S478" dT="2025-02-05T11:22:19.00" personId="{6c3cfef6-2a2b-4523-b695-882d6eeec17a}" id="{9a8d049d-5eb4-4174-a596-b8f06ce6f2c8}" done="0">
    <x18tc:text xml:space="preserve">Data do TRD</x18tc:text>
  </x18tc:threadedComment>
  <x18tc:threadedComment ref="X1643" dT="2025-06-06T19:14:54.00" personId="{6c3cfef6-2a2b-4523-b695-882d6eeec17a}" id="{70a8b038-74cf-4b99-9f35-5dcbc65c1fab}" done="0">
    <x18tc:text xml:space="preserve">Data mencionada no RP</x18tc:text>
  </x18tc:threadedComment>
  <x18tc:threadedComment ref="S1529" dT="2025-06-09T19:06:46.00" personId="{6c3cfef6-2a2b-4523-b695-882d6eeec17a}" id="{532397c5-5f5b-49eb-a9d5-31ab30ce2a46}" done="0">
    <x18tc:text xml:space="preserve">Data de instalação</x18tc:text>
  </x18tc:threadedComment>
  <x18tc:threadedComment ref="S1514" dT="2025-03-19T12:32:47.00" personId="{6c3cfef6-2a2b-4523-b695-882d6eeec17a}" id="{78280bc9-59aa-4c7b-8582-fa04e1604f85}" done="0">
    <x18tc:text xml:space="preserve">Data do TRD</x18tc:text>
  </x18tc:threadedComment>
  <x18tc:threadedComment ref="S22" dT="2025-05-30T13:32:34.00" personId="{6c3cfef6-2a2b-4523-b695-882d6eeec17a}" id="{5278adb1-9bd6-4462-b39c-6fb243254e05}" done="0">
    <x18tc:text xml:space="preserve">Data de instalação</x18tc:text>
  </x18tc:threadedComment>
  <x18tc:threadedComment ref="AL1413" dT="2025-06-09T18:38:48.00" personId="{6c3cfef6-2a2b-4523-b695-882d6eeec17a}" id="{c02eee76-ed37-4a44-94a5-d75759cdd1e4}" done="0">
    <x18tc:text xml:space="preserve">Somente peças da lista</x18tc:text>
  </x18tc:threadedComment>
  <x18tc:threadedComment ref="S1577" dT="2025-03-19T13:34:06.00" personId="{6c3cfef6-2a2b-4523-b695-882d6eeec17a}" id="{69e0a1c8-086e-4e97-a659-60cdc18c5025}" done="0">
    <x18tc:text xml:space="preserve">Data do TRD</x18tc:text>
  </x18tc:threadedComment>
  <x18tc:threadedComment ref="AC643" dT="2025-02-07T13:56:10.00" personId="{6c3cfef6-2a2b-4523-b695-882d6eeec17a}" id="{49e87b6f-60a0-40b3-aac2-56e5c6de30ef}" done="0">
    <x18tc:text xml:space="preserve">Data de instalação</x18tc:text>
  </x18tc:threadedComment>
  <x18tc:threadedComment ref="X47" dT="2025-07-17T16:54:55.00" personId="{6c3cfef6-2a2b-4523-b695-882d6eeec17a}" id="{2d6da9ed-5942-4b62-afe2-7286bff63ebb}" done="0">
    <x18tc:text xml:space="preserve">Data informada pelo Comercial, na planilha "Controle de Prazos de Garantia - Aena"</x18tc:text>
  </x18tc:threadedComment>
  <x18tc:threadedComment ref="AC854" dT="2025-06-06T18:27:34.00" personId="{6c3cfef6-2a2b-4523-b695-882d6eeec17a}" id="{54f446dd-5ab3-43c8-a8f5-a011ee63dc37}" done="0">
    <x18tc:text xml:space="preserve">Data de instalação</x18tc:text>
  </x18tc:threadedComment>
  <x18tc:threadedComment ref="AC728" dT="2025-06-04T18:43:40.00" personId="{6c3cfef6-2a2b-4523-b695-882d6eeec17a}" id="{281a3f0b-5a38-4cef-a74c-d50f7d1b5e3b}" done="0">
    <x18tc:text xml:space="preserve">Data de instalação</x18tc:text>
  </x18tc:threadedComment>
  <x18tc:threadedComment ref="AJ828" dT="2025-06-05T18:14:31.00" personId="{6c3cfef6-2a2b-4523-b695-882d6eeec17a}" id="{78e984a4-b404-4db1-b9fe-e0888863a604}" done="0">
    <x18tc:text xml:space="preserve">O problema deverá ser solucionado em até 48H, sendo remoto ou in-loco</x18tc:text>
  </x18tc:threadedComment>
  <x18tc:threadedComment ref="S1099" dT="2025-03-13T17:40:42.00" personId="{6c3cfef6-2a2b-4523-b695-882d6eeec17a}" id="{a3a6804b-08b1-4777-a287-c8688c248bd1}" done="0">
    <x18tc:text xml:space="preserve">Data do TRD</x18tc:text>
  </x18tc:threadedComment>
  <x18tc:threadedComment ref="S450" dT="2025-06-04T16:28:25.00" personId="{6c3cfef6-2a2b-4523-b695-882d6eeec17a}" id="{8d2a58bd-f47a-4ac9-9a62-288731b96249}" done="0">
    <x18tc:text xml:space="preserve">Data de instalação</x18tc:text>
  </x18tc:threadedComment>
  <x18tc:threadedComment ref="AC566" dT="2025-02-07T13:56:10.00" personId="{6c3cfef6-2a2b-4523-b695-882d6eeec17a}" id="{d0cf7355-b3ac-4b9b-a2ca-ce49404353f0}" done="0">
    <x18tc:text xml:space="preserve">Data do 4º Termo Adt</x18tc:text>
  </x18tc:threadedComment>
  <x18tc:threadedComment ref="X71" dT="2025-07-17T17:43:09.00" personId="{6c3cfef6-2a2b-4523-b695-882d6eeec17a}" id="{6fff955f-b2e0-42b5-9d97-b41e707846d2}" done="0">
    <x18tc:text xml:space="preserve">Data informada pelo Comercial, na planilha "Controle de Prazos de Garantia - Aena"</x18tc:text>
  </x18tc:threadedComment>
  <x18tc:threadedComment ref="AC873" dT="2025-06-06T18:27:34.00" personId="{6c3cfef6-2a2b-4523-b695-882d6eeec17a}" id="{ceeda78c-6631-4eb8-abe9-55a5f863f3e1}" done="0">
    <x18tc:text xml:space="preserve">Data de instalação</x18tc:text>
  </x18tc:threadedComment>
  <x18tc:threadedComment ref="S1408" dT="2025-01-07T17:30:30.00" personId="{6c3cfef6-2a2b-4523-b695-882d6eeec17a}" id="{4fe50f5e-f4df-4ca1-9630-5e33f23fdf66}" done="0">
    <x18tc:text xml:space="preserve">Data do TRD</x18tc:text>
  </x18tc:threadedComment>
  <x18tc:threadedComment ref="S1612" dT="2025-06-09T19:43:23.00" personId="{6c3cfef6-2a2b-4523-b695-882d6eeec17a}" id="{22c7ce97-f702-479d-89e4-fce1a93a3ab0}" done="0">
    <x18tc:text xml:space="preserve">Data de instalação</x18tc:text>
  </x18tc:threadedComment>
  <x18tc:threadedComment ref="AC582" dT="2025-02-07T13:56:10.00" personId="{6c3cfef6-2a2b-4523-b695-882d6eeec17a}" id="{2a8eb259-5cfd-4b28-bd23-26b4c68b83c0}" done="0">
    <x18tc:text xml:space="preserve">Data do 4º Termo Adt</x18tc:text>
  </x18tc:threadedComment>
  <x18tc:threadedComment ref="S951" dT="2024-12-13T11:57:07.00" personId="{6c3cfef6-2a2b-4523-b695-882d6eeec17a}" id="{0b889670-ae82-4a37-b219-a246dbe2537d}" done="0">
    <x18tc:text xml:space="preserve">Não localizada data, então preenchida igual a da outra unidade</x18tc:text>
  </x18tc:threadedComment>
  <x18tc:threadedComment ref="S1635" dT="2025-06-04T13:37:31.00" personId="{6c3cfef6-2a2b-4523-b695-882d6eeec17a}" id="{1f5712fe-ce11-4101-aee6-0d4c4bbd4bce}" done="0">
    <x18tc:text xml:space="preserve">Data de instalação</x18tc:text>
  </x18tc:threadedComment>
  <x18tc:threadedComment ref="S1601" dT="2025-03-18T18:54:47.00" personId="{6c3cfef6-2a2b-4523-b695-882d6eeec17a}" id="{723bb9f7-c99f-4e26-9032-cd967a45fb36}" done="0">
    <x18tc:text xml:space="preserve">Data de instalação</x18tc:text>
  </x18tc:threadedComment>
  <x18tc:threadedComment ref="S382" dT="2025-06-04T13:37:31.00" personId="{6c3cfef6-2a2b-4523-b695-882d6eeec17a}" id="{3cf3f895-ea61-40ea-8375-a6a96f340bc9}" done="0">
    <x18tc:text xml:space="preserve">Data de instalação</x18tc:text>
  </x18tc:threadedComment>
  <x18tc:threadedComment ref="S272" dT="2025-05-30T18:33:18.00" personId="{6c3cfef6-2a2b-4523-b695-882d6eeec17a}" id="{56a48af3-092a-460f-a2b2-7712137b84b2}" done="0">
    <x18tc:text xml:space="preserve">Data de instalação</x18tc:text>
  </x18tc:threadedComment>
  <x18tc:threadedComment ref="AC723" dT="2025-06-04T18:43:40.00" personId="{6c3cfef6-2a2b-4523-b695-882d6eeec17a}" id="{5a5d253f-a0c3-4e4b-b437-5644dbbdec9f}" done="0">
    <x18tc:text xml:space="preserve">Data de instalação</x18tc:text>
  </x18tc:threadedComment>
  <x18tc:threadedComment ref="S1550" dT="2025-03-18T18:54:47.00" personId="{6c3cfef6-2a2b-4523-b695-882d6eeec17a}" id="{40a772f6-2ca0-4501-9c2b-d90fa4df5536}" done="0">
    <x18tc:text xml:space="preserve">Data de instalação</x18tc:text>
  </x18tc:threadedComment>
  <x18tc:threadedComment ref="S6" dT="2025-05-30T13:32:34.00" personId="{6c3cfef6-2a2b-4523-b695-882d6eeec17a}" id="{98fa9557-fbb0-4f59-bb66-ad5ef641c940}" done="0">
    <x18tc:text xml:space="preserve">Data de instalação</x18tc:text>
  </x18tc:threadedComment>
  <x18tc:threadedComment ref="S463" dT="2025-02-05T11:22:19.00" personId="{6c3cfef6-2a2b-4523-b695-882d6eeec17a}" id="{789db3a3-f4c3-4f84-9c3f-3dd13e369e72}" done="0">
    <x18tc:text xml:space="preserve">Data do TRD</x18tc:text>
  </x18tc:threadedComment>
  <x18tc:threadedComment ref="AC874" dT="2025-06-06T18:27:34.00" personId="{6c3cfef6-2a2b-4523-b695-882d6eeec17a}" id="{38be9013-25ad-40cd-a930-dca7c83f4b08}" done="0">
    <x18tc:text xml:space="preserve">Data de instalação</x18tc:text>
  </x18tc:threadedComment>
  <x18tc:threadedComment ref="S571" dT="2025-06-04T13:37:31.00" personId="{6c3cfef6-2a2b-4523-b695-882d6eeec17a}" id="{cd3847a9-e639-4511-95a2-ca68891f2f1b}" done="0">
    <x18tc:text xml:space="preserve">Data de instalação</x18tc:text>
  </x18tc:threadedComment>
  <x18tc:threadedComment ref="AJ546" dT="2025-06-04T16:46:32.00" personId="{6c3cfef6-2a2b-4523-b695-882d6eeec17a}" id="{6941c9ba-a609-45ac-bff3-8e2b52d8e955}" done="0">
    <x18tc:text xml:space="preserve">Prazos contados para chamados abertos até as 15:00.
Após esse horário, a contagem começa as 06:00 do dia seguinte</x18tc:text>
  </x18tc:threadedComment>
  <x18tc:threadedComment ref="S248" dT="2025-05-30T14:46:23.00" personId="{6c3cfef6-2a2b-4523-b695-882d6eeec17a}" id="{6dbcc5a4-fa30-4f51-a413-4b2f032277b0}" done="0">
    <x18tc:text xml:space="preserve">Data de instalação</x18tc:text>
  </x18tc:threadedComment>
  <x18tc:threadedComment ref="S1455" dT="2025-06-09T18:46:23.00" personId="{6c3cfef6-2a2b-4523-b695-882d6eeec17a}" id="{833d163d-7928-42d7-bd78-07007d946a5a}" done="0">
    <x18tc:text xml:space="preserve">Data de instalação</x18tc:text>
  </x18tc:threadedComment>
  <x18tc:threadedComment ref="S1610" dT="2025-06-09T19:43:23.00" personId="{6c3cfef6-2a2b-4523-b695-882d6eeec17a}" id="{2a63de77-dd17-4fa2-b077-411ac7d6114d}" done="0">
    <x18tc:text xml:space="preserve">Data de instalação</x18tc:text>
  </x18tc:threadedComment>
  <x18tc:threadedComment ref="S1417" dT="2025-06-09T18:34:21.00" personId="{6c3cfef6-2a2b-4523-b695-882d6eeec17a}" id="{1d6f7036-a4e9-43fb-ba1e-3ca324a9e021}" done="0">
    <x18tc:text xml:space="preserve">Data de instalação</x18tc:text>
  </x18tc:threadedComment>
  <x18tc:threadedComment ref="S520" dT="2025-06-04T15:01:11.00" personId="{6c3cfef6-2a2b-4523-b695-882d6eeec17a}" id="{210a56d7-15db-455e-ba9d-db25c4908354}" done="0">
    <x18tc:text xml:space="preserve">Data do TRD</x18tc:text>
  </x18tc:threadedComment>
  <x18tc:threadedComment ref="S1412" dT="2024-11-05T14:01:53.00" personId="{6c3cfef6-2a2b-4523-b695-882d6eeec17a}" id="{140b86b6-9666-4ff4-916f-d3283069b70f}" done="0">
    <x18tc:text xml:space="preserve">Data do TRD</x18tc:text>
  </x18tc:threadedComment>
  <x18tc:threadedComment ref="S340" dT="2025-05-30T18:45:10.00" personId="{6c3cfef6-2a2b-4523-b695-882d6eeec17a}" id="{5c0e7731-fdc2-42c8-8919-de61662d266b}" done="0">
    <x18tc:text xml:space="preserve">Data de instalação</x18tc:text>
  </x18tc:threadedComment>
  <x18tc:threadedComment ref="S251" dT="2025-05-30T14:46:23.00" personId="{6c3cfef6-2a2b-4523-b695-882d6eeec17a}" id="{b47ec535-24d7-43d5-9542-bfcc0ecbfd3b}" done="0">
    <x18tc:text xml:space="preserve">Data de instalação</x18tc:text>
  </x18tc:threadedComment>
  <x18tc:threadedComment ref="S1595" dT="2025-03-18T18:54:47.00" personId="{6c3cfef6-2a2b-4523-b695-882d6eeec17a}" id="{09e6dbb4-3c98-4c37-8cde-1704dd427d84}" done="0">
    <x18tc:text xml:space="preserve">Data de instalação</x18tc:text>
  </x18tc:threadedComment>
  <x18tc:threadedComment ref="X1015" dT="2025-06-09T16:43:07.00" personId="{6c3cfef6-2a2b-4523-b695-882d6eeec17a}" id="{da730da6-0225-408c-9766-c2c29c3939ec}" done="0">
    <x18tc:text xml:space="preserve">Data do 1º Termo Adt</x18tc:text>
  </x18tc:threadedComment>
  <x18tc:threadedComment ref="S508" dT="2025-02-05T11:22:19.00" personId="{6c3cfef6-2a2b-4523-b695-882d6eeec17a}" id="{95f5676b-5d4c-4714-bdaf-9d846389be42}" done="0">
    <x18tc:text xml:space="preserve">Data do TRD</x18tc:text>
  </x18tc:threadedComment>
  <x18tc:threadedComment ref="S1072" dT="2024-11-01T18:46:57.00" personId="{6c3cfef6-2a2b-4523-b695-882d6eeec17a}" id="{94c75cc0-6f37-4ffc-8310-2bf8cce316ba}" done="0">
    <x18tc:text xml:space="preserve">Data do TRD</x18tc:text>
  </x18tc:threadedComment>
  <x18tc:threadedComment ref="X804" dT="2025-06-04T19:33:39.00" personId="{6c3cfef6-2a2b-4523-b695-882d6eeec17a}" id="{5e1a855e-bb32-49a6-ad1a-bf54960e4194}" done="0">
    <x18tc:text xml:space="preserve">Data mencionada no RP</x18tc:text>
  </x18tc:threadedComment>
  <x18tc:threadedComment ref="AC884" dT="2025-06-06T18:27:34.00" personId="{6c3cfef6-2a2b-4523-b695-882d6eeec17a}" id="{242fd438-7f94-412a-8a3b-c638d57ad02e}" done="0">
    <x18tc:text xml:space="preserve">Data de instalação</x18tc:text>
  </x18tc:threadedComment>
  <x18tc:threadedComment ref="S75" dT="2025-05-30T13:32:34.00" personId="{6c3cfef6-2a2b-4523-b695-882d6eeec17a}" id="{d75bd1e9-36e6-4577-843b-6388f89f7e36}" done="0">
    <x18tc:text xml:space="preserve">Data de instalação</x18tc:text>
  </x18tc:threadedComment>
  <x18tc:threadedComment ref="S570" dT="2025-06-04T13:37:31.00" personId="{6c3cfef6-2a2b-4523-b695-882d6eeec17a}" id="{ac6f070d-2504-4047-89eb-1b1a5a4b6086}" done="0">
    <x18tc:text xml:space="preserve">Data de instalação</x18tc:text>
  </x18tc:threadedComment>
  <x18tc:threadedComment ref="S1472" dT="2025-06-09T18:46:23.00" personId="{6c3cfef6-2a2b-4523-b695-882d6eeec17a}" id="{14b374bb-91e0-4f19-a7e2-cec4ce6176e0}" done="0">
    <x18tc:text xml:space="preserve">Data de instalação</x18tc:text>
  </x18tc:threadedComment>
  <x18tc:threadedComment ref="S773" dT="2025-06-04T17:54:23.00" personId="{6c3cfef6-2a2b-4523-b695-882d6eeec17a}" id="{16ea0e44-8621-4166-b230-17cce7b6146a}" done="0">
    <x18tc:text xml:space="preserve">Data de instalação</x18tc:text>
  </x18tc:threadedComment>
  <x18tc:threadedComment ref="S1439" dT="2024-11-05T14:01:53.00" personId="{6c3cfef6-2a2b-4523-b695-882d6eeec17a}" id="{202c1142-a49a-424f-aef2-c6f8dd1b2caa}" done="0">
    <x18tc:text xml:space="preserve">Data do TRD</x18tc:text>
  </x18tc:threadedComment>
  <x18tc:threadedComment ref="S74" dT="2025-05-30T13:32:34.00" personId="{6c3cfef6-2a2b-4523-b695-882d6eeec17a}" id="{0bdf9e22-0b4e-4445-bc84-bc4daedd3722}" done="0">
    <x18tc:text xml:space="preserve">Data de instalação</x18tc:text>
  </x18tc:threadedComment>
  <x18tc:threadedComment ref="S1580" dT="2025-03-19T13:34:06.00" personId="{6c3cfef6-2a2b-4523-b695-882d6eeec17a}" id="{733dd650-7026-465d-ad44-44c1ec66a391}" done="0">
    <x18tc:text xml:space="preserve">Data do TRD</x18tc:text>
  </x18tc:threadedComment>
  <x18tc:threadedComment ref="S985" dT="2024-11-01T18:44:47.00" personId="{6c3cfef6-2a2b-4523-b695-882d6eeec17a}" id="{3469126d-2950-4a8b-93e5-a57dd6a64485}" done="0">
    <x18tc:text xml:space="preserve">Data do TRD</x18tc:text>
  </x18tc:threadedComment>
  <x18tc:threadedComment ref="X1605" dT="2025-06-09T19:42:13.00" personId="{6c3cfef6-2a2b-4523-b695-882d6eeec17a}" id="{c2b01a68-0dec-45e1-b9dc-feb90f7ef66a}" done="0">
    <x18tc:text xml:space="preserve">Data mencionada no RP</x18tc:text>
  </x18tc:threadedComment>
  <x18tc:threadedComment ref="X1613" dT="2025-06-09T19:42:13.00" personId="{6c3cfef6-2a2b-4523-b695-882d6eeec17a}" id="{81d02210-072a-4887-944f-93f51a42e938}" done="0">
    <x18tc:text xml:space="preserve">Data mencionada no RP</x18tc:text>
  </x18tc:threadedComment>
  <x18tc:threadedComment ref="S341" dT="2025-05-30T18:45:10.00" personId="{6c3cfef6-2a2b-4523-b695-882d6eeec17a}" id="{bc46c1b9-0805-4fbc-9472-be3d152aaf74}" done="0">
    <x18tc:text xml:space="preserve">Data de instalação</x18tc:text>
  </x18tc:threadedComment>
  <x18tc:threadedComment ref="AC1268" dT="2024-11-07T14:41:02.00" personId="{6c3cfef6-2a2b-4523-b695-882d6eeec17a}" id="{cdc7b888-6a37-41e0-bb8e-23d00aff2ec4}" done="0">
    <x18tc:text xml:space="preserve">Data simbólica informada pelo Cláudio</x18tc:text>
  </x18tc:threadedComment>
  <x18tc:threadedComment ref="S950" dT="2024-11-01T18:44:47.00" personId="{6c3cfef6-2a2b-4523-b695-882d6eeec17a}" id="{c2f2621e-790c-4516-b569-10ccc98c7ad4}" done="0">
    <x18tc:text xml:space="preserve">Data do TRD</x18tc:text>
  </x18tc:threadedComment>
  <x18tc:threadedComment ref="AC724" dT="2025-06-04T18:43:40.00" personId="{6c3cfef6-2a2b-4523-b695-882d6eeec17a}" id="{2598d687-381e-4c0e-aedc-484a24941357}" done="0">
    <x18tc:text xml:space="preserve">Data de instalação</x18tc:text>
  </x18tc:threadedComment>
  <x18tc:threadedComment ref="S1335" dT="2025-06-09T17:38:37.00" personId="{6c3cfef6-2a2b-4523-b695-882d6eeec17a}" id="{4e3f38fc-e8f5-4ffc-9f64-925c330702f8}" done="0">
    <x18tc:text xml:space="preserve">Data de instalação</x18tc:text>
  </x18tc:threadedComment>
  <x18tc:threadedComment ref="AC666" dT="2025-06-04T18:43:40.00" personId="{6c3cfef6-2a2b-4523-b695-882d6eeec17a}" id="{7e152da5-8abf-426a-99cf-9b1500ea5e4f}" done="0">
    <x18tc:text xml:space="preserve">Data de instalação</x18tc:text>
  </x18tc:threadedComment>
  <x18tc:threadedComment ref="S769" dT="2025-06-04T17:54:23.00" personId="{6c3cfef6-2a2b-4523-b695-882d6eeec17a}" id="{f7092542-ac3f-4029-8151-8fb76b19308d}" done="0">
    <x18tc:text xml:space="preserve">Data de instalação</x18tc:text>
  </x18tc:threadedComment>
  <x18tc:threadedComment ref="S1068" dT="2024-11-01T18:46:57.00" personId="{6c3cfef6-2a2b-4523-b695-882d6eeec17a}" id="{66fe9bd0-e225-45b4-913d-adb6fd8f726e}" done="0">
    <x18tc:text xml:space="preserve">Data do TRD</x18tc:text>
  </x18tc:threadedComment>
  <x18tc:threadedComment ref="S482" dT="2025-02-05T16:59:48.00" personId="{6c3cfef6-2a2b-4523-b695-882d6eeec17a}" id="{0c81ab47-e524-43af-ae5e-83a1f1c9706c}" done="0">
    <x18tc:text xml:space="preserve">Data do TRD</x18tc:text>
  </x18tc:threadedComment>
  <x18tc:threadedComment ref="AC1021" dT="2025-06-09T16:48:02.00" personId="{6c3cfef6-2a2b-4523-b695-882d6eeec17a}" id="{ac9caf55-865a-47e6-9cc9-35d7bc42ba7a}" done="0">
    <x18tc:text xml:space="preserve">Data do 2º Termo Adt</x18tc:text>
  </x18tc:threadedComment>
  <x18tc:threadedComment ref="S1003" dT="2024-11-01T18:44:47.00" personId="{6c3cfef6-2a2b-4523-b695-882d6eeec17a}" id="{ae27157c-b030-4376-baf1-a0a44dfbebf0}" done="0">
    <x18tc:text xml:space="preserve">Data do TRD</x18tc:text>
  </x18tc:threadedComment>
  <x18tc:threadedComment ref="S1478" dT="2025-06-09T18:46:23.00" personId="{6c3cfef6-2a2b-4523-b695-882d6eeec17a}" id="{699710ce-f388-41f0-92a2-1cef6579c1aa}" done="0">
    <x18tc:text xml:space="preserve">Data de instalação</x18tc:text>
  </x18tc:threadedComment>
  <x18tc:threadedComment ref="S1524" dT="2025-06-09T19:06:46.00" personId="{6c3cfef6-2a2b-4523-b695-882d6eeec17a}" id="{1224d67e-e609-4bcf-878d-afbf53c91756}" done="0">
    <x18tc:text xml:space="preserve">Data de instalação</x18tc:text>
  </x18tc:threadedComment>
  <x18tc:threadedComment ref="S386" dT="2025-06-04T13:37:31.00" personId="{6c3cfef6-2a2b-4523-b695-882d6eeec17a}" id="{e4d486e7-9e0d-4a1b-823c-901571a65ece}" done="0">
    <x18tc:text xml:space="preserve">Data de instalação</x18tc:text>
  </x18tc:threadedComment>
  <x18tc:threadedComment ref="X101" dT="2025-05-30T13:32:34.00" personId="{6c3cfef6-2a2b-4523-b695-882d6eeec17a}" id="{ab5cca9e-0cfb-4fd4-9b3d-743976708bfa}" done="0">
    <x18tc:text xml:space="preserve">Data de instalação</x18tc:text>
  </x18tc:threadedComment>
  <x18tc:threadedComment ref="S1515" dT="2025-03-19T12:32:47.00" personId="{6c3cfef6-2a2b-4523-b695-882d6eeec17a}" id="{db6212be-ef20-405a-a8e9-feebe7be6910}" done="0">
    <x18tc:text xml:space="preserve">Data do TRD</x18tc:text>
  </x18tc:threadedComment>
  <x18tc:threadedComment ref="X12" dT="2025-05-30T13:32:34.00" personId="{6c3cfef6-2a2b-4523-b695-882d6eeec17a}" id="{2f32254f-766d-482b-a167-3b3b29c8eede}" done="0">
    <x18tc:text xml:space="preserve">Data de instalação</x18tc:text>
  </x18tc:threadedComment>
  <x18tc:threadedComment ref="AC889" dT="2025-06-06T18:27:34.00" personId="{6c3cfef6-2a2b-4523-b695-882d6eeec17a}" id="{a0eb0792-d5fa-4231-9d18-64cb13f59088}" done="0">
    <x18tc:text xml:space="preserve">Data de instalação</x18tc:text>
  </x18tc:threadedComment>
  <x18tc:threadedComment ref="S166" dT="2025-05-30T14:31:17.00" personId="{6c3cfef6-2a2b-4523-b695-882d6eeec17a}" id="{fdf71b83-a094-4a78-ab80-002ab99cf200}" done="0">
    <x18tc:text xml:space="preserve">Data de instalação</x18tc:text>
  </x18tc:threadedComment>
  <x18tc:threadedComment ref="AC684" dT="2025-06-04T18:43:40.00" personId="{6c3cfef6-2a2b-4523-b695-882d6eeec17a}" id="{4c4d779b-5874-4e0a-9481-6cf2988a2e23}" done="0">
    <x18tc:text xml:space="preserve">Data de instalação</x18tc:text>
  </x18tc:threadedComment>
  <x18tc:threadedComment ref="S1083" dT="2025-03-13T17:40:42.00" personId="{6c3cfef6-2a2b-4523-b695-882d6eeec17a}" id="{83b3b507-abb7-4479-a8b5-9052f4fc582e}" done="0">
    <x18tc:text xml:space="preserve">Data do TRD</x18tc:text>
  </x18tc:threadedComment>
  <x18tc:threadedComment ref="X43" dT="2025-07-17T17:43:09.00" personId="{6c3cfef6-2a2b-4523-b695-882d6eeec17a}" id="{ca4250c5-196f-4f38-acda-7964558eeb2c}" done="0">
    <x18tc:text xml:space="preserve">Data informada pelo Comercial, na planilha "Controle de Prazos de Garantia - Aena"</x18tc:text>
  </x18tc:threadedComment>
  <x18tc:threadedComment ref="S284" dT="2025-05-30T18:39:21.00" personId="{6c3cfef6-2a2b-4523-b695-882d6eeec17a}" id="{f98f7209-9f9f-4e9e-96f6-a86ebdd2fb4a}" done="0">
    <x18tc:text xml:space="preserve">Data de instalação</x18tc:text>
  </x18tc:threadedComment>
  <x18tc:threadedComment ref="AC552" dT="2025-02-07T13:56:10.00" personId="{6c3cfef6-2a2b-4523-b695-882d6eeec17a}" id="{674a6974-6ad3-4d96-865c-17ef7642c8f4}" done="0">
    <x18tc:text xml:space="preserve">Data do 4º Termo Adt</x18tc:text>
  </x18tc:threadedComment>
  <x18tc:threadedComment ref="AC856" dT="2025-06-06T18:27:34.00" personId="{6c3cfef6-2a2b-4523-b695-882d6eeec17a}" id="{521617d8-8cec-4dee-b7d2-a39e2e9dd07e}" done="0">
    <x18tc:text xml:space="preserve">Data de instalação</x18tc:text>
  </x18tc:threadedComment>
  <x18tc:threadedComment ref="S810" dT="2025-06-04T19:04:19.00" personId="{6c3cfef6-2a2b-4523-b695-882d6eeec17a}" id="{44205766-0e6d-4512-9918-e453340e0abe}" done="0">
    <x18tc:text xml:space="preserve">Data de instalação</x18tc:text>
  </x18tc:threadedComment>
  <x18tc:threadedComment ref="X1113" dT="2025-06-09T17:19:07.00" personId="{6c3cfef6-2a2b-4523-b695-882d6eeec17a}" id="{765e1285-de51-41da-9f78-b0b1e8553818}" done="0">
    <x18tc:text xml:space="preserve">Data da Renovação Contratual</x18tc:text>
  </x18tc:threadedComment>
  <x18tc:threadedComment ref="S374" dT="2025-06-04T13:37:31.00" personId="{6c3cfef6-2a2b-4523-b695-882d6eeec17a}" id="{057bc8bd-9c2b-48ce-b6e9-970049c158b9}" done="0">
    <x18tc:text xml:space="preserve">Data de instalação</x18tc:text>
  </x18tc:threadedComment>
  <x18tc:threadedComment ref="S903" dT="2025-06-06T19:03:42.00" personId="{6c3cfef6-2a2b-4523-b695-882d6eeec17a}" id="{e487ad61-853a-4c21-ba61-8355cabd4f86}" done="0">
    <x18tc:text xml:space="preserve">Data de instalação</x18tc:text>
  </x18tc:threadedComment>
  <x18tc:threadedComment ref="S1574" dT="2025-06-09T19:36:51.00" personId="{6c3cfef6-2a2b-4523-b695-882d6eeec17a}" id="{e884335b-3191-49a6-92c8-4f22aab80de8}" done="0">
    <x18tc:text xml:space="preserve">Data de instalação</x18tc:text>
  </x18tc:threadedComment>
  <x18tc:threadedComment ref="S1372" dT="2025-06-09T18:10:30.00" personId="{6c3cfef6-2a2b-4523-b695-882d6eeec17a}" id="{0e627d0f-2c07-4a1e-82fb-dc30b183d01a}" done="0">
    <x18tc:text xml:space="preserve">Data de instalação</x18tc:text>
  </x18tc:threadedComment>
  <x18tc:threadedComment ref="AC1623" dT="2025-06-09T13:42:09.00" personId="{6c3cfef6-2a2b-4523-b695-882d6eeec17a}" id="{3bf64bf2-fbdf-4cc5-a22b-b4ccf9ee6de2}" done="0">
    <x18tc:text xml:space="preserve">Data de instalação</x18tc:text>
  </x18tc:threadedComment>
  <x18tc:threadedComment ref="X99" dT="2025-07-17T16:57:11.00" personId="{6c3cfef6-2a2b-4523-b695-882d6eeec17a}" id="{143e94be-6e7f-4839-9a10-59ec015183c5}" done="0">
    <x18tc:text xml:space="preserve">Data informada pelo Comercial, na planilha "Controle de Prazos de Garantia - Aena"</x18tc:text>
  </x18tc:threadedComment>
  <x18tc:threadedComment ref="AC1300" dT="2024-11-07T14:41:02.00" personId="{6c3cfef6-2a2b-4523-b695-882d6eeec17a}" id="{ff2845ff-1b66-4e3e-bca1-7eb9ab1d2f56}" done="0">
    <x18tc:text xml:space="preserve">Data simbólica informada pelo Cláudio</x18tc:text>
  </x18tc:threadedComment>
  <x18tc:threadedComment ref="S1334" dT="2025-06-09T17:38:37.00" personId="{6c3cfef6-2a2b-4523-b695-882d6eeec17a}" id="{33b76d45-5707-492f-97bd-c89219599c1f}" done="0">
    <x18tc:text xml:space="preserve">Data de instalação</x18tc:text>
  </x18tc:threadedComment>
  <x18tc:threadedComment ref="S599" dT="2025-02-07T14:14:47.00" personId="{6c3cfef6-2a2b-4523-b695-882d6eeec17a}" id="{a3b0d03a-3d03-4fb6-8017-75686550483f}" done="0">
    <x18tc:text xml:space="preserve">Data do TRD</x18tc:text>
  </x18tc:threadedComment>
  <x18tc:threadedComment ref="X37" dT="2025-07-17T17:43:09.00" personId="{6c3cfef6-2a2b-4523-b695-882d6eeec17a}" id="{7ffce649-1065-4c15-a153-678c481eabf3}" done="0">
    <x18tc:text xml:space="preserve">Data informada pelo Comercial, na planilha "Controle de Prazos de Garantia - Aena"</x18tc:text>
  </x18tc:threadedComment>
  <x18tc:threadedComment ref="AC200" dT="2025-05-30T14:46:23.00" personId="{6c3cfef6-2a2b-4523-b695-882d6eeec17a}" id="{17ce900f-7def-4660-bff7-5f744ad11db6}" done="0">
    <x18tc:text xml:space="preserve">Data de instalação</x18tc:text>
  </x18tc:threadedComment>
  <x18tc:threadedComment ref="S826" dT="2025-06-05T18:05:22.00" personId="{6c3cfef6-2a2b-4523-b695-882d6eeec17a}" id="{c060502a-002e-496f-ab75-dff066eb643a}" done="0">
    <x18tc:text xml:space="preserve">Data de instalação</x18tc:text>
  </x18tc:threadedComment>
  <x18tc:threadedComment ref="AC714" dT="2025-06-04T18:43:40.00" personId="{6c3cfef6-2a2b-4523-b695-882d6eeec17a}" id="{32528933-952d-4c73-ab16-e5152453a79d}" done="0">
    <x18tc:text xml:space="preserve">Data de instalação</x18tc:text>
  </x18tc:threadedComment>
  <x18tc:threadedComment ref="S213" dT="2025-01-31T14:23:27.00" personId="{6c3cfef6-2a2b-4523-b695-882d6eeec17a}" id="{c7a167bb-050c-4250-a562-ad12f92d448c}" done="0">
    <x18tc:text xml:space="preserve">Data do TRD</x18tc:text>
  </x18tc:threadedComment>
  <x18tc:threadedComment ref="S939" dT="2024-11-01T18:44:47.00" personId="{6c3cfef6-2a2b-4523-b695-882d6eeec17a}" id="{658a6fac-deb4-4056-89d1-58a95f8adcb2}" done="0">
    <x18tc:text xml:space="preserve">Data do TRD</x18tc:text>
  </x18tc:threadedComment>
  <x18tc:threadedComment ref="X32" dT="2025-05-30T13:32:34.00" personId="{6c3cfef6-2a2b-4523-b695-882d6eeec17a}" id="{152f72d8-81b8-4f0e-bb6f-3b7275d2de89}" done="0">
    <x18tc:text xml:space="preserve">Data informada pelo Comercial, na planilha "Controle de Prazos de Garantia - Aena"</x18tc:text>
  </x18tc:threadedComment>
  <x18tc:threadedComment ref="S573" dT="2025-06-04T13:37:31.00" personId="{6c3cfef6-2a2b-4523-b695-882d6eeec17a}" id="{5dbd4104-06ce-4127-8f08-4887cd713f79}" done="0">
    <x18tc:text xml:space="preserve">Data de instalação</x18tc:text>
  </x18tc:threadedComment>
  <x18tc:threadedComment ref="S289" dT="2025-05-30T18:45:10.00" personId="{6c3cfef6-2a2b-4523-b695-882d6eeec17a}" id="{25503a94-b3df-4463-807b-24440f532d87}" done="0">
    <x18tc:text xml:space="preserve">Data de instalação</x18tc:text>
  </x18tc:threadedComment>
  <x18tc:threadedComment ref="AC708" dT="2025-06-04T18:43:40.00" personId="{6c3cfef6-2a2b-4523-b695-882d6eeec17a}" id="{68dd274c-ab4b-4acf-a067-e320d1289659}" done="0">
    <x18tc:text xml:space="preserve">Data de instalação</x18tc:text>
  </x18tc:threadedComment>
  <x18tc:threadedComment ref="X329" dT="2025-09-25T17:14:58.00" personId="{6c3cfef6-2a2b-4523-b695-882d6eeec17a}" id="{f7d935c3-acc1-4e3b-bfc3-52eaa7a1e725}" done="0">
    <x18tc:text xml:space="preserve">Data informada no RP</x18tc:text>
  </x18tc:threadedComment>
  <x18tc:threadedComment ref="S270" dT="2025-05-30T18:33:18.00" personId="{6c3cfef6-2a2b-4523-b695-882d6eeec17a}" id="{351cfff9-2de9-47f1-b544-de2ac186aef5}" done="0">
    <x18tc:text xml:space="preserve">Data de instalação</x18tc:text>
  </x18tc:threadedComment>
  <x18tc:threadedComment ref="S447" dT="2025-02-05T16:35:50.00" personId="{6c3cfef6-2a2b-4523-b695-882d6eeec17a}" id="{15ea45eb-83df-430a-8b3e-d6842a4ecabd}" done="0">
    <x18tc:text xml:space="preserve">Data de Inst.</x18tc:text>
  </x18tc:threadedComment>
  <x18tc:threadedComment ref="S467" dT="2025-02-05T11:22:19.00" personId="{6c3cfef6-2a2b-4523-b695-882d6eeec17a}" id="{053dd553-2023-45cd-8f12-ea92d45a8d54}" done="0">
    <x18tc:text xml:space="preserve">Data do TRD</x18tc:text>
  </x18tc:threadedComment>
  <x18tc:threadedComment ref="X1602" dT="2025-06-09T19:42:13.00" personId="{6c3cfef6-2a2b-4523-b695-882d6eeec17a}" id="{1348f233-cd02-4a0a-8302-4982f47d65c3}" done="0">
    <x18tc:text xml:space="preserve">Data mencionada no RP</x18tc:text>
  </x18tc:threadedComment>
  <x18tc:threadedComment ref="S1548" dT="2025-06-09T19:06:46.00" personId="{6c3cfef6-2a2b-4523-b695-882d6eeec17a}" id="{a0c2227c-9efe-461b-af95-5f72f134db44}" done="0">
    <x18tc:text xml:space="preserve">Data de instalação</x18tc:text>
  </x18tc:threadedComment>
  <x18tc:threadedComment ref="S913" dT="2025-06-09T13:42:09.00" personId="{6c3cfef6-2a2b-4523-b695-882d6eeec17a}" id="{5f638b52-bd02-47f0-b621-6fd448de5e0a}" done="0">
    <x18tc:text xml:space="preserve">Data de instalação</x18tc:text>
  </x18tc:threadedComment>
  <x18tc:threadedComment ref="AC864" dT="2025-06-06T18:27:34.00" personId="{6c3cfef6-2a2b-4523-b695-882d6eeec17a}" id="{09a5ca48-9380-4c15-8167-e38e4bcd08f3}" done="0">
    <x18tc:text xml:space="preserve">Data de instalação</x18tc:text>
  </x18tc:threadedComment>
  <x18tc:threadedComment ref="X79" dT="2025-07-17T16:54:55.00" personId="{6c3cfef6-2a2b-4523-b695-882d6eeec17a}" id="{0cf0a308-4205-4619-914e-823af009c459}" done="0">
    <x18tc:text xml:space="preserve">Data informada pelo Comercial, na planilha "Controle de Prazos de Garantia - Aena"</x18tc:text>
  </x18tc:threadedComment>
  <x18tc:threadedComment ref="AC852" dT="2025-06-06T18:27:34.00" personId="{6c3cfef6-2a2b-4523-b695-882d6eeec17a}" id="{114edef7-d2f6-4007-bc97-18fe40bcd1bf}" done="0">
    <x18tc:text xml:space="preserve">Data de instalação</x18tc:text>
  </x18tc:threadedComment>
  <x18tc:threadedComment ref="S42" dT="2025-05-30T13:32:34.00" personId="{6c3cfef6-2a2b-4523-b695-882d6eeec17a}" id="{07028fbb-f4ec-4efb-8bdc-f656fd824ce5}" done="0">
    <x18tc:text xml:space="preserve">Data de instalação</x18tc:text>
  </x18tc:threadedComment>
  <x18tc:threadedComment ref="S835" dT="2025-06-05T18:08:29.00" personId="{6c3cfef6-2a2b-4523-b695-882d6eeec17a}" id="{60fae634-ac20-4d0e-b2ba-874adbc7ec97}" done="0">
    <x18tc:text xml:space="preserve">Data de instalação</x18tc:text>
  </x18tc:threadedComment>
  <x18tc:threadedComment ref="S352" dT="2025-06-04T13:37:31.00" personId="{6c3cfef6-2a2b-4523-b695-882d6eeec17a}" id="{1e7e76eb-4761-4528-94d5-ab08548d6273}" done="0">
    <x18tc:text xml:space="preserve">Data de instalação</x18tc:text>
  </x18tc:threadedComment>
  <x18tc:threadedComment ref="S1006" dT="2024-11-01T18:44:47.00" personId="{6c3cfef6-2a2b-4523-b695-882d6eeec17a}" id="{f824e280-c17f-417b-b4e2-e6e689f4211e}" done="0">
    <x18tc:text xml:space="preserve">Data do TRD</x18tc:text>
  </x18tc:threadedComment>
  <x18tc:threadedComment ref="S215" dT="2025-01-06T14:21:51.00" personId="{6c3cfef6-2a2b-4523-b695-882d6eeec17a}" id="{a2d78258-9aa1-460a-812e-f0d4f5464caa}" done="0">
    <x18tc:text xml:space="preserve">Data do TRD</x18tc:text>
  </x18tc:threadedComment>
  <x18tc:threadedComment ref="AC868" dT="2025-06-06T18:27:34.00" personId="{6c3cfef6-2a2b-4523-b695-882d6eeec17a}" id="{a424af71-1b00-49c8-ae69-3ed4fd12d925}" done="0">
    <x18tc:text xml:space="preserve">Data de instalação</x18tc:text>
  </x18tc:threadedComment>
  <x18tc:threadedComment ref="S1533" dT="2025-06-09T19:06:46.00" personId="{6c3cfef6-2a2b-4523-b695-882d6eeec17a}" id="{84f9a375-118d-4d32-9e79-a4b1c7b3230b}" done="0">
    <x18tc:text xml:space="preserve">Data de instalação</x18tc:text>
  </x18tc:threadedComment>
  <x18tc:threadedComment ref="S499" dT="2025-06-04T13:37:31.00" personId="{6c3cfef6-2a2b-4523-b695-882d6eeec17a}" id="{c2997220-f018-47ff-b315-ddb51bedab4b}" done="0">
    <x18tc:text xml:space="preserve">Data de instalação</x18tc:text>
  </x18tc:threadedComment>
  <x18tc:threadedComment ref="S1337" dT="2025-06-09T17:38:37.00" personId="{6c3cfef6-2a2b-4523-b695-882d6eeec17a}" id="{c0803f4e-9076-4153-8969-4baa1ac87f70}" done="0">
    <x18tc:text xml:space="preserve">Data de instalação</x18tc:text>
  </x18tc:threadedComment>
  <x18tc:threadedComment ref="S1591" dT="2025-03-18T18:54:47.00" personId="{6c3cfef6-2a2b-4523-b695-882d6eeec17a}" id="{fb928d30-e1a5-4c56-8c37-713fb599ae75}" done="0">
    <x18tc:text xml:space="preserve">Data de instalação</x18tc:text>
  </x18tc:threadedComment>
  <x18tc:threadedComment ref="AC1181" dT="2025-07-03T17:39:15.00" personId="{6c3cfef6-2a2b-4523-b695-882d6eeec17a}" id="{b39e4b06-c05c-43e1-9eb6-3719cdc741a8}" done="0">
    <x18tc:text xml:space="preserve">Data de instalação</x18tc:text>
  </x18tc:threadedComment>
  <x18tc:threadedComment ref="S507" dT="2025-02-05T12:56:49.00" personId="{6c3cfef6-2a2b-4523-b695-882d6eeec17a}" id="{2cef5785-ce7c-4cc6-b8f1-ab9faba928c1}" done="0">
    <x18tc:text xml:space="preserve">Data de Inst.</x18tc:text>
  </x18tc:threadedComment>
  <x18tc:threadedComment ref="S1480" dT="2025-06-09T18:46:23.00" personId="{6c3cfef6-2a2b-4523-b695-882d6eeec17a}" id="{e01c46d4-963f-454c-97ca-0b09ea03b96e}" done="0">
    <x18tc:text xml:space="preserve">Data de instalação</x18tc:text>
  </x18tc:threadedComment>
  <x18tc:threadedComment ref="AC1275" dT="2025-09-25T20:22:43.00" personId="{6c3cfef6-2a2b-4523-b695-882d6eeec17a}" id="{8de306a1-9f26-41b6-b5ab-56ce4b8de9da}" done="0">
    <x18tc:text xml:space="preserve">Data de assinatura do contrato, mencionada no RP</x18tc:text>
  </x18tc:threadedComment>
  <x18tc:threadedComment ref="X1625" dT="2025-06-06T19:15:10.00" personId="{6c3cfef6-2a2b-4523-b695-882d6eeec17a}" id="{7ca9dee6-4772-4a86-be10-c11c7ed925bd}" done="0">
    <x18tc:text xml:space="preserve">Data do 3º Termo Adt</x18tc:text>
  </x18tc:threadedComment>
  <x18tc:threadedComment ref="AC1307" dT="2025-09-25T20:22:43.00" personId="{6c3cfef6-2a2b-4523-b695-882d6eeec17a}" id="{3a08487a-60d7-4079-966a-fa1200d0a67a}" done="0">
    <x18tc:text xml:space="preserve">Data de assinatura do contrato, mencionada no RP</x18tc:text>
  </x18tc:threadedComment>
  <x18tc:threadedComment ref="S1316" dT="2025-03-18T16:20:02.00" personId="{6c3cfef6-2a2b-4523-b695-882d6eeec17a}" id="{efc99fe4-ffec-41c5-8cf8-da49aa638c45}" done="0">
    <x18tc:text xml:space="preserve">Data do TRD</x18tc:text>
  </x18tc:threadedComment>
  <x18tc:threadedComment ref="AJ567" dT="2025-06-04T16:46:32.00" personId="{6c3cfef6-2a2b-4523-b695-882d6eeec17a}" id="{0dcbcc18-f476-4c4e-a590-8a320f55828f}" done="0">
    <x18tc:text xml:space="preserve">Prazos contados para chamados abertos até as 15:00.
Após esse horário, a contagem começa as 06:00 do dia seguinte</x18tc:text>
  </x18tc:threadedComment>
  <x18tc:threadedComment ref="AC1215" dT="2025-07-03T17:39:15.00" personId="{6c3cfef6-2a2b-4523-b695-882d6eeec17a}" id="{5aaf9c9f-318e-4d4c-b53b-87ba9db27d0c}" done="0">
    <x18tc:text xml:space="preserve">Data de instalação</x18tc:text>
  </x18tc:threadedComment>
  <x18tc:threadedComment ref="S335" dT="2025-09-25T17:22:03.00" personId="{6c3cfef6-2a2b-4523-b695-882d6eeec17a}" id="{bb5a3b67-d525-4674-ac8f-77ab2f2df299}" done="0">
    <x18tc:text xml:space="preserve">Data do TRD</x18tc:text>
  </x18tc:threadedComment>
  <x18tc:threadedComment ref="AC1220" dT="2025-09-25T20:22:43.00" personId="{6c3cfef6-2a2b-4523-b695-882d6eeec17a}" id="{a3e91dd5-9eac-41ac-9da7-2e5be9d306ba}" done="0">
    <x18tc:text xml:space="preserve">Data de assinatura do contrato, mencionada no RP</x18tc:text>
  </x18tc:threadedComment>
  <x18tc:threadedComment ref="X1141" dT="2025-06-09T17:21:53.00" personId="{6c3cfef6-2a2b-4523-b695-882d6eeec17a}" id="{df91f309-f09b-4539-9ef1-9414695a04d5}" done="0">
    <x18tc:text xml:space="preserve">Data mencionada no RP</x18tc:text>
  </x18tc:threadedComment>
  <x18tc:threadedComment ref="S19" dT="2025-05-30T13:32:34.00" personId="{6c3cfef6-2a2b-4523-b695-882d6eeec17a}" id="{027eee55-135b-4ace-aa12-c730ace5f7aa}" done="0">
    <x18tc:text xml:space="preserve">Data de instalação</x18tc:text>
  </x18tc:threadedComment>
  <x18tc:threadedComment ref="AC699" dT="2025-06-04T18:43:40.00" personId="{6c3cfef6-2a2b-4523-b695-882d6eeec17a}" id="{9766bd27-7ff5-4a43-9466-bda2716447ed}" done="0">
    <x18tc:text xml:space="preserve">Data de instalação</x18tc:text>
  </x18tc:threadedComment>
  <x18tc:threadedComment ref="S1354" dT="2025-06-09T18:10:30.00" personId="{6c3cfef6-2a2b-4523-b695-882d6eeec17a}" id="{9286a57e-3350-4ff3-b08d-284fa79e8150}" done="0">
    <x18tc:text xml:space="preserve">Data de instalação</x18tc:text>
  </x18tc:threadedComment>
  <x18tc:threadedComment ref="AC560" dT="2025-02-07T13:56:10.00" personId="{6c3cfef6-2a2b-4523-b695-882d6eeec17a}" id="{c1752b65-3c42-4588-b347-a1290b147068}" done="0">
    <x18tc:text xml:space="preserve">Data do 4º Termo Adt</x18tc:text>
  </x18tc:threadedComment>
  <x18tc:threadedComment ref="AC632" dT="2025-02-07T13:56:10.00" personId="{6c3cfef6-2a2b-4523-b695-882d6eeec17a}" id="{2a8d0d19-9715-408a-973d-e2f42eb336ee}" done="0">
    <x18tc:text xml:space="preserve">Data de instalação</x18tc:text>
  </x18tc:threadedComment>
  <x18tc:threadedComment ref="S338" dT="2025-05-30T18:45:10.00" personId="{6c3cfef6-2a2b-4523-b695-882d6eeec17a}" id="{58ebf013-10ad-43ec-a93e-c06aab79b98d}" done="0">
    <x18tc:text xml:space="preserve">Data de instalação</x18tc:text>
  </x18tc:threadedComment>
  <x18tc:threadedComment ref="S1398" dT="2025-03-13T18:46:48.00" personId="{6c3cfef6-2a2b-4523-b695-882d6eeec17a}" id="{28333c13-c72c-46ab-a806-852c9bfb31d4}" done="0">
    <x18tc:text xml:space="preserve">Data do TRD</x18tc:text>
  </x18tc:threadedComment>
  <x18tc:threadedComment ref="S1578" dT="2025-03-18T18:54:47.00" personId="{6c3cfef6-2a2b-4523-b695-882d6eeec17a}" id="{6cfdf5bb-8513-4057-aba1-a99022480702}" done="0">
    <x18tc:text xml:space="preserve">Data de instalação</x18tc:text>
  </x18tc:threadedComment>
  <x18tc:threadedComment ref="S445" dT="2025-02-05T11:22:19.00" personId="{6c3cfef6-2a2b-4523-b695-882d6eeec17a}" id="{93acd107-95bb-468d-b494-063e2b107c8b}" done="0">
    <x18tc:text xml:space="preserve">Data do TRD</x18tc:text>
  </x18tc:threadedComment>
  <x18tc:threadedComment ref="S1388" dT="2025-06-09T18:10:30.00" personId="{6c3cfef6-2a2b-4523-b695-882d6eeec17a}" id="{b5bcd278-f5a8-46ae-9615-bfe4fdf2739a}" done="0">
    <x18tc:text xml:space="preserve">Data de instalação</x18tc:text>
  </x18tc:threadedComment>
  <x18tc:threadedComment ref="S924" dT="2025-07-10T13:08:57.00" personId="{6c3cfef6-2a2b-4523-b695-882d6eeec17a}" id="{dd59b7e5-5239-4650-be22-386583259896}" done="0">
    <x18tc:text xml:space="preserve">Data do TRD</x18tc:text>
  </x18tc:threadedComment>
  <x18tc:threadedComment ref="S298" dT="2025-05-30T18:33:18.00" personId="{6c3cfef6-2a2b-4523-b695-882d6eeec17a}" id="{031ff944-45fc-46bf-84f7-9e8b06d83384}" done="0">
    <x18tc:text xml:space="preserve">Data de instalação</x18tc:text>
  </x18tc:threadedComment>
  <x18tc:threadedComment ref="S271" dT="2025-05-30T18:33:18.00" personId="{6c3cfef6-2a2b-4523-b695-882d6eeec17a}" id="{ed783d93-4c0c-443f-8ba8-663ed2de19b5}" done="0">
    <x18tc:text xml:space="preserve">Data de instalação</x18tc:text>
  </x18tc:threadedComment>
  <x18tc:threadedComment ref="S923" dT="2025-07-10T13:08:57.00" personId="{6c3cfef6-2a2b-4523-b695-882d6eeec17a}" id="{31bf6c3f-910d-4e3f-b00e-56cce856c0e6}" done="0">
    <x18tc:text xml:space="preserve">Data do TRD</x18tc:text>
  </x18tc:threadedComment>
  <x18tc:threadedComment ref="S97" dT="2025-05-30T13:32:34.00" personId="{6c3cfef6-2a2b-4523-b695-882d6eeec17a}" id="{26931f7d-9d47-4f8d-ae59-9bb13d39a5be}" done="0">
    <x18tc:text xml:space="preserve">Data de instalação</x18tc:text>
  </x18tc:threadedComment>
  <x18tc:threadedComment ref="S902" dT="2025-06-06T19:01:59.00" personId="{6c3cfef6-2a2b-4523-b695-882d6eeec17a}" id="{9584ac7b-ecac-4681-a110-d5148dc94f22}" done="0">
    <x18tc:text xml:space="preserve">Data de instalação</x18tc:text>
  </x18tc:threadedComment>
  <x18tc:threadedComment ref="AC869" dT="2025-06-06T18:27:34.00" personId="{6c3cfef6-2a2b-4523-b695-882d6eeec17a}" id="{1494b1af-2671-44c6-8bdb-f8d36ad0f9a1}" done="0">
    <x18tc:text xml:space="preserve">Data de instalação</x18tc:text>
  </x18tc:threadedComment>
  <x18tc:threadedComment ref="S830" dT="2025-06-05T18:08:29.00" personId="{6c3cfef6-2a2b-4523-b695-882d6eeec17a}" id="{45e2ebfc-327b-4e56-acfd-ff0ac34f67b0}" done="0">
    <x18tc:text xml:space="preserve">Data de instalação</x18tc:text>
  </x18tc:threadedComment>
  <x18tc:threadedComment ref="S93" dT="2025-05-30T13:32:34.00" personId="{6c3cfef6-2a2b-4523-b695-882d6eeec17a}" id="{00c0a1cc-47d1-442f-baa0-71bbc9c58c43}" done="0">
    <x18tc:text xml:space="preserve">Data de instalação</x18tc:text>
  </x18tc:threadedComment>
  <x18tc:threadedComment ref="S993" dT="2024-11-01T18:44:47.00" personId="{6c3cfef6-2a2b-4523-b695-882d6eeec17a}" id="{21ad093f-984c-4e81-bee3-846e1cdd3556}" done="0">
    <x18tc:text xml:space="preserve">Data do TRD</x18tc:text>
  </x18tc:threadedComment>
  <x18tc:threadedComment ref="X1146" dT="2025-06-09T17:21:53.00" personId="{6c3cfef6-2a2b-4523-b695-882d6eeec17a}" id="{af149a4a-6065-4438-9709-c0d6ffa8202f}" done="0">
    <x18tc:text xml:space="preserve">Data mencionada no RP</x18tc:text>
  </x18tc:threadedComment>
  <x18tc:threadedComment ref="S87" dT="2025-05-30T13:32:34.00" personId="{6c3cfef6-2a2b-4523-b695-882d6eeec17a}" id="{b22fc52f-9885-4347-a6af-f6ad877782b5}" done="0">
    <x18tc:text xml:space="preserve">Data de instalação</x18tc:text>
  </x18tc:threadedComment>
  <x18tc:threadedComment ref="X330" dT="2025-09-25T17:14:58.00" personId="{6c3cfef6-2a2b-4523-b695-882d6eeec17a}" id="{8954222c-2315-46df-8017-fd03bd58ae94}" done="0">
    <x18tc:text xml:space="preserve">Data informada no RP</x18tc:text>
  </x18tc:threadedComment>
  <x18tc:threadedComment ref="S825" dT="2025-06-05T18:05:22.00" personId="{6c3cfef6-2a2b-4523-b695-882d6eeec17a}" id="{c7ba8377-ffe2-4ac1-b113-af6d0ffc8599}" done="0">
    <x18tc:text xml:space="preserve">Data de instalação</x18tc:text>
  </x18tc:threadedComment>
  <x18tc:threadedComment ref="S1466" dT="2025-06-09T18:46:23.00" personId="{6c3cfef6-2a2b-4523-b695-882d6eeec17a}" id="{8a4eef5b-9ed4-42ac-a735-5d3a602c5bd0}" done="0">
    <x18tc:text xml:space="preserve">Data de instalação</x18tc:text>
  </x18tc:threadedComment>
  <x18tc:threadedComment ref="S418" dT="2025-02-05T11:22:19.00" personId="{6c3cfef6-2a2b-4523-b695-882d6eeec17a}" id="{eb1a52c5-6934-4fde-9baf-ee22cc8259a6}" done="0">
    <x18tc:text xml:space="preserve">Data do TRD</x18tc:text>
  </x18tc:threadedComment>
  <x18tc:threadedComment ref="S317" dT="2025-05-30T18:45:10.00" personId="{6c3cfef6-2a2b-4523-b695-882d6eeec17a}" id="{c10121b4-1560-4076-afe6-9b1c5852af19}" done="0">
    <x18tc:text xml:space="preserve">Data de instalação</x18tc:text>
  </x18tc:threadedComment>
  <x18tc:threadedComment ref="X90" dT="2025-07-17T17:41:08.00" personId="{6c3cfef6-2a2b-4523-b695-882d6eeec17a}" id="{cc5d8cd0-d88b-42bd-a095-0e2e3be448f1}" done="0">
    <x18tc:text xml:space="preserve">Data informada pelo Comercial, na planilha "Controle de Prazos de Garantia - Aena"</x18tc:text>
  </x18tc:threadedComment>
  <x18tc:threadedComment ref="S1522" dT="2025-03-19T12:32:47.00" personId="{6c3cfef6-2a2b-4523-b695-882d6eeec17a}" id="{7754a8af-e97b-4cc4-9fee-bb5f2e9638c5}" done="0">
    <x18tc:text xml:space="preserve">Data do TRD</x18tc:text>
  </x18tc:threadedComment>
  <x18tc:threadedComment ref="S960" dT="2024-11-01T18:44:47.00" personId="{6c3cfef6-2a2b-4523-b695-882d6eeec17a}" id="{aedf72e2-4ec5-4a71-9c1a-25f30b33b884}" done="0">
    <x18tc:text xml:space="preserve">Data do TRD</x18tc:text>
  </x18tc:threadedComment>
  <x18tc:threadedComment ref="AJ564" dT="2025-06-04T16:46:32.00" personId="{6c3cfef6-2a2b-4523-b695-882d6eeec17a}" id="{15b0a2bf-697e-4f21-bddc-70f64b1a2cd2}" done="0">
    <x18tc:text xml:space="preserve">Prazos contados para chamados abertos até as 15:00.
Após esse horário, a contagem começa as 06:00 do dia seguinte</x18tc:text>
  </x18tc:threadedComment>
  <x18tc:threadedComment ref="S547" dT="2025-06-04T13:37:31.00" personId="{6c3cfef6-2a2b-4523-b695-882d6eeec17a}" id="{13487ae9-b6ed-4cd1-af8a-0abef63f5e69}" done="0">
    <x18tc:text xml:space="preserve">Data de instalação</x18tc:text>
  </x18tc:threadedComment>
  <x18tc:threadedComment ref="S1503" dT="2025-06-09T19:06:46.00" personId="{6c3cfef6-2a2b-4523-b695-882d6eeec17a}" id="{bbe4d24f-629a-426c-9851-b22e0df6bda1}" done="0">
    <x18tc:text xml:space="preserve">Data de instalação</x18tc:text>
  </x18tc:threadedComment>
  <x18tc:threadedComment ref="S401" dT="2025-06-04T13:37:31.00" personId="{6c3cfef6-2a2b-4523-b695-882d6eeec17a}" id="{9b9a7499-9383-46a6-b8e0-6b525ce975f6}" done="0">
    <x18tc:text xml:space="preserve">Data de instalação</x18tc:text>
  </x18tc:threadedComment>
  <x18tc:threadedComment ref="S359" dT="2025-06-04T13:37:31.00" personId="{6c3cfef6-2a2b-4523-b695-882d6eeec17a}" id="{c0110dc1-e6b6-4cdf-aa7f-4f97ce593957}" done="0">
    <x18tc:text xml:space="preserve">Data de instalação</x18tc:text>
  </x18tc:threadedComment>
  <x18tc:threadedComment ref="AC722" dT="2025-06-04T18:43:40.00" personId="{6c3cfef6-2a2b-4523-b695-882d6eeec17a}" id="{6790401a-224a-47a7-9c03-64da5ab839f0}" done="0">
    <x18tc:text xml:space="preserve">Data de instalação</x18tc:text>
  </x18tc:threadedComment>
  <x18tc:threadedComment ref="S371" dT="2025-06-04T13:37:31.00" personId="{6c3cfef6-2a2b-4523-b695-882d6eeec17a}" id="{423a811b-edb2-45b4-9ffd-2900124b986f}" done="0">
    <x18tc:text xml:space="preserve">Data de instalação</x18tc:text>
  </x18tc:threadedComment>
  <x18tc:threadedComment ref="X1410" dT="2025-06-09T18:31:42.00" personId="{6c3cfef6-2a2b-4523-b695-882d6eeec17a}" id="{a603ffe6-0fb2-4e3f-b97f-5fc77fb014b1}" done="0">
    <x18tc:text xml:space="preserve">Data mencionada no RP</x18tc:text>
  </x18tc:threadedComment>
  <x18tc:threadedComment ref="X1115" dT="2025-06-09T17:19:07.00" personId="{6c3cfef6-2a2b-4523-b695-882d6eeec17a}" id="{54e618e5-0efd-47f2-b026-e77363d35da8}" done="0">
    <x18tc:text xml:space="preserve">Data da Renovação Contratual</x18tc:text>
  </x18tc:threadedComment>
  <x18tc:threadedComment ref="S295" dT="2025-05-30T18:33:18.00" personId="{6c3cfef6-2a2b-4523-b695-882d6eeec17a}" id="{97b4eaff-3a7d-44ed-ad71-08453541583e}" done="0">
    <x18tc:text xml:space="preserve">Data de instalação</x18tc:text>
  </x18tc:threadedComment>
  <x18tc:threadedComment ref="AC676" dT="2025-06-04T18:43:40.00" personId="{6c3cfef6-2a2b-4523-b695-882d6eeec17a}" id="{114aee5e-85da-4ce3-8e78-940c80d436ff}" done="0">
    <x18tc:text xml:space="preserve">Data de instalação</x18tc:text>
  </x18tc:threadedComment>
  <x18tc:threadedComment ref="AC1330" dT="2025-06-09T17:35:03.00" personId="{6c3cfef6-2a2b-4523-b695-882d6eeec17a}" id="{1ed3a8fb-edb6-4240-b8f9-ecf4297df561}" done="0">
    <x18tc:text xml:space="preserve">Data do 5º Temo Adt</x18tc:text>
  </x18tc:threadedComment>
  <x18tc:threadedComment ref="AC1291" dT="2024-11-07T14:41:02.00" personId="{6c3cfef6-2a2b-4523-b695-882d6eeec17a}" id="{9ee1ec72-a693-4d5c-b7ae-36543191547a}" done="0">
    <x18tc:text xml:space="preserve">Data simbólica informada pelo Cláudio</x18tc:text>
  </x18tc:threadedComment>
  <x18tc:threadedComment ref="S1416" dT="2025-06-09T18:34:21.00" personId="{6c3cfef6-2a2b-4523-b695-882d6eeec17a}" id="{3a75203e-97e1-44b9-b17e-dcd84689f89f}" done="0">
    <x18tc:text xml:space="preserve">Data de instalação</x18tc:text>
  </x18tc:threadedComment>
  <x18tc:threadedComment ref="S395" dT="2025-06-04T13:37:31.00" personId="{6c3cfef6-2a2b-4523-b695-882d6eeec17a}" id="{2b3187dc-8739-4c01-80da-e73427569b91}" done="0">
    <x18tc:text xml:space="preserve">Data de instalação</x18tc:text>
  </x18tc:threadedComment>
  <x18tc:threadedComment ref="X95" dT="2025-05-30T13:32:34.00" personId="{6c3cfef6-2a2b-4523-b695-882d6eeec17a}" id="{e5e4fbd1-210e-4a4a-ac4c-5aeb25c1b6f0}" done="0">
    <x18tc:text xml:space="preserve">Data de instalação</x18tc:text>
  </x18tc:threadedComment>
  <x18tc:threadedComment ref="AC651" dT="2025-02-07T13:56:10.00" personId="{6c3cfef6-2a2b-4523-b695-882d6eeec17a}" id="{08938472-4c21-44d5-824d-700cf73a1db1}" done="0">
    <x18tc:text xml:space="preserve">Data de instalação</x18tc:text>
  </x18tc:threadedComment>
  <x18tc:threadedComment ref="S1429" dT="2024-11-01T19:16:18.00" personId="{6c3cfef6-2a2b-4523-b695-882d6eeec17a}" id="{a48699ca-fccd-4af9-8a07-df751386873f}" done="0">
    <x18tc:text xml:space="preserve">Data do TRD</x18tc:text>
  </x18tc:threadedComment>
  <x18tc:threadedComment ref="AC1539" dT="2025-06-09T19:06:46.00" personId="{6c3cfef6-2a2b-4523-b695-882d6eeec17a}" id="{59d65cdc-a1f6-4741-b1b5-0554535f6722}" done="0">
    <x18tc:text xml:space="preserve">Data de instalação</x18tc:text>
  </x18tc:threadedComment>
  <x18tc:threadedComment ref="AC1188" dT="2025-09-25T20:22:43.00" personId="{6c3cfef6-2a2b-4523-b695-882d6eeec17a}" id="{41bfd6e0-4b9b-483c-9ec3-78f1ad45578d}" done="0">
    <x18tc:text xml:space="preserve">Data de assinatura do contrato, mencionada no RP</x18tc:text>
  </x18tc:threadedComment>
  <x18tc:threadedComment ref="S44" dT="2025-05-30T13:32:34.00" personId="{6c3cfef6-2a2b-4523-b695-882d6eeec17a}" id="{b8c0404a-5135-4cf9-ae21-4e51c60b6eaf}" done="0">
    <x18tc:text xml:space="preserve">Data de instalação</x18tc:text>
  </x18tc:threadedComment>
  <x18tc:threadedComment ref="S800" dT="2025-06-04T19:04:19.00" personId="{6c3cfef6-2a2b-4523-b695-882d6eeec17a}" id="{9c0ccdfe-10f6-4d2e-a3ac-68f4b54e4d17}" done="0">
    <x18tc:text xml:space="preserve">Data de instalação</x18tc:text>
  </x18tc:threadedComment>
  <x18tc:threadedComment ref="S845" dT="2025-06-05T18:08:29.00" personId="{6c3cfef6-2a2b-4523-b695-882d6eeec17a}" id="{466ff46b-bea5-4d86-b5c4-a0e14225a913}" done="0">
    <x18tc:text xml:space="preserve">Data de instalação</x18tc:text>
  </x18tc:threadedComment>
  <x18tc:threadedComment ref="AC206" dT="2025-05-30T14:46:23.00" personId="{6c3cfef6-2a2b-4523-b695-882d6eeec17a}" id="{93eaf721-f6b1-44c4-b704-716cf3014523}" done="0">
    <x18tc:text xml:space="preserve">Data de instalação</x18tc:text>
  </x18tc:threadedComment>
  <x18tc:threadedComment ref="S307" dT="2025-05-30T18:33:18.00" personId="{6c3cfef6-2a2b-4523-b695-882d6eeec17a}" id="{1f24a14b-2bd6-4dec-89ae-61f709b02a78}" done="0">
    <x18tc:text xml:space="preserve">Data de instalação</x18tc:text>
  </x18tc:threadedComment>
  <x18tc:threadedComment ref="AC618" dT="2025-02-07T13:56:10.00" personId="{6c3cfef6-2a2b-4523-b695-882d6eeec17a}" id="{645a1001-f35c-44ad-b548-4c32f2dd0fb2}" done="0">
    <x18tc:text xml:space="preserve">Data de instalação</x18tc:text>
  </x18tc:threadedComment>
  <x18tc:threadedComment ref="S941" dT="2024-11-01T18:44:47.00" personId="{6c3cfef6-2a2b-4523-b695-882d6eeec17a}" id="{dd536f44-34f0-4616-9ef2-c35caaa45c99}" done="0">
    <x18tc:text xml:space="preserve">Data do TRD</x18tc:text>
  </x18tc:threadedComment>
  <x18tc:threadedComment ref="S1057" dT="2025-06-09T17:02:24.00" personId="{6c3cfef6-2a2b-4523-b695-882d6eeec17a}" id="{f6761520-b359-4db7-9ec4-f4539d6032d2}" done="0">
    <x18tc:text xml:space="preserve">Data de instalação</x18tc:text>
  </x18tc:threadedComment>
  <x18tc:threadedComment ref="S1500" dT="2025-06-09T18:46:23.00" personId="{6c3cfef6-2a2b-4523-b695-882d6eeec17a}" id="{8998cb08-cfeb-4190-9707-413105d35dec}" done="0">
    <x18tc:text xml:space="preserve">Data de instalação</x18tc:text>
  </x18tc:threadedComment>
  <x18tc:threadedComment ref="S1569" dT="2025-03-18T18:54:47.00" personId="{6c3cfef6-2a2b-4523-b695-882d6eeec17a}" id="{193b4efb-51d5-436c-a8e2-faca481a5bf3}" done="0">
    <x18tc:text xml:space="preserve">Data de instalação</x18tc:text>
  </x18tc:threadedComment>
  <x18tc:threadedComment ref="X871" dT="2025-06-06T18:21:21.00" personId="{6c3cfef6-2a2b-4523-b695-882d6eeec17a}" id="{a2243d0d-121f-4b34-999b-f336ac127fc6}" done="0">
    <x18tc:text xml:space="preserve">Data do Termo Adt</x18tc:text>
  </x18tc:threadedComment>
  <x18tc:threadedComment ref="S472" dT="2024-11-05T17:51:32.00" personId="{6c3cfef6-2a2b-4523-b695-882d6eeec17a}" id="{fba1ec5c-a4be-4d74-8dcc-ac747b72b782}" done="0">
    <x18tc:text xml:space="preserve">Data de inst.</x18tc:text>
  </x18tc:threadedComment>
  <x18tc:threadedComment ref="AC549" dT="2025-02-07T13:56:10.00" personId="{6c3cfef6-2a2b-4523-b695-882d6eeec17a}" id="{8d73d377-dec3-4df4-ad98-a2577b482d65}" done="0">
    <x18tc:text xml:space="preserve">Data do 4º Termo Adt</x18tc:text>
  </x18tc:threadedComment>
  <x18tc:threadedComment ref="S72" dT="2025-05-30T13:32:34.00" personId="{6c3cfef6-2a2b-4523-b695-882d6eeec17a}" id="{128c6ea2-5990-4ea2-94a3-b2abde0fae8f}" done="0">
    <x18tc:text xml:space="preserve">Data de instalação</x18tc:text>
  </x18tc:threadedComment>
  <x18tc:threadedComment ref="AC567" dT="2025-02-07T13:56:10.00" personId="{6c3cfef6-2a2b-4523-b695-882d6eeec17a}" id="{34bd84ca-9d75-4e99-a780-6a0128bfa2c4}" done="0">
    <x18tc:text xml:space="preserve">Data do 4º Termo Adt</x18tc:text>
  </x18tc:threadedComment>
  <x18tc:threadedComment ref="AC562" dT="2025-02-07T13:56:10.00" personId="{6c3cfef6-2a2b-4523-b695-882d6eeec17a}" id="{41c8c8d1-0b0f-4932-bb94-07847aa1ed31}" done="0">
    <x18tc:text xml:space="preserve">Data do 4º Termo Adt</x18tc:text>
  </x18tc:threadedComment>
  <x18tc:threadedComment ref="S452" dT="2025-02-05T11:22:19.00" personId="{6c3cfef6-2a2b-4523-b695-882d6eeec17a}" id="{ac89eea0-df92-405a-8e2d-5f41aedf994e}" done="0">
    <x18tc:text xml:space="preserve">Data do TRD</x18tc:text>
  </x18tc:threadedComment>
  <x18tc:threadedComment ref="S172" dT="2025-05-30T14:31:17.00" personId="{6c3cfef6-2a2b-4523-b695-882d6eeec17a}" id="{0bb5c7d1-4671-40d3-bae3-5374efc33033}" done="0">
    <x18tc:text xml:space="preserve">Data de instalação</x18tc:text>
  </x18tc:threadedComment>
  <x18tc:threadedComment ref="AC189" dT="2025-05-30T14:43:21.00" personId="{6c3cfef6-2a2b-4523-b695-882d6eeec17a}" id="{d176d658-76fc-45e5-99fd-c470dd9a180c}" done="0">
    <x18tc:text xml:space="preserve">Data 2º Adt</x18tc:text>
  </x18tc:threadedComment>
  <x18tc:threadedComment ref="X55" dT="2025-07-17T16:57:11.00" personId="{6c3cfef6-2a2b-4523-b695-882d6eeec17a}" id="{8b1e0608-7e3b-4807-9d7e-f36eb5fa43be}" done="0">
    <x18tc:text xml:space="preserve">Data informada pelo Comercial, na planilha "Controle de Prazos de Garantia - Aena"</x18tc:text>
  </x18tc:threadedComment>
  <x18tc:threadedComment ref="X67" dT="2025-07-17T16:57:11.00" personId="{6c3cfef6-2a2b-4523-b695-882d6eeec17a}" id="{f5cf2cbc-85c9-48d9-8526-37e4d216fbdd}" done="0">
    <x18tc:text xml:space="preserve">Data informada pelo Comercial, na planilha "Controle de Prazos de Garantia - Aena"</x18tc:text>
  </x18tc:threadedComment>
  <x18tc:threadedComment ref="S496" dT="2025-02-05T11:22:19.00" personId="{6c3cfef6-2a2b-4523-b695-882d6eeec17a}" id="{fff0aeb8-6212-4fd7-a473-bd204cac0049}" done="0">
    <x18tc:text xml:space="preserve">Data do TRD</x18tc:text>
  </x18tc:threadedComment>
  <x18tc:threadedComment ref="AC208" dT="2025-05-30T14:46:23.00" personId="{6c3cfef6-2a2b-4523-b695-882d6eeec17a}" id="{19b96d1e-1c9d-464b-b634-c402c27ec7a6}" done="0">
    <x18tc:text xml:space="preserve">Data de instalação</x18tc:text>
  </x18tc:threadedComment>
  <x18tc:threadedComment ref="S827" dT="2025-06-05T18:08:29.00" personId="{6c3cfef6-2a2b-4523-b695-882d6eeec17a}" id="{79e6f0bd-d930-4564-8f85-edf55057a4d5}" done="0">
    <x18tc:text xml:space="preserve">Data de instalação</x18tc:text>
  </x18tc:threadedComment>
  <x18tc:threadedComment ref="S1425" dT="2024-11-05T14:01:53.00" personId="{6c3cfef6-2a2b-4523-b695-882d6eeec17a}" id="{50bc6732-16fd-435e-8a1f-2006ce0b6bdb}" done="0">
    <x18tc:text xml:space="preserve">Data do TRD</x18tc:text>
  </x18tc:threadedComment>
  <x18tc:threadedComment ref="AC642" dT="2025-02-07T13:56:10.00" personId="{6c3cfef6-2a2b-4523-b695-882d6eeec17a}" id="{1b2f63ab-a928-40c6-88e3-f57b3c287f8d}" done="0">
    <x18tc:text xml:space="preserve">Data de instalação</x18tc:text>
  </x18tc:threadedComment>
  <x18tc:threadedComment ref="AC1324" dT="2025-06-09T17:35:03.00" personId="{6c3cfef6-2a2b-4523-b695-882d6eeec17a}" id="{97243796-ff5c-43d8-9270-d1c89779d580}" done="0">
    <x18tc:text xml:space="preserve">Data do 5º Temo Adt</x18tc:text>
  </x18tc:threadedComment>
  <x18tc:threadedComment ref="S1039" dT="2025-06-09T16:53:12.00" personId="{6c3cfef6-2a2b-4523-b695-882d6eeec17a}" id="{22a97f48-a2f7-445c-ba2e-57cb5a87c8b3}" done="0">
    <x18tc:text xml:space="preserve">Data da planilha de planejamento</x18tc:text>
  </x18tc:threadedComment>
  <x18tc:threadedComment ref="AC1224" dT="2024-11-07T14:41:02.00" personId="{6c3cfef6-2a2b-4523-b695-882d6eeec17a}" id="{cac226ad-8669-4062-8f03-c93637119e2e}" done="0">
    <x18tc:text xml:space="preserve">Data simbólica informada pelo Cláudio</x18tc:text>
  </x18tc:threadedComment>
  <x18tc:threadedComment ref="S1463" dT="2025-06-09T18:46:23.00" personId="{6c3cfef6-2a2b-4523-b695-882d6eeec17a}" id="{a9aa683e-3d0e-43c7-ab54-b47249ab3a36}" done="0">
    <x18tc:text xml:space="preserve">Data de instalação</x18tc:text>
  </x18tc:threadedComment>
  <x18tc:threadedComment ref="S512" dT="2024-11-05T17:51:32.00" personId="{6c3cfef6-2a2b-4523-b695-882d6eeec17a}" id="{11ddbec7-838d-4db9-99ce-96fe4669580e}" done="0">
    <x18tc:text xml:space="preserve">Data de inst.</x18tc:text>
  </x18tc:threadedComment>
  <x18tc:threadedComment ref="AL804" dT="2025-12-12T12:15:46.00" personId="{23b4e6d8-a4cf-4525-853e-41d120ba6289}" id="{79b99346-7d13-4e84-aec1-8b45bf6f7182}" done="0">
    <x18tc:text xml:space="preserve">Atendimento Preventivo e Corretivo
Envio de proposta caso necessário a substituição de peças.</x18tc:text>
  </x18tc:threadedComment>
  <x18tc:threadedComment ref="M1143" dT="2025-05-30T13:19:35.00" personId="{6c3cfef6-2a2b-4523-b695-882d6eeec17a}" id="{68c8d855-4625-482d-a5e0-9dd69ec61cd9}" done="0">
    <x18tc:text xml:space="preserve">Não localizada data de inst. - Inserida data simbólica</x18tc:text>
  </x18tc:threadedComment>
  <x18tc:threadedComment ref="S1523" dT="2025-06-09T19:06:46.00" personId="{6c3cfef6-2a2b-4523-b695-882d6eeec17a}" id="{90f004d2-d8a2-4109-a5c6-cfaa39f2f618}" done="0">
    <x18tc:text xml:space="preserve">Data de instalação</x18tc:text>
  </x18tc:threadedComment>
  <x18tc:threadedComment ref="X1137" dT="2025-06-09T17:19:07.00" personId="{6c3cfef6-2a2b-4523-b695-882d6eeec17a}" id="{65b4033b-70b6-4e1d-8cdc-f57b6235eef5}" done="0">
    <x18tc:text xml:space="preserve">Data da Renovação Contratual</x18tc:text>
  </x18tc:threadedComment>
  <x18tc:threadedComment ref="AC866" dT="2025-06-06T18:27:34.00" personId="{6c3cfef6-2a2b-4523-b695-882d6eeec17a}" id="{a846d64d-2f67-42e0-ab62-e825ddb07313}" done="0">
    <x18tc:text xml:space="preserve">Data de instalação</x18tc:text>
  </x18tc:threadedComment>
  <x18tc:threadedComment ref="X22" dT="2025-07-17T17:43:09.00" personId="{6c3cfef6-2a2b-4523-b695-882d6eeec17a}" id="{9794745c-8566-43c4-9d59-93f31367699f}" done="0">
    <x18tc:text xml:space="preserve">Data informada pelo Comercial, na planilha "Controle de Prazos de Garantia - Aena"</x18tc:text>
  </x18tc:threadedComment>
  <x18tc:threadedComment ref="S979" dT="2024-11-01T18:44:47.00" personId="{6c3cfef6-2a2b-4523-b695-882d6eeec17a}" id="{f34ec27c-c148-4f70-99a7-3626ea4ccea2}" done="0">
    <x18tc:text xml:space="preserve">Data do TRD</x18tc:text>
  </x18tc:threadedComment>
  <x18tc:threadedComment ref="AC1376" dT="2025-06-09T18:05:52.00" personId="{6c3cfef6-2a2b-4523-b695-882d6eeec17a}" id="{2162d20c-030c-4682-8241-7410000a2e3e}" done="0">
    <x18tc:text xml:space="preserve">Data do 1º Termo Adt</x18tc:text>
  </x18tc:threadedComment>
  <x18tc:threadedComment ref="AC186" dT="2025-05-30T14:43:21.00" personId="{6c3cfef6-2a2b-4523-b695-882d6eeec17a}" id="{58b85491-d7f6-416a-b582-8ddf15b38de9}" done="0">
    <x18tc:text xml:space="preserve">Data 2º Adt</x18tc:text>
  </x18tc:threadedComment>
  <x18tc:threadedComment ref="S809" dT="2025-06-04T19:04:19.00" personId="{6c3cfef6-2a2b-4523-b695-882d6eeec17a}" id="{f7726f56-9aa7-4a35-9902-44fb99c7979b}" done="0">
    <x18tc:text xml:space="preserve">Data de instalação</x18tc:text>
  </x18tc:threadedComment>
  <x18tc:threadedComment ref="AC665" dT="2025-06-04T18:43:40.00" personId="{6c3cfef6-2a2b-4523-b695-882d6eeec17a}" id="{f28f458a-95cf-40fb-b883-f79866073913}" done="0">
    <x18tc:text xml:space="preserve">Data de instalação</x18tc:text>
  </x18tc:threadedComment>
  <x18tc:threadedComment ref="AC929" dT="2025-03-11T14:50:45.00" personId="{6c3cfef6-2a2b-4523-b695-882d6eeec17a}" id="{f7487702-acb7-43c6-9fd9-e17172e70d05}" done="0">
    <x18tc:text xml:space="preserve">Data de assinatura do contrato</x18tc:text>
  </x18tc:threadedComment>
  <x18tc:threadedComment ref="Y220" dT="2026-01-26T16:12:42.00" personId="{4e097ff1-c505-472d-97fd-5bdf359cdc69}" id="{4c000c67-4c37-4ddd-94ca-50b064854a90}" done="0">
    <x18tc:text xml:space="preserve">Antes de solicitar peças pra essa máquina, é preciso que o técnico realize a OS, em seguida enviar para o comercial, e após a aprovação do cliente seguir com a compra.</x18tc:text>
  </x18tc:threadedComment>
  <x18tc:threadedComment ref="S1369" dT="2025-06-09T18:10:30.00" personId="{6c3cfef6-2a2b-4523-b695-882d6eeec17a}" id="{224a8513-fcbd-49af-8c2b-075b03110e61}" done="0">
    <x18tc:text xml:space="preserve">Data de instalação</x18tc:text>
  </x18tc:threadedComment>
  <x18tc:threadedComment ref="S51" dT="2025-05-30T13:32:34.00" personId="{6c3cfef6-2a2b-4523-b695-882d6eeec17a}" id="{e13411a6-a0ad-4fe6-8cdf-6e0e43d3cb0c}" done="0">
    <x18tc:text xml:space="preserve">Data de instalação</x18tc:text>
  </x18tc:threadedComment>
  <x18tc:threadedComment ref="S1481" dT="2025-06-09T18:46:23.00" personId="{6c3cfef6-2a2b-4523-b695-882d6eeec17a}" id="{72ce96be-a7a5-47e9-8162-0cf11d3ee534}" done="0">
    <x18tc:text xml:space="preserve">Data de instalação</x18tc:text>
  </x18tc:threadedComment>
  <x18tc:threadedComment ref="AC667" dT="2025-06-04T18:43:40.00" personId="{6c3cfef6-2a2b-4523-b695-882d6eeec17a}" id="{f776115f-70da-4874-9d1e-c676f7e0dc2d}" done="0">
    <x18tc:text xml:space="preserve">Data de instalação</x18tc:text>
  </x18tc:threadedComment>
  <x18tc:threadedComment ref="AC1222" dT="2025-09-25T20:22:43.00" personId="{6c3cfef6-2a2b-4523-b695-882d6eeec17a}" id="{b78d6520-0806-4a6a-a573-d9d4336f3a5c}" done="0">
    <x18tc:text xml:space="preserve">Data de assinatura do contrato, mencionada no RP</x18tc:text>
  </x18tc:threadedComment>
  <x18tc:threadedComment ref="S263" dT="2025-05-30T14:46:23.00" personId="{6c3cfef6-2a2b-4523-b695-882d6eeec17a}" id="{919161d9-2a3e-4835-bfc1-ac1b50a6b2e1}" done="0">
    <x18tc:text xml:space="preserve">Data de instalação</x18tc:text>
  </x18tc:threadedComment>
  <x18tc:threadedComment ref="S1434" dT="2024-11-05T19:36:25.00" personId="{6c3cfef6-2a2b-4523-b695-882d6eeec17a}" id="{62fa06e5-8b02-4d87-a447-813743b47617}" done="0">
    <x18tc:text xml:space="preserve">Data do TRD</x18tc:text>
  </x18tc:threadedComment>
  <x18tc:threadedComment ref="S373" dT="2025-06-04T13:37:31.00" personId="{6c3cfef6-2a2b-4523-b695-882d6eeec17a}" id="{7d8eb5f3-743a-4711-b36d-94070a835285}" done="0">
    <x18tc:text xml:space="preserve">Data de instalação</x18tc:text>
  </x18tc:threadedComment>
  <x18tc:threadedComment ref="X74" dT="2025-05-30T13:32:34.00" personId="{6c3cfef6-2a2b-4523-b695-882d6eeec17a}" id="{f2e79dee-d0e6-48c5-979b-ae2a4f540ab8}" done="0">
    <x18tc:text xml:space="preserve">Data informada pelo Comercial, na planilha "Controle de Prazos de Garantia - Aena"</x18tc:text>
  </x18tc:threadedComment>
  <x18tc:threadedComment ref="AC695" dT="2025-06-04T18:43:40.00" personId="{6c3cfef6-2a2b-4523-b695-882d6eeec17a}" id="{b9671d15-88b0-4479-915b-8ed5feab0d8f}" done="0">
    <x18tc:text xml:space="preserve">Data de instalação</x18tc:text>
  </x18tc:threadedComment>
  <x18tc:threadedComment ref="S1600" dT="2025-03-18T18:54:47.00" personId="{6c3cfef6-2a2b-4523-b695-882d6eeec17a}" id="{ebe5e06f-6e21-432b-a76a-d3bad955564f}" done="0">
    <x18tc:text xml:space="preserve">Data de instalação</x18tc:text>
  </x18tc:threadedComment>
  <x18tc:threadedComment ref="S305" dT="2025-05-30T18:45:10.00" personId="{6c3cfef6-2a2b-4523-b695-882d6eeec17a}" id="{5155df50-5a42-4eb9-b9a6-03f8b36561b2}" done="0">
    <x18tc:text xml:space="preserve">Data de instalação</x18tc:text>
  </x18tc:threadedComment>
  <x18tc:threadedComment ref="AC1202" dT="2025-09-25T20:22:43.00" personId="{6c3cfef6-2a2b-4523-b695-882d6eeec17a}" id="{4145e1db-7ad2-4b57-9b76-02982ae99d0f}" done="0">
    <x18tc:text xml:space="preserve">Data de assinatura do contrato, mencionada no RP</x18tc:text>
  </x18tc:threadedComment>
  <x18tc:threadedComment ref="AC1263" dT="2025-09-25T20:22:43.00" personId="{6c3cfef6-2a2b-4523-b695-882d6eeec17a}" id="{56a815f0-5dd6-4917-8a03-808c190cfdaf}" done="0">
    <x18tc:text xml:space="preserve">Data de assinatura do contrato, mencionada no RP</x18tc:text>
  </x18tc:threadedComment>
  <x18tc:threadedComment ref="S1565" dT="2025-06-09T19:34:06.00" personId="{6c3cfef6-2a2b-4523-b695-882d6eeec17a}" id="{c90ba583-1a3d-46dc-9179-54ec219e609f}" done="0">
    <x18tc:text xml:space="preserve">Data do TRD</x18tc:text>
  </x18tc:threadedComment>
  <x18tc:threadedComment ref="S906" dT="2025-06-06T19:26:03.00" personId="{6c3cfef6-2a2b-4523-b695-882d6eeec17a}" id="{039ccfb3-510a-41b6-86f3-025150411afd}" done="0">
    <x18tc:text xml:space="preserve">Data de instalação</x18tc:text>
  </x18tc:threadedComment>
  <x18tc:threadedComment ref="X1134" dT="2025-06-09T17:19:07.00" personId="{6c3cfef6-2a2b-4523-b695-882d6eeec17a}" id="{41153f46-15cc-4c01-983e-39fbb5d9a38c}" done="0">
    <x18tc:text xml:space="preserve">Data da Renovação Contratual</x18tc:text>
  </x18tc:threadedComment>
  <x18tc:threadedComment ref="S256" dT="2025-05-30T14:46:23.00" personId="{6c3cfef6-2a2b-4523-b695-882d6eeec17a}" id="{1c9cc61c-cd9f-464a-91b4-c0dc2ebaeacf}" done="0">
    <x18tc:text xml:space="preserve">Data de instalação</x18tc:text>
  </x18tc:threadedComment>
  <x18tc:threadedComment ref="AC720" dT="2025-06-04T18:43:40.00" personId="{6c3cfef6-2a2b-4523-b695-882d6eeec17a}" id="{89a173ab-953e-4aeb-b2ba-2357b9bdeb6f}" done="0">
    <x18tc:text xml:space="preserve">Data de instalação</x18tc:text>
  </x18tc:threadedComment>
  <x18tc:threadedComment ref="X1125" dT="2025-06-09T17:19:07.00" personId="{6c3cfef6-2a2b-4523-b695-882d6eeec17a}" id="{380e5201-8a55-455d-8205-654be3f7fc58}" done="0">
    <x18tc:text xml:space="preserve">Data da Renovação Contratual</x18tc:text>
  </x18tc:threadedComment>
  <x18tc:threadedComment ref="AC1177" dT="2024-11-07T14:41:02.00" personId="{6c3cfef6-2a2b-4523-b695-882d6eeec17a}" id="{b814b796-a605-4fe0-b32c-f3f78e47a3e7}" done="0">
    <x18tc:text xml:space="preserve">Data simbólica informada pelo Cláudio</x18tc:text>
  </x18tc:threadedComment>
  <x18tc:threadedComment ref="S30" dT="2025-05-30T13:32:34.00" personId="{6c3cfef6-2a2b-4523-b695-882d6eeec17a}" id="{7fd9d952-539a-4b56-8dd1-eba5b9532ed8}" done="0">
    <x18tc:text xml:space="preserve">Data de instalação</x18tc:text>
  </x18tc:threadedComment>
  <x18tc:threadedComment ref="S972" dT="2024-11-01T18:44:47.00" personId="{6c3cfef6-2a2b-4523-b695-882d6eeec17a}" id="{85178532-01de-4639-b6af-3e6a6048f9bf}" done="0">
    <x18tc:text xml:space="preserve">Data do TRD</x18tc:text>
  </x18tc:threadedComment>
  <x18tc:threadedComment ref="AI827" dT="2025-06-05T18:14:31.00" personId="{6c3cfef6-2a2b-4523-b695-882d6eeec17a}" id="{a8d1fcfa-613b-48e2-b47a-f07396932c9f}" done="0">
    <x18tc:text xml:space="preserve">O problema deverá ser solucionado em até 48H, sendo remoto ou in-loco</x18tc:text>
  </x18tc:threadedComment>
  <x18tc:threadedComment ref="X1148" dT="2025-06-09T17:21:53.00" personId="{6c3cfef6-2a2b-4523-b695-882d6eeec17a}" id="{d7386555-2cda-4197-8700-992871f819db}" done="0">
    <x18tc:text xml:space="preserve">Data mencionada no RP</x18tc:text>
  </x18tc:threadedComment>
  <x18tc:threadedComment ref="S1069" dT="2024-11-01T18:46:57.00" personId="{6c3cfef6-2a2b-4523-b695-882d6eeec17a}" id="{bad68421-d542-4658-9aaa-a98919e78c8a}" done="0">
    <x18tc:text xml:space="preserve">Data do TRD</x18tc:text>
  </x18tc:threadedComment>
  <x18tc:threadedComment ref="S1599" dT="2025-03-18T18:54:47.00" personId="{6c3cfef6-2a2b-4523-b695-882d6eeec17a}" id="{f1f839e6-c223-4fde-8bc6-c1aa3a0c6ef3}" done="0">
    <x18tc:text xml:space="preserve">Data de instalação</x18tc:text>
  </x18tc:threadedComment>
  <x18tc:threadedComment ref="AC650" dT="2025-02-07T13:56:10.00" personId="{6c3cfef6-2a2b-4523-b695-882d6eeec17a}" id="{9827d591-1b18-4d8f-9885-e0a240e9cc4a}" done="0">
    <x18tc:text xml:space="preserve">Data de instalação</x18tc:text>
  </x18tc:threadedComment>
  <x18tc:threadedComment ref="S1454" dT="2025-06-09T18:46:23.00" personId="{6c3cfef6-2a2b-4523-b695-882d6eeec17a}" id="{bff7dc76-6323-41b9-b031-2fa97a999025}" done="0">
    <x18tc:text xml:space="preserve">Data de instalação</x18tc:text>
  </x18tc:threadedComment>
  <x18tc:threadedComment ref="S167" dT="2025-05-30T14:31:17.00" personId="{6c3cfef6-2a2b-4523-b695-882d6eeec17a}" id="{f2e8ce21-fb78-43af-8a09-a79648fb63a2}" done="0">
    <x18tc:text xml:space="preserve">Data de instalação</x18tc:text>
  </x18tc:threadedComment>
  <x18tc:threadedComment ref="S9" dT="2025-05-30T13:32:34.00" personId="{6c3cfef6-2a2b-4523-b695-882d6eeec17a}" id="{f3702260-83f5-4b30-81e9-8caa5f317cc9}" done="0">
    <x18tc:text xml:space="preserve">Data de instalação</x18tc:text>
  </x18tc:threadedComment>
  <x18tc:threadedComment ref="S1526" dT="2025-06-09T18:46:23.00" personId="{6c3cfef6-2a2b-4523-b695-882d6eeec17a}" id="{40e5dbad-f2b9-4b43-ac65-7a8b3727656a}" done="0">
    <x18tc:text xml:space="preserve">Data de instalação</x18tc:text>
  </x18tc:threadedComment>
  <x18tc:threadedComment ref="AJ555" dT="2025-06-04T16:46:32.00" personId="{6c3cfef6-2a2b-4523-b695-882d6eeec17a}" id="{66de301a-3b06-43c5-ab6d-61451adeb1e4}" done="0">
    <x18tc:text xml:space="preserve">Prazos contados para chamados abertos até as 15:00.
Após esse horário, a contagem começa as 06:00 do dia seguinte</x18tc:text>
  </x18tc:threadedComment>
  <x18tc:threadedComment ref="S288" dT="2025-05-30T18:45:10.00" personId="{6c3cfef6-2a2b-4523-b695-882d6eeec17a}" id="{991c2671-64f2-4444-8c2c-b07ebcdf705d}" done="0">
    <x18tc:text xml:space="preserve">Data de instalação</x18tc:text>
  </x18tc:threadedComment>
  <x18tc:threadedComment ref="S56" dT="2025-05-30T13:32:34.00" personId="{6c3cfef6-2a2b-4523-b695-882d6eeec17a}" id="{199a48f9-8726-49ca-b854-1154345151ae}" done="0">
    <x18tc:text xml:space="preserve">Data de instalação</x18tc:text>
  </x18tc:threadedComment>
  <x18tc:threadedComment ref="AC1208" dT="2024-11-07T14:41:02.00" personId="{6c3cfef6-2a2b-4523-b695-882d6eeec17a}" id="{2048c634-c910-44b9-9b39-2694796ef492}" done="0">
    <x18tc:text xml:space="preserve">Data simbólica informada pelo Cláudio</x18tc:text>
  </x18tc:threadedComment>
  <x18tc:threadedComment ref="AC701" dT="2025-06-04T18:43:40.00" personId="{6c3cfef6-2a2b-4523-b695-882d6eeec17a}" id="{71eba383-4966-41c5-bbc9-0cad8a26bd67}" done="0">
    <x18tc:text xml:space="preserve">Data de instalação</x18tc:text>
  </x18tc:threadedComment>
  <x18tc:threadedComment ref="AJ562" dT="2025-06-04T16:46:32.00" personId="{6c3cfef6-2a2b-4523-b695-882d6eeec17a}" id="{c882832d-f323-4d26-bea4-5e23e0c2275e}" done="0">
    <x18tc:text xml:space="preserve">Prazos contados para chamados abertos até as 15:00.
Após esse horário, a contagem começa as 06:00 do dia seguinte</x18tc:text>
  </x18tc:threadedComment>
  <x18tc:threadedComment ref="S31" dT="2025-05-30T13:32:34.00" personId="{6c3cfef6-2a2b-4523-b695-882d6eeec17a}" id="{bd5cfd45-47d7-457e-830b-342261981098}" done="0">
    <x18tc:text xml:space="preserve">Data de instalação</x18tc:text>
  </x18tc:threadedComment>
  <x18tc:threadedComment ref="M1147" dT="2025-05-30T13:19:35.00" personId="{6c3cfef6-2a2b-4523-b695-882d6eeec17a}" id="{8b578280-6238-4e93-9fb3-a256bd0ec0cc}" done="0">
    <x18tc:text xml:space="preserve">Não localizada data de inst. - Inserida data simbólica</x18tc:text>
  </x18tc:threadedComment>
  <x18tc:threadedComment ref="S468" dT="2025-06-04T15:01:11.00" personId="{6c3cfef6-2a2b-4523-b695-882d6eeec17a}" id="{49ed91f9-a8a0-48a8-bcfd-8134fabcb532}" done="0">
    <x18tc:text xml:space="preserve">Data do TRD</x18tc:text>
  </x18tc:threadedComment>
  <x18tc:threadedComment ref="S367" dT="2025-06-04T13:37:31.00" personId="{6c3cfef6-2a2b-4523-b695-882d6eeec17a}" id="{8f655ed4-c412-4e02-8a87-7e23e1526e5d}" done="0">
    <x18tc:text xml:space="preserve">Data de instalação</x18tc:text>
  </x18tc:threadedComment>
  <x18tc:threadedComment ref="AC1018" dT="2025-06-09T16:48:02.00" personId="{6c3cfef6-2a2b-4523-b695-882d6eeec17a}" id="{acd987d2-8e60-4337-b67a-803a1e8c7e61}" done="0">
    <x18tc:text xml:space="preserve">Data do 2º Termo Adt</x18tc:text>
  </x18tc:threadedComment>
  <x18tc:threadedComment ref="X31" dT="2025-05-30T13:32:34.00" personId="{6c3cfef6-2a2b-4523-b695-882d6eeec17a}" id="{5a726e03-e48c-422a-a3b9-c641942ea97b}" done="0">
    <x18tc:text xml:space="preserve">Data informada pelo Comercial, na planilha "Controle de Prazos de Garantia - Aena"</x18tc:text>
  </x18tc:threadedComment>
  <x18tc:threadedComment ref="S1525" dT="2025-06-09T18:46:23.00" personId="{6c3cfef6-2a2b-4523-b695-882d6eeec17a}" id="{e3a71b50-5640-452e-9f51-9b5366fee361}" done="0">
    <x18tc:text xml:space="preserve">Data de instalação</x18tc:text>
  </x18tc:threadedComment>
  <x18tc:threadedComment ref="S1424" dT="2024-11-01T19:16:18.00" personId="{6c3cfef6-2a2b-4523-b695-882d6eeec17a}" id="{caa3ff23-a4e9-40cb-a065-2d0d16862a10}" done="0">
    <x18tc:text xml:space="preserve">Data do TRD</x18tc:text>
  </x18tc:threadedComment>
  <x18tc:threadedComment ref="S542" dT="2025-06-04T13:37:31.00" personId="{6c3cfef6-2a2b-4523-b695-882d6eeec17a}" id="{f6a7a2ab-320f-46a6-9047-ec6a343b0d31}" done="0">
    <x18tc:text xml:space="preserve">Data de instalação</x18tc:text>
  </x18tc:threadedComment>
  <x18tc:threadedComment ref="S1513" dT="2025-03-19T12:32:47.00" personId="{6c3cfef6-2a2b-4523-b695-882d6eeec17a}" id="{facf03ad-01eb-4ab4-a6c3-1fcaeaa67b5d}" done="0">
    <x18tc:text xml:space="preserve">Data do TRD</x18tc:text>
  </x18tc:threadedComment>
  <x18tc:threadedComment ref="S955" dT="2024-11-01T18:44:47.00" personId="{6c3cfef6-2a2b-4523-b695-882d6eeec17a}" id="{b264c558-b123-4ea4-b14c-e3c5684d3dc3}" done="0">
    <x18tc:text xml:space="preserve">Data do TRD</x18tc:text>
  </x18tc:threadedComment>
  <x18tc:threadedComment ref="X41" dT="2025-07-17T17:49:14.00" personId="{6c3cfef6-2a2b-4523-b695-882d6eeec17a}" id="{341e3f42-06ec-4de4-a0a6-5e435818aa9b}" done="0">
    <x18tc:text xml:space="preserve">Data informada pelo Comercial, na planilha "Controle de Prazos de Garantia - Aena"</x18tc:text>
  </x18tc:threadedComment>
  <x18tc:threadedComment ref="S1319" dT="2025-03-18T16:20:02.00" personId="{6c3cfef6-2a2b-4523-b695-882d6eeec17a}" id="{532fbbb2-6b65-4ab7-a74e-09dabb6f34c3}" done="0">
    <x18tc:text xml:space="preserve">Data do TRD</x18tc:text>
  </x18tc:threadedComment>
  <x18tc:threadedComment ref="S910" dT="2025-09-26T12:20:36.00" personId="{6c3cfef6-2a2b-4523-b695-882d6eeec17a}" id="{5b9bc484-c7d5-4129-92d0-08b88cfb0f9b}" done="0">
    <x18tc:text xml:space="preserve">Data de instalação</x18tc:text>
  </x18tc:threadedComment>
  <x18tc:threadedComment ref="AC1247" dT="2025-09-25T20:22:43.00" personId="{6c3cfef6-2a2b-4523-b695-882d6eeec17a}" id="{f8d9206f-62a8-4039-a52a-be3ebb895cf3}" done="0">
    <x18tc:text xml:space="preserve">Data de assinatura do contrato, mencionada no RP</x18tc:text>
  </x18tc:threadedComment>
  <x18tc:threadedComment ref="S488" dT="2025-02-05T11:22:19.00" personId="{6c3cfef6-2a2b-4523-b695-882d6eeec17a}" id="{417c8d52-11bb-4971-8a52-40cb5f0f3de6}" done="0">
    <x18tc:text xml:space="preserve">Data do TRD</x18tc:text>
  </x18tc:threadedComment>
  <x18tc:threadedComment ref="AC198" dT="2025-05-30T14:46:23.00" personId="{6c3cfef6-2a2b-4523-b695-882d6eeec17a}" id="{92452353-30cb-421d-80dd-b17e15f95df8}" done="0">
    <x18tc:text xml:space="preserve">Data de instalação</x18tc:text>
  </x18tc:threadedComment>
  <x18tc:threadedComment ref="AC601" dT="2025-02-07T13:54:57.00" personId="{6c3cfef6-2a2b-4523-b695-882d6eeec17a}" id="{d9d446a9-0004-41ea-bd92-aa2465a4c49b}" done="0">
    <x18tc:text xml:space="preserve">Data informada no RP</x18tc:text>
  </x18tc:threadedComment>
  <x18tc:threadedComment ref="AC1197" dT="2024-11-07T14:41:02.00" personId="{6c3cfef6-2a2b-4523-b695-882d6eeec17a}" id="{97bad62e-fc69-45a4-be7b-6087c5aef122}" done="0">
    <x18tc:text xml:space="preserve">Data simbólica informada pelo Cláudio</x18tc:text>
  </x18tc:threadedComment>
  <x18tc:threadedComment ref="AC624" dT="2025-02-07T13:56:10.00" personId="{6c3cfef6-2a2b-4523-b695-882d6eeec17a}" id="{e2d28128-5355-4392-807a-df3ad45ec653}" done="0">
    <x18tc:text xml:space="preserve">Data de instalação</x18tc:text>
  </x18tc:threadedComment>
  <x18tc:threadedComment ref="AC885" dT="2025-06-06T18:27:34.00" personId="{6c3cfef6-2a2b-4523-b695-882d6eeec17a}" id="{97be9d1a-e5e6-40f8-9cf9-a52c3092467f}" done="0">
    <x18tc:text xml:space="preserve">Data de assinatura do 19º Contrato</x18tc:text>
  </x18tc:threadedComment>
  <x18tc:threadedComment ref="S95" dT="2025-05-30T13:32:34.00" personId="{6c3cfef6-2a2b-4523-b695-882d6eeec17a}" id="{5d0ec40a-9b57-4c17-90ad-930aed0a0228}" done="0">
    <x18tc:text xml:space="preserve">Data de instalação</x18tc:text>
  </x18tc:threadedComment>
  <x18tc:threadedComment ref="AC568" dT="2025-02-07T13:56:10.00" personId="{6c3cfef6-2a2b-4523-b695-882d6eeec17a}" id="{27f60848-11d6-42d5-852d-3cfe491aad5d}" done="0">
    <x18tc:text xml:space="preserve">Data do 4º Termo Adt</x18tc:text>
  </x18tc:threadedComment>
  <x18tc:threadedComment ref="S322" dT="2025-05-30T18:45:10.00" personId="{6c3cfef6-2a2b-4523-b695-882d6eeec17a}" id="{d0a0a8ab-4095-4c41-b544-afb6a442c1d2}" done="0">
    <x18tc:text xml:space="preserve">Data de instalação</x18tc:text>
  </x18tc:threadedComment>
  <x18tc:threadedComment ref="S1448" dT="2024-11-01T19:16:18.00" personId="{6c3cfef6-2a2b-4523-b695-882d6eeec17a}" id="{63692b1b-0dca-4bc1-b4cc-4acf8d05d06b}" done="0">
    <x18tc:text xml:space="preserve">Data do TRD</x18tc:text>
  </x18tc:threadedComment>
  <x18tc:threadedComment ref="S1592" dT="2025-03-18T18:54:47.00" personId="{6c3cfef6-2a2b-4523-b695-882d6eeec17a}" id="{b789999d-655c-4cce-a7ae-c7c50719f9d1}" done="0">
    <x18tc:text xml:space="preserve">Data de instalação</x18tc:text>
  </x18tc:threadedComment>
  <x18tc:threadedComment ref="AC207" dT="2025-05-30T14:46:23.00" personId="{6c3cfef6-2a2b-4523-b695-882d6eeec17a}" id="{738de23f-f816-42b9-a84c-9629f0b7192e}" done="0">
    <x18tc:text xml:space="preserve">Data de instalação</x18tc:text>
  </x18tc:threadedComment>
  <x18tc:threadedComment ref="S1070" dT="2024-11-01T18:46:57.00" personId="{6c3cfef6-2a2b-4523-b695-882d6eeec17a}" id="{35291b8a-d6e8-4924-9fde-fb1915e87eeb}" done="0">
    <x18tc:text xml:space="preserve">Data do TRD</x18tc:text>
  </x18tc:threadedComment>
  <x18tc:threadedComment ref="S1628" dT="2025-06-06T19:36:56.00" personId="{6c3cfef6-2a2b-4523-b695-882d6eeec17a}" id="{d6b85507-dbfa-4933-9d70-5bcb6e985b14}" done="0">
    <x18tc:text xml:space="preserve">Data de instalação</x18tc:text>
  </x18tc:threadedComment>
  <x18tc:threadedComment ref="AC788" dT="2025-06-04T19:33:39.00" personId="{6c3cfef6-2a2b-4523-b695-882d6eeec17a}" id="{719d1777-aebb-4574-bdc1-a88a6ac677dc}" done="0">
    <x18tc:text xml:space="preserve">Data mencionada no RP</x18tc:text>
  </x18tc:threadedComment>
  <x18tc:threadedComment ref="X224" dT="2025-01-31T18:15:26.00" personId="{6c3cfef6-2a2b-4523-b695-882d6eeec17a}" id="{71cfa3e4-985a-4b69-9087-c7932cbeb684}" done="0">
    <x18tc:text xml:space="preserve">Data do 1º Termo Aditivo</x18tc:text>
  </x18tc:threadedComment>
  <x18tc:threadedComment ref="S992" dT="2024-11-01T18:44:47.00" personId="{6c3cfef6-2a2b-4523-b695-882d6eeec17a}" id="{d2aa7a6c-86a7-4994-b0ce-16558c572763}" done="0">
    <x18tc:text xml:space="preserve">Data do TRD</x18tc:text>
  </x18tc:threadedComment>
  <x18tc:threadedComment ref="X40" dT="2025-07-17T17:43:09.00" personId="{6c3cfef6-2a2b-4523-b695-882d6eeec17a}" id="{4dff4201-9af1-4356-97ca-ac6ec2b4af26}" done="0">
    <x18tc:text xml:space="preserve">Data informada pelo Comercial, na planilha "Controle de Prazos de Garantia - Aena"</x18tc:text>
  </x18tc:threadedComment>
  <x18tc:threadedComment ref="S974" dT="2024-11-01T18:44:47.00" personId="{6c3cfef6-2a2b-4523-b695-882d6eeec17a}" id="{b1195ce8-1f9e-4439-bfac-4dc55c53d4cd}" done="0">
    <x18tc:text xml:space="preserve">Data do TRD</x18tc:text>
  </x18tc:threadedComment>
  <x18tc:threadedComment ref="S421" dT="2025-06-04T13:37:31.00" personId="{6c3cfef6-2a2b-4523-b695-882d6eeec17a}" id="{1b88aa22-8a80-413a-b7c8-4b351aef72e4}" done="0">
    <x18tc:text xml:space="preserve">Data de instalação</x18tc:text>
  </x18tc:threadedComment>
  <x18tc:threadedComment ref="AC730" dT="2025-06-04T18:43:40.00" personId="{6c3cfef6-2a2b-4523-b695-882d6eeec17a}" id="{5ff7dc3c-47a7-4c3c-b810-6387a565cd1a}" done="0">
    <x18tc:text xml:space="preserve">Data de instalação</x18tc:text>
  </x18tc:threadedComment>
  <x18tc:threadedComment ref="S1538" dT="2025-06-09T19:06:46.00" personId="{6c3cfef6-2a2b-4523-b695-882d6eeec17a}" id="{137ec85e-0230-414f-8e37-8a1e6290fedb}" done="0">
    <x18tc:text xml:space="preserve">Data de instalação</x18tc:text>
  </x18tc:threadedComment>
  <x18tc:threadedComment ref="AC185" dT="2025-05-30T14:43:21.00" personId="{6c3cfef6-2a2b-4523-b695-882d6eeec17a}" id="{33663ef7-234c-45a0-ae00-26233deedade}" done="0">
    <x18tc:text xml:space="preserve">Data 2º Adt</x18tc:text>
  </x18tc:threadedComment>
  <x18tc:threadedComment ref="X783" dT="2025-02-25T12:45:16.00" personId="{6c3cfef6-2a2b-4523-b695-882d6eeec17a}" id="{667220f8-f9ad-42d6-a15f-6bfe84ca19da}" done="0">
    <x18tc:text xml:space="preserve">Data informada no RP</x18tc:text>
  </x18tc:threadedComment>
  <x18tc:threadedComment ref="AC1244" dT="2024-11-07T14:41:02.00" personId="{6c3cfef6-2a2b-4523-b695-882d6eeec17a}" id="{09fc49bd-de42-49a4-ba32-4a5a9f4e1081}" done="0">
    <x18tc:text xml:space="preserve">Data simbólica informada pelo Cláudio</x18tc:text>
  </x18tc:threadedComment>
  <x18tc:threadedComment ref="S1419" dT="2024-11-01T19:16:18.00" personId="{6c3cfef6-2a2b-4523-b695-882d6eeec17a}" id="{9ff3b75d-249d-4c59-90ae-cb9659a772e5}" done="0">
    <x18tc:text xml:space="preserve">Data do TRD</x18tc:text>
  </x18tc:threadedComment>
  <x18tc:threadedComment ref="X1118" dT="2025-06-09T17:19:07.00" personId="{6c3cfef6-2a2b-4523-b695-882d6eeec17a}" id="{37c90c22-1a43-4aa7-83a5-5ad8e1d8fd0a}" done="0">
    <x18tc:text xml:space="preserve">Data da Renovação Contratual</x18tc:text>
  </x18tc:threadedComment>
  <x18tc:threadedComment ref="S368" dT="2025-06-04T13:37:31.00" personId="{6c3cfef6-2a2b-4523-b695-882d6eeec17a}" id="{008cdd42-ef69-417b-bbbd-dfab8cfe68b4}" done="0">
    <x18tc:text xml:space="preserve">Data de instalação</x18tc:text>
  </x18tc:threadedComment>
  <x18tc:threadedComment ref="S817" dT="2025-06-04T19:04:19.00" personId="{6c3cfef6-2a2b-4523-b695-882d6eeec17a}" id="{7593f0b2-0ac3-458b-b74a-ce4e506cd826}" done="0">
    <x18tc:text xml:space="preserve">Data de instalação</x18tc:text>
  </x18tc:threadedComment>
  <x18tc:threadedComment ref="AC1274" dT="2025-09-25T20:22:43.00" personId="{6c3cfef6-2a2b-4523-b695-882d6eeec17a}" id="{806fc9cb-6cb9-455d-830e-6b513991e084}" done="0">
    <x18tc:text xml:space="preserve">Data de assinatura do contrato, mencionada no RP</x18tc:text>
  </x18tc:threadedComment>
  <x18tc:threadedComment ref="S516" dT="2025-02-05T12:56:49.00" personId="{6c3cfef6-2a2b-4523-b695-882d6eeec17a}" id="{2c241f00-4f9f-4ef9-b214-9993de2c8f18}" done="0">
    <x18tc:text xml:space="preserve">Data de Inst.</x18tc:text>
  </x18tc:threadedComment>
  <x18tc:threadedComment ref="S907" dT="2025-06-06T19:28:57.00" personId="{6c3cfef6-2a2b-4523-b695-882d6eeec17a}" id="{2421cb1d-2585-4246-a170-e0ceab0e2644}" done="0">
    <x18tc:text xml:space="preserve">Data de instalação</x18tc:text>
  </x18tc:threadedComment>
  <x18tc:threadedComment ref="S429" dT="2025-02-05T11:22:19.00" personId="{6c3cfef6-2a2b-4523-b695-882d6eeec17a}" id="{b9bad689-fd36-4c89-ba38-a957cd5f8768}" done="0">
    <x18tc:text xml:space="preserve">Data do TRD</x18tc:text>
  </x18tc:threadedComment>
  <x18tc:threadedComment ref="S536" dT="2024-11-05T17:51:32.00" personId="{6c3cfef6-2a2b-4523-b695-882d6eeec17a}" id="{b6edb9b9-59a0-4acc-ae08-fb22249eafb3}" done="0">
    <x18tc:text xml:space="preserve">Data de inst.</x18tc:text>
  </x18tc:threadedComment>
  <x18tc:threadedComment ref="AC203" dT="2025-05-30T14:46:23.00" personId="{6c3cfef6-2a2b-4523-b695-882d6eeec17a}" id="{5f3502c6-80fc-432a-b533-87ac59f58d59}" done="0">
    <x18tc:text xml:space="preserve">Data de instalação</x18tc:text>
  </x18tc:threadedComment>
  <x18tc:threadedComment ref="AC645" dT="2025-02-07T13:56:10.00" personId="{6c3cfef6-2a2b-4523-b695-882d6eeec17a}" id="{3eac2397-2514-4b7e-9f1a-f71f2d87a247}" done="0">
    <x18tc:text xml:space="preserve">Data de instalação</x18tc:text>
  </x18tc:threadedComment>
  <x18tc:threadedComment ref="S1532" dT="2025-06-09T19:06:46.00" personId="{6c3cfef6-2a2b-4523-b695-882d6eeec17a}" id="{a2605d96-624a-45c0-8012-00ee46465665}" done="0">
    <x18tc:text xml:space="preserve">Data de instalação</x18tc:text>
  </x18tc:threadedComment>
  <x18tc:threadedComment ref="S171" dT="2025-05-30T14:31:17.00" personId="{6c3cfef6-2a2b-4523-b695-882d6eeec17a}" id="{cba7cb1f-4dfd-4194-b3d0-69cf72dc69f3}" done="0">
    <x18tc:text xml:space="preserve">Data de instalação</x18tc:text>
  </x18tc:threadedComment>
  <x18tc:threadedComment ref="AC662" dT="2025-06-04T18:43:40.00" personId="{6c3cfef6-2a2b-4523-b695-882d6eeec17a}" id="{3d5b9e82-f0cd-49e2-b5c7-25a1571c014d}" done="0">
    <x18tc:text xml:space="preserve">Data de instalação</x18tc:text>
  </x18tc:threadedComment>
  <x18tc:threadedComment ref="AC688" dT="2025-06-04T18:43:40.00" personId="{6c3cfef6-2a2b-4523-b695-882d6eeec17a}" id="{308c6e85-bbb9-4334-962a-d2b0ee1a85e4}" done="0">
    <x18tc:text xml:space="preserve">Data de instalação</x18tc:text>
  </x18tc:threadedComment>
  <x18tc:threadedComment ref="M1144" dT="2025-05-30T13:19:35.00" personId="{6c3cfef6-2a2b-4523-b695-882d6eeec17a}" id="{86ef2f04-9974-4576-a6dd-544fd9c08848}" done="0">
    <x18tc:text xml:space="preserve">Não localizada data de inst. - Inserida data simbólica</x18tc:text>
  </x18tc:threadedComment>
  <x18tc:threadedComment ref="S750" dT="2025-06-04T17:54:23.00" personId="{6c3cfef6-2a2b-4523-b695-882d6eeec17a}" id="{55ba4408-0493-4e97-9321-b1803f79fc85}" done="0">
    <x18tc:text xml:space="preserve">Data de instalação</x18tc:text>
  </x18tc:threadedComment>
  <x18tc:threadedComment ref="S966" dT="2024-11-01T18:44:47.00" personId="{6c3cfef6-2a2b-4523-b695-882d6eeec17a}" id="{84620ea0-c370-49a5-8c2f-981135fa76af}" done="0">
    <x18tc:text xml:space="preserve">Data do TRD</x18tc:text>
  </x18tc:threadedComment>
  <x18tc:threadedComment ref="S255" dT="2025-05-30T14:46:23.00" personId="{6c3cfef6-2a2b-4523-b695-882d6eeec17a}" id="{c09c6de1-1499-485d-8872-3d95b09d8058}" done="0">
    <x18tc:text xml:space="preserve">Data de instalação</x18tc:text>
  </x18tc:threadedComment>
  <x18tc:threadedComment ref="AC664" dT="2025-06-04T18:43:40.00" personId="{6c3cfef6-2a2b-4523-b695-882d6eeec17a}" id="{68ea38b5-bb11-4138-bbe4-31f70307dac1}" done="0">
    <x18tc:text xml:space="preserve">Data de instalação</x18tc:text>
  </x18tc:threadedComment>
  <x18tc:threadedComment ref="AI828" dT="2025-06-05T18:14:31.00" personId="{6c3cfef6-2a2b-4523-b695-882d6eeec17a}" id="{f2a088db-211e-49d0-904b-87f4bd70c850}" done="0">
    <x18tc:text xml:space="preserve">O problema deverá ser solucionado em até 48H, sendo remoto ou in-loco</x18tc:text>
  </x18tc:threadedComment>
  <x18tc:threadedComment ref="AJ543" dT="2025-06-04T16:46:32.00" personId="{6c3cfef6-2a2b-4523-b695-882d6eeec17a}" id="{b5bcd49a-8ede-490c-a6c5-b6a3f1966636}" done="0">
    <x18tc:text xml:space="preserve">Prazos contados para chamados abertos até as 15:00.
Após esse horário, a contagem começa as 06:00 do dia seguinte</x18tc:text>
  </x18tc:threadedComment>
  <x18tc:threadedComment ref="X888" dT="2025-06-06T18:21:21.00" personId="{6c3cfef6-2a2b-4523-b695-882d6eeec17a}" id="{3414e6b4-9274-4de1-90ac-28a37edeec67}" done="0">
    <x18tc:text xml:space="preserve">Data do Termo Adt</x18tc:text>
  </x18tc:threadedComment>
  <x18tc:threadedComment ref="AC653" dT="2025-02-07T13:56:10.00" personId="{6c3cfef6-2a2b-4523-b695-882d6eeec17a}" id="{1c7120f8-c668-437b-9f81-c2b0362301be}" done="0">
    <x18tc:text xml:space="preserve">Data de instalação</x18tc:text>
  </x18tc:threadedComment>
  <x18tc:threadedComment ref="S438" dT="2025-02-05T11:22:19.00" personId="{6c3cfef6-2a2b-4523-b695-882d6eeec17a}" id="{e1fd3c71-c436-49a3-a422-d77443722262}" done="0">
    <x18tc:text xml:space="preserve">Data do TRD</x18tc:text>
  </x18tc:threadedComment>
  <x18tc:threadedComment ref="AC1340" dT="2025-06-09T17:38:37.00" personId="{6c3cfef6-2a2b-4523-b695-882d6eeec17a}" id="{94ebdef9-5cf3-4ba3-967b-499f5df11e81}" done="0">
    <x18tc:text xml:space="preserve">Data de instalação</x18tc:text>
  </x18tc:threadedComment>
  <x18tc:threadedComment ref="S796" dT="2025-06-04T19:04:19.00" personId="{6c3cfef6-2a2b-4523-b695-882d6eeec17a}" id="{482a0f0d-4652-4a2d-aee1-27f1ed0010ae}" done="0">
    <x18tc:text xml:space="preserve">Data de instalação</x18tc:text>
  </x18tc:threadedComment>
  <x18tc:threadedComment ref="S285" dT="2025-05-30T18:39:21.00" personId="{6c3cfef6-2a2b-4523-b695-882d6eeec17a}" id="{b6d341e2-ad88-4921-8190-ed77853beac4}" done="0">
    <x18tc:text xml:space="preserve">Data de instalação</x18tc:text>
  </x18tc:threadedComment>
  <x18tc:threadedComment ref="AC1176" dT="2024-11-07T14:41:02.00" personId="{6c3cfef6-2a2b-4523-b695-882d6eeec17a}" id="{171bd7a5-33da-4e7e-b5eb-367c0aecc583}" done="0">
    <x18tc:text xml:space="preserve">Data simbólica informada pelo Cláudio</x18tc:text>
  </x18tc:threadedComment>
  <x18tc:threadedComment ref="H85" dT="2025-07-17T18:10:30.00" personId="{6c3cfef6-2a2b-4523-b695-882d6eeec17a}" id="{8f4fcdc5-08b4-4771-9c3f-5c630547148c}" done="0">
    <x18tc:text xml:space="preserve">46075 substituiu o equipamento 45915</x18tc:text>
  </x18tc:threadedComment>
  <x18tc:threadedComment ref="AC596" dT="2025-02-07T13:54:57.00" personId="{6c3cfef6-2a2b-4523-b695-882d6eeec17a}" id="{6c01257c-fb2e-4592-b6c6-500bb18f1e8b}" done="0">
    <x18tc:text xml:space="preserve">Data informada no RP</x18tc:text>
  </x18tc:threadedComment>
  <x18tc:threadedComment ref="S453" dT="2025-06-04T15:01:11.00" personId="{6c3cfef6-2a2b-4523-b695-882d6eeec17a}" id="{dfd3acf1-a3a9-490c-a32d-fe823e780aad}" done="0">
    <x18tc:text xml:space="preserve">Data do TRD</x18tc:text>
  </x18tc:threadedComment>
  <x18tc:threadedComment ref="S413" dT="2025-02-05T11:22:19.00" personId="{6c3cfef6-2a2b-4523-b695-882d6eeec17a}" id="{ea0d2dc8-3472-4862-9e64-5a4514daa5ab}" done="0">
    <x18tc:text xml:space="preserve">Data do TRD</x18tc:text>
  </x18tc:threadedComment>
  <x18tc:threadedComment ref="AJ565" dT="2025-06-04T16:46:32.00" personId="{6c3cfef6-2a2b-4523-b695-882d6eeec17a}" id="{4b4d4723-17b2-4789-bddd-97a56cc03476}" done="0">
    <x18tc:text xml:space="preserve">Prazos contados para chamados abertos até as 15:00.
Após esse horário, a contagem começa as 06:00 do dia seguinte</x18tc:text>
  </x18tc:threadedComment>
  <x18tc:threadedComment ref="X69" dT="2025-05-30T13:32:34.00" personId="{6c3cfef6-2a2b-4523-b695-882d6eeec17a}" id="{dc866654-0132-48b3-88d4-76afdafd9365}" done="0">
    <x18tc:text xml:space="preserve">Data informada pelo Comercial, na planilha "Controle de Prazos de Garantia - Aena"</x18tc:text>
  </x18tc:threadedComment>
  <x18tc:threadedComment ref="X872" dT="2025-06-06T18:21:21.00" personId="{6c3cfef6-2a2b-4523-b695-882d6eeec17a}" id="{bd6d465c-ae32-4bd7-b54a-7410729f50b7}" done="0">
    <x18tc:text xml:space="preserve">Data do Termo Adt</x18tc:text>
  </x18tc:threadedComment>
  <x18tc:threadedComment ref="AC682" dT="2025-06-04T18:43:40.00" personId="{6c3cfef6-2a2b-4523-b695-882d6eeec17a}" id="{b42fb675-a15f-4c54-bc08-3367bb8f9738}" done="0">
    <x18tc:text xml:space="preserve">Data de instalação</x18tc:text>
  </x18tc:threadedComment>
  <x18tc:threadedComment ref="AJ832" dT="2025-06-05T18:14:31.00" personId="{6c3cfef6-2a2b-4523-b695-882d6eeec17a}" id="{0eb9da66-4f55-42c4-9822-be97d912a531}" done="0">
    <x18tc:text xml:space="preserve">O problema deverá ser solucionado em até 48H, sendo remoto ou in-loco</x18tc:text>
  </x18tc:threadedComment>
  <x18tc:threadedComment ref="AC1284" dT="2025-09-25T20:22:43.00" personId="{6c3cfef6-2a2b-4523-b695-882d6eeec17a}" id="{b518312f-9dbc-4759-80d5-647792d116e8}" done="0">
    <x18tc:text xml:space="preserve">Data de assinatura do contrato, mencionada no RP</x18tc:text>
  </x18tc:threadedComment>
  <x18tc:threadedComment ref="S99" dT="2025-05-30T13:32:34.00" personId="{6c3cfef6-2a2b-4523-b695-882d6eeec17a}" id="{667468c6-199c-4c9c-a3c8-c311bfe5c64c}" done="0">
    <x18tc:text xml:space="preserve">Data de instalação</x18tc:text>
  </x18tc:threadedComment>
  <x18tc:threadedComment ref="AC1283" dT="2024-11-07T14:41:02.00" personId="{6c3cfef6-2a2b-4523-b695-882d6eeec17a}" id="{b0b52f09-9d0c-45a9-84ae-8279cfb065a8}" done="0">
    <x18tc:text xml:space="preserve">Data simbólica informada pelo Cláudio</x18tc:text>
  </x18tc:threadedComment>
  <x18tc:threadedComment ref="S1077" dT="2024-11-01T18:46:57.00" personId="{6c3cfef6-2a2b-4523-b695-882d6eeec17a}" id="{96cf727d-a983-47de-9ab1-2b280620a6b1}" done="0">
    <x18tc:text xml:space="preserve">Data do TRD</x18tc:text>
  </x18tc:threadedComment>
  <x18tc:threadedComment ref="S1338" dT="2025-06-09T17:38:37.00" personId="{6c3cfef6-2a2b-4523-b695-882d6eeec17a}" id="{ea0a466f-b2ee-4edf-a380-7bc846e880c5}" done="0">
    <x18tc:text xml:space="preserve">Data de instalação</x18tc:text>
  </x18tc:threadedComment>
  <x18tc:threadedComment ref="S1010" dT="2024-11-01T18:44:47.00" personId="{6c3cfef6-2a2b-4523-b695-882d6eeec17a}" id="{da841b43-cd96-4fb6-8999-f7559f73cd31}" done="0">
    <x18tc:text xml:space="preserve">Data do TRD</x18tc:text>
  </x18tc:threadedComment>
  <x18tc:threadedComment ref="AC1219" dT="2025-09-25T20:22:43.00" personId="{6c3cfef6-2a2b-4523-b695-882d6eeec17a}" id="{80e5272d-7e14-4cf4-8aac-dceb728e19ea}" done="0">
    <x18tc:text xml:space="preserve">Data de assinatura do contrato, mencionada no RP</x18tc:text>
  </x18tc:threadedComment>
  <x18tc:threadedComment ref="S760" dT="2025-06-04T17:54:23.00" personId="{6c3cfef6-2a2b-4523-b695-882d6eeec17a}" id="{dc1ba1da-e64d-4066-87e6-aab688d957dc}" done="0">
    <x18tc:text xml:space="preserve">Data de instalação</x18tc:text>
  </x18tc:threadedComment>
  <x18tc:threadedComment ref="S949" dT="2024-11-01T18:44:47.00" personId="{6c3cfef6-2a2b-4523-b695-882d6eeec17a}" id="{53fd6b6c-7b77-4f36-8b84-bbd731581d45}" done="0">
    <x18tc:text xml:space="preserve">Data do TRD</x18tc:text>
  </x18tc:threadedComment>
  <x18tc:threadedComment ref="S481" dT="2025-02-05T16:59:48.00" personId="{6c3cfef6-2a2b-4523-b695-882d6eeec17a}" id="{f96a9dda-d183-490a-9339-f0646ef86388}" done="0">
    <x18tc:text xml:space="preserve">Data do TRD</x18tc:text>
  </x18tc:threadedComment>
  <x18tc:threadedComment ref="AC867" dT="2025-06-06T18:27:34.00" personId="{6c3cfef6-2a2b-4523-b695-882d6eeec17a}" id="{1e59620a-eac6-4b95-acbc-3f13ded4b3b6}" done="0">
    <x18tc:text xml:space="preserve">Data de instalação</x18tc:text>
  </x18tc:threadedComment>
  <x18tc:threadedComment ref="S1360" dT="2025-06-09T18:03:00.00" personId="{6c3cfef6-2a2b-4523-b695-882d6eeec17a}" id="{0a6c3784-7413-491b-9c15-14c57344d365}" done="0">
    <x18tc:text xml:space="preserve">Data de instalação</x18tc:text>
  </x18tc:threadedComment>
  <x18tc:threadedComment ref="S574" dT="2025-06-04T13:37:31.00" personId="{6c3cfef6-2a2b-4523-b695-882d6eeec17a}" id="{cc1e1416-076f-48fc-afd2-22e30ca731b5}" done="0">
    <x18tc:text xml:space="preserve">Data de instalação</x18tc:text>
  </x18tc:threadedComment>
  <x18tc:threadedComment ref="S261" dT="2025-05-30T14:46:23.00" personId="{6c3cfef6-2a2b-4523-b695-882d6eeec17a}" id="{7f86c386-568c-4ab8-8ab9-51ee6deabfa5}" done="0">
    <x18tc:text xml:space="preserve">Data de instalação</x18tc:text>
  </x18tc:threadedComment>
  <x18tc:threadedComment ref="X91" dT="2025-05-30T13:32:34.00" personId="{6c3cfef6-2a2b-4523-b695-882d6eeec17a}" id="{b17df83a-fb7a-4d35-b780-1929e8d69e73}" done="0">
    <x18tc:text xml:space="preserve">Data de instalação</x18tc:text>
  </x18tc:threadedComment>
  <x18tc:threadedComment ref="S86" dT="2025-05-30T13:32:34.00" personId="{6c3cfef6-2a2b-4523-b695-882d6eeec17a}" id="{6ad1efd9-cc7d-49ee-a694-2e7051d933b7}" done="0">
    <x18tc:text xml:space="preserve">Data de instalação</x18tc:text>
  </x18tc:threadedComment>
  <x18tc:threadedComment ref="S246" dT="2025-05-30T14:46:23.00" personId="{6c3cfef6-2a2b-4523-b695-882d6eeec17a}" id="{aecd2e35-2560-4837-a999-86858730b459}" done="0">
    <x18tc:text xml:space="preserve">Data de instalação</x18tc:text>
  </x18tc:threadedComment>
  <x18tc:threadedComment ref="M1145" dT="2025-05-30T13:19:35.00" personId="{6c3cfef6-2a2b-4523-b695-882d6eeec17a}" id="{af768cba-d4a8-4b7e-9754-23c96ddfeecc}" done="0">
    <x18tc:text xml:space="preserve">Não localizada data de inst. - Inserida data simbólica</x18tc:text>
  </x18tc:threadedComment>
  <x18tc:threadedComment ref="S533" dT="2025-02-05T12:56:49.00" personId="{6c3cfef6-2a2b-4523-b695-882d6eeec17a}" id="{34bb225a-222f-4cb3-8472-b32320834e08}" done="0">
    <x18tc:text xml:space="preserve">Data de Inst.</x18tc:text>
  </x18tc:threadedComment>
  <x18tc:threadedComment ref="AC604" dT="2025-02-07T13:56:10.00" personId="{6c3cfef6-2a2b-4523-b695-882d6eeec17a}" id="{279fb920-e88a-403a-8b53-80c9ae76480f}" done="0">
    <x18tc:text xml:space="preserve">Data de instalação</x18tc:text>
  </x18tc:threadedComment>
  <x18tc:threadedComment ref="S381" dT="2025-06-04T13:37:31.00" personId="{6c3cfef6-2a2b-4523-b695-882d6eeec17a}" id="{81562049-5c9a-442a-9b67-d2bcef2c6922}" done="0">
    <x18tc:text xml:space="preserve">Data de instalação</x18tc:text>
  </x18tc:threadedComment>
  <x18tc:threadedComment ref="S1588" dT="2025-03-18T18:54:47.00" personId="{6c3cfef6-2a2b-4523-b695-882d6eeec17a}" id="{e207db66-df94-4228-bccf-35837dbc2b83}" done="0">
    <x18tc:text xml:space="preserve">Data de instalação</x18tc:text>
  </x18tc:threadedComment>
  <x18tc:threadedComment ref="AI829" dT="2025-06-05T18:14:31.00" personId="{6c3cfef6-2a2b-4523-b695-882d6eeec17a}" id="{99d4aaaa-d113-445b-9c98-db4d58122e4f}" done="0">
    <x18tc:text xml:space="preserve">O problema deverá ser solucionado em até 48H, sendo remoto ou in-loco</x18tc:text>
  </x18tc:threadedComment>
  <x18tc:threadedComment ref="AC1297" dT="2025-09-25T20:22:43.00" personId="{6c3cfef6-2a2b-4523-b695-882d6eeec17a}" id="{c668bd19-b70e-43d3-82e6-fd96aff9aa7f}" done="0">
    <x18tc:text xml:space="preserve">Data de assinatura do contrato, mencionada no RP</x18tc:text>
  </x18tc:threadedComment>
  <x18tc:threadedComment ref="AC617" dT="2025-02-07T13:56:10.00" personId="{6c3cfef6-2a2b-4523-b695-882d6eeec17a}" id="{9c7411b3-7d59-464d-96c9-4cf7c3843545}" done="0">
    <x18tc:text xml:space="preserve">Data de instalação</x18tc:text>
  </x18tc:threadedComment>
  <x18tc:threadedComment ref="X77" dT="2025-05-30T13:32:34.00" personId="{6c3cfef6-2a2b-4523-b695-882d6eeec17a}" id="{4012b279-37b1-438c-a948-c99d45c417ab}" done="0">
    <x18tc:text xml:space="preserve">Data informada pelo Comercial, na planilha "Controle de Prazos de Garantia - Aena"</x18tc:text>
  </x18tc:threadedComment>
  <x18tc:threadedComment ref="S945" dT="2024-11-01T18:44:47.00" personId="{6c3cfef6-2a2b-4523-b695-882d6eeec17a}" id="{8000244f-85a4-48ac-8f65-2dc037f31390}" done="0">
    <x18tc:text xml:space="preserve">Data do TRD</x18tc:text>
  </x18tc:threadedComment>
  <x18tc:threadedComment ref="S369" dT="2025-06-04T13:37:31.00" personId="{6c3cfef6-2a2b-4523-b695-882d6eeec17a}" id="{e58efea4-ab9d-4b27-8dc3-317a89235070}" done="0">
    <x18tc:text xml:space="preserve">Data de instalação</x18tc:text>
  </x18tc:threadedComment>
  <x18tc:threadedComment ref="S513" dT="2024-11-05T17:51:32.00" personId="{6c3cfef6-2a2b-4523-b695-882d6eeec17a}" id="{79fec15e-d9bb-43aa-a062-5654b80dbd22}" done="0">
    <x18tc:text xml:space="preserve">Data de inst.</x18tc:text>
  </x18tc:threadedComment>
  <x18tc:threadedComment ref="X806" dT="2025-06-04T19:33:39.00" personId="{6c3cfef6-2a2b-4523-b695-882d6eeec17a}" id="{f6a328d6-49d9-4ba5-a79a-b7406187f465}" done="0">
    <x18tc:text xml:space="preserve">Data mencionada no RP</x18tc:text>
  </x18tc:threadedComment>
  <x18tc:threadedComment ref="AC895" dT="2025-06-06T18:27:34.00" personId="{6c3cfef6-2a2b-4523-b695-882d6eeec17a}" id="{8d99f165-3abb-49c5-8205-3cd98b82277e}" done="0">
    <x18tc:text xml:space="preserve">Data de instalação</x18tc:text>
  </x18tc:threadedComment>
  <x18tc:threadedComment ref="AC264" dT="2025-05-30T14:46:23.00" personId="{6c3cfef6-2a2b-4523-b695-882d6eeec17a}" id="{1617c20f-864e-4997-9829-d53b1b05af13}" done="0">
    <x18tc:text xml:space="preserve">Data informada no RP</x18tc:text>
  </x18tc:threadedComment>
  <x18tc:threadedComment ref="S1364" dT="2025-06-09T18:03:00.00" personId="{6c3cfef6-2a2b-4523-b695-882d6eeec17a}" id="{3287e0a1-92a8-47a7-9833-20418c908d43}" done="0">
    <x18tc:text xml:space="preserve">Data de instalação</x18tc:text>
  </x18tc:threadedComment>
  <x18tc:threadedComment ref="S89" dT="2025-05-30T13:32:34.00" personId="{6c3cfef6-2a2b-4523-b695-882d6eeec17a}" id="{b89dc175-b3c8-4db3-9b8d-8d86be564f65}" done="0">
    <x18tc:text xml:space="preserve">Data de instalação</x18tc:text>
  </x18tc:threadedComment>
  <x18tc:threadedComment ref="AC1206" dT="2025-09-25T20:22:43.00" personId="{6c3cfef6-2a2b-4523-b695-882d6eeec17a}" id="{5f2c7873-ed8a-4e98-b574-e2ece1ee983d}" done="0">
    <x18tc:text xml:space="preserve">Data de assinatura do contrato, mencionada no RP</x18tc:text>
  </x18tc:threadedComment>
  <x18tc:threadedComment ref="S451" dT="2025-02-05T11:22:19.00" personId="{6c3cfef6-2a2b-4523-b695-882d6eeec17a}" id="{bc42d756-b966-4736-bc57-5f5c5cb76f7a}" done="0">
    <x18tc:text xml:space="preserve">Data do TRD</x18tc:text>
  </x18tc:threadedComment>
  <x18tc:threadedComment ref="S971" dT="2024-11-01T18:44:47.00" personId="{6c3cfef6-2a2b-4523-b695-882d6eeec17a}" id="{24a9292a-12d0-4dcf-860d-606ed992df9c}" done="0">
    <x18tc:text xml:space="preserve">Data do TRD</x18tc:text>
  </x18tc:threadedComment>
  <x18tc:threadedComment ref="S241" dT="2025-05-30T14:46:23.00" personId="{6c3cfef6-2a2b-4523-b695-882d6eeec17a}" id="{f9015439-4279-433d-84e2-a2eedcbcb04e}" done="0">
    <x18tc:text xml:space="preserve">Data de instalação</x18tc:text>
  </x18tc:threadedComment>
  <x18tc:threadedComment ref="S1593" dT="2025-03-18T18:54:47.00" personId="{6c3cfef6-2a2b-4523-b695-882d6eeec17a}" id="{8c6e9034-a545-45c2-9235-5c7a824c4d06}" done="0">
    <x18tc:text xml:space="preserve">Data de instalação</x18tc:text>
  </x18tc:threadedComment>
  <x18tc:threadedComment ref="AC1161" dT="2025-09-25T20:22:43.00" personId="{6c3cfef6-2a2b-4523-b695-882d6eeec17a}" id="{315fed17-2741-4b56-99c1-a22dfadaf710}" done="0">
    <x18tc:text xml:space="preserve">Data de assinatura do contrato, mencionada no RP</x18tc:text>
  </x18tc:threadedComment>
  <x18tc:threadedComment ref="AC554" dT="2025-02-07T13:56:10.00" personId="{6c3cfef6-2a2b-4523-b695-882d6eeec17a}" id="{d1ef0c6e-ac9b-472d-a81d-eed557f92b01}" done="0">
    <x18tc:text xml:space="preserve">Data do 4º Termo Adt</x18tc:text>
  </x18tc:threadedComment>
  <x18tc:threadedComment ref="X65" dT="2025-05-30T13:32:34.00" personId="{6c3cfef6-2a2b-4523-b695-882d6eeec17a}" id="{19825718-b263-4af3-b222-da0f1ad30140}" done="0">
    <x18tc:text xml:space="preserve">Data informada pelo Comercial, na planilha "Controle de Prazos de Garantia - Aena"</x18tc:text>
  </x18tc:threadedComment>
  <x18tc:threadedComment ref="AC1323" dT="2025-06-09T17:35:03.00" personId="{6c3cfef6-2a2b-4523-b695-882d6eeec17a}" id="{a83e3cf1-d88d-4d53-a80e-39354182ef04}" done="0">
    <x18tc:text xml:space="preserve">Data do 5º Temo Adt</x18tc:text>
  </x18tc:threadedComment>
  <x18tc:threadedComment ref="S35" dT="2025-05-30T13:32:34.00" personId="{6c3cfef6-2a2b-4523-b695-882d6eeec17a}" id="{ebd9958e-9725-4f9f-b5b4-dd06d628877e}" done="0">
    <x18tc:text xml:space="preserve">Data de instalação</x18tc:text>
  </x18tc:threadedComment>
  <x18tc:threadedComment ref="X1112" dT="2025-06-09T17:19:07.00" personId="{6c3cfef6-2a2b-4523-b695-882d6eeec17a}" id="{e0b709fd-d41a-4c91-9591-682952f77a8b}" done="0">
    <x18tc:text xml:space="preserve">Data da Renovação Contratual</x18tc:text>
  </x18tc:threadedComment>
  <x18tc:threadedComment ref="S522" dT="2025-02-05T11:22:19.00" personId="{6c3cfef6-2a2b-4523-b695-882d6eeec17a}" id="{bd9b9705-e6b5-4a32-9f01-63a8c6c38ece}" done="0">
    <x18tc:text xml:space="preserve">Data do TRD</x18tc:text>
  </x18tc:threadedComment>
  <x18tc:threadedComment ref="AC671" dT="2025-06-04T18:43:40.00" personId="{6c3cfef6-2a2b-4523-b695-882d6eeec17a}" id="{7bd66679-79ba-4128-a9e4-d5195572cccc}" done="0">
    <x18tc:text xml:space="preserve">Data de instalação</x18tc:text>
  </x18tc:threadedComment>
  <x18tc:threadedComment ref="AI831" dT="2025-06-05T18:14:31.00" personId="{6c3cfef6-2a2b-4523-b695-882d6eeec17a}" id="{189c57d2-cf19-4275-8856-55f1eb3fd59f}" done="0">
    <x18tc:text xml:space="preserve">O problema deverá ser solucionado em até 48H, sendo remoto ou in-loco</x18tc:text>
  </x18tc:threadedComment>
  <x18tc:threadedComment ref="S1506" dT="2025-03-19T12:32:47.00" personId="{6c3cfef6-2a2b-4523-b695-882d6eeec17a}" id="{f1ab1648-6659-431a-94b2-5e34c3b1c702}" done="0">
    <x18tc:text xml:space="preserve">Data do TRD</x18tc:text>
  </x18tc:threadedComment>
  <x18tc:threadedComment ref="S396" dT="2025-06-04T13:37:31.00" personId="{6c3cfef6-2a2b-4523-b695-882d6eeec17a}" id="{df7652c4-ee63-4d11-b401-bfc002cec8eb}" done="0">
    <x18tc:text xml:space="preserve">Data de instalação</x18tc:text>
  </x18tc:threadedComment>
  <x18tc:threadedComment ref="S1056" dT="2025-06-09T17:02:24.00" personId="{6c3cfef6-2a2b-4523-b695-882d6eeec17a}" id="{094855c8-4efc-4490-b1b4-bd3b45a1d30a}" done="0">
    <x18tc:text xml:space="preserve">Data de instalação</x18tc:text>
  </x18tc:threadedComment>
  <x18tc:threadedComment ref="AC727" dT="2025-06-04T18:43:40.00" personId="{6c3cfef6-2a2b-4523-b695-882d6eeec17a}" id="{19116ca5-83b6-4c92-8a4c-ea4b91b903ce}" done="0">
    <x18tc:text xml:space="preserve">Data de instalação</x18tc:text>
  </x18tc:threadedComment>
  <x18tc:threadedComment ref="AC1304" dT="2024-11-07T14:41:02.00" personId="{6c3cfef6-2a2b-4523-b695-882d6eeec17a}" id="{6e69d804-4f45-479b-85da-5c0a12459dce}" done="0">
    <x18tc:text xml:space="preserve">Data simbólica informada pelo Cláudio</x18tc:text>
  </x18tc:threadedComment>
  <x18tc:threadedComment ref="S503" dT="2025-06-04T13:37:31.00" personId="{6c3cfef6-2a2b-4523-b695-882d6eeec17a}" id="{bc06a83f-f0f1-4f75-9c88-8531441db268}" done="0">
    <x18tc:text xml:space="preserve">Data de instalação</x18tc:text>
  </x18tc:threadedComment>
  <x18tc:threadedComment ref="S216" dT="2025-01-06T14:21:51.00" personId="{6c3cfef6-2a2b-4523-b695-882d6eeec17a}" id="{72766d01-e6ec-47a3-891e-feeee2b74d5d}" done="0">
    <x18tc:text xml:space="preserve">Data do TRD</x18tc:text>
  </x18tc:threadedComment>
  <x18tc:threadedComment ref="S1054" dT="2024-11-01T18:46:57.00" personId="{6c3cfef6-2a2b-4523-b695-882d6eeec17a}" id="{208ef366-17a6-4517-90f2-fa039d4b6c93}" done="0">
    <x18tc:text xml:space="preserve">Data do TRD</x18tc:text>
  </x18tc:threadedComment>
  <x18tc:threadedComment ref="X222" dT="2025-01-31T18:15:26.00" personId="{6c3cfef6-2a2b-4523-b695-882d6eeec17a}" id="{b640029a-71c7-4ee7-a248-b0ef5705c2c9}" done="0">
    <x18tc:text xml:space="preserve">Data do 1º Termo Aditivo</x18tc:text>
  </x18tc:threadedComment>
  <x18tc:threadedComment ref="S38" dT="2025-05-30T13:32:34.00" personId="{6c3cfef6-2a2b-4523-b695-882d6eeec17a}" id="{d524733c-1d10-4493-8c5b-7471f0e0463e}" done="0">
    <x18tc:text xml:space="preserve">Data de instalação</x18tc:text>
  </x18tc:threadedComment>
  <x18tc:threadedComment ref="S526" dT="2025-02-05T12:56:49.00" personId="{6c3cfef6-2a2b-4523-b695-882d6eeec17a}" id="{606fb473-e561-477c-87fa-b0cf026f3eaa}" done="0">
    <x18tc:text xml:space="preserve">Data de Inst.</x18tc:text>
  </x18tc:threadedComment>
  <x18tc:threadedComment ref="AC1280" dT="2024-11-07T14:41:02.00" personId="{6c3cfef6-2a2b-4523-b695-882d6eeec17a}" id="{d155dca8-3004-436e-b645-0b27c00e75d0}" done="0">
    <x18tc:text xml:space="preserve">Data simbólica informada pelo Cláudio</x18tc:text>
  </x18tc:threadedComment>
  <x18tc:threadedComment ref="S414" dT="2025-02-05T11:22:19.00" personId="{6c3cfef6-2a2b-4523-b695-882d6eeec17a}" id="{b91da866-179b-4d17-a1a4-80be29b0d1a3}" done="0">
    <x18tc:text xml:space="preserve">Data do TRD</x18tc:text>
  </x18tc:threadedComment>
  <x18tc:threadedComment ref="AC1205" dT="2024-11-13T12:33:26.00" personId="{6c3cfef6-2a2b-4523-b695-882d6eeec17a}" id="{885e716b-4262-414e-9f57-4c04637dd142}" done="0">
    <x18tc:text xml:space="preserve">Data de inst.</x18tc:text>
  </x18tc:threadedComment>
  <x18tc:threadedComment ref="X1147" dT="2025-06-09T17:21:53.00" personId="{6c3cfef6-2a2b-4523-b695-882d6eeec17a}" id="{63ca1333-a0f5-4c93-8597-72645ae329ef}" done="0">
    <x18tc:text xml:space="preserve">Data mencionada no RP</x18tc:text>
  </x18tc:threadedComment>
  <x18tc:threadedComment ref="S1586" dT="2025-03-18T18:54:47.00" personId="{6c3cfef6-2a2b-4523-b695-882d6eeec17a}" id="{37a7b44e-92ac-47ef-8192-4d5f03e699c5}" done="0">
    <x18tc:text xml:space="preserve">Data de instalação</x18tc:text>
  </x18tc:threadedComment>
  <x18tc:threadedComment ref="AJ577" dT="2025-06-04T16:46:32.00" personId="{6c3cfef6-2a2b-4523-b695-882d6eeec17a}" id="{b3057501-fb59-4073-a5ab-23647775ee6a}" done="0">
    <x18tc:text xml:space="preserve">Prazos contados para chamados abertos até as 15:00.
Após esse horário, a contagem começa as 06:00 do dia seguinte</x18tc:text>
  </x18tc:threadedComment>
  <x18tc:threadedComment ref="S277" dT="2025-05-30T18:45:10.00" personId="{6c3cfef6-2a2b-4523-b695-882d6eeec17a}" id="{41cac770-0396-4e7c-b6f1-857dddb8fa61}" done="0">
    <x18tc:text xml:space="preserve">Data de instalação</x18tc:text>
  </x18tc:threadedComment>
  <x18tc:threadedComment ref="S240" dT="2025-05-30T14:46:23.00" personId="{6c3cfef6-2a2b-4523-b695-882d6eeec17a}" id="{f6207213-3c35-43d4-9fb4-588962e68917}" done="0">
    <x18tc:text xml:space="preserve">Data de instalação</x18tc:text>
  </x18tc:threadedComment>
  <x18tc:threadedComment ref="S1423" dT="2024-11-05T14:01:53.00" personId="{6c3cfef6-2a2b-4523-b695-882d6eeec17a}" id="{e021e391-a55c-4053-81b2-01a215c07a2c}" done="0">
    <x18tc:text xml:space="preserve">Data do TRD</x18tc:text>
  </x18tc:threadedComment>
  <x18tc:threadedComment ref="S525" dT="2025-02-05T16:59:48.00" personId="{6c3cfef6-2a2b-4523-b695-882d6eeec17a}" id="{aea18d6b-20d1-44fc-99a2-dbc7b23c3863}" done="0">
    <x18tc:text xml:space="preserve">Data do TRD</x18tc:text>
  </x18tc:threadedComment>
  <x18tc:threadedComment ref="S70" dT="2025-05-30T13:32:34.00" personId="{6c3cfef6-2a2b-4523-b695-882d6eeec17a}" id="{9d4c4476-0149-4e53-be29-697bdc253d5c}" done="0">
    <x18tc:text xml:space="preserve">Data de instalação</x18tc:text>
  </x18tc:threadedComment>
  <x18tc:threadedComment ref="S751" dT="2025-06-04T17:54:23.00" personId="{6c3cfef6-2a2b-4523-b695-882d6eeec17a}" id="{96a7867c-ce3b-435e-b20c-06620367b61c}" done="0">
    <x18tc:text xml:space="preserve">Data de instalação</x18tc:text>
  </x18tc:threadedComment>
  <x18tc:threadedComment ref="AC190" dT="2025-05-30T14:43:21.00" personId="{6c3cfef6-2a2b-4523-b695-882d6eeec17a}" id="{9b66d483-2923-4714-8944-88523a4b982e}" done="0">
    <x18tc:text xml:space="preserve">Data 2º Adt</x18tc:text>
  </x18tc:threadedComment>
  <x18tc:threadedComment ref="S57" dT="2025-05-30T13:32:34.00" personId="{6c3cfef6-2a2b-4523-b695-882d6eeec17a}" id="{88aa27d6-2a23-491f-afd5-2abaf0ce7af4}" done="0">
    <x18tc:text xml:space="preserve">Data de instalação</x18tc:text>
  </x18tc:threadedComment>
  <x18tc:threadedComment ref="S505" dT="2025-02-05T11:22:19.00" personId="{6c3cfef6-2a2b-4523-b695-882d6eeec17a}" id="{1b085563-c81a-4871-b88f-8833857742b3}" done="0">
    <x18tc:text xml:space="preserve">Data do TRD</x18tc:text>
  </x18tc:threadedComment>
  <x18tc:threadedComment ref="S1065" dT="2025-06-09T17:02:24.00" personId="{6c3cfef6-2a2b-4523-b695-882d6eeec17a}" id="{44e8d0cf-1628-4c8d-a27b-07cee01de0cf}" done="0">
    <x18tc:text xml:space="preserve">Data de instalação</x18tc:text>
  </x18tc:threadedComment>
  <x18tc:threadedComment ref="AC1271" dT="2024-11-07T14:41:02.00" personId="{6c3cfef6-2a2b-4523-b695-882d6eeec17a}" id="{de5db434-f4d1-438e-9c8b-6036e53fe1be}" done="0">
    <x18tc:text xml:space="preserve">Data simbólica informada pelo Cláudio</x18tc:text>
  </x18tc:threadedComment>
  <x18tc:threadedComment ref="S457" dT="2025-02-05T11:22:19.00" personId="{6c3cfef6-2a2b-4523-b695-882d6eeec17a}" id="{05087965-652e-402b-81cb-30bedf9282d4}" done="0">
    <x18tc:text xml:space="preserve">Data do TRD</x18tc:text>
  </x18tc:threadedComment>
  <x18tc:threadedComment ref="AC184" dT="2025-05-30T14:43:21.00" personId="{6c3cfef6-2a2b-4523-b695-882d6eeec17a}" id="{9dcf5426-afd4-4b0f-a776-eea05c49ceca}" done="0">
    <x18tc:text xml:space="preserve">Data 2º Adt</x18tc:text>
  </x18tc:threadedComment>
  <x18tc:threadedComment ref="S409" dT="2025-02-05T11:22:19.00" personId="{6c3cfef6-2a2b-4523-b695-882d6eeec17a}" id="{7e96ea85-e1c4-4719-9e5e-3e233414cbb0}" done="0">
    <x18tc:text xml:space="preserve">Data do TRD</x18tc:text>
  </x18tc:threadedComment>
  <x18tc:threadedComment ref="S1155" dT="2025-03-13T18:46:48.00" personId="{6c3cfef6-2a2b-4523-b695-882d6eeec17a}" id="{8d58000a-9736-48d1-b38f-7956cdca54d8}" done="0">
    <x18tc:text xml:space="preserve">Data do TRD</x18tc:text>
  </x18tc:threadedComment>
  <x18tc:threadedComment ref="X234" dT="2025-01-31T18:15:26.00" personId="{6c3cfef6-2a2b-4523-b695-882d6eeec17a}" id="{8c71cfd6-20c9-4079-87b0-e604e52fcfcb}" done="0">
    <x18tc:text xml:space="preserve">Data do 1º Termo Aditivo</x18tc:text>
  </x18tc:threadedComment>
  <x18tc:threadedComment ref="S1519" dT="2025-06-09T18:46:23.00" personId="{6c3cfef6-2a2b-4523-b695-882d6eeec17a}" id="{2041ebd9-1423-4803-80b3-04c0c929ea40}" done="0">
    <x18tc:text xml:space="preserve">Data de instalação</x18tc:text>
  </x18tc:threadedComment>
  <x18tc:threadedComment ref="X76" dT="2025-05-30T13:32:34.00" personId="{6c3cfef6-2a2b-4523-b695-882d6eeec17a}" id="{86d65253-2d52-4766-84a9-00ab0de26487}" done="0">
    <x18tc:text xml:space="preserve">Data informada pelo Comercial, na planilha "Controle de Prazos de Garantia - Aena"</x18tc:text>
  </x18tc:threadedComment>
  <x18tc:threadedComment ref="S558" dT="2025-06-04T13:37:31.00" personId="{6c3cfef6-2a2b-4523-b695-882d6eeec17a}" id="{a1d55d52-e850-4002-9f6b-8b75cc587e29}" done="0">
    <x18tc:text xml:space="preserve">Data de instalação</x18tc:text>
  </x18tc:threadedComment>
  <x18tc:threadedComment ref="S988" dT="2024-11-01T18:44:47.00" personId="{6c3cfef6-2a2b-4523-b695-882d6eeec17a}" id="{6bc6f4c2-3a34-4b54-8535-531bd7b0225b}" done="0">
    <x18tc:text xml:space="preserve">Data do TRD</x18tc:text>
  </x18tc:threadedComment>
  <x18tc:threadedComment ref="S1315" dT="2025-03-18T16:20:02.00" personId="{6c3cfef6-2a2b-4523-b695-882d6eeec17a}" id="{81fcf100-0211-455e-93fa-8585e99d8c92}" done="0">
    <x18tc:text xml:space="preserve">Data do TRD</x18tc:text>
  </x18tc:threadedComment>
  <x18tc:threadedComment ref="S1458" dT="2025-06-09T18:46:23.00" personId="{6c3cfef6-2a2b-4523-b695-882d6eeec17a}" id="{681f5553-4e36-4296-931d-b46ae3dae71d}" done="0">
    <x18tc:text xml:space="preserve">Data de instalação</x18tc:text>
  </x18tc:threadedComment>
  <x18tc:threadedComment ref="AC1305" dT="2025-09-25T20:22:43.00" personId="{6c3cfef6-2a2b-4523-b695-882d6eeec17a}" id="{d45039f1-e1ec-4d78-acfe-d2e099cd048f}" done="0">
    <x18tc:text xml:space="preserve">Data de assinatura do contrato, mencionada no RP</x18tc:text>
  </x18tc:threadedComment>
  <x18tc:threadedComment ref="S1465" dT="2025-06-09T18:46:23.00" personId="{6c3cfef6-2a2b-4523-b695-882d6eeec17a}" id="{a912c75c-2239-41bb-805f-93b6b988a260}" done="0">
    <x18tc:text xml:space="preserve">Data de instalação</x18tc:text>
  </x18tc:threadedComment>
  <x18tc:threadedComment ref="AC1187" dT="2024-11-07T14:41:02.00" personId="{6c3cfef6-2a2b-4523-b695-882d6eeec17a}" id="{921ce92b-50c0-4462-8b0a-41a90c1bc2bc}" done="0">
    <x18tc:text xml:space="preserve">Data simbólica informada pelo Cláudio</x18tc:text>
  </x18tc:threadedComment>
  <x18tc:threadedComment ref="X17" dT="2025-07-17T16:57:11.00" personId="{6c3cfef6-2a2b-4523-b695-882d6eeec17a}" id="{eb25c24f-86e1-4336-8304-37378f69b212}" done="0">
    <x18tc:text xml:space="preserve">Data informada pelo Comercial, na planilha "Controle de Prazos de Garantia - Aena"</x18tc:text>
  </x18tc:threadedComment>
  <x18tc:threadedComment ref="S1080" dT="2025-06-09T17:02:24.00" personId="{6c3cfef6-2a2b-4523-b695-882d6eeec17a}" id="{d1c4518d-a6fd-4d81-94e6-6adf57d21d10}" done="0">
    <x18tc:text xml:space="preserve">Data de instalação</x18tc:text>
  </x18tc:threadedComment>
  <x18tc:threadedComment ref="X18" dT="2025-07-17T17:49:14.00" personId="{6c3cfef6-2a2b-4523-b695-882d6eeec17a}" id="{b6a7db80-5573-43f0-aab3-eaf07090e83d}" done="0">
    <x18tc:text xml:space="preserve">Data informada pelo Comercial, na planilha "Controle de Prazos de Garantia - Aena"</x18tc:text>
  </x18tc:threadedComment>
  <x18tc:threadedComment ref="AC633" dT="2025-02-07T13:56:10.00" personId="{6c3cfef6-2a2b-4523-b695-882d6eeec17a}" id="{e5eceb20-8a4f-4953-8a0e-30444965495d}" done="0">
    <x18tc:text xml:space="preserve">Data de instalação</x18tc:text>
  </x18tc:threadedComment>
  <x18tc:threadedComment ref="S464" dT="2025-02-05T16:59:48.00" personId="{6c3cfef6-2a2b-4523-b695-882d6eeec17a}" id="{2083569b-0951-4379-b75e-07cbd8f40137}" done="0">
    <x18tc:text xml:space="preserve">Data do TRD</x18tc:text>
  </x18tc:threadedComment>
  <x18tc:threadedComment ref="S1637" dT="2025-06-04T13:37:31.00" personId="{6c3cfef6-2a2b-4523-b695-882d6eeec17a}" id="{52ff2d5f-4017-425b-a955-1c3dea826f96}" done="0">
    <x18tc:text xml:space="preserve">Data de instalação</x18tc:text>
  </x18tc:threadedComment>
  <x18tc:threadedComment ref="AC1536" dT="2025-06-09T19:06:46.00" personId="{6c3cfef6-2a2b-4523-b695-882d6eeec17a}" id="{9343f9cd-5b7f-4cd2-b8c5-e62ebcc423ff}" done="0">
    <x18tc:text xml:space="preserve">Data de instalação</x18tc:text>
  </x18tc:threadedComment>
  <x18tc:threadedComment ref="X233" dT="2025-01-31T18:15:26.00" personId="{6c3cfef6-2a2b-4523-b695-882d6eeec17a}" id="{c3e9e4d7-fc80-4960-bc3b-806f79de328e}" done="0">
    <x18tc:text xml:space="preserve">Data do 1º Termo Aditivo</x18tc:text>
  </x18tc:threadedComment>
  <x18tc:threadedComment ref="S1430" dT="2024-11-01T19:16:18.00" personId="{6c3cfef6-2a2b-4523-b695-882d6eeec17a}" id="{c98f67c6-b936-489e-9ce5-d0604dc27e9e}" done="0">
    <x18tc:text xml:space="preserve">Data do TRD</x18tc:text>
  </x18tc:threadedComment>
  <x18tc:threadedComment ref="AC1644" dT="2025-06-06T19:39:32.00" personId="{6c3cfef6-2a2b-4523-b695-882d6eeec17a}" id="{a9456a1a-c856-476a-adc3-5524552d7509}" done="0">
    <x18tc:text xml:space="preserve">Data mencionada no RP</x18tc:text>
  </x18tc:threadedComment>
  <x18tc:threadedComment ref="S1563" dT="2025-06-09T19:34:06.00" personId="{6c3cfef6-2a2b-4523-b695-882d6eeec17a}" id="{41f62be1-dfe5-46b3-83d1-b3c870bf1ca8}" done="0">
    <x18tc:text xml:space="preserve">Data do TRD</x18tc:text>
  </x18tc:threadedComment>
  <x18tc:threadedComment ref="S1631" dT="2025-06-04T13:37:31.00" personId="{6c3cfef6-2a2b-4523-b695-882d6eeec17a}" id="{5e911890-4da8-44cf-a54e-8f36ac973b69}" done="0">
    <x18tc:text xml:space="preserve">Data de instalação</x18tc:text>
  </x18tc:threadedComment>
  <x18tc:threadedComment ref="S557" dT="2025-06-04T13:37:31.00" personId="{6c3cfef6-2a2b-4523-b695-882d6eeec17a}" id="{dcb51f86-5b86-4fca-a22c-d832077fda3f}" done="0">
    <x18tc:text xml:space="preserve">Data de instalação</x18tc:text>
  </x18tc:threadedComment>
  <x18tc:threadedComment ref="AC201" dT="2025-05-30T14:46:23.00" personId="{6c3cfef6-2a2b-4523-b695-882d6eeec17a}" id="{833744bb-ea43-460c-856c-c4fd7d96eaec}" done="0">
    <x18tc:text xml:space="preserve">Data de instalação</x18tc:text>
  </x18tc:threadedComment>
  <x18tc:threadedComment ref="S965" dT="2025-06-09T16:36:29.00" personId="{6c3cfef6-2a2b-4523-b695-882d6eeec17a}" id="{928c6297-5161-4243-8fbd-c72355ef1662}" done="0">
    <x18tc:text xml:space="preserve">Data de instalação</x18tc:text>
  </x18tc:threadedComment>
  <x18tc:threadedComment ref="S990" dT="2025-06-09T16:29:01.00" personId="{6c3cfef6-2a2b-4523-b695-882d6eeec17a}" id="{0adb4a30-cd24-49d3-8cd8-5a19b29a7978}" done="0">
    <x18tc:text xml:space="preserve">Data de instalação</x18tc:text>
  </x18tc:threadedComment>
  <x18tc:threadedComment ref="X45" dT="2025-07-17T16:54:55.00" personId="{6c3cfef6-2a2b-4523-b695-882d6eeec17a}" id="{c120204e-7f51-4112-a10e-63d4558c34d3}" done="0">
    <x18tc:text xml:space="preserve">Data informada pelo Comercial, na planilha "Controle de Prazos de Garantia - Aena"</x18tc:text>
  </x18tc:threadedComment>
  <x18tc:threadedComment ref="AC1331" dT="2025-06-09T17:35:03.00" personId="{6c3cfef6-2a2b-4523-b695-882d6eeec17a}" id="{e3064f93-a524-4cef-9803-aa1aa51ea185}" done="0">
    <x18tc:text xml:space="preserve">Data do 5º Temo Adt</x18tc:text>
  </x18tc:threadedComment>
  <x18tc:threadedComment ref="AL1414" dT="2025-06-09T18:38:48.00" personId="{6c3cfef6-2a2b-4523-b695-882d6eeec17a}" id="{61dab3bf-488d-4f9c-8617-dfda44c960d8}" done="0">
    <x18tc:text xml:space="preserve">Somente peças da lista</x18tc:text>
  </x18tc:threadedComment>
  <x18tc:threadedComment ref="AC1273" dT="2024-11-07T14:41:02.00" personId="{6c3cfef6-2a2b-4523-b695-882d6eeec17a}" id="{85b73349-4643-4f82-bb80-89c3fc85f23f}" done="0">
    <x18tc:text xml:space="preserve">Data simbólica informada pelo Cláudio</x18tc:text>
  </x18tc:threadedComment>
  <x18tc:threadedComment ref="S493" dT="2025-02-05T11:22:19.00" personId="{6c3cfef6-2a2b-4523-b695-882d6eeec17a}" id="{f7f1e3d8-fac0-4199-a8ba-b0eaeb2fc0a6}" done="0">
    <x18tc:text xml:space="preserve">Data do TRD</x18tc:text>
  </x18tc:threadedComment>
  <x18tc:threadedComment ref="S168" dT="2025-05-30T14:31:17.00" personId="{6c3cfef6-2a2b-4523-b695-882d6eeec17a}" id="{cb39b702-f02e-4efb-bf03-73d54dfeea18}" done="0">
    <x18tc:text xml:space="preserve">Data de instalação</x18tc:text>
  </x18tc:threadedComment>
  <x18tc:threadedComment ref="X102" dT="2025-05-30T13:32:34.00" personId="{6c3cfef6-2a2b-4523-b695-882d6eeec17a}" id="{a90a12ec-7ee0-4e53-b006-13704c67f520}" done="0">
    <x18tc:text xml:space="preserve">Data de instalação</x18tc:text>
  </x18tc:threadedComment>
  <x18tc:threadedComment ref="AJ829" dT="2025-06-05T18:14:31.00" personId="{6c3cfef6-2a2b-4523-b695-882d6eeec17a}" id="{0c429874-e697-49dd-b174-0840a0b72b6b}" done="0">
    <x18tc:text xml:space="preserve">O problema deverá ser solucionado em até 48H, sendo remoto ou in-loco</x18tc:text>
  </x18tc:threadedComment>
  <x18tc:threadedComment ref="S814" dT="2025-06-04T19:04:19.00" personId="{6c3cfef6-2a2b-4523-b695-882d6eeec17a}" id="{77532525-6042-4be5-8978-1bb66fa79353}" done="0">
    <x18tc:text xml:space="preserve">Data de instalação</x18tc:text>
  </x18tc:threadedComment>
  <x18tc:threadedComment ref="S829" dT="2025-06-05T18:08:29.00" personId="{6c3cfef6-2a2b-4523-b695-882d6eeec17a}" id="{89e9aa00-dc16-4e93-8576-cc2c812313b9}" done="0">
    <x18tc:text xml:space="preserve">Data de instalação</x18tc:text>
  </x18tc:threadedComment>
  <x18tc:threadedComment ref="AC195" dT="2025-05-30T14:46:23.00" personId="{6c3cfef6-2a2b-4523-b695-882d6eeec17a}" id="{e0a753f0-cb3f-4bc9-9726-8cec7484b81a}" done="0">
    <x18tc:text xml:space="preserve">Data de instalação</x18tc:text>
  </x18tc:threadedComment>
  <x18tc:threadedComment ref="S947" dT="2024-11-01T18:44:47.00" personId="{6c3cfef6-2a2b-4523-b695-882d6eeec17a}" id="{16948e32-990b-4eb9-b5fb-9b89752a67a2}" done="0">
    <x18tc:text xml:space="preserve">Data do TRD</x18tc:text>
  </x18tc:threadedComment>
  <x18tc:threadedComment ref="AC1329" dT="2025-06-09T17:35:03.00" personId="{6c3cfef6-2a2b-4523-b695-882d6eeec17a}" id="{40fedb9f-fedc-49b6-9cc8-9a7e5479f577}" done="0">
    <x18tc:text xml:space="preserve">Data do 5º Temo Adt</x18tc:text>
  </x18tc:threadedComment>
  <x18tc:threadedComment ref="S308" dT="2025-05-30T18:39:21.00" personId="{6c3cfef6-2a2b-4523-b695-882d6eeec17a}" id="{1d890e2e-2d2a-4553-a4ae-a89c77be305e}" done="0">
    <x18tc:text xml:space="preserve">Data de instalação</x18tc:text>
  </x18tc:threadedComment>
  <x18tc:threadedComment ref="AC350" dT="2025-01-31T18:49:16.00" personId="{6c3cfef6-2a2b-4523-b695-882d6eeec17a}" id="{8a6c1945-5aa8-4add-a2a6-feb51599ed70}" done="0">
    <x18tc:text xml:space="preserve">Data do 1º Termo Aditivo</x18tc:text>
  </x18tc:threadedComment>
  <x18tc:threadedComment ref="X1111" dT="2025-06-09T17:19:07.00" personId="{6c3cfef6-2a2b-4523-b695-882d6eeec17a}" id="{89a78de9-19f5-4312-8375-70a76852b2ad}" done="0">
    <x18tc:text xml:space="preserve">Data da Renovação Contratual</x18tc:text>
  </x18tc:threadedComment>
  <x18tc:threadedComment ref="AJ568" dT="2025-06-04T16:46:32.00" personId="{6c3cfef6-2a2b-4523-b695-882d6eeec17a}" id="{36e1a400-6614-47c6-a6fe-213d04848c78}" done="0">
    <x18tc:text xml:space="preserve">Prazos contados para chamados abertos até as 15:00.
Após esse horário, a contagem começa as 06:00 do dia seguinte</x18tc:text>
  </x18tc:threadedComment>
  <x18tc:threadedComment ref="AC181" dT="2025-05-30T14:43:21.00" personId="{6c3cfef6-2a2b-4523-b695-882d6eeec17a}" id="{d10b6584-0350-4209-b87f-7b46f42611f7}" done="0">
    <x18tc:text xml:space="preserve">Data 2º Adt</x18tc:text>
  </x18tc:threadedComment>
  <x18tc:threadedComment ref="X30" dT="2025-05-30T13:32:34.00" personId="{6c3cfef6-2a2b-4523-b695-882d6eeec17a}" id="{c7999677-cd63-4bc9-a974-487435e2f8e7}" done="0">
    <x18tc:text xml:space="preserve">Data de instalação</x18tc:text>
  </x18tc:threadedComment>
  <x18tc:threadedComment ref="AC1233" dT="2025-09-25T20:22:43.00" personId="{6c3cfef6-2a2b-4523-b695-882d6eeec17a}" id="{0a092d7e-a033-4956-b650-b5fe69cbd1d0}" done="0">
    <x18tc:text xml:space="preserve">Data de assinatura do contrato, mencionada no RP</x18tc:text>
  </x18tc:threadedComment>
  <x18tc:threadedComment ref="AC700" dT="2025-06-04T18:43:40.00" personId="{6c3cfef6-2a2b-4523-b695-882d6eeec17a}" id="{92f508a4-370e-4a2a-bf3a-4f7b3c9e8959}" done="0">
    <x18tc:text xml:space="preserve">Data de instalação</x18tc:text>
  </x18tc:threadedComment>
  <x18tc:threadedComment ref="X75" dT="2025-05-30T13:32:34.00" personId="{6c3cfef6-2a2b-4523-b695-882d6eeec17a}" id="{1165fd76-b6c0-4a74-87d6-ec53b1bf240e}" done="0">
    <x18tc:text xml:space="preserve">Data informada pelo Comercial, na planilha "Controle de Prazos de Garantia - Aena"</x18tc:text>
  </x18tc:threadedComment>
  <x18tc:threadedComment ref="AC638" dT="2025-02-07T13:56:10.00" personId="{6c3cfef6-2a2b-4523-b695-882d6eeec17a}" id="{706e48e4-20bf-4a99-b0c1-0c25f5c75cbc}" done="0">
    <x18tc:text xml:space="preserve">Data de instalação</x18tc:text>
  </x18tc:threadedComment>
  <x18tc:threadedComment ref="S485" dT="2025-06-04T15:01:11.00" personId="{6c3cfef6-2a2b-4523-b695-882d6eeec17a}" id="{4d86bffc-ae1a-4b66-abb9-0ea70e3bdb6a}" done="0">
    <x18tc:text xml:space="preserve">Data do TRD</x18tc:text>
  </x18tc:threadedComment>
  <x18tc:threadedComment ref="S912" dT="2025-06-09T13:42:09.00" personId="{6c3cfef6-2a2b-4523-b695-882d6eeec17a}" id="{26fc9c6f-964f-4d8d-9bb4-fb2f5430b944}" done="0">
    <x18tc:text xml:space="preserve">Data de instalação</x18tc:text>
  </x18tc:threadedComment>
  <x18tc:threadedComment ref="X11" dT="2025-05-30T13:32:34.00" personId="{6c3cfef6-2a2b-4523-b695-882d6eeec17a}" id="{d49f1948-81bb-4b8a-ba15-87e07a91fc17}" done="0">
    <x18tc:text xml:space="preserve">Data de instalação</x18tc:text>
  </x18tc:threadedComment>
  <x18tc:threadedComment ref="AC1293" dT="2025-07-03T17:39:15.00" personId="{6c3cfef6-2a2b-4523-b695-882d6eeec17a}" id="{6dc384c0-094b-408f-a38f-e0658a2f09f3}" done="0">
    <x18tc:text xml:space="preserve">Data de instalação</x18tc:text>
  </x18tc:threadedComment>
  <x18tc:threadedComment ref="X873" dT="2025-06-06T18:21:21.00" personId="{6c3cfef6-2a2b-4523-b695-882d6eeec17a}" id="{9993429f-fcb0-4e13-9e5d-6432195e0876}" done="0">
    <x18tc:text xml:space="preserve">Data do Termo Adt</x18tc:text>
  </x18tc:threadedComment>
  <x18tc:threadedComment ref="S249" dT="2025-05-30T14:46:23.00" personId="{6c3cfef6-2a2b-4523-b695-882d6eeec17a}" id="{fd2ed920-b563-4504-bd90-aa06cf4f2603}" done="0">
    <x18tc:text xml:space="preserve">Data de instalação</x18tc:text>
  </x18tc:threadedComment>
  <x18tc:threadedComment ref="S763" dT="2025-06-04T17:54:23.00" personId="{6c3cfef6-2a2b-4523-b695-882d6eeec17a}" id="{e72958e3-a33b-4fc3-84b3-8eb4427504e0}" done="0">
    <x18tc:text xml:space="preserve">Data de instalação</x18tc:text>
  </x18tc:threadedComment>
  <x18tc:threadedComment ref="S311" dT="2025-05-30T18:39:21.00" personId="{6c3cfef6-2a2b-4523-b695-882d6eeec17a}" id="{42f54a8e-be49-4d24-b142-597d90e4ce66}" done="0">
    <x18tc:text xml:space="preserve">Data de instalação</x18tc:text>
  </x18tc:threadedComment>
  <x18tc:threadedComment ref="S398" dT="2025-06-04T13:37:31.00" personId="{6c3cfef6-2a2b-4523-b695-882d6eeec17a}" id="{0582e0a6-6854-4882-a51c-a2ec9f6b6725}" done="0">
    <x18tc:text xml:space="preserve">Data de instalação</x18tc:text>
  </x18tc:threadedComment>
  <x18tc:threadedComment ref="S1497" dT="2025-06-09T18:46:23.00" personId="{6c3cfef6-2a2b-4523-b695-882d6eeec17a}" id="{f747a126-e879-42b6-9a36-9e2f1f7ea8ad}" done="0">
    <x18tc:text xml:space="preserve">Data de instalação</x18tc:text>
  </x18tc:threadedComment>
  <x18tc:threadedComment ref="S460" dT="2025-06-04T15:01:11.00" personId="{6c3cfef6-2a2b-4523-b695-882d6eeec17a}" id="{533d3815-b67f-4305-9830-84a58994c579}" done="0">
    <x18tc:text xml:space="preserve">Data do TRD</x18tc:text>
  </x18tc:threadedComment>
  <x18tc:threadedComment ref="S283" dT="2025-05-30T18:39:21.00" personId="{6c3cfef6-2a2b-4523-b695-882d6eeec17a}" id="{6ebcf292-f432-4cbf-b645-54b79782e86a}" done="0">
    <x18tc:text xml:space="preserve">Data de instalação</x18tc:text>
  </x18tc:threadedComment>
  <x18tc:threadedComment ref="S1401" dT="2025-01-07T17:30:30.00" personId="{6c3cfef6-2a2b-4523-b695-882d6eeec17a}" id="{681d42c4-b62f-45a8-8f5c-a310c7e6242c}" done="0">
    <x18tc:text xml:space="preserve">Data do TRD</x18tc:text>
  </x18tc:threadedComment>
  <x18tc:threadedComment ref="S527" dT="2025-02-05T11:22:19.00" personId="{6c3cfef6-2a2b-4523-b695-882d6eeec17a}" id="{d305ada0-a0e2-4895-9358-1f4d210619dd}" done="0">
    <x18tc:text xml:space="preserve">Data do TRD</x18tc:text>
  </x18tc:threadedComment>
  <x18tc:threadedComment ref="S1582" dT="2025-03-18T18:54:47.00" personId="{6c3cfef6-2a2b-4523-b695-882d6eeec17a}" id="{6b6085cb-13ba-4669-b38b-4940b6569b03}" done="0">
    <x18tc:text xml:space="preserve">Data de instalação</x18tc:text>
  </x18tc:threadedComment>
  <x18tc:threadedComment ref="X805" dT="2025-06-04T19:33:39.00" personId="{6c3cfef6-2a2b-4523-b695-882d6eeec17a}" id="{4002400e-e91e-4c56-a1ec-808769efa9f9}" done="0">
    <x18tc:text xml:space="preserve">Data mencionada no RP</x18tc:text>
  </x18tc:threadedComment>
  <x18tc:threadedComment ref="S433" dT="2025-06-04T15:01:11.00" personId="{6c3cfef6-2a2b-4523-b695-882d6eeec17a}" id="{9a1696c8-9f5a-40d8-9c85-e5d6ca8c79b4}" done="0">
    <x18tc:text xml:space="preserve">Data do TRD</x18tc:text>
  </x18tc:threadedComment>
  <x18tc:threadedComment ref="S1103" dT="2025-03-13T17:40:42.00" personId="{6c3cfef6-2a2b-4523-b695-882d6eeec17a}" id="{6952d6d7-313f-48f5-a43b-03d9d8595fe3}" done="0">
    <x18tc:text xml:space="preserve">Data do TRD</x18tc:text>
  </x18tc:threadedComment>
  <x18tc:threadedComment ref="S1000" dT="2024-12-12T19:17:41.00" personId="{6c3cfef6-2a2b-4523-b695-882d6eeec17a}" id="{088d2e40-29d6-4be2-a617-3b5da1904ec2}" done="0">
    <x18tc:text xml:space="preserve">Data de inst.</x18tc:text>
  </x18tc:threadedComment>
  <x18tc:threadedComment ref="S32" dT="2025-05-30T13:32:34.00" personId="{6c3cfef6-2a2b-4523-b695-882d6eeec17a}" id="{a3fe10ea-d1e7-4420-bb4b-23070d1c86fa}" done="0">
    <x18tc:text xml:space="preserve">Data de instalação</x18tc:text>
  </x18tc:threadedComment>
  <x18tc:threadedComment ref="S745" dT="2025-06-04T17:54:23.00" personId="{6c3cfef6-2a2b-4523-b695-882d6eeec17a}" id="{14c1ba0c-8df6-43ce-bb87-319e753b21f6}" done="0">
    <x18tc:text xml:space="preserve">Data de instalação</x18tc:text>
  </x18tc:threadedComment>
  <x18tc:threadedComment ref="S529" dT="2025-02-05T11:22:19.00" personId="{6c3cfef6-2a2b-4523-b695-882d6eeec17a}" id="{810206bd-7e04-4b3d-911a-1360e52c5f3b}" done="0">
    <x18tc:text xml:space="preserve">Data do TRD</x18tc:text>
  </x18tc:threadedComment>
  <x18tc:threadedComment ref="S833" dT="2025-06-05T18:08:29.00" personId="{6c3cfef6-2a2b-4523-b695-882d6eeec17a}" id="{94a5d971-a87f-442a-a85b-f9e32bfb0a80}" done="0">
    <x18tc:text xml:space="preserve">Data de instalação</x18tc:text>
  </x18tc:threadedComment>
  <x18tc:threadedComment ref="AC634" dT="2025-02-07T13:56:10.00" personId="{6c3cfef6-2a2b-4523-b695-882d6eeec17a}" id="{4e385b0c-9033-49dd-81f9-97420567ad4b}" done="0">
    <x18tc:text xml:space="preserve">Data de instalação</x18tc:text>
  </x18tc:threadedComment>
  <x18tc:threadedComment ref="AC679" dT="2025-06-04T18:43:40.00" personId="{6c3cfef6-2a2b-4523-b695-882d6eeec17a}" id="{3ba3c6dd-6505-4bcd-99d1-2c37f1759e73}" done="0">
    <x18tc:text xml:space="preserve">Data de instalação</x18tc:text>
  </x18tc:threadedComment>
  <x18tc:threadedComment ref="S1627" dT="2025-06-06T19:36:56.00" personId="{6c3cfef6-2a2b-4523-b695-882d6eeec17a}" id="{5787349f-44e9-4526-b6b8-41e930a3d1f0}" done="0">
    <x18tc:text xml:space="preserve">Data de instalação</x18tc:text>
  </x18tc:threadedComment>
  <x18tc:threadedComment ref="S252" dT="2025-05-30T14:46:23.00" personId="{6c3cfef6-2a2b-4523-b695-882d6eeec17a}" id="{ccfcd918-bc31-4c67-abb1-a4a9a0c2beb4}" done="0">
    <x18tc:text xml:space="preserve">Data de instalação</x18tc:text>
  </x18tc:threadedComment>
  <x18tc:threadedComment ref="S46" dT="2025-05-30T13:32:34.00" personId="{6c3cfef6-2a2b-4523-b695-882d6eeec17a}" id="{9f815d3c-5cad-4368-abca-f5a13d4a90bf}" done="0">
    <x18tc:text xml:space="preserve">Data de instalação</x18tc:text>
  </x18tc:threadedComment>
  <x18tc:threadedComment ref="S1079" dT="2025-06-09T17:02:24.00" personId="{6c3cfef6-2a2b-4523-b695-882d6eeec17a}" id="{c93c9bec-bf08-4721-a70d-8d9871f115ef}" done="0">
    <x18tc:text xml:space="preserve">Data de instalação</x18tc:text>
  </x18tc:threadedComment>
  <x18tc:threadedComment ref="AC1221" dT="2025-09-25T20:22:43.00" personId="{6c3cfef6-2a2b-4523-b695-882d6eeec17a}" id="{94cfb714-74e5-4969-8f1c-1ddcceeed3f5}" done="0">
    <x18tc:text xml:space="preserve">Data de assinatura do contrato, mencionada no RP</x18tc:text>
  </x18tc:threadedComment>
  <x18tc:threadedComment ref="S925" dT="2025-07-10T13:08:57.00" personId="{6c3cfef6-2a2b-4523-b695-882d6eeec17a}" id="{97b4a716-4d1c-4b45-b1ff-73cae4861ffb}" done="0">
    <x18tc:text xml:space="preserve">Data do TRD</x18tc:text>
  </x18tc:threadedComment>
  <x18tc:threadedComment ref="AC593" dT="2025-02-07T13:54:57.00" personId="{6c3cfef6-2a2b-4523-b695-882d6eeec17a}" id="{2d6db7b8-e82d-478a-ba5e-3cf281d416d9}" done="0">
    <x18tc:text xml:space="preserve">Data informada no RP</x18tc:text>
  </x18tc:threadedComment>
  <x18tc:threadedComment ref="AC661" dT="2025-06-04T18:43:40.00" personId="{6c3cfef6-2a2b-4523-b695-882d6eeec17a}" id="{1bea5f45-1401-40e8-82a8-7436612dc02a}" done="0">
    <x18tc:text xml:space="preserve">Data de instalação</x18tc:text>
  </x18tc:threadedComment>
  <x18tc:threadedComment ref="AC1632" dT="2025-06-04T13:37:31.00" personId="{6c3cfef6-2a2b-4523-b695-882d6eeec17a}" id="{0dc440a7-69b1-4ef0-acac-5d7fa527e5df}" done="0">
    <x18tc:text xml:space="preserve">Data de instalação</x18tc:text>
  </x18tc:threadedComment>
  <x18tc:threadedComment ref="S1101" dT="2025-03-13T17:40:42.00" personId="{6c3cfef6-2a2b-4523-b695-882d6eeec17a}" id="{a24645b0-1f2d-44a1-a53e-8804d66341ea}" done="0">
    <x18tc:text xml:space="preserve">Data do TRD</x18tc:text>
  </x18tc:threadedComment>
  <x18tc:threadedComment ref="S242" dT="2025-05-30T14:46:23.00" personId="{6c3cfef6-2a2b-4523-b695-882d6eeec17a}" id="{e00b983b-7e51-4ea6-b496-fe34f1331d06}" done="0">
    <x18tc:text xml:space="preserve">Data de instalação</x18tc:text>
  </x18tc:threadedComment>
  <x18tc:threadedComment ref="X230" dT="2025-01-31T18:15:26.00" personId="{6c3cfef6-2a2b-4523-b695-882d6eeec17a}" id="{bd131f70-3acd-4dcb-ab2a-e3a7b60220f2}" done="0">
    <x18tc:text xml:space="preserve">Data do 1º Termo Aditivo</x18tc:text>
  </x18tc:threadedComment>
  <x18tc:threadedComment ref="AJ569" dT="2025-06-04T16:46:32.00" personId="{6c3cfef6-2a2b-4523-b695-882d6eeec17a}" id="{25296818-ff48-406f-b30c-a0383552ef7f}" done="0">
    <x18tc:text xml:space="preserve">Prazos contados para chamados abertos até as 15:00.
Após esse horário, a contagem começa as 06:00 do dia seguinte</x18tc:text>
  </x18tc:threadedComment>
  <x18tc:threadedComment ref="S545" dT="2025-06-04T13:37:31.00" personId="{6c3cfef6-2a2b-4523-b695-882d6eeec17a}" id="{51afe2c1-f359-44b0-92d9-874a087cdf27}" done="0">
    <x18tc:text xml:space="preserve">Data de instalação</x18tc:text>
  </x18tc:threadedComment>
  <x18tc:threadedComment ref="S1403" dT="2025-01-07T17:30:30.00" personId="{6c3cfef6-2a2b-4523-b695-882d6eeec17a}" id="{ce091abb-73ad-4e8d-803b-a60abb5f38e2}" done="0">
    <x18tc:text xml:space="preserve">Data do TRD</x18tc:text>
  </x18tc:threadedComment>
  <x18tc:threadedComment ref="AC1251" dT="2024-11-07T14:41:02.00" personId="{6c3cfef6-2a2b-4523-b695-882d6eeec17a}" id="{bfa14ad6-316e-491a-aa1c-51555d24d609}" done="0">
    <x18tc:text xml:space="preserve">Data simbólica informada pelo Cláudio</x18tc:text>
  </x18tc:threadedComment>
  <x18tc:threadedComment ref="S937" dT="2024-11-01T18:44:47.00" personId="{6c3cfef6-2a2b-4523-b695-882d6eeec17a}" id="{b3c03694-74da-45f9-8bef-ebc66568d2f8}" done="0">
    <x18tc:text xml:space="preserve">Data do TRD</x18tc:text>
  </x18tc:threadedComment>
  <x18tc:threadedComment ref="S1361" dT="2025-06-09T18:10:30.00" personId="{6c3cfef6-2a2b-4523-b695-882d6eeec17a}" id="{1792e2da-8c26-4f8f-9150-56b44ba707b5}" done="0">
    <x18tc:text xml:space="preserve">Data de instalação</x18tc:text>
  </x18tc:threadedComment>
  <x18tc:threadedComment ref="S770" dT="2025-06-04T17:54:23.00" personId="{6c3cfef6-2a2b-4523-b695-882d6eeec17a}" id="{af0235ac-7601-4ab6-85c9-28092ef64d17}" done="0">
    <x18tc:text xml:space="preserve">Data de instalação</x18tc:text>
  </x18tc:threadedComment>
  <x18tc:threadedComment ref="X60" dT="2025-07-17T17:49:14.00" personId="{6c3cfef6-2a2b-4523-b695-882d6eeec17a}" id="{218dbda0-d6ff-4265-b980-f151e4b2a746}" done="0">
    <x18tc:text xml:space="preserve">Data informada pelo Comercial, na planilha "Controle de Prazos de Garantia - Aena"</x18tc:text>
  </x18tc:threadedComment>
  <x18tc:threadedComment ref="S1063" dT="2024-11-01T18:44:47.00" personId="{6c3cfef6-2a2b-4523-b695-882d6eeec17a}" id="{a3f68238-c810-4a18-9014-25eaf8dba92f}" done="0">
    <x18tc:text xml:space="preserve">Data do TRD</x18tc:text>
  </x18tc:threadedComment>
  <x18tc:threadedComment ref="AC899" dT="2025-06-06T18:27:34.00" personId="{6c3cfef6-2a2b-4523-b695-882d6eeec17a}" id="{6137c335-11a6-4ce6-80e8-5f725b001ca5}" done="0">
    <x18tc:text xml:space="preserve">Data de instalação</x18tc:text>
  </x18tc:threadedComment>
  <x18tc:threadedComment ref="S1098" dT="2025-03-13T17:40:42.00" personId="{6c3cfef6-2a2b-4523-b695-882d6eeec17a}" id="{6d4f4bd2-2b7a-4b82-8f41-bc8fd139e6ef}" done="0">
    <x18tc:text xml:space="preserve">Data do TRD</x18tc:text>
  </x18tc:threadedComment>
  <x18tc:threadedComment ref="S1477" dT="2025-06-09T18:46:23.00" personId="{6c3cfef6-2a2b-4523-b695-882d6eeec17a}" id="{11b1e817-9723-449b-a771-b6b7d7995785}" done="0">
    <x18tc:text xml:space="preserve">Data de instalação</x18tc:text>
  </x18tc:threadedComment>
  <x18tc:threadedComment ref="AC262" dT="2025-05-30T14:46:23.00" personId="{6c3cfef6-2a2b-4523-b695-882d6eeec17a}" id="{9a9cfd18-eec8-4269-b83b-224e49f875a2}" done="0">
    <x18tc:text xml:space="preserve">Data do 4º Termo Adt</x18tc:text>
  </x18tc:threadedComment>
  <x18tc:threadedComment ref="S430" dT="2025-02-05T11:22:19.00" personId="{6c3cfef6-2a2b-4523-b695-882d6eeec17a}" id="{c687db2d-6f82-425b-a3ef-0d7a6e0f1354}" done="0">
    <x18tc:text xml:space="preserve">Data do TRD</x18tc:text>
  </x18tc:threadedComment>
  <x18tc:threadedComment ref="X78" dT="2025-05-30T13:32:34.00" personId="{6c3cfef6-2a2b-4523-b695-882d6eeec17a}" id="{98f9dcc6-98aa-42de-a606-a5e626ca90f2}" done="0">
    <x18tc:text xml:space="preserve">Data informada pelo Comercial, na planilha "Controle de Prazos de Garantia - Aena"</x18tc:text>
  </x18tc:threadedComment>
  <x18tc:threadedComment ref="AC704" dT="2025-06-04T18:43:40.00" personId="{6c3cfef6-2a2b-4523-b695-882d6eeec17a}" id="{1d1a89c8-e045-4fa0-8185-a8319f1efb1d}" done="0">
    <x18tc:text xml:space="preserve">Data de instalação</x18tc:text>
  </x18tc:threadedComment>
  <x18tc:threadedComment ref="AC1180" dT="2024-11-07T14:41:02.00" personId="{6c3cfef6-2a2b-4523-b695-882d6eeec17a}" id="{eff4f31b-c162-4a42-9812-dec4f7732632}" done="0">
    <x18tc:text xml:space="preserve">Data simbólica informada pelo Cláudio</x18tc:text>
  </x18tc:threadedComment>
  <x18tc:threadedComment ref="AC1292" dT="2024-11-07T14:41:02.00" personId="{6c3cfef6-2a2b-4523-b695-882d6eeec17a}" id="{e10ce315-d0a1-4cf3-9bff-1c2e1a378162}" done="0">
    <x18tc:text xml:space="preserve">Data simbólica informada pelo Cláudio</x18tc:text>
  </x18tc:threadedComment>
  <x18tc:threadedComment ref="S519" dT="2025-02-05T16:59:48.00" personId="{6c3cfef6-2a2b-4523-b695-882d6eeec17a}" id="{a4349288-2694-4491-82fd-cb0fc86e6239}" done="0">
    <x18tc:text xml:space="preserve">Data do TRD</x18tc:text>
  </x18tc:threadedComment>
  <x18tc:threadedComment ref="S1062" dT="2025-06-09T17:02:24.00" personId="{6c3cfef6-2a2b-4523-b695-882d6eeec17a}" id="{564086e0-5857-4df7-abe5-50cb1d9662e0}" done="0">
    <x18tc:text xml:space="preserve">Data de instalação</x18tc:text>
  </x18tc:threadedComment>
  <x18tc:threadedComment ref="S1071" dT="2024-11-01T18:46:57.00" personId="{6c3cfef6-2a2b-4523-b695-882d6eeec17a}" id="{34ad5a32-602c-4810-9ed4-5c6aec3af7db}" done="0">
    <x18tc:text xml:space="preserve">Data do TRD</x18tc:text>
  </x18tc:threadedComment>
  <x18tc:threadedComment ref="AL1648" dT="2025-06-06T19:19:16.00" personId="{6c3cfef6-2a2b-4523-b695-882d6eeec17a}" id="{69221d17-194f-4a02-9cb3-3c0bddeb843d}" done="0">
    <x18tc:text xml:space="preserve">Somente as peças mencionadas na lista</x18tc:text>
  </x18tc:threadedComment>
  <x18tc:threadedComment ref="X21" dT="2025-07-17T16:57:11.00" personId="{6c3cfef6-2a2b-4523-b695-882d6eeec17a}" id="{840ebcbf-8b28-4a76-a349-a080e2cdc465}" done="0">
    <x18tc:text xml:space="preserve">Data informada pelo Comercial, na planilha "Controle de Prazos de Garantia - Aena"</x18tc:text>
  </x18tc:threadedComment>
  <x18tc:threadedComment ref="AC1195" dT="2025-07-03T17:39:15.00" personId="{6c3cfef6-2a2b-4523-b695-882d6eeec17a}" id="{4f8cf7a7-2c22-4e1b-acee-60af6f8d44a6}" done="0">
    <x18tc:text xml:space="preserve">Data de instalação</x18tc:text>
  </x18tc:threadedComment>
  <x18tc:threadedComment ref="AC659" dT="2025-06-04T18:43:40.00" personId="{6c3cfef6-2a2b-4523-b695-882d6eeec17a}" id="{278a050c-3344-40bd-b8f1-377c40d60f61}" done="0">
    <x18tc:text xml:space="preserve">Data de instalação</x18tc:text>
  </x18tc:threadedComment>
  <x18tc:threadedComment ref="S410" dT="2025-02-05T11:22:19.00" personId="{6c3cfef6-2a2b-4523-b695-882d6eeec17a}" id="{7c1eef3a-e480-4832-9cc4-68596701039e}" done="0">
    <x18tc:text xml:space="preserve">Data do TRD</x18tc:text>
  </x18tc:threadedComment>
  <x18tc:threadedComment ref="S333" dT="2025-05-30T18:45:10.00" personId="{6c3cfef6-2a2b-4523-b695-882d6eeec17a}" id="{ec240bfb-aa57-4ab3-9fea-7c719085d164}" done="0">
    <x18tc:text xml:space="preserve">Data de instalação</x18tc:text>
  </x18tc:threadedComment>
  <x18tc:threadedComment ref="S88" dT="2025-05-30T13:32:34.00" personId="{6c3cfef6-2a2b-4523-b695-882d6eeec17a}" id="{ceefcfbb-9afa-4bfa-bdd2-5bced7a1757c}" done="0">
    <x18tc:text xml:space="preserve">Data de instalação</x18tc:text>
  </x18tc:threadedComment>
  <x18tc:threadedComment ref="AC1288" dT="2024-11-07T14:41:02.00" personId="{6c3cfef6-2a2b-4523-b695-882d6eeec17a}" id="{3ea332d2-f59a-4a6d-89eb-e190be75f9b3}" done="0">
    <x18tc:text xml:space="preserve">Data de instalação</x18tc:text>
  </x18tc:threadedComment>
  <x18tc:threadedComment ref="S534" dT="2025-02-05T11:22:19.00" personId="{6c3cfef6-2a2b-4523-b695-882d6eeec17a}" id="{c011009f-5891-4804-a472-aaee32ada3bc}" done="0">
    <x18tc:text xml:space="preserve">Data do TRD</x18tc:text>
  </x18tc:threadedComment>
  <x18tc:threadedComment ref="AC703" dT="2025-06-04T18:43:40.00" personId="{6c3cfef6-2a2b-4523-b695-882d6eeec17a}" id="{5a9a7014-a622-47a7-8855-8154877cbccb}" done="0">
    <x18tc:text xml:space="preserve">Data de instalação</x18tc:text>
  </x18tc:threadedComment>
  <x18tc:threadedComment ref="S550" dT="2025-06-04T13:37:31.00" personId="{6c3cfef6-2a2b-4523-b695-882d6eeec17a}" id="{d7e17c82-68de-482a-b3c2-4efa85e12f7a}" done="0">
    <x18tc:text xml:space="preserve">Data de instalação</x18tc:text>
  </x18tc:threadedComment>
  <x18tc:threadedComment ref="S441" dT="2025-02-05T16:59:48.00" personId="{6c3cfef6-2a2b-4523-b695-882d6eeec17a}" id="{720d22d3-f9b6-44f8-94a9-5bd0e9cc3832}" done="0">
    <x18tc:text xml:space="preserve">Data do TRD</x18tc:text>
  </x18tc:threadedComment>
  <x18tc:threadedComment ref="S1095" dT="2025-03-13T17:40:42.00" personId="{6c3cfef6-2a2b-4523-b695-882d6eeec17a}" id="{9f205137-0776-45e7-9bcb-9e43beb4421b}" done="0">
    <x18tc:text xml:space="preserve">Data do TRD</x18tc:text>
  </x18tc:threadedComment>
  <x18tc:threadedComment ref="S475" dT="2025-02-05T11:22:19.00" personId="{6c3cfef6-2a2b-4523-b695-882d6eeec17a}" id="{56d7e841-f62f-479d-84f1-0bc83927c972}" done="0">
    <x18tc:text xml:space="preserve">Data do TRD</x18tc:text>
  </x18tc:threadedComment>
  <x18tc:threadedComment ref="S412" dT="2025-02-05T11:22:19.00" personId="{6c3cfef6-2a2b-4523-b695-882d6eeec17a}" id="{cb0f3ca2-e01f-422e-a2a8-a2e9dfdb427c}" done="0">
    <x18tc:text xml:space="preserve">Data do TRD</x18tc:text>
  </x18tc:threadedComment>
  <x18tc:threadedComment ref="X80" dT="2025-07-17T16:54:55.00" personId="{6c3cfef6-2a2b-4523-b695-882d6eeec17a}" id="{609edc0e-c350-487a-8ccf-47bb7f799a47}" done="0">
    <x18tc:text xml:space="preserve">Data informada pelo Comercial, na planilha "Controle de Prazos de Garantia - Aena"</x18tc:text>
  </x18tc:threadedComment>
  <x18tc:threadedComment ref="S1058" dT="2025-06-09T17:02:24.00" personId="{6c3cfef6-2a2b-4523-b695-882d6eeec17a}" id="{a035d052-da68-42ee-8053-6079340a6b24}" done="0">
    <x18tc:text xml:space="preserve">Data de instalação</x18tc:text>
  </x18tc:threadedComment>
  <x18tc:threadedComment ref="AJ581" dT="2025-06-04T16:46:32.00" personId="{6c3cfef6-2a2b-4523-b695-882d6eeec17a}" id="{de8f6e9f-069a-4c2d-bd66-01794cbc144b}" done="0">
    <x18tc:text xml:space="preserve">Prazos contados para chamados abertos até as 15:00.
Após esse horário, a contagem começa as 06:00 do dia seguinte</x18tc:text>
  </x18tc:threadedComment>
  <x18tc:threadedComment ref="S1510" dT="2025-06-09T18:46:23.00" personId="{6c3cfef6-2a2b-4523-b695-882d6eeec17a}" id="{0d4e466e-0f37-4e52-b0d9-75ef9503f9d4}" done="0">
    <x18tc:text xml:space="preserve">Data de instalação</x18tc:text>
  </x18tc:threadedComment>
  <x18tc:threadedComment ref="AJ579" dT="2025-06-04T16:46:32.00" personId="{6c3cfef6-2a2b-4523-b695-882d6eeec17a}" id="{c02b8ee2-2673-422b-ae9b-2b9e976abd67}" done="0">
    <x18tc:text xml:space="preserve">Prazos contados para chamados abertos até as 15:00.
Após esse horário, a contagem começa as 06:00 do dia seguinte</x18tc:text>
  </x18tc:threadedComment>
  <x18tc:threadedComment ref="M780" dT="2025-09-26T13:31:58.00" personId="{6c3cfef6-2a2b-4523-b695-882d6eeec17a}" id="{8408c891-eec3-43c5-9062-2d56e9654353}" done="0">
    <x18tc:text xml:space="preserve">Data simbólica, pois não foi localizada a data de instalação</x18tc:text>
  </x18tc:threadedComment>
  <x18tc:threadedComment ref="AC553" dT="2025-02-07T13:56:10.00" personId="{6c3cfef6-2a2b-4523-b695-882d6eeec17a}" id="{b791a26e-c4b9-4ad0-9390-3898a2ffa944}" done="0">
    <x18tc:text xml:space="preserve">Data do 4º Termo Adt</x18tc:text>
  </x18tc:threadedComment>
  <x18tc:threadedComment ref="S461" dT="2025-02-05T12:56:49.00" personId="{6c3cfef6-2a2b-4523-b695-882d6eeec17a}" id="{8bdaa9e1-14b7-4aa9-9387-16ce5d5b148e}" done="0">
    <x18tc:text xml:space="preserve">Data de Inst.</x18tc:text>
  </x18tc:threadedComment>
  <x18tc:threadedComment ref="X934" dT="2025-06-09T14:00:45.00" personId="{6c3cfef6-2a2b-4523-b695-882d6eeec17a}" id="{668b0ddd-6581-4476-82d9-031d1bfecab5}" done="0">
    <x18tc:text xml:space="preserve">Data do 2º Termo Adt</x18tc:text>
  </x18tc:threadedComment>
  <x18tc:threadedComment ref="AC182" dT="2025-05-30T14:43:21.00" personId="{6c3cfef6-2a2b-4523-b695-882d6eeec17a}" id="{97d42335-0899-476f-b647-a49c5d7a60a2}" done="0">
    <x18tc:text xml:space="preserve">Data 2º Adt</x18tc:text>
  </x18tc:threadedComment>
  <x18tc:threadedComment ref="S998" dT="2024-11-01T18:44:47.00" personId="{6c3cfef6-2a2b-4523-b695-882d6eeec17a}" id="{7d40e882-6807-45c2-b1f4-8df5f530af3f}" done="0">
    <x18tc:text xml:space="preserve">Data do TRD</x18tc:text>
  </x18tc:threadedComment>
  <x18tc:threadedComment ref="S1530" dT="2025-06-09T19:06:46.00" personId="{6c3cfef6-2a2b-4523-b695-882d6eeec17a}" id="{d48d04f1-a95f-4550-83e8-4ef3826de928}" done="0">
    <x18tc:text xml:space="preserve">Data de instalação</x18tc:text>
  </x18tc:threadedComment>
  <x18tc:threadedComment ref="S361" dT="2025-06-04T13:37:31.00" personId="{6c3cfef6-2a2b-4523-b695-882d6eeec17a}" id="{a12b88ac-fe0c-44fa-ad60-b960b50aed19}" done="0">
    <x18tc:text xml:space="preserve">Data de instalação</x18tc:text>
  </x18tc:threadedComment>
  <x18tc:threadedComment ref="S1576" dT="2025-03-19T13:34:06.00" personId="{6c3cfef6-2a2b-4523-b695-882d6eeec17a}" id="{7af4166b-8b13-4487-a3cc-6adf6ec1552e}" done="0">
    <x18tc:text xml:space="preserve">Data do TRD</x18tc:text>
  </x18tc:threadedComment>
  <x18tc:threadedComment ref="AC1252" dT="2025-09-25T20:22:43.00" personId="{6c3cfef6-2a2b-4523-b695-882d6eeec17a}" id="{65cb4114-97fd-4039-a5fd-9b6dded86913}" done="0">
    <x18tc:text xml:space="preserve">Data de assinatura do contrato, mencionada no RP</x18tc:text>
  </x18tc:threadedComment>
  <x18tc:threadedComment ref="X94" dT="2025-05-30T13:32:34.00" personId="{6c3cfef6-2a2b-4523-b695-882d6eeec17a}" id="{68f3f1e8-686f-4767-9f0f-ebd124b4492b}" done="0">
    <x18tc:text xml:space="preserve">Data de instalação</x18tc:text>
  </x18tc:threadedComment>
  <x18tc:threadedComment ref="S919" dT="2025-07-10T13:08:57.00" personId="{6c3cfef6-2a2b-4523-b695-882d6eeec17a}" id="{f81f6787-d98b-41cd-a793-134a936c71b4}" done="0">
    <x18tc:text xml:space="preserve">Data do TRD</x18tc:text>
  </x18tc:threadedComment>
  <x18tc:threadedComment ref="S1528" dT="2025-06-09T19:06:46.00" personId="{6c3cfef6-2a2b-4523-b695-882d6eeec17a}" id="{5c72c19a-0ad7-4b6e-9804-46b409415487}" done="0">
    <x18tc:text xml:space="preserve">Data de instalação</x18tc:text>
  </x18tc:threadedComment>
  <x18tc:threadedComment ref="AJ554" dT="2025-06-04T16:46:32.00" personId="{6c3cfef6-2a2b-4523-b695-882d6eeec17a}" id="{127827c3-cdbb-4082-8088-010f97018110}" done="0">
    <x18tc:text xml:space="preserve">Prazos contados para chamados abertos até as 15:00.
Após esse horário, a contagem começa as 06:00 do dia seguinte</x18tc:text>
  </x18tc:threadedComment>
  <x18tc:threadedComment ref="S85" dT="2025-05-30T13:32:34.00" personId="{6c3cfef6-2a2b-4523-b695-882d6eeec17a}" id="{c60c987c-e7f9-4a73-b8e0-f70f0a728281}" done="0">
    <x18tc:text xml:space="preserve">Data de instalação</x18tc:text>
  </x18tc:threadedComment>
  <x18tc:threadedComment ref="S1024" dT="2025-06-09T16:53:12.00" personId="{6c3cfef6-2a2b-4523-b695-882d6eeec17a}" id="{8f4e29ec-11b1-4f1f-b144-0f5cecd83baf}" done="0">
    <x18tc:text xml:space="preserve">Data da planilha de planejamento</x18tc:text>
  </x18tc:threadedComment>
  <x18tc:threadedComment ref="S1350" dT="2025-06-09T17:58:09.00" personId="{6c3cfef6-2a2b-4523-b695-882d6eeec17a}" id="{95a03917-fdd9-4d67-8c4c-7d49e592cd41}" done="0">
    <x18tc:text xml:space="preserve">Data de instalação</x18tc:text>
  </x18tc:threadedComment>
  <x18tc:threadedComment ref="S59" dT="2025-05-30T13:32:34.00" personId="{6c3cfef6-2a2b-4523-b695-882d6eeec17a}" id="{6ab8135a-f4b4-4113-808d-4e64a9893bc6}" done="0">
    <x18tc:text xml:space="preserve">Data de instalação</x18tc:text>
  </x18tc:threadedComment>
  <x18tc:threadedComment ref="X1392" dT="2025-06-09T18:20:19.00" personId="{6c3cfef6-2a2b-4523-b695-882d6eeec17a}" id="{86c19f05-ee21-4650-8adb-c6d5b309f01f}" done="0">
    <x18tc:text xml:space="preserve">Data mencionada no RP</x18tc:text>
  </x18tc:threadedComment>
  <x18tc:threadedComment ref="S1473" dT="2025-06-09T18:46:23.00" personId="{6c3cfef6-2a2b-4523-b695-882d6eeec17a}" id="{f593d466-84ae-448e-a7a6-483971817d62}" done="0">
    <x18tc:text xml:space="preserve">Data de instalação</x18tc:text>
  </x18tc:threadedComment>
  <x18tc:threadedComment ref="S78" dT="2025-05-30T13:32:34.00" personId="{6c3cfef6-2a2b-4523-b695-882d6eeec17a}" id="{92f66637-4710-4062-bacc-f4ad1c0b21b1}" done="0">
    <x18tc:text xml:space="preserve">Data de instalação</x18tc:text>
  </x18tc:threadedComment>
  <x18tc:threadedComment ref="S587" dT="2025-06-04T13:37:31.00" personId="{6c3cfef6-2a2b-4523-b695-882d6eeec17a}" id="{db176618-1094-4d57-9729-3c7c65f7c828}" done="0">
    <x18tc:text xml:space="preserve">Data de instalação</x18tc:text>
  </x18tc:threadedComment>
  <x18tc:threadedComment ref="S1005" dT="2024-11-01T18:44:47.00" personId="{6c3cfef6-2a2b-4523-b695-882d6eeec17a}" id="{46ea9a47-80b7-475a-9c9c-2b987eb7b653}" done="0">
    <x18tc:text xml:space="preserve">Data do TRD</x18tc:text>
  </x18tc:threadedComment>
  <x18tc:threadedComment ref="S1567" dT="2025-03-18T18:54:47.00" personId="{6c3cfef6-2a2b-4523-b695-882d6eeec17a}" id="{ae611eac-ec09-4fab-a1bf-09b434e386f1}" done="0">
    <x18tc:text xml:space="preserve">Data de instalação</x18tc:text>
  </x18tc:threadedComment>
  <x18tc:threadedComment ref="S1025" dT="2025-06-09T16:53:12.00" personId="{6c3cfef6-2a2b-4523-b695-882d6eeec17a}" id="{4ef81fd3-b5b3-46bc-bf84-2560938b937f}" done="0">
    <x18tc:text xml:space="preserve">Data da planilha de planejamento</x18tc:text>
  </x18tc:threadedComment>
  <x18tc:threadedComment ref="S449" dT="2025-02-05T11:22:19.00" personId="{6c3cfef6-2a2b-4523-b695-882d6eeec17a}" id="{d6b7caab-df4a-45a0-84a6-81febc6722e8}" done="0">
    <x18tc:text xml:space="preserve">Data do TRD</x18tc:text>
  </x18tc:threadedComment>
  <x18tc:threadedComment ref="AC876" dT="2025-06-06T18:27:34.00" personId="{6c3cfef6-2a2b-4523-b695-882d6eeec17a}" id="{aee94cfe-5be8-4d60-9f10-7fc085d05609}" done="0">
    <x18tc:text xml:space="preserve">Data de instalação</x18tc:text>
  </x18tc:threadedComment>
  <x18tc:threadedComment ref="AC716" dT="2025-06-04T18:43:40.00" personId="{6c3cfef6-2a2b-4523-b695-882d6eeec17a}" id="{bf3ffb33-8aec-4e82-8174-1f1a802cc779}" done="0">
    <x18tc:text xml:space="preserve">Data de instalação</x18tc:text>
  </x18tc:threadedComment>
  <x18tc:threadedComment ref="X221" dT="2025-01-31T18:15:26.00" personId="{6c3cfef6-2a2b-4523-b695-882d6eeec17a}" id="{0412456d-4e60-4606-9736-729ce50beb10}" done="0">
    <x18tc:text xml:space="preserve">Data do 1º Termo Aditivo</x18tc:text>
  </x18tc:threadedComment>
  <x18tc:threadedComment ref="X1131" dT="2025-06-09T17:19:07.00" personId="{6c3cfef6-2a2b-4523-b695-882d6eeec17a}" id="{39c34dcc-8630-4d91-9c3e-47c58fdd1f8e}" done="0">
    <x18tc:text xml:space="preserve">Data da Renovação Contratual</x18tc:text>
  </x18tc:threadedComment>
  <x18tc:threadedComment ref="S238" dT="2025-09-25T16:56:58.00" personId="{6c3cfef6-2a2b-4523-b695-882d6eeec17a}" id="{d103653a-114c-4357-bb06-4ddd854c3c70}" done="0">
    <x18tc:text xml:space="preserve">Data de instalação</x18tc:text>
  </x18tc:threadedComment>
  <x18tc:threadedComment ref="S1572" dT="2025-06-09T19:36:51.00" personId="{6c3cfef6-2a2b-4523-b695-882d6eeec17a}" id="{6f553625-1c05-4f15-bb10-0c94b6d6e51b}" done="0">
    <x18tc:text xml:space="preserve">Data de instalação</x18tc:text>
  </x18tc:threadedComment>
  <x18tc:threadedComment ref="S1534" dT="2025-06-09T19:06:46.00" personId="{6c3cfef6-2a2b-4523-b695-882d6eeec17a}" id="{d236a18d-f708-44db-a989-4082f2c2a123}" done="0">
    <x18tc:text xml:space="preserve">Data de instalação</x18tc:text>
  </x18tc:threadedComment>
  <x18tc:threadedComment ref="X887" dT="2025-06-06T18:21:21.00" personId="{6c3cfef6-2a2b-4523-b695-882d6eeec17a}" id="{a9ed42ad-854d-4a18-aeca-f9aa12d8de3e}" done="0">
    <x18tc:text xml:space="preserve">Data do Termo Adt</x18tc:text>
  </x18tc:threadedComment>
  <x18tc:threadedComment ref="S1341" dT="2025-06-09T17:38:37.00" personId="{6c3cfef6-2a2b-4523-b695-882d6eeec17a}" id="{405f34b4-70ec-45d2-9835-d12e6bef6159}" done="0">
    <x18tc:text xml:space="preserve">Data de instalação</x18tc:text>
  </x18tc:threadedComment>
  <x18tc:threadedComment ref="S64" dT="2025-05-30T13:32:34.00" personId="{6c3cfef6-2a2b-4523-b695-882d6eeec17a}" id="{a6f72647-ed13-41b1-be7a-788f89691b0a}" done="0">
    <x18tc:text xml:space="preserve">Data de instalação</x18tc:text>
  </x18tc:threadedComment>
  <x18tc:threadedComment ref="S754" dT="2025-06-04T17:54:23.00" personId="{6c3cfef6-2a2b-4523-b695-882d6eeec17a}" id="{35f9b709-46c8-486e-bf3a-16dbab176148}" done="0">
    <x18tc:text xml:space="preserve">Data de instalação</x18tc:text>
  </x18tc:threadedComment>
  <x18tc:threadedComment ref="S423" dT="2025-02-05T11:22:19.00" personId="{6c3cfef6-2a2b-4523-b695-882d6eeec17a}" id="{edb9b80d-ee4a-4c03-901f-17c29040a781}" done="0">
    <x18tc:text xml:space="preserve">Data do TRD</x18tc:text>
  </x18tc:threadedComment>
  <x18tc:threadedComment ref="S982" dT="2024-11-01T18:44:47.00" personId="{6c3cfef6-2a2b-4523-b695-882d6eeec17a}" id="{3a7ccc61-1e55-4e67-9b5f-2008713dc699}" done="0">
    <x18tc:text xml:space="preserve">Data do TRD</x18tc:text>
  </x18tc:threadedComment>
  <x18tc:threadedComment ref="S390" dT="2025-06-04T13:37:31.00" personId="{6c3cfef6-2a2b-4523-b695-882d6eeec17a}" id="{5483432e-f1a1-4dbe-8e2d-5f231763cae8}" done="0">
    <x18tc:text xml:space="preserve">Data de instalação</x18tc:text>
  </x18tc:threadedComment>
  <x18tc:threadedComment ref="S365" dT="2025-06-04T13:37:31.00" personId="{6c3cfef6-2a2b-4523-b695-882d6eeec17a}" id="{7542eec2-f21c-4b5e-be31-6db70a6a976c}" done="0">
    <x18tc:text xml:space="preserve">Data de instalação</x18tc:text>
  </x18tc:threadedComment>
  <x18tc:threadedComment ref="S938" dT="2024-11-01T18:44:47.00" personId="{6c3cfef6-2a2b-4523-b695-882d6eeec17a}" id="{df7676d1-6456-4091-ae7a-1ad4f75cd49c}" done="0">
    <x18tc:text xml:space="preserve">Data do TRD</x18tc:text>
  </x18tc:threadedComment>
  <x18tc:threadedComment ref="X20" dT="2025-07-17T17:43:09.00" personId="{6c3cfef6-2a2b-4523-b695-882d6eeec17a}" id="{24f49493-5aca-412c-b062-c9730976f062}" done="0">
    <x18tc:text xml:space="preserve">Data informada pelo Comercial, na planilha "Controle de Prazos de Garantia - Aena"</x18tc:text>
  </x18tc:threadedComment>
  <x18tc:threadedComment ref="S755" dT="2025-06-04T17:54:23.00" personId="{6c3cfef6-2a2b-4523-b695-882d6eeec17a}" id="{42ecf665-458c-446e-9ade-1de06d7b6539}" done="0">
    <x18tc:text xml:space="preserve">Data de instalação</x18tc:text>
  </x18tc:threadedComment>
  <x18tc:threadedComment ref="AC1649" dT="2025-06-09T13:27:04.00" personId="{6c3cfef6-2a2b-4523-b695-882d6eeec17a}" id="{e4b87e75-fa0f-486e-9c6a-1f086d8eb658}" done="0">
    <x18tc:text xml:space="preserve">Data de instalação</x18tc:text>
  </x18tc:threadedComment>
  <x18tc:threadedComment ref="X56" dT="2025-07-17T17:43:09.00" personId="{6c3cfef6-2a2b-4523-b695-882d6eeec17a}" id="{a22fcf0a-fee7-4f4e-a9ed-8e585906ce35}" done="0">
    <x18tc:text xml:space="preserve">Data informada pelo Comercial, na planilha "Controle de Prazos de Garantia - Aena"</x18tc:text>
  </x18tc:threadedComment>
  <x18tc:threadedComment ref="S193" dT="2025-05-30T14:46:23.00" personId="{6c3cfef6-2a2b-4523-b695-882d6eeec17a}" id="{1413f641-fd7c-44ee-8dc4-e59396072b44}" done="0">
    <x18tc:text xml:space="preserve">Data de instalação</x18tc:text>
  </x18tc:threadedComment>
  <x18tc:threadedComment ref="S287" dT="2025-05-30T18:39:21.00" personId="{6c3cfef6-2a2b-4523-b695-882d6eeec17a}" id="{7333d358-a1fe-4d31-9a45-05e5b72a36e1}" done="0">
    <x18tc:text xml:space="preserve">Data de instalação</x18tc:text>
  </x18tc:threadedComment>
  <x18tc:threadedComment ref="AC183" dT="2025-05-30T14:43:21.00" personId="{6c3cfef6-2a2b-4523-b695-882d6eeec17a}" id="{1079b910-c105-43e3-a13e-654662689043}" done="0">
    <x18tc:text xml:space="preserve">Data 2º Adt</x18tc:text>
  </x18tc:threadedComment>
  <x18tc:threadedComment ref="AC1166" dT="2024-11-05T19:06:22.00" personId="{6c3cfef6-2a2b-4523-b695-882d6eeec17a}" id="{abc2f92e-67b9-48ae-9593-525a70b33fdf}" done="0">
    <x18tc:text xml:space="preserve">Data de assinatura do contrato informada no RP</x18tc:text>
  </x18tc:threadedComment>
  <x18tc:threadedComment ref="S904" dT="2025-06-06T19:10:04.00" personId="{6c3cfef6-2a2b-4523-b695-882d6eeec17a}" id="{7b542d2a-a00a-42b4-adc4-f78ce6f4c07e}" done="0">
    <x18tc:text xml:space="preserve">Data de instalação</x18tc:text>
  </x18tc:threadedComment>
  <x18tc:threadedComment ref="S1082" dT="2025-06-09T17:02:24.00" personId="{6c3cfef6-2a2b-4523-b695-882d6eeec17a}" id="{afeca89f-8e90-4e8e-b27d-d6998d4f4abe}" done="0">
    <x18tc:text xml:space="preserve">Data de instalação</x18tc:text>
  </x18tc:threadedComment>
  <x18tc:threadedComment ref="S1036" dT="2025-06-09T16:53:12.00" personId="{6c3cfef6-2a2b-4523-b695-882d6eeec17a}" id="{30a84af2-e830-4a1a-8e1c-0bf108a396a2}" done="0">
    <x18tc:text xml:space="preserve">Data da planilha de planejamento</x18tc:text>
  </x18tc:threadedComment>
  <x18tc:threadedComment ref="S265" dT="2025-05-30T18:45:10.00" personId="{6c3cfef6-2a2b-4523-b695-882d6eeec17a}" id="{f9ba21ab-c0ee-4e7a-94c0-3051c6828cf2}" done="0">
    <x18tc:text xml:space="preserve">Data de instalação</x18tc:text>
  </x18tc:threadedComment>
  <x18tc:threadedComment ref="AC577" dT="2025-02-07T13:56:10.00" personId="{6c3cfef6-2a2b-4523-b695-882d6eeec17a}" id="{5ce0113b-55e7-4161-946f-c9c668759a59}" done="0">
    <x18tc:text xml:space="preserve">Data do 4º Termo Adt</x18tc:text>
  </x18tc:threadedComment>
  <x18tc:threadedComment ref="S799" dT="2025-06-04T19:04:19.00" personId="{6c3cfef6-2a2b-4523-b695-882d6eeec17a}" id="{7267cd75-ffef-4653-8589-ef88fc65cc5a}" done="0">
    <x18tc:text xml:space="preserve">Data de instalação</x18tc:text>
  </x18tc:threadedComment>
  <x18tc:threadedComment ref="AC1272" dT="2025-09-25T20:22:43.00" personId="{6c3cfef6-2a2b-4523-b695-882d6eeec17a}" id="{2b6da986-38e0-45a0-a1f7-ddd978ea38d3}" done="0">
    <x18tc:text xml:space="preserve">Data de assinatura do contrato, mencionada no RP</x18tc:text>
  </x18tc:threadedComment>
  <x18tc:threadedComment ref="AC342" dT="2025-02-03T16:42:08.00" personId="{6c3cfef6-2a2b-4523-b695-882d6eeec17a}" id="{c581a833-b1bf-4bfe-bf9e-0951ebe4c49e}" done="0">
    <x18tc:text xml:space="preserve">Data simbólica, pois a única informação é de que o contrato encerrou em 10/2023</x18tc:text>
  </x18tc:threadedComment>
  <x18tc:threadedComment ref="S1516" dT="2025-03-19T12:32:47.00" personId="{6c3cfef6-2a2b-4523-b695-882d6eeec17a}" id="{4a51e2f5-40d3-436f-a1d4-271f85036689}" done="0">
    <x18tc:text xml:space="preserve">Data do TRD</x18tc:text>
  </x18tc:threadedComment>
  <x18tc:threadedComment ref="S14" dT="2025-05-30T13:32:34.00" personId="{6c3cfef6-2a2b-4523-b695-882d6eeec17a}" id="{f0fc7a34-d4f0-4d37-a59f-a4884c4b142c}" done="0">
    <x18tc:text xml:space="preserve">Data de instalação</x18tc:text>
  </x18tc:threadedComment>
  <x18tc:threadedComment ref="AC1333" dT="2025-06-09T17:35:03.00" personId="{6c3cfef6-2a2b-4523-b695-882d6eeec17a}" id="{4fc7cae9-de33-438e-b7ca-d7076732a901}" done="0">
    <x18tc:text xml:space="preserve">Data do 5º Temo Adt</x18tc:text>
  </x18tc:threadedComment>
  <x18tc:threadedComment ref="AC872" dT="2025-06-06T18:27:34.00" personId="{6c3cfef6-2a2b-4523-b695-882d6eeec17a}" id="{7ab6d47f-2dda-4737-b1f3-ac67173b53ff}" done="0">
    <x18tc:text xml:space="preserve">Data de instalação</x18tc:text>
  </x18tc:threadedComment>
  <x18tc:threadedComment ref="S260" dT="2025-05-30T14:46:23.00" personId="{6c3cfef6-2a2b-4523-b695-882d6eeec17a}" id="{56ea3712-9ded-4ab5-8764-d84bc38c1b76}" done="0">
    <x18tc:text xml:space="preserve">Data de instalação</x18tc:text>
  </x18tc:threadedComment>
  <x18tc:threadedComment ref="S1055" dT="2025-06-09T17:02:24.00" personId="{6c3cfef6-2a2b-4523-b695-882d6eeec17a}" id="{fe82c311-536e-4fd3-8ce2-2a73b20dd300}" done="0">
    <x18tc:text xml:space="preserve">Data de instalação</x18tc:text>
  </x18tc:threadedComment>
  <x18tc:threadedComment ref="S1587" dT="2025-03-18T18:54:47.00" personId="{6c3cfef6-2a2b-4523-b695-882d6eeec17a}" id="{44cbd6d7-08da-40cd-a29a-9bad795edd6e}" done="0">
    <x18tc:text xml:space="preserve">Data de instalação</x18tc:text>
  </x18tc:threadedComment>
  <x18tc:threadedComment ref="AJ578" dT="2025-06-04T16:46:32.00" personId="{6c3cfef6-2a2b-4523-b695-882d6eeec17a}" id="{fc55f370-96af-420b-af6f-098439f15dec}" done="0">
    <x18tc:text xml:space="preserve">Prazos contados para chamados abertos até as 15:00.
Após esse horário, a contagem começa as 06:00 do dia seguinte</x18tc:text>
  </x18tc:threadedComment>
  <x18tc:threadedComment ref="X782" dT="2025-02-25T12:45:16.00" personId="{6c3cfef6-2a2b-4523-b695-882d6eeec17a}" id="{704ec6f0-a629-4e57-b784-16fa842bc566}" done="0">
    <x18tc:text xml:space="preserve">Data informada no RP</x18tc:text>
  </x18tc:threadedComment>
  <x18tc:threadedComment ref="S1512" dT="2025-03-19T12:32:47.00" personId="{6c3cfef6-2a2b-4523-b695-882d6eeec17a}" id="{bf15783a-0150-411b-aa19-cf416b31e65d}" done="0">
    <x18tc:text xml:space="preserve">Data do TRD</x18tc:text>
  </x18tc:threadedComment>
  <x18tc:threadedComment ref="S391" dT="2025-06-04T13:37:31.00" personId="{6c3cfef6-2a2b-4523-b695-882d6eeec17a}" id="{abdf81a8-96f7-4875-a287-218a6f00f30d}" done="0">
    <x18tc:text xml:space="preserve">Data de instalação</x18tc:text>
  </x18tc:threadedComment>
  <x18tc:threadedComment ref="S1470" dT="2025-06-09T18:46:23.00" personId="{6c3cfef6-2a2b-4523-b695-882d6eeec17a}" id="{7877272b-7dac-43e2-a2ae-6893a23a30a7}" done="0">
    <x18tc:text xml:space="preserve">Data de instalação</x18tc:text>
  </x18tc:threadedComment>
  <x18tc:threadedComment ref="S771" dT="2025-06-04T17:54:23.00" personId="{6c3cfef6-2a2b-4523-b695-882d6eeec17a}" id="{fcea62f7-c221-401c-a7eb-478976395953}" done="0">
    <x18tc:text xml:space="preserve">Data de instalação</x18tc:text>
  </x18tc:threadedComment>
  <x18tc:threadedComment ref="S33" dT="2025-05-30T13:32:34.00" personId="{6c3cfef6-2a2b-4523-b695-882d6eeec17a}" id="{348b6892-87d4-4739-9d42-aa752fb05508}" done="0">
    <x18tc:text xml:space="preserve">Data de instalação</x18tc:text>
  </x18tc:threadedComment>
  <x18tc:threadedComment ref="X34" dT="2025-05-30T13:32:34.00" personId="{6c3cfef6-2a2b-4523-b695-882d6eeec17a}" id="{20294526-e177-47e7-a4a5-8e9d61b5a767}" done="0">
    <x18tc:text xml:space="preserve">Data informada pelo Comercial, na planilha "Controle de Prazos de Garantia - Aena"</x18tc:text>
  </x18tc:threadedComment>
  <x18tc:threadedComment ref="AC652" dT="2025-02-07T13:56:10.00" personId="{6c3cfef6-2a2b-4523-b695-882d6eeec17a}" id="{3056a984-a4f8-4ee3-a67c-c5344cc24af0}" done="0">
    <x18tc:text xml:space="preserve">Data de instalação</x18tc:text>
  </x18tc:threadedComment>
  <x18tc:threadedComment ref="S1402" dT="2025-01-07T17:30:30.00" personId="{6c3cfef6-2a2b-4523-b695-882d6eeec17a}" id="{629b74de-1df9-4285-8ee3-007d0cb5b918}" done="0">
    <x18tc:text xml:space="preserve">Data do TRD</x18tc:text>
  </x18tc:threadedComment>
  <x18tc:threadedComment ref="S1387" dT="2025-06-09T18:10:30.00" personId="{6c3cfef6-2a2b-4523-b695-882d6eeec17a}" id="{e047ab23-8d26-462e-a059-c353f88d841f}" done="0">
    <x18tc:text xml:space="preserve">Data de instalação</x18tc:text>
  </x18tc:threadedComment>
  <x18tc:threadedComment ref="S1100" dT="2025-03-13T17:40:42.00" personId="{6c3cfef6-2a2b-4523-b695-882d6eeec17a}" id="{470f7a76-d6df-4542-9c76-08c5f843c2e6}" done="0">
    <x18tc:text xml:space="preserve">Data do TRD</x18tc:text>
  </x18tc:threadedComment>
  <x18tc:threadedComment ref="S318" dT="2025-05-30T18:45:10.00" personId="{6c3cfef6-2a2b-4523-b695-882d6eeec17a}" id="{c3b7c719-cd49-4fef-88bf-f2901eb477fb}" done="0">
    <x18tc:text xml:space="preserve">Data de instalação</x18tc:text>
  </x18tc:threadedComment>
  <x18tc:threadedComment ref="S1384" dT="2025-06-09T18:03:00.00" personId="{6c3cfef6-2a2b-4523-b695-882d6eeec17a}" id="{19a6cd1e-e581-444f-a231-d4ad85778b2b}" done="0">
    <x18tc:text xml:space="preserve">Data de instalação</x18tc:text>
  </x18tc:threadedComment>
  <x18tc:threadedComment ref="S1634" dT="2025-06-04T13:37:31.00" personId="{6c3cfef6-2a2b-4523-b695-882d6eeec17a}" id="{fba3d9c1-65ab-4305-b49a-859bd095d89a}" done="0">
    <x18tc:text xml:space="preserve">Data de instalação</x18tc:text>
  </x18tc:threadedComment>
  <x18tc:threadedComment ref="S1581" dT="2025-03-18T18:54:47.00" personId="{6c3cfef6-2a2b-4523-b695-882d6eeec17a}" id="{9d38e6d0-0e59-4c9f-8c03-88531ec07dc3}" done="0">
    <x18tc:text xml:space="preserve">Data de instalação</x18tc:text>
  </x18tc:threadedComment>
  <x18tc:threadedComment ref="X1123" dT="2025-06-09T17:19:07.00" personId="{6c3cfef6-2a2b-4523-b695-882d6eeec17a}" id="{e645a6a0-fa23-4b2b-a21a-308329efd05d}" done="0">
    <x18tc:text xml:space="preserve">Data da Renovação Contratual</x18tc:text>
  </x18tc:threadedComment>
  <x18tc:threadedComment ref="S1609" dT="2025-06-09T19:43:23.00" personId="{6c3cfef6-2a2b-4523-b695-882d6eeec17a}" id="{5d04465f-8fd4-4638-aaa1-16f6c127bb06}" done="0">
    <x18tc:text xml:space="preserve">Data de instalação</x18tc:text>
  </x18tc:threadedComment>
  <x18tc:threadedComment ref="S1004" dT="2024-11-01T18:44:47.00" personId="{6c3cfef6-2a2b-4523-b695-882d6eeec17a}" id="{e144c1e3-3724-481a-b96e-dae790b8bdb6}" done="0">
    <x18tc:text xml:space="preserve">Data do TRD</x18tc:text>
  </x18tc:threadedComment>
  <x18tc:threadedComment ref="S375" dT="2025-06-04T13:37:31.00" personId="{6c3cfef6-2a2b-4523-b695-882d6eeec17a}" id="{822ff5ea-3ad4-4f84-94f4-534d3f0c9d5a}" done="0">
    <x18tc:text xml:space="preserve">Data de instalação</x18tc:text>
  </x18tc:threadedComment>
  <x18tc:threadedComment ref="S494" dT="2024-11-05T17:51:32.00" personId="{6c3cfef6-2a2b-4523-b695-882d6eeec17a}" id="{b281e73c-13f0-48ce-b343-9f99e626a923}" done="0">
    <x18tc:text xml:space="preserve">Data de inst.</x18tc:text>
  </x18tc:threadedComment>
  <x18tc:threadedComment ref="S1418" dT="2024-11-05T14:01:53.00" personId="{6c3cfef6-2a2b-4523-b695-882d6eeec17a}" id="{bb322d10-d1c9-403d-b1c0-e59c78d7e65c}" done="0">
    <x18tc:text xml:space="preserve">Data do TRD</x18tc:text>
  </x18tc:threadedComment>
  <x18tc:threadedComment ref="AC1167" dT="2024-11-07T14:41:02.00" personId="{6c3cfef6-2a2b-4523-b695-882d6eeec17a}" id="{f3d775de-f2e3-4b74-a81c-0836405ad6ab}" done="0">
    <x18tc:text xml:space="preserve">Data simbólica informada pelo Cláudio</x18tc:text>
  </x18tc:threadedComment>
  <x18tc:threadedComment ref="M1267" dT="2025-07-10T18:15:28.00" personId="{6c3cfef6-2a2b-4523-b695-882d6eeec17a}" id="{6cd815f2-9bda-4efc-b57c-84343f7cca93}" done="0">
    <x18tc:text xml:space="preserve">Não instalado a pedido do cliente, pois não havia estrutura</x18tc:text>
  </x18tc:threadedComment>
  <x18tc:threadedComment ref="X92" dT="2025-07-17T17:41:08.00" personId="{6c3cfef6-2a2b-4523-b695-882d6eeec17a}" id="{04f3d89c-af93-4875-8c2a-50a524c0cc3b}" done="0">
    <x18tc:text xml:space="preserve">Data informada pelo Comercial, na planilha "Controle de Prazos de Garantia - Aena"</x18tc:text>
  </x18tc:threadedComment>
  <x18tc:threadedComment ref="S1546" dT="2025-06-09T19:06:46.00" personId="{6c3cfef6-2a2b-4523-b695-882d6eeec17a}" id="{3f12f57b-b37c-43a8-a057-6313d89a7d51}" done="0">
    <x18tc:text xml:space="preserve">Data de instalação</x18tc:text>
  </x18tc:threadedComment>
  <x18tc:threadedComment ref="S1345" dT="2025-06-09T17:38:37.00" personId="{6c3cfef6-2a2b-4523-b695-882d6eeec17a}" id="{9970ba3e-ea52-429f-b551-f2ae912cbf70}" done="0">
    <x18tc:text xml:space="preserve">Data de instalação</x18tc:text>
  </x18tc:threadedComment>
  <x18tc:threadedComment ref="S296" dT="2025-05-30T18:33:18.00" personId="{6c3cfef6-2a2b-4523-b695-882d6eeec17a}" id="{c050c602-7122-4306-b69b-48f3c4314688}" done="0">
    <x18tc:text xml:space="preserve">Data de instalação</x18tc:text>
  </x18tc:threadedComment>
  <x18tc:threadedComment ref="S61" dT="2025-05-30T13:32:34.00" personId="{6c3cfef6-2a2b-4523-b695-882d6eeec17a}" id="{e9a7d833-9add-4085-b320-ab6e6000e823}" done="0">
    <x18tc:text xml:space="preserve">Data de instalação</x18tc:text>
  </x18tc:threadedComment>
  <x18tc:threadedComment ref="AC583" dT="2025-02-07T13:56:10.00" personId="{6c3cfef6-2a2b-4523-b695-882d6eeec17a}" id="{45b745cc-9bfc-40eb-9b5d-e136f22a4c69}" done="0">
    <x18tc:text xml:space="preserve">Data do 4º Termo Adt</x18tc:text>
  </x18tc:threadedComment>
  <x18tc:threadedComment ref="X93" dT="2025-05-30T13:32:34.00" personId="{6c3cfef6-2a2b-4523-b695-882d6eeec17a}" id="{4fec4253-4de0-48d9-a3ea-1bcc04a1ba1d}" done="0">
    <x18tc:text xml:space="preserve">Data de instalação</x18tc:text>
  </x18tc:threadedComment>
  <x18tc:threadedComment ref="AC1192" dT="2024-11-07T14:41:02.00" personId="{6c3cfef6-2a2b-4523-b695-882d6eeec17a}" id="{5f5d21dd-0221-4383-a67f-0a9ac1e8c2d5}" done="0">
    <x18tc:text xml:space="preserve">Data simbólica informada pelo Cláudio</x18tc:text>
  </x18tc:threadedComment>
  <x18tc:threadedComment ref="AC326" dT="2025-05-30T18:45:10.00" personId="{6c3cfef6-2a2b-4523-b695-882d6eeec17a}" id="{7122e33d-49e6-43d6-ac7a-6aa33fcbc059}" done="0">
    <x18tc:text xml:space="preserve">Data de instalação</x18tc:text>
  </x18tc:threadedComment>
  <x18tc:threadedComment ref="AC576" dT="2025-02-07T13:56:10.00" personId="{6c3cfef6-2a2b-4523-b695-882d6eeec17a}" id="{d5c01b70-f652-4439-bdd1-dce605e72ffa}" done="0">
    <x18tc:text xml:space="preserve">Data do 4º Termo Adt</x18tc:text>
  </x18tc:threadedComment>
  <x18tc:threadedComment ref="AC608" dT="2025-02-07T13:56:10.00" personId="{6c3cfef6-2a2b-4523-b695-882d6eeec17a}" id="{1bd006b8-637d-4e19-9328-d499d3521fb1}" done="0">
    <x18tc:text xml:space="preserve">Data de instalação</x18tc:text>
  </x18tc:threadedComment>
  <x18tc:threadedComment ref="X874" dT="2025-06-06T18:21:21.00" personId="{6c3cfef6-2a2b-4523-b695-882d6eeec17a}" id="{130b9e7f-5f8a-4fd1-8890-eed3f0baa2de}" done="0">
    <x18tc:text xml:space="preserve">Data do Termo Adt</x18tc:text>
  </x18tc:threadedComment>
  <x18tc:threadedComment ref="AI830" dT="2025-06-05T18:14:31.00" personId="{6c3cfef6-2a2b-4523-b695-882d6eeec17a}" id="{0a291ab0-8fdc-403f-9d7b-b09a02eedd70}" done="0">
    <x18tc:text xml:space="preserve">O problema deverá ser solucionado em até 48H, sendo remoto ou in-loco</x18tc:text>
  </x18tc:threadedComment>
  <x18tc:threadedComment ref="X48" dT="2025-07-17T16:54:55.00" personId="{6c3cfef6-2a2b-4523-b695-882d6eeec17a}" id="{45019564-37b1-4915-8534-e2f9379eedc3}" done="0">
    <x18tc:text xml:space="preserve">Data informada pelo Comercial, na planilha "Controle de Prazos de Garantia - Aena"</x18tc:text>
  </x18tc:threadedComment>
  <x18tc:threadedComment ref="X1135" dT="2025-06-09T17:19:07.00" personId="{6c3cfef6-2a2b-4523-b695-882d6eeec17a}" id="{5d1ade08-b3d9-49fa-ba3a-468033001e40}" done="0">
    <x18tc:text xml:space="preserve">Data da Renovação Contratual</x18tc:text>
  </x18tc:threadedComment>
  <x18tc:threadedComment ref="AC897" dT="2025-06-06T18:27:34.00" personId="{6c3cfef6-2a2b-4523-b695-882d6eeec17a}" id="{b2923799-d792-422d-8a78-85372a03babb}" done="0">
    <x18tc:text xml:space="preserve">Data de instalação</x18tc:text>
  </x18tc:threadedComment>
  <x18tc:threadedComment ref="AC1296" dT="2024-11-07T14:41:02.00" personId="{6c3cfef6-2a2b-4523-b695-882d6eeec17a}" id="{1700b555-7b4d-4565-a449-64accbffbd3a}" done="0">
    <x18tc:text xml:space="preserve">Data simbólica informada pelo Cláudio</x18tc:text>
  </x18tc:threadedComment>
  <x18tc:threadedComment ref="S15" dT="2025-05-30T13:32:34.00" personId="{6c3cfef6-2a2b-4523-b695-882d6eeec17a}" id="{de22d41a-a466-4860-bc71-b0d174c4cc84}" done="0">
    <x18tc:text xml:space="preserve">Data de instalação</x18tc:text>
  </x18tc:threadedComment>
  <x18tc:threadedComment ref="S462" dT="2025-02-05T11:22:19.00" personId="{6c3cfef6-2a2b-4523-b695-882d6eeec17a}" id="{4846da06-22fc-4fa6-b284-2c595c884b20}" done="0">
    <x18tc:text xml:space="preserve">Data do TRD</x18tc:text>
  </x18tc:threadedComment>
  <x18tc:threadedComment ref="AC348" dT="2025-05-30T18:45:10.00" personId="{6c3cfef6-2a2b-4523-b695-882d6eeec17a}" id="{da7d7aee-9494-4de7-9198-ba5b451c5f59}" done="0">
    <x18tc:text xml:space="preserve">Data de instalação</x18tc:text>
  </x18tc:threadedComment>
  <x18tc:threadedComment ref="S956" dT="2024-11-01T18:44:47.00" personId="{6c3cfef6-2a2b-4523-b695-882d6eeec17a}" id="{0a38791a-6304-4065-8263-9052beec9112}" done="0">
    <x18tc:text xml:space="preserve">Data do TRD</x18tc:text>
  </x18tc:threadedComment>
  <x18tc:threadedComment ref="S422" dT="2025-06-04T13:37:31.00" personId="{6c3cfef6-2a2b-4523-b695-882d6eeec17a}" id="{38d0f233-c40e-4f3f-b5bd-b5ce7d56f121}" done="0">
    <x18tc:text xml:space="preserve">Data de instalação</x18tc:text>
  </x18tc:threadedComment>
  <x18tc:threadedComment ref="S1093" dT="2025-03-13T17:40:42.00" personId="{6c3cfef6-2a2b-4523-b695-882d6eeec17a}" id="{f79491e3-03e6-4a00-9129-0e8ec1f8d5e4}" done="0">
    <x18tc:text xml:space="preserve">Data do TRD</x18tc:text>
  </x18tc:threadedComment>
  <x18tc:threadedComment ref="AC1258" dT="2024-11-07T14:41:02.00" personId="{6c3cfef6-2a2b-4523-b695-882d6eeec17a}" id="{2d46ba48-b51d-4115-8c25-df586d76efc1}" done="0">
    <x18tc:text xml:space="preserve">Data simbólica informada pelo Cláudio</x18tc:text>
  </x18tc:threadedComment>
  <x18tc:threadedComment ref="S1362" dT="2025-06-09T18:03:00.00" personId="{6c3cfef6-2a2b-4523-b695-882d6eeec17a}" id="{848ace91-5f63-4c0e-91df-926bc3dc1b1f}" done="0">
    <x18tc:text xml:space="preserve">Data de instalação</x18tc:text>
  </x18tc:threadedComment>
  <x18tc:threadedComment ref="AC680" dT="2025-06-04T18:43:40.00" personId="{6c3cfef6-2a2b-4523-b695-882d6eeec17a}" id="{da042eee-fcf4-48f4-97b9-61975f8c5e19}" done="0">
    <x18tc:text xml:space="preserve">Data de instalação</x18tc:text>
  </x18tc:threadedComment>
  <x18tc:threadedComment ref="X87" dT="2025-07-17T16:57:11.00" personId="{6c3cfef6-2a2b-4523-b695-882d6eeec17a}" id="{25eeff9b-15e1-4262-bfdb-5a46c32219ab}" done="0">
    <x18tc:text xml:space="preserve">Data informada pelo Comercial, na planilha "Controle de Prazos de Garantia - Aena"</x18tc:text>
  </x18tc:threadedComment>
  <x18tc:threadedComment ref="S818" dT="2025-06-04T19:04:19.00" personId="{6c3cfef6-2a2b-4523-b695-882d6eeec17a}" id="{a687d47e-b098-425d-bf52-ccdd430220ac}" done="0">
    <x18tc:text xml:space="preserve">Data de instalação</x18tc:text>
  </x18tc:threadedComment>
  <x18tc:threadedComment ref="X1604" dT="2025-06-09T19:42:13.00" personId="{6c3cfef6-2a2b-4523-b695-882d6eeec17a}" id="{7c5c1785-a4c9-44da-ac04-710c79e38a5b}" done="0">
    <x18tc:text xml:space="preserve">Data mencionada no RP</x18tc:text>
  </x18tc:threadedComment>
  <x18tc:threadedComment ref="M1347" dT="2025-03-13T17:55:33.00" personId="{6c3cfef6-2a2b-4523-b695-882d6eeec17a}" id="{88ec5869-2969-48b5-8535-9b3c277dbcfe}" done="0">
    <x18tc:text xml:space="preserve">Não localizada data de inst.
Preenchida data do RP</x18tc:text>
  </x18tc:threadedComment>
  <x18tc:threadedComment ref="AC1236" dT="2024-11-05T19:06:22.00" personId="{6c3cfef6-2a2b-4523-b695-882d6eeec17a}" id="{1c453fb2-1c37-4ed9-8734-02c3ee562d96}" done="0">
    <x18tc:text xml:space="preserve">Data de assinatura do contrato informada no RP</x18tc:text>
  </x18tc:threadedComment>
  <x18tc:threadedComment ref="S757" dT="2025-06-04T17:54:23.00" personId="{6c3cfef6-2a2b-4523-b695-882d6eeec17a}" id="{9d47ef33-70bc-49a9-abd8-dedd367dfb9b}" done="0">
    <x18tc:text xml:space="preserve">Data de instalação</x18tc:text>
  </x18tc:threadedComment>
  <x18tc:threadedComment ref="S1459" dT="2025-06-09T18:46:23.00" personId="{6c3cfef6-2a2b-4523-b695-882d6eeec17a}" id="{7ea55020-e741-4fb6-b9bb-a7e3d6822f30}" done="0">
    <x18tc:text xml:space="preserve">Data de instalação</x18tc:text>
  </x18tc:threadedComment>
  <x18tc:threadedComment ref="AC681" dT="2025-06-04T18:43:40.00" personId="{6c3cfef6-2a2b-4523-b695-882d6eeec17a}" id="{72827642-4334-45a8-9586-809c9ded31ac}" done="0">
    <x18tc:text xml:space="preserve">Data de instalação</x18tc:text>
  </x18tc:threadedComment>
  <x18tc:threadedComment ref="S920" dT="2025-07-10T13:08:57.00" personId="{6c3cfef6-2a2b-4523-b695-882d6eeec17a}" id="{e7102d1e-52be-4299-bd5a-c81ec6efa80d}" done="0">
    <x18tc:text xml:space="preserve">Data do TRD</x18tc:text>
  </x18tc:threadedComment>
  <x18tc:threadedComment ref="S471" dT="2025-06-04T15:01:11.00" personId="{6c3cfef6-2a2b-4523-b695-882d6eeec17a}" id="{0674eaa4-704e-4c13-b688-34bf6eb087a6}" done="0">
    <x18tc:text xml:space="preserve">Data do TRD</x18tc:text>
  </x18tc:threadedComment>
  <x18tc:threadedComment ref="AC1259" dT="2025-09-25T20:22:43.00" personId="{6c3cfef6-2a2b-4523-b695-882d6eeec17a}" id="{03c88444-999c-4811-b988-ce637582a6f7}" done="0">
    <x18tc:text xml:space="preserve">Data de assinatura do contrato, mencionada no RP</x18tc:text>
  </x18tc:threadedComment>
  <x18tc:threadedComment ref="S299" dT="2025-05-30T18:45:10.00" personId="{6c3cfef6-2a2b-4523-b695-882d6eeec17a}" id="{d83d1138-4076-4b54-b125-34f5ef1fa1a8}" done="0">
    <x18tc:text xml:space="preserve">Data de instalação</x18tc:text>
  </x18tc:threadedComment>
  <x18tc:threadedComment ref="X227" dT="2025-01-31T18:15:26.00" personId="{6c3cfef6-2a2b-4523-b695-882d6eeec17a}" id="{079190c5-e075-43b0-89cb-75c0d226c7db}" done="0">
    <x18tc:text xml:space="preserve">Data do 1º Termo Aditivo</x18tc:text>
  </x18tc:threadedComment>
  <x18tc:threadedComment ref="AC615" dT="2025-02-07T13:56:10.00" personId="{6c3cfef6-2a2b-4523-b695-882d6eeec17a}" id="{53ce898d-6352-4a09-89c4-9330581a7707}" done="0">
    <x18tc:text xml:space="preserve">Data de instalação</x18tc:text>
  </x18tc:threadedComment>
  <x18tc:threadedComment ref="S1629" dT="2025-06-04T13:37:31.00" personId="{6c3cfef6-2a2b-4523-b695-882d6eeec17a}" id="{c2507829-0d24-4f03-9477-6f9066a5a168}" done="0">
    <x18tc:text xml:space="preserve">Data de instalação</x18tc:text>
  </x18tc:threadedComment>
  <x18tc:threadedComment ref="S8" dT="2025-05-30T13:32:34.00" personId="{6c3cfef6-2a2b-4523-b695-882d6eeec17a}" id="{43a11434-be92-4841-912d-1c54e3f6cdaf}" done="0">
    <x18tc:text xml:space="preserve">Data de instalação</x18tc:text>
  </x18tc:threadedComment>
  <x18tc:threadedComment ref="S1607" dT="2025-06-09T19:43:23.00" personId="{6c3cfef6-2a2b-4523-b695-882d6eeec17a}" id="{d31c7751-8215-4faa-bc96-3f817f478997}" done="0">
    <x18tc:text xml:space="preserve">Data de instalação</x18tc:text>
  </x18tc:threadedComment>
  <x18tc:threadedComment ref="M1133" dT="2025-05-29T14:05:02.00" personId="{6c3cfef6-2a2b-4523-b695-882d6eeec17a}" id="{b0fb98ad-d291-4a6a-8d95-e5aa4593130e}" done="0">
    <x18tc:text xml:space="preserve">Não localizada OS de instalação, data simbólica</x18tc:text>
  </x18tc:threadedComment>
  <x18tc:threadedComment ref="AC880" dT="2025-06-06T18:27:34.00" personId="{6c3cfef6-2a2b-4523-b695-882d6eeec17a}" id="{8cd562c6-ab7f-4f38-9fb7-9156f19c1998}" done="0">
    <x18tc:text xml:space="preserve">Data de assinatura do 19º Contrato</x18tc:text>
  </x18tc:threadedComment>
  <x18tc:threadedComment ref="S466" dT="2025-02-05T11:22:19.00" personId="{6c3cfef6-2a2b-4523-b695-882d6eeec17a}" id="{7ffb2323-3f83-4e6c-b8fb-4804f029dc82}" done="0">
    <x18tc:text xml:space="preserve">Data do TRD</x18tc:text>
  </x18tc:threadedComment>
  <x18tc:threadedComment ref="M951" dT="2024-12-13T11:57:07.00" personId="{6c3cfef6-2a2b-4523-b695-882d6eeec17a}" id="{baae93ec-caa5-49d8-a735-85a11185e63e}" done="0">
    <x18tc:text xml:space="preserve">Não localizada data, então preenchida igual a da outra unidade</x18tc:text>
  </x18tc:threadedComment>
  <x18tc:threadedComment ref="S1494" dT="2025-06-09T18:46:23.00" personId="{6c3cfef6-2a2b-4523-b695-882d6eeec17a}" id="{f3b529b7-6351-43b7-a4ca-ce99fe6843a0}" done="0">
    <x18tc:text xml:space="preserve">Data de instalação</x18tc:text>
  </x18tc:threadedComment>
  <x18tc:threadedComment ref="AC1310" dT="2024-11-07T14:41:02.00" personId="{6c3cfef6-2a2b-4523-b695-882d6eeec17a}" id="{92b5c22b-7e0d-43b8-a2e9-221b58a291d4}" done="0">
    <x18tc:text xml:space="preserve">Data simbólica informada pelo Cláudio</x18tc:text>
  </x18tc:threadedComment>
  <x18tc:threadedComment ref="S1624" dT="2025-06-04T13:37:31.00" personId="{6c3cfef6-2a2b-4523-b695-882d6eeec17a}" id="{0a849709-57c0-461a-a3a7-de44be70a6a0}" done="0">
    <x18tc:text xml:space="preserve">Data de instalação</x18tc:text>
  </x18tc:threadedComment>
  <x18tc:threadedComment ref="S1374" dT="2025-06-09T18:10:30.00" personId="{6c3cfef6-2a2b-4523-b695-882d6eeec17a}" id="{cc78fb8d-5f98-4c80-89c2-1137dce9c42e}" done="0">
    <x18tc:text xml:space="preserve">Data de instalação</x18tc:text>
  </x18tc:threadedComment>
  <x18tc:threadedComment ref="AJ553" dT="2025-06-04T16:46:32.00" personId="{6c3cfef6-2a2b-4523-b695-882d6eeec17a}" id="{54698246-a86e-4e9f-961b-3f324dc59a56}" done="0">
    <x18tc:text xml:space="preserve">Prazos contados para chamados abertos até as 15:00.
Após esse horário, a contagem começa as 06:00 do dia seguinte</x18tc:text>
  </x18tc:threadedComment>
  <x18tc:threadedComment ref="AC1332" dT="2025-06-09T17:35:03.00" personId="{6c3cfef6-2a2b-4523-b695-882d6eeec17a}" id="{130d6eb4-2b96-487c-aad2-1eb2643630d9}" done="0">
    <x18tc:text xml:space="preserve">Data do 5º Temo Adt</x18tc:text>
  </x18tc:threadedComment>
  <x18tc:threadedComment ref="AC1276" dT="2024-11-07T14:41:02.00" personId="{6c3cfef6-2a2b-4523-b695-882d6eeec17a}" id="{7316a516-d50f-45e0-b2c2-5afcc810d660}" done="0">
    <x18tc:text xml:space="preserve">Data simbólica informada pelo Cláudio</x18tc:text>
  </x18tc:threadedComment>
  <x18tc:threadedComment ref="S1097" dT="2025-03-13T17:40:42.00" personId="{6c3cfef6-2a2b-4523-b695-882d6eeec17a}" id="{c4d961ca-602b-42b1-ac12-ee2260c64a1b}" done="0">
    <x18tc:text xml:space="preserve">Data do TRD</x18tc:text>
  </x18tc:threadedComment>
  <x18tc:threadedComment ref="S1573" dT="2025-06-09T19:36:51.00" personId="{6c3cfef6-2a2b-4523-b695-882d6eeec17a}" id="{8f0f98cc-5090-4a14-8fd7-cfedb60a9a82}" done="0">
    <x18tc:text xml:space="preserve">Data de instalação</x18tc:text>
  </x18tc:threadedComment>
  <x18tc:threadedComment ref="S1501" dT="2025-06-09T18:46:23.00" personId="{6c3cfef6-2a2b-4523-b695-882d6eeec17a}" id="{97f52759-d25c-429d-ae89-6bdd898b3e63}" done="0">
    <x18tc:text xml:space="preserve">Data de instalação</x18tc:text>
  </x18tc:threadedComment>
  <x18tc:threadedComment ref="AC930" dT="2025-03-11T14:50:45.00" personId="{6c3cfef6-2a2b-4523-b695-882d6eeec17a}" id="{c53e88e2-8a89-4077-bfae-82d82370e5ae}" done="0">
    <x18tc:text xml:space="preserve">Data de assinatura do contrato</x18tc:text>
  </x18tc:threadedComment>
  <x18tc:threadedComment ref="S476" dT="2025-02-05T11:22:19.00" personId="{6c3cfef6-2a2b-4523-b695-882d6eeec17a}" id="{12044223-8317-478e-a930-e38c88cc69ef}" done="0">
    <x18tc:text xml:space="preserve">Data do TRD</x18tc:text>
  </x18tc:threadedComment>
  <x18tc:threadedComment ref="X862" dT="2025-06-06T18:21:21.00" personId="{6c3cfef6-2a2b-4523-b695-882d6eeec17a}" id="{bfab3ee4-9124-4d52-a0d9-9858ffe7107f}" done="0">
    <x18tc:text xml:space="preserve">Data do Termo Adt</x18tc:text>
  </x18tc:threadedComment>
  <x18tc:threadedComment ref="S26" dT="2025-05-30T13:32:34.00" personId="{6c3cfef6-2a2b-4523-b695-882d6eeec17a}" id="{8d90a1f4-dfef-4206-a983-2ff5e01ce55d}" done="0">
    <x18tc:text xml:space="preserve">Data de instalação</x18tc:text>
  </x18tc:threadedComment>
  <x18tc:threadedComment ref="X63" dT="2025-05-30T13:32:34.00" personId="{6c3cfef6-2a2b-4523-b695-882d6eeec17a}" id="{5bd5fe88-23bd-4223-b3fd-5a46c5f6b58a}" done="0">
    <x18tc:text xml:space="preserve">Data informada pelo Comercial, na planilha "Controle de Prazos de Garantia - Aena"</x18tc:text>
  </x18tc:threadedComment>
  <x18tc:threadedComment ref="AC343" dT="2025-06-04T13:24:23.00" personId="{6c3cfef6-2a2b-4523-b695-882d6eeec17a}" id="{68d28c37-5565-4c6c-b5fd-8062300c496b}" done="0">
    <x18tc:text xml:space="preserve">Data mencionada no RP</x18tc:text>
  </x18tc:threadedComment>
  <x18tc:threadedComment ref="AC875" dT="2025-06-06T18:27:34.00" personId="{6c3cfef6-2a2b-4523-b695-882d6eeec17a}" id="{a592dd61-e49a-4784-8678-545a8d77d628}" done="0">
    <x18tc:text xml:space="preserve">Data de instalação</x18tc:text>
  </x18tc:threadedComment>
  <x18tc:threadedComment ref="AL805" dT="2025-12-12T12:15:46.00" personId="{23b4e6d8-a4cf-4525-853e-41d120ba6289}" id="{664c0059-9d96-4715-a964-5ba0900643c7}" done="0">
    <x18tc:text xml:space="preserve">Atendimento Preventivo e Corretivo
Envio de proposta caso necessário a substituição de peças.</x18tc:text>
  </x18tc:threadedComment>
  <x18tc:threadedComment ref="S1556" dT="2025-03-18T18:54:47.00" personId="{6c3cfef6-2a2b-4523-b695-882d6eeec17a}" id="{25542604-9dee-4de1-b58b-2be01c85c7c1}" done="0">
    <x18tc:text xml:space="preserve">Data de instalação</x18tc:text>
  </x18tc:threadedComment>
  <x18tc:threadedComment ref="S766" dT="2025-06-04T17:54:23.00" personId="{6c3cfef6-2a2b-4523-b695-882d6eeec17a}" id="{3976db44-7e71-4321-89e5-dc39f83f8d5c}" done="0">
    <x18tc:text xml:space="preserve">Data de instalação</x18tc:text>
  </x18tc:threadedComment>
  <x18tc:threadedComment ref="S324" dT="2025-05-30T18:33:18.00" personId="{6c3cfef6-2a2b-4523-b695-882d6eeec17a}" id="{dc612c74-dcaf-4370-a3ba-94cb048a0b52}" done="0">
    <x18tc:text xml:space="preserve">Data de instalação</x18tc:text>
  </x18tc:threadedComment>
  <x18tc:threadedComment ref="S1608" dT="2025-06-09T19:43:23.00" personId="{6c3cfef6-2a2b-4523-b695-882d6eeec17a}" id="{dd0c23c4-8246-4710-9d4a-37aee503dbb4}" done="0">
    <x18tc:text xml:space="preserve">Data de instalação</x18tc:text>
  </x18tc:threadedComment>
  <x18tc:threadedComment ref="AC656" dT="2025-02-07T13:56:10.00" personId="{6c3cfef6-2a2b-4523-b695-882d6eeec17a}" id="{be7506f2-efc6-447d-80c4-3963836d7402}" done="0">
    <x18tc:text xml:space="preserve">Data de instalação</x18tc:text>
  </x18tc:threadedComment>
  <x18tc:threadedComment ref="AC1267" dT="2025-07-10T18:15:28.00" personId="{6c3cfef6-2a2b-4523-b695-882d6eeec17a}" id="{2a2da3bf-e320-4bb1-ba74-db7d8792e03e}" done="0">
    <x18tc:text xml:space="preserve">Não instalado a pedido do cliente, pois não havia estrutura</x18tc:text>
  </x18tc:threadedComment>
  <x18tc:threadedComment ref="S339" dT="2025-05-30T18:45:10.00" personId="{6c3cfef6-2a2b-4523-b695-882d6eeec17a}" id="{ae06aa5b-ffbb-472f-8eca-9947ab6732bb}" done="0">
    <x18tc:text xml:space="preserve">Data de instalação</x18tc:text>
  </x18tc:threadedComment>
  <x18tc:threadedComment ref="S1092" dT="2025-03-13T17:40:42.00" personId="{6c3cfef6-2a2b-4523-b695-882d6eeec17a}" id="{32e2e9f1-cf7a-4218-ba6f-7ae307401c35}" done="0">
    <x18tc:text xml:space="preserve">Data do TRD</x18tc:text>
  </x18tc:threadedComment>
  <x18tc:threadedComment ref="S997" dT="2024-11-01T18:44:47.00" personId="{6c3cfef6-2a2b-4523-b695-882d6eeec17a}" id="{59de6699-25b3-47ce-9875-3403f5efb5e6}" done="0">
    <x18tc:text xml:space="preserve">Data do TRD</x18tc:text>
  </x18tc:threadedComment>
  <x18tc:threadedComment ref="X889" dT="2025-06-06T18:21:21.00" personId="{6c3cfef6-2a2b-4523-b695-882d6eeec17a}" id="{14d7edda-d501-4f61-b1a1-c23293f9bfa2}" done="0">
    <x18tc:text xml:space="preserve">Data do Termo Adt</x18tc:text>
  </x18tc:threadedComment>
  <x18tc:threadedComment ref="S254" dT="2025-05-30T14:46:23.00" personId="{6c3cfef6-2a2b-4523-b695-882d6eeec17a}" id="{5d902c1a-85fb-4096-9c1f-65e835b79c7f}" done="0">
    <x18tc:text xml:space="preserve">Data de instalação</x18tc:text>
  </x18tc:threadedComment>
  <x18tc:threadedComment ref="S794" dT="2025-06-04T19:04:19.00" personId="{6c3cfef6-2a2b-4523-b695-882d6eeec17a}" id="{355b1731-d933-4143-985d-628ce5caa951}" done="0">
    <x18tc:text xml:space="preserve">Data de instalação</x18tc:text>
  </x18tc:threadedComment>
  <x18tc:threadedComment ref="S250" dT="2025-05-30T14:46:23.00" personId="{6c3cfef6-2a2b-4523-b695-882d6eeec17a}" id="{5810be71-250c-4547-a1d1-6b5d46b962a9}" done="0">
    <x18tc:text xml:space="preserve">Data de instalação</x18tc:text>
  </x18tc:threadedComment>
  <x18tc:threadedComment ref="AC199" dT="2025-05-30T14:46:23.00" personId="{6c3cfef6-2a2b-4523-b695-882d6eeec17a}" id="{c9f1876b-3e55-41bb-8c28-1df7df79b622}" done="0">
    <x18tc:text xml:space="preserve">Data de instalação</x18tc:text>
  </x18tc:threadedComment>
  <x18tc:threadedComment ref="S1583" dT="2025-03-18T18:54:47.00" personId="{6c3cfef6-2a2b-4523-b695-882d6eeec17a}" id="{5208df24-097e-427f-b5cd-51ce810c2395}" done="0">
    <x18tc:text xml:space="preserve">Data de instalação</x18tc:text>
  </x18tc:threadedComment>
  <x18tc:threadedComment ref="X98" dT="2025-07-17T16:57:11.00" personId="{6c3cfef6-2a2b-4523-b695-882d6eeec17a}" id="{533acd45-1ee2-474f-a941-c6d8401f3ef5}" done="0">
    <x18tc:text xml:space="preserve">Data informada pelo Comercial, na planilha "Controle de Prazos de Garantia - Aena"</x18tc:text>
  </x18tc:threadedComment>
  <x18tc:threadedComment ref="X232" dT="2025-01-31T18:15:26.00" personId="{6c3cfef6-2a2b-4523-b695-882d6eeec17a}" id="{4dd21d0c-1034-4e1e-ab7b-60edfe21a54d}" done="0">
    <x18tc:text xml:space="preserve">Data do 1º Termo Aditivo</x18tc:text>
  </x18tc:threadedComment>
  <x18tc:threadedComment ref="S1386" dT="2025-06-09T18:10:30.00" personId="{6c3cfef6-2a2b-4523-b695-882d6eeec17a}" id="{2199ebec-ed09-4270-8126-69a817a96f5f}" done="0">
    <x18tc:text xml:space="preserve">Data de instalação</x18tc:text>
  </x18tc:threadedComment>
  <x18tc:threadedComment ref="S11" dT="2025-05-30T13:32:34.00" personId="{6c3cfef6-2a2b-4523-b695-882d6eeec17a}" id="{d4a4e94e-e721-4f54-9946-3c89cce96fed}" done="0">
    <x18tc:text xml:space="preserve">Data de instalação</x18tc:text>
  </x18tc:threadedComment>
  <x18tc:threadedComment ref="AC1241" dT="2025-09-25T20:22:43.00" personId="{6c3cfef6-2a2b-4523-b695-882d6eeec17a}" id="{934342b0-e07e-4383-a24c-3906cf0681a4}" done="0">
    <x18tc:text xml:space="preserve">Data de assinatura do contrato, mencionada no RP</x18tc:text>
  </x18tc:threadedComment>
  <x18tc:threadedComment ref="AC630" dT="2025-02-07T13:56:10.00" personId="{6c3cfef6-2a2b-4523-b695-882d6eeec17a}" id="{fcf38d50-49f4-4325-95ac-3b9b7059dc17}" done="0">
    <x18tc:text xml:space="preserve">Data de instalação</x18tc:text>
  </x18tc:threadedComment>
  <x18tc:threadedComment ref="AC205" dT="2025-05-30T14:46:23.00" personId="{6c3cfef6-2a2b-4523-b695-882d6eeec17a}" id="{a8d8588a-c84f-4f20-9281-a237e5f08d83}" done="0">
    <x18tc:text xml:space="preserve">Data de instalação</x18tc:text>
  </x18tc:threadedComment>
  <x18tc:threadedComment ref="AC859" dT="2025-06-06T18:27:34.00" personId="{6c3cfef6-2a2b-4523-b695-882d6eeec17a}" id="{e83dbb2a-44a5-4d42-8371-9851a827c963}" done="0">
    <x18tc:text xml:space="preserve">Data de instalação</x18tc:text>
  </x18tc:threadedComment>
  <x18tc:threadedComment ref="S742" dT="2025-06-04T17:54:23.00" personId="{6c3cfef6-2a2b-4523-b695-882d6eeec17a}" id="{6787ad03-0e19-4ec6-a381-38adeba5fb96}" done="0">
    <x18tc:text xml:space="preserve">Data de instalação</x18tc:text>
  </x18tc:threadedComment>
  <x18tc:threadedComment ref="S16" dT="2025-05-30T13:32:34.00" personId="{6c3cfef6-2a2b-4523-b695-882d6eeec17a}" id="{1bd5d0d8-17c8-4b21-ade0-f5e7b59f4914}" done="0">
    <x18tc:text xml:space="preserve">Data de instalação</x18tc:text>
  </x18tc:threadedComment>
  <x18tc:threadedComment ref="S1014" dT="2024-11-01T18:44:47.00" personId="{6c3cfef6-2a2b-4523-b695-882d6eeec17a}" id="{ca169753-a23b-4099-a7aa-c63673cd93ce}" done="0">
    <x18tc:text xml:space="preserve">Data do TRD</x18tc:text>
  </x18tc:threadedComment>
  <x18tc:threadedComment ref="S1078" dT="2024-11-01T18:46:57.00" personId="{6c3cfef6-2a2b-4523-b695-882d6eeec17a}" id="{aca46acb-f35d-487c-8f3e-e692ae4e59f5}" done="0">
    <x18tc:text xml:space="preserve">Data do TRD</x18tc:text>
  </x18tc:threadedComment>
  <x18tc:threadedComment ref="S337" dT="2025-05-30T18:45:10.00" personId="{6c3cfef6-2a2b-4523-b695-882d6eeec17a}" id="{b63a7a76-5503-4b72-8efd-66becfa9dba7}" done="0">
    <x18tc:text xml:space="preserve">Data de instalação</x18tc:text>
  </x18tc:threadedComment>
  <x18tc:threadedComment ref="AC1287" dT="2024-11-07T14:41:02.00" personId="{6c3cfef6-2a2b-4523-b695-882d6eeec17a}" id="{2c94b284-9a33-48e5-a51b-1cccf25e1a6e}" done="0">
    <x18tc:text xml:space="preserve">Data simbólica informada pelo Cláudio</x18tc:text>
  </x18tc:threadedComment>
  <x18tc:threadedComment ref="AC590" dT="2025-02-07T13:54:57.00" personId="{6c3cfef6-2a2b-4523-b695-882d6eeec17a}" id="{78dfbd61-b418-499a-9206-c85f2a98a49d}" done="0">
    <x18tc:text xml:space="preserve">Data informada no RP</x18tc:text>
  </x18tc:threadedComment>
  <x18tc:threadedComment ref="S211" dT="2025-05-30T14:46:23.00" personId="{6c3cfef6-2a2b-4523-b695-882d6eeec17a}" id="{da750656-f1d4-4fbe-80de-9b98b58245bd}" done="0">
    <x18tc:text xml:space="preserve">Data de instalação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www.bing.com/ck/a?!&amp;&amp;p=9c315ca99c395b2afc8e4769c16de3d9fbab6e1b4c60e99ecb0f62fcf9c38832JmltdHM9MTc0ODM5MDQwMA&amp;ptn=3&amp;ver=2&amp;hsh=4&amp;fclid=1d911b89-e1f2-649e-1199-0e67e02b6587&amp;u=a1aHR0cHM6Ly93d3cuYmluZy5jb20vYWxpbmsvbGluaz91cmw9aHR0cHMlM2ElMmYlMmZ3d3cudmlyYWNvcG9zLmNvbSUyZnB0X2JyJTJmcGFzc2FnZWlybyUyZiZzb3VyY2U9c2VycC1sb2NhbCZoPVklMmY4MFZwTEZsRVV5SkVITnhGVExiRjVJdThiU0xoVVZwb3p4M2h5JTJmQlk0JTNkJnA9bHdfdHB0JmlnPUE5OEI1ODVDODVBMzREMzc5Qzc4Qjk2NjAwMzUxNDBCJnlwaWQ9WU43OTkzeDExNzE3ODk1Nzc2MzQyMTcxNzY4&amp;ntb=1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bing.com/ck/a?!&amp;&amp;p=9c315ca99c395b2afc8e4769c16de3d9fbab6e1b4c60e99ecb0f62fcf9c38832JmltdHM9MTc0ODM5MDQwMA&amp;ptn=3&amp;ver=2&amp;hsh=4&amp;fclid=1d911b89-e1f2-649e-1199-0e67e02b6587&amp;u=a1aHR0cHM6Ly93d3cuYmluZy5jb20vYWxpbmsvbGluaz91cmw9aHR0cHMlM2ElMmYlMmZ3d3cudmlyYWNvcG9zLmNvbSUyZnB0X2JyJTJmcGFzc2FnZWlybyUyZiZzb3VyY2U9c2VycC1sb2NhbCZoPVklMmY4MFZwTEZsRVV5SkVITnhGVExiRjVJdThiU0xoVVZwb3p4M2h5JTJmQlk0JTNkJnA9bHdfdHB0JmlnPUE5OEI1ODVDODVBMzREMzc5Qzc4Qjk2NjAwMzUxNDBCJnlwaWQ9WU43OTkzeDExNzE3ODk1Nzc2MzQyMTcxNzY4&amp;ntb=1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8.71"/>
    <col customWidth="1" min="4" max="4" width="11.43"/>
    <col customWidth="1" min="5" max="5" width="52.71"/>
    <col customWidth="1" min="6" max="6" width="36.86"/>
    <col customWidth="1" min="7" max="7" width="15.86"/>
    <col customWidth="1" min="8" max="8" width="29.57"/>
    <col customWidth="1" min="9" max="9" width="16.71"/>
    <col customWidth="1" min="10" max="11" width="8.71"/>
    <col customWidth="1" min="12" max="12" width="18.14"/>
    <col customWidth="1" min="13" max="13" width="17.0"/>
    <col customWidth="1" min="14" max="14" width="47.57"/>
    <col customWidth="1" min="15" max="15" width="11.71"/>
    <col customWidth="1" min="16" max="16" width="20.29"/>
    <col customWidth="1" min="17" max="17" width="9.14"/>
    <col customWidth="1" min="18" max="18" width="16.14"/>
    <col customWidth="1" min="19" max="19" width="16.57"/>
    <col customWidth="1" min="20" max="21" width="16.14"/>
    <col customWidth="1" min="22" max="22" width="9.14"/>
    <col customWidth="1" min="23" max="23" width="16.14"/>
    <col customWidth="1" min="24" max="24" width="16.57"/>
    <col customWidth="1" min="25" max="26" width="16.14"/>
    <col customWidth="1" min="27" max="27" width="9.14"/>
    <col customWidth="1" min="28" max="28" width="16.14"/>
    <col customWidth="1" min="29" max="29" width="16.57"/>
    <col customWidth="1" min="30" max="31" width="16.14"/>
    <col customWidth="1" min="32" max="32" width="9.14"/>
    <col customWidth="1" min="33" max="33" width="23.43"/>
    <col customWidth="1" min="34" max="34" width="25.43"/>
    <col customWidth="1" min="35" max="35" width="24.14"/>
    <col customWidth="1" min="36" max="36" width="19.14"/>
    <col customWidth="1" min="37" max="37" width="24.0"/>
    <col customWidth="1" min="38" max="38" width="16.57"/>
    <col customWidth="1" min="39" max="39" width="16.71"/>
    <col customWidth="1" min="40" max="40" width="18.43"/>
  </cols>
  <sheetData>
    <row r="1" ht="15.0" customHeight="1">
      <c r="A1" s="1"/>
      <c r="Q1" s="2"/>
      <c r="R1" s="3" t="s">
        <v>0</v>
      </c>
      <c r="S1" s="4"/>
      <c r="T1" s="4"/>
      <c r="U1" s="5"/>
      <c r="V1" s="2"/>
      <c r="W1" s="3" t="s">
        <v>1</v>
      </c>
      <c r="X1" s="4"/>
      <c r="Y1" s="4"/>
      <c r="Z1" s="5"/>
      <c r="AA1" s="1"/>
      <c r="AB1" s="3" t="s">
        <v>2</v>
      </c>
      <c r="AC1" s="4"/>
      <c r="AD1" s="4"/>
      <c r="AE1" s="5"/>
      <c r="AF1" s="2"/>
      <c r="AG1" s="6" t="s">
        <v>3</v>
      </c>
      <c r="AH1" s="4"/>
      <c r="AI1" s="4"/>
      <c r="AJ1" s="4"/>
      <c r="AK1" s="4"/>
      <c r="AL1" s="4"/>
      <c r="AM1" s="4"/>
      <c r="AN1" s="5"/>
    </row>
    <row r="2" ht="30.0" customHeight="1">
      <c r="A2" s="7" t="s">
        <v>4</v>
      </c>
      <c r="B2" s="8" t="s">
        <v>5</v>
      </c>
      <c r="C2" s="8" t="s">
        <v>6</v>
      </c>
      <c r="D2" s="8" t="s">
        <v>7</v>
      </c>
      <c r="E2" s="8" t="s">
        <v>8</v>
      </c>
      <c r="F2" s="8" t="s">
        <v>9</v>
      </c>
      <c r="G2" s="8" t="s">
        <v>10</v>
      </c>
      <c r="H2" s="8" t="s">
        <v>11</v>
      </c>
      <c r="I2" s="8" t="s">
        <v>12</v>
      </c>
      <c r="J2" s="8" t="s">
        <v>13</v>
      </c>
      <c r="K2" s="8" t="s">
        <v>14</v>
      </c>
      <c r="L2" s="8" t="s">
        <v>15</v>
      </c>
      <c r="M2" s="8" t="s">
        <v>16</v>
      </c>
      <c r="N2" s="8" t="s">
        <v>17</v>
      </c>
      <c r="O2" s="8" t="s">
        <v>18</v>
      </c>
      <c r="P2" s="8" t="s">
        <v>19</v>
      </c>
      <c r="Q2" s="2"/>
      <c r="R2" s="8" t="s">
        <v>20</v>
      </c>
      <c r="S2" s="8" t="s">
        <v>21</v>
      </c>
      <c r="T2" s="8" t="s">
        <v>22</v>
      </c>
      <c r="U2" s="8" t="s">
        <v>23</v>
      </c>
      <c r="V2" s="2"/>
      <c r="W2" s="8" t="s">
        <v>24</v>
      </c>
      <c r="X2" s="8" t="s">
        <v>21</v>
      </c>
      <c r="Y2" s="8" t="s">
        <v>22</v>
      </c>
      <c r="Z2" s="8" t="s">
        <v>23</v>
      </c>
      <c r="AA2" s="1"/>
      <c r="AB2" s="8" t="s">
        <v>25</v>
      </c>
      <c r="AC2" s="8" t="s">
        <v>21</v>
      </c>
      <c r="AD2" s="8" t="s">
        <v>22</v>
      </c>
      <c r="AE2" s="8" t="s">
        <v>23</v>
      </c>
      <c r="AF2" s="2"/>
      <c r="AG2" s="8" t="s">
        <v>26</v>
      </c>
      <c r="AH2" s="8" t="s">
        <v>27</v>
      </c>
      <c r="AI2" s="8" t="s">
        <v>28</v>
      </c>
      <c r="AJ2" s="8" t="s">
        <v>29</v>
      </c>
      <c r="AK2" s="8" t="s">
        <v>30</v>
      </c>
      <c r="AL2" s="8" t="s">
        <v>31</v>
      </c>
      <c r="AM2" s="8" t="s">
        <v>32</v>
      </c>
      <c r="AN2" s="8" t="s">
        <v>33</v>
      </c>
    </row>
    <row r="3" ht="30.0" customHeight="1">
      <c r="A3" s="9" t="str">
        <f t="shared" ref="A3:A412" si="1">IF(U3&lt;0,"Inativo",IF(U3&gt;0,"Ativo","N/I"))</f>
        <v>Inativo</v>
      </c>
      <c r="B3" s="9" t="str">
        <f t="shared" ref="B3:B412" si="2">IF(Z3&lt;0,"Inativo",IF(Z3&gt;0,"Ativo","N/I"))</f>
        <v>Ativo</v>
      </c>
      <c r="C3" s="9" t="str">
        <f t="shared" ref="C3:C412" si="3">IF(AE3&lt;0,"Inativo",IF(AE3&gt;0,"Ativo","N/I"))</f>
        <v>N/I</v>
      </c>
      <c r="D3" s="10" t="s">
        <v>34</v>
      </c>
      <c r="E3" s="11" t="s">
        <v>35</v>
      </c>
      <c r="F3" s="11" t="s">
        <v>36</v>
      </c>
      <c r="G3" s="12" t="s">
        <v>37</v>
      </c>
      <c r="H3" s="13" t="s">
        <v>38</v>
      </c>
      <c r="I3" s="12" t="s">
        <v>39</v>
      </c>
      <c r="J3" s="10" t="s">
        <v>40</v>
      </c>
      <c r="K3" s="10" t="s">
        <v>41</v>
      </c>
      <c r="L3" s="10" t="s">
        <v>4</v>
      </c>
      <c r="M3" s="14">
        <v>44950.0</v>
      </c>
      <c r="N3" s="11" t="s">
        <v>42</v>
      </c>
      <c r="O3" s="10" t="s">
        <v>43</v>
      </c>
      <c r="P3" s="10" t="s">
        <v>44</v>
      </c>
      <c r="Q3" s="2"/>
      <c r="R3" s="10">
        <v>12.0</v>
      </c>
      <c r="S3" s="14">
        <v>44950.0</v>
      </c>
      <c r="T3" s="14">
        <v>45315.0</v>
      </c>
      <c r="U3" s="10">
        <f t="shared" ref="U3:U99" si="4">T3-TODAY()</f>
        <v>-776</v>
      </c>
      <c r="V3" s="2"/>
      <c r="W3" s="10">
        <v>42.0</v>
      </c>
      <c r="X3" s="14">
        <v>45316.0</v>
      </c>
      <c r="Y3" s="14">
        <v>46593.0</v>
      </c>
      <c r="Z3" s="10">
        <f t="shared" ref="Z3:Z99" si="5">Y3-TODAY()</f>
        <v>502</v>
      </c>
      <c r="AA3" s="1"/>
      <c r="AB3" s="15"/>
      <c r="AC3" s="15"/>
      <c r="AD3" s="15"/>
      <c r="AE3" s="15"/>
      <c r="AF3" s="2"/>
      <c r="AG3" s="16" t="s">
        <v>45</v>
      </c>
      <c r="AH3" s="17" t="s">
        <v>46</v>
      </c>
      <c r="AI3" s="18" t="s">
        <v>47</v>
      </c>
      <c r="AJ3" s="10" t="s">
        <v>48</v>
      </c>
      <c r="AK3" s="16" t="s">
        <v>45</v>
      </c>
      <c r="AL3" s="10" t="s">
        <v>49</v>
      </c>
      <c r="AM3" s="10" t="s">
        <v>48</v>
      </c>
      <c r="AN3" s="10" t="s">
        <v>50</v>
      </c>
    </row>
    <row r="4" ht="30.0" customHeight="1">
      <c r="A4" s="9" t="str">
        <f t="shared" si="1"/>
        <v>Inativo</v>
      </c>
      <c r="B4" s="9" t="str">
        <f t="shared" si="2"/>
        <v>Ativo</v>
      </c>
      <c r="C4" s="9" t="str">
        <f t="shared" si="3"/>
        <v>N/I</v>
      </c>
      <c r="D4" s="10" t="s">
        <v>34</v>
      </c>
      <c r="E4" s="11" t="s">
        <v>35</v>
      </c>
      <c r="F4" s="11" t="s">
        <v>36</v>
      </c>
      <c r="G4" s="12" t="s">
        <v>37</v>
      </c>
      <c r="H4" s="13" t="s">
        <v>51</v>
      </c>
      <c r="I4" s="12" t="s">
        <v>39</v>
      </c>
      <c r="J4" s="10" t="s">
        <v>40</v>
      </c>
      <c r="K4" s="10" t="s">
        <v>41</v>
      </c>
      <c r="L4" s="10" t="s">
        <v>4</v>
      </c>
      <c r="M4" s="14">
        <v>44952.0</v>
      </c>
      <c r="N4" s="11" t="s">
        <v>42</v>
      </c>
      <c r="O4" s="10" t="s">
        <v>43</v>
      </c>
      <c r="P4" s="10" t="s">
        <v>44</v>
      </c>
      <c r="Q4" s="2"/>
      <c r="R4" s="10">
        <v>12.0</v>
      </c>
      <c r="S4" s="14">
        <v>44952.0</v>
      </c>
      <c r="T4" s="14">
        <v>45317.0</v>
      </c>
      <c r="U4" s="10">
        <f t="shared" si="4"/>
        <v>-774</v>
      </c>
      <c r="V4" s="2"/>
      <c r="W4" s="10">
        <v>42.0</v>
      </c>
      <c r="X4" s="14">
        <v>45318.0</v>
      </c>
      <c r="Y4" s="14">
        <v>46595.0</v>
      </c>
      <c r="Z4" s="10">
        <f t="shared" si="5"/>
        <v>504</v>
      </c>
      <c r="AA4" s="1"/>
      <c r="AB4" s="15"/>
      <c r="AC4" s="15"/>
      <c r="AD4" s="15"/>
      <c r="AE4" s="15"/>
      <c r="AF4" s="2"/>
      <c r="AG4" s="16" t="s">
        <v>45</v>
      </c>
      <c r="AH4" s="17" t="s">
        <v>46</v>
      </c>
      <c r="AI4" s="18" t="s">
        <v>47</v>
      </c>
      <c r="AJ4" s="10" t="s">
        <v>48</v>
      </c>
      <c r="AK4" s="16" t="s">
        <v>45</v>
      </c>
      <c r="AL4" s="10" t="s">
        <v>49</v>
      </c>
      <c r="AM4" s="10" t="s">
        <v>48</v>
      </c>
      <c r="AN4" s="10" t="s">
        <v>50</v>
      </c>
    </row>
    <row r="5" ht="30.0" customHeight="1">
      <c r="A5" s="9" t="str">
        <f t="shared" si="1"/>
        <v>Inativo</v>
      </c>
      <c r="B5" s="9" t="str">
        <f t="shared" si="2"/>
        <v>Ativo</v>
      </c>
      <c r="C5" s="9" t="str">
        <f t="shared" si="3"/>
        <v>N/I</v>
      </c>
      <c r="D5" s="10" t="s">
        <v>34</v>
      </c>
      <c r="E5" s="11" t="s">
        <v>35</v>
      </c>
      <c r="F5" s="11" t="s">
        <v>36</v>
      </c>
      <c r="G5" s="12" t="s">
        <v>52</v>
      </c>
      <c r="H5" s="13" t="s">
        <v>53</v>
      </c>
      <c r="I5" s="12" t="s">
        <v>39</v>
      </c>
      <c r="J5" s="10" t="s">
        <v>40</v>
      </c>
      <c r="K5" s="10" t="s">
        <v>41</v>
      </c>
      <c r="L5" s="10" t="s">
        <v>4</v>
      </c>
      <c r="M5" s="14">
        <v>45029.0</v>
      </c>
      <c r="N5" s="11" t="s">
        <v>42</v>
      </c>
      <c r="O5" s="10" t="s">
        <v>43</v>
      </c>
      <c r="P5" s="10" t="s">
        <v>44</v>
      </c>
      <c r="Q5" s="2"/>
      <c r="R5" s="10">
        <v>12.0</v>
      </c>
      <c r="S5" s="14">
        <v>45029.0</v>
      </c>
      <c r="T5" s="14">
        <v>45395.0</v>
      </c>
      <c r="U5" s="10">
        <f t="shared" si="4"/>
        <v>-696</v>
      </c>
      <c r="V5" s="2"/>
      <c r="W5" s="10">
        <v>42.0</v>
      </c>
      <c r="X5" s="14">
        <v>45396.0</v>
      </c>
      <c r="Y5" s="14">
        <v>46674.0</v>
      </c>
      <c r="Z5" s="10">
        <f t="shared" si="5"/>
        <v>583</v>
      </c>
      <c r="AA5" s="1"/>
      <c r="AB5" s="15"/>
      <c r="AC5" s="15"/>
      <c r="AD5" s="15"/>
      <c r="AE5" s="15"/>
      <c r="AF5" s="2"/>
      <c r="AG5" s="16" t="s">
        <v>45</v>
      </c>
      <c r="AH5" s="17" t="s">
        <v>46</v>
      </c>
      <c r="AI5" s="18" t="s">
        <v>47</v>
      </c>
      <c r="AJ5" s="10" t="s">
        <v>48</v>
      </c>
      <c r="AK5" s="16" t="s">
        <v>45</v>
      </c>
      <c r="AL5" s="10" t="s">
        <v>49</v>
      </c>
      <c r="AM5" s="10" t="s">
        <v>48</v>
      </c>
      <c r="AN5" s="10" t="s">
        <v>50</v>
      </c>
    </row>
    <row r="6" ht="30.0" customHeight="1">
      <c r="A6" s="9" t="str">
        <f t="shared" si="1"/>
        <v>Inativo</v>
      </c>
      <c r="B6" s="9" t="str">
        <f t="shared" si="2"/>
        <v>Ativo</v>
      </c>
      <c r="C6" s="9" t="str">
        <f t="shared" si="3"/>
        <v>N/I</v>
      </c>
      <c r="D6" s="10" t="s">
        <v>34</v>
      </c>
      <c r="E6" s="11" t="s">
        <v>35</v>
      </c>
      <c r="F6" s="11" t="s">
        <v>36</v>
      </c>
      <c r="G6" s="12" t="s">
        <v>37</v>
      </c>
      <c r="H6" s="13" t="s">
        <v>54</v>
      </c>
      <c r="I6" s="12" t="s">
        <v>39</v>
      </c>
      <c r="J6" s="10" t="s">
        <v>40</v>
      </c>
      <c r="K6" s="10" t="s">
        <v>41</v>
      </c>
      <c r="L6" s="10" t="s">
        <v>4</v>
      </c>
      <c r="M6" s="14">
        <v>45041.0</v>
      </c>
      <c r="N6" s="11" t="s">
        <v>42</v>
      </c>
      <c r="O6" s="10" t="s">
        <v>43</v>
      </c>
      <c r="P6" s="10" t="s">
        <v>44</v>
      </c>
      <c r="Q6" s="2"/>
      <c r="R6" s="10">
        <v>12.0</v>
      </c>
      <c r="S6" s="14">
        <v>45041.0</v>
      </c>
      <c r="T6" s="14">
        <v>45407.0</v>
      </c>
      <c r="U6" s="10">
        <f t="shared" si="4"/>
        <v>-684</v>
      </c>
      <c r="V6" s="2"/>
      <c r="W6" s="10">
        <v>42.0</v>
      </c>
      <c r="X6" s="14">
        <v>45408.0</v>
      </c>
      <c r="Y6" s="14">
        <v>46686.0</v>
      </c>
      <c r="Z6" s="10">
        <f t="shared" si="5"/>
        <v>595</v>
      </c>
      <c r="AA6" s="1"/>
      <c r="AB6" s="15"/>
      <c r="AC6" s="15"/>
      <c r="AD6" s="15"/>
      <c r="AE6" s="15"/>
      <c r="AF6" s="2"/>
      <c r="AG6" s="16" t="s">
        <v>45</v>
      </c>
      <c r="AH6" s="17" t="s">
        <v>46</v>
      </c>
      <c r="AI6" s="18" t="s">
        <v>47</v>
      </c>
      <c r="AJ6" s="10" t="s">
        <v>48</v>
      </c>
      <c r="AK6" s="16" t="s">
        <v>45</v>
      </c>
      <c r="AL6" s="10" t="s">
        <v>49</v>
      </c>
      <c r="AM6" s="10" t="s">
        <v>48</v>
      </c>
      <c r="AN6" s="10" t="s">
        <v>50</v>
      </c>
    </row>
    <row r="7" ht="30.0" customHeight="1">
      <c r="A7" s="9" t="str">
        <f t="shared" si="1"/>
        <v>Inativo</v>
      </c>
      <c r="B7" s="9" t="str">
        <f t="shared" si="2"/>
        <v>Ativo</v>
      </c>
      <c r="C7" s="9" t="str">
        <f t="shared" si="3"/>
        <v>N/I</v>
      </c>
      <c r="D7" s="10" t="s">
        <v>34</v>
      </c>
      <c r="E7" s="11" t="s">
        <v>35</v>
      </c>
      <c r="F7" s="11" t="s">
        <v>36</v>
      </c>
      <c r="G7" s="12" t="s">
        <v>55</v>
      </c>
      <c r="H7" s="13" t="s">
        <v>56</v>
      </c>
      <c r="I7" s="12" t="s">
        <v>39</v>
      </c>
      <c r="J7" s="10" t="s">
        <v>40</v>
      </c>
      <c r="K7" s="10" t="s">
        <v>41</v>
      </c>
      <c r="L7" s="10" t="s">
        <v>4</v>
      </c>
      <c r="M7" s="14">
        <v>45041.0</v>
      </c>
      <c r="N7" s="11" t="s">
        <v>42</v>
      </c>
      <c r="O7" s="10" t="s">
        <v>43</v>
      </c>
      <c r="P7" s="10" t="s">
        <v>44</v>
      </c>
      <c r="Q7" s="2"/>
      <c r="R7" s="10">
        <v>12.0</v>
      </c>
      <c r="S7" s="14">
        <v>45041.0</v>
      </c>
      <c r="T7" s="14">
        <v>45407.0</v>
      </c>
      <c r="U7" s="10">
        <f t="shared" si="4"/>
        <v>-684</v>
      </c>
      <c r="V7" s="2"/>
      <c r="W7" s="10">
        <v>42.0</v>
      </c>
      <c r="X7" s="14">
        <v>45408.0</v>
      </c>
      <c r="Y7" s="14">
        <v>46686.0</v>
      </c>
      <c r="Z7" s="10">
        <f t="shared" si="5"/>
        <v>595</v>
      </c>
      <c r="AA7" s="1"/>
      <c r="AB7" s="15"/>
      <c r="AC7" s="15"/>
      <c r="AD7" s="15"/>
      <c r="AE7" s="15"/>
      <c r="AF7" s="2"/>
      <c r="AG7" s="16" t="s">
        <v>45</v>
      </c>
      <c r="AH7" s="17" t="s">
        <v>46</v>
      </c>
      <c r="AI7" s="18" t="s">
        <v>47</v>
      </c>
      <c r="AJ7" s="10" t="s">
        <v>48</v>
      </c>
      <c r="AK7" s="16" t="s">
        <v>45</v>
      </c>
      <c r="AL7" s="10" t="s">
        <v>49</v>
      </c>
      <c r="AM7" s="10" t="s">
        <v>48</v>
      </c>
      <c r="AN7" s="10" t="s">
        <v>50</v>
      </c>
    </row>
    <row r="8" ht="30.0" customHeight="1">
      <c r="A8" s="9" t="str">
        <f t="shared" si="1"/>
        <v>Inativo</v>
      </c>
      <c r="B8" s="9" t="str">
        <f t="shared" si="2"/>
        <v>Ativo</v>
      </c>
      <c r="C8" s="9" t="str">
        <f t="shared" si="3"/>
        <v>N/I</v>
      </c>
      <c r="D8" s="10" t="s">
        <v>34</v>
      </c>
      <c r="E8" s="11" t="s">
        <v>35</v>
      </c>
      <c r="F8" s="11" t="s">
        <v>36</v>
      </c>
      <c r="G8" s="12" t="s">
        <v>37</v>
      </c>
      <c r="H8" s="13" t="s">
        <v>57</v>
      </c>
      <c r="I8" s="12" t="s">
        <v>39</v>
      </c>
      <c r="J8" s="10" t="s">
        <v>40</v>
      </c>
      <c r="K8" s="10" t="s">
        <v>41</v>
      </c>
      <c r="L8" s="10" t="s">
        <v>4</v>
      </c>
      <c r="M8" s="14">
        <v>45118.0</v>
      </c>
      <c r="N8" s="11" t="s">
        <v>42</v>
      </c>
      <c r="O8" s="10" t="s">
        <v>43</v>
      </c>
      <c r="P8" s="10" t="s">
        <v>44</v>
      </c>
      <c r="Q8" s="2"/>
      <c r="R8" s="10">
        <v>12.0</v>
      </c>
      <c r="S8" s="14">
        <v>45118.0</v>
      </c>
      <c r="T8" s="14">
        <v>45484.0</v>
      </c>
      <c r="U8" s="10">
        <f t="shared" si="4"/>
        <v>-607</v>
      </c>
      <c r="V8" s="2"/>
      <c r="W8" s="10">
        <v>42.0</v>
      </c>
      <c r="X8" s="14">
        <v>45485.0</v>
      </c>
      <c r="Y8" s="14">
        <v>46764.0</v>
      </c>
      <c r="Z8" s="10">
        <f t="shared" si="5"/>
        <v>673</v>
      </c>
      <c r="AA8" s="1"/>
      <c r="AB8" s="15"/>
      <c r="AC8" s="15"/>
      <c r="AD8" s="15"/>
      <c r="AE8" s="15"/>
      <c r="AF8" s="2"/>
      <c r="AG8" s="16" t="s">
        <v>45</v>
      </c>
      <c r="AH8" s="17" t="s">
        <v>46</v>
      </c>
      <c r="AI8" s="18" t="s">
        <v>47</v>
      </c>
      <c r="AJ8" s="10" t="s">
        <v>48</v>
      </c>
      <c r="AK8" s="16" t="s">
        <v>45</v>
      </c>
      <c r="AL8" s="10" t="s">
        <v>49</v>
      </c>
      <c r="AM8" s="10" t="s">
        <v>48</v>
      </c>
      <c r="AN8" s="10" t="s">
        <v>50</v>
      </c>
    </row>
    <row r="9" ht="30.0" customHeight="1">
      <c r="A9" s="9" t="str">
        <f t="shared" si="1"/>
        <v>Inativo</v>
      </c>
      <c r="B9" s="9" t="str">
        <f t="shared" si="2"/>
        <v>Ativo</v>
      </c>
      <c r="C9" s="9" t="str">
        <f t="shared" si="3"/>
        <v>N/I</v>
      </c>
      <c r="D9" s="10" t="s">
        <v>34</v>
      </c>
      <c r="E9" s="11" t="s">
        <v>35</v>
      </c>
      <c r="F9" s="11" t="s">
        <v>36</v>
      </c>
      <c r="G9" s="12" t="s">
        <v>58</v>
      </c>
      <c r="H9" s="13" t="s">
        <v>59</v>
      </c>
      <c r="I9" s="12" t="s">
        <v>39</v>
      </c>
      <c r="J9" s="10" t="s">
        <v>40</v>
      </c>
      <c r="K9" s="10" t="s">
        <v>41</v>
      </c>
      <c r="L9" s="10" t="s">
        <v>4</v>
      </c>
      <c r="M9" s="14">
        <v>45118.0</v>
      </c>
      <c r="N9" s="11" t="s">
        <v>42</v>
      </c>
      <c r="O9" s="10" t="s">
        <v>43</v>
      </c>
      <c r="P9" s="10" t="s">
        <v>44</v>
      </c>
      <c r="Q9" s="2"/>
      <c r="R9" s="10">
        <v>12.0</v>
      </c>
      <c r="S9" s="14">
        <v>45118.0</v>
      </c>
      <c r="T9" s="14">
        <v>45484.0</v>
      </c>
      <c r="U9" s="10">
        <f t="shared" si="4"/>
        <v>-607</v>
      </c>
      <c r="V9" s="2"/>
      <c r="W9" s="10">
        <v>42.0</v>
      </c>
      <c r="X9" s="14">
        <v>45485.0</v>
      </c>
      <c r="Y9" s="14">
        <v>46764.0</v>
      </c>
      <c r="Z9" s="10">
        <f t="shared" si="5"/>
        <v>673</v>
      </c>
      <c r="AA9" s="1"/>
      <c r="AB9" s="15"/>
      <c r="AC9" s="15"/>
      <c r="AD9" s="15"/>
      <c r="AE9" s="15"/>
      <c r="AF9" s="2"/>
      <c r="AG9" s="16" t="s">
        <v>45</v>
      </c>
      <c r="AH9" s="17" t="s">
        <v>46</v>
      </c>
      <c r="AI9" s="18" t="s">
        <v>47</v>
      </c>
      <c r="AJ9" s="10" t="s">
        <v>48</v>
      </c>
      <c r="AK9" s="16" t="s">
        <v>45</v>
      </c>
      <c r="AL9" s="10" t="s">
        <v>49</v>
      </c>
      <c r="AM9" s="10" t="s">
        <v>48</v>
      </c>
      <c r="AN9" s="10" t="s">
        <v>50</v>
      </c>
    </row>
    <row r="10" ht="30.0" customHeight="1">
      <c r="A10" s="9" t="str">
        <f t="shared" si="1"/>
        <v>Inativo</v>
      </c>
      <c r="B10" s="9" t="str">
        <f t="shared" si="2"/>
        <v>Ativo</v>
      </c>
      <c r="C10" s="9" t="str">
        <f t="shared" si="3"/>
        <v>N/I</v>
      </c>
      <c r="D10" s="10" t="s">
        <v>34</v>
      </c>
      <c r="E10" s="11" t="s">
        <v>35</v>
      </c>
      <c r="F10" s="11" t="s">
        <v>60</v>
      </c>
      <c r="G10" s="12" t="s">
        <v>61</v>
      </c>
      <c r="H10" s="16">
        <v>79878.0</v>
      </c>
      <c r="I10" s="12" t="s">
        <v>62</v>
      </c>
      <c r="J10" s="10" t="s">
        <v>63</v>
      </c>
      <c r="K10" s="10" t="s">
        <v>41</v>
      </c>
      <c r="L10" s="10" t="s">
        <v>4</v>
      </c>
      <c r="M10" s="14">
        <v>45065.0</v>
      </c>
      <c r="N10" s="11" t="s">
        <v>64</v>
      </c>
      <c r="O10" s="10" t="s">
        <v>65</v>
      </c>
      <c r="P10" s="10" t="s">
        <v>44</v>
      </c>
      <c r="Q10" s="2"/>
      <c r="R10" s="10">
        <v>12.0</v>
      </c>
      <c r="S10" s="14">
        <v>45065.0</v>
      </c>
      <c r="T10" s="14">
        <v>45431.0</v>
      </c>
      <c r="U10" s="10">
        <f t="shared" si="4"/>
        <v>-660</v>
      </c>
      <c r="V10" s="2"/>
      <c r="W10" s="10">
        <v>42.0</v>
      </c>
      <c r="X10" s="14">
        <v>45065.0</v>
      </c>
      <c r="Y10" s="14">
        <v>46345.0</v>
      </c>
      <c r="Z10" s="10">
        <f t="shared" si="5"/>
        <v>254</v>
      </c>
      <c r="AA10" s="1"/>
      <c r="AB10" s="15"/>
      <c r="AC10" s="15"/>
      <c r="AD10" s="15"/>
      <c r="AE10" s="15"/>
      <c r="AF10" s="2"/>
      <c r="AG10" s="16" t="s">
        <v>45</v>
      </c>
      <c r="AH10" s="17" t="s">
        <v>46</v>
      </c>
      <c r="AI10" s="18" t="s">
        <v>47</v>
      </c>
      <c r="AJ10" s="10" t="s">
        <v>48</v>
      </c>
      <c r="AK10" s="16" t="s">
        <v>45</v>
      </c>
      <c r="AL10" s="10" t="s">
        <v>49</v>
      </c>
      <c r="AM10" s="10" t="s">
        <v>48</v>
      </c>
      <c r="AN10" s="10" t="s">
        <v>50</v>
      </c>
    </row>
    <row r="11" ht="30.0" customHeight="1">
      <c r="A11" s="9" t="str">
        <f t="shared" si="1"/>
        <v>Inativo</v>
      </c>
      <c r="B11" s="9" t="str">
        <f t="shared" si="2"/>
        <v>Ativo</v>
      </c>
      <c r="C11" s="9" t="str">
        <f t="shared" si="3"/>
        <v>N/I</v>
      </c>
      <c r="D11" s="10" t="s">
        <v>34</v>
      </c>
      <c r="E11" s="11" t="s">
        <v>35</v>
      </c>
      <c r="F11" s="11" t="s">
        <v>60</v>
      </c>
      <c r="G11" s="12" t="s">
        <v>66</v>
      </c>
      <c r="H11" s="16">
        <v>43156.0</v>
      </c>
      <c r="I11" s="12" t="s">
        <v>62</v>
      </c>
      <c r="J11" s="10" t="s">
        <v>63</v>
      </c>
      <c r="K11" s="10" t="s">
        <v>41</v>
      </c>
      <c r="L11" s="10" t="s">
        <v>4</v>
      </c>
      <c r="M11" s="14">
        <v>45065.0</v>
      </c>
      <c r="N11" s="11" t="s">
        <v>64</v>
      </c>
      <c r="O11" s="10" t="s">
        <v>65</v>
      </c>
      <c r="P11" s="10" t="s">
        <v>44</v>
      </c>
      <c r="Q11" s="2"/>
      <c r="R11" s="10">
        <v>12.0</v>
      </c>
      <c r="S11" s="14">
        <v>45065.0</v>
      </c>
      <c r="T11" s="14">
        <v>45431.0</v>
      </c>
      <c r="U11" s="10">
        <f t="shared" si="4"/>
        <v>-660</v>
      </c>
      <c r="V11" s="2"/>
      <c r="W11" s="10">
        <v>42.0</v>
      </c>
      <c r="X11" s="14">
        <v>45065.0</v>
      </c>
      <c r="Y11" s="14">
        <v>46345.0</v>
      </c>
      <c r="Z11" s="10">
        <f t="shared" si="5"/>
        <v>254</v>
      </c>
      <c r="AA11" s="1"/>
      <c r="AB11" s="15"/>
      <c r="AC11" s="15"/>
      <c r="AD11" s="15"/>
      <c r="AE11" s="15"/>
      <c r="AF11" s="2"/>
      <c r="AG11" s="16" t="s">
        <v>45</v>
      </c>
      <c r="AH11" s="17" t="s">
        <v>46</v>
      </c>
      <c r="AI11" s="18" t="s">
        <v>47</v>
      </c>
      <c r="AJ11" s="10" t="s">
        <v>48</v>
      </c>
      <c r="AK11" s="16" t="s">
        <v>45</v>
      </c>
      <c r="AL11" s="10" t="s">
        <v>49</v>
      </c>
      <c r="AM11" s="10" t="s">
        <v>48</v>
      </c>
      <c r="AN11" s="10" t="s">
        <v>50</v>
      </c>
    </row>
    <row r="12" ht="30.0" customHeight="1">
      <c r="A12" s="9" t="str">
        <f t="shared" si="1"/>
        <v>Inativo</v>
      </c>
      <c r="B12" s="9" t="str">
        <f t="shared" si="2"/>
        <v>Ativo</v>
      </c>
      <c r="C12" s="9" t="str">
        <f t="shared" si="3"/>
        <v>N/I</v>
      </c>
      <c r="D12" s="10" t="s">
        <v>34</v>
      </c>
      <c r="E12" s="11" t="s">
        <v>35</v>
      </c>
      <c r="F12" s="11" t="s">
        <v>60</v>
      </c>
      <c r="G12" s="12" t="s">
        <v>66</v>
      </c>
      <c r="H12" s="16">
        <v>43146.0</v>
      </c>
      <c r="I12" s="12" t="s">
        <v>62</v>
      </c>
      <c r="J12" s="10" t="s">
        <v>63</v>
      </c>
      <c r="K12" s="10" t="s">
        <v>41</v>
      </c>
      <c r="L12" s="10" t="s">
        <v>4</v>
      </c>
      <c r="M12" s="14">
        <v>45139.0</v>
      </c>
      <c r="N12" s="11" t="s">
        <v>64</v>
      </c>
      <c r="O12" s="10" t="s">
        <v>65</v>
      </c>
      <c r="P12" s="10" t="s">
        <v>44</v>
      </c>
      <c r="Q12" s="2"/>
      <c r="R12" s="10">
        <v>12.0</v>
      </c>
      <c r="S12" s="14">
        <v>45139.0</v>
      </c>
      <c r="T12" s="14">
        <v>45505.0</v>
      </c>
      <c r="U12" s="10">
        <f t="shared" si="4"/>
        <v>-586</v>
      </c>
      <c r="V12" s="2"/>
      <c r="W12" s="10">
        <v>42.0</v>
      </c>
      <c r="X12" s="14">
        <v>45139.0</v>
      </c>
      <c r="Y12" s="14">
        <v>46419.0</v>
      </c>
      <c r="Z12" s="10">
        <f t="shared" si="5"/>
        <v>328</v>
      </c>
      <c r="AA12" s="1"/>
      <c r="AB12" s="15"/>
      <c r="AC12" s="15"/>
      <c r="AD12" s="15"/>
      <c r="AE12" s="15"/>
      <c r="AF12" s="2"/>
      <c r="AG12" s="16" t="s">
        <v>45</v>
      </c>
      <c r="AH12" s="17" t="s">
        <v>46</v>
      </c>
      <c r="AI12" s="18" t="s">
        <v>47</v>
      </c>
      <c r="AJ12" s="10" t="s">
        <v>48</v>
      </c>
      <c r="AK12" s="16" t="s">
        <v>45</v>
      </c>
      <c r="AL12" s="10" t="s">
        <v>49</v>
      </c>
      <c r="AM12" s="10" t="s">
        <v>48</v>
      </c>
      <c r="AN12" s="10" t="s">
        <v>50</v>
      </c>
    </row>
    <row r="13" ht="30.0" customHeight="1">
      <c r="A13" s="9" t="str">
        <f t="shared" si="1"/>
        <v>Inativo</v>
      </c>
      <c r="B13" s="9" t="str">
        <f t="shared" si="2"/>
        <v>Ativo</v>
      </c>
      <c r="C13" s="9" t="str">
        <f t="shared" si="3"/>
        <v>N/I</v>
      </c>
      <c r="D13" s="10" t="s">
        <v>34</v>
      </c>
      <c r="E13" s="11" t="s">
        <v>35</v>
      </c>
      <c r="F13" s="11" t="s">
        <v>67</v>
      </c>
      <c r="G13" s="12" t="s">
        <v>68</v>
      </c>
      <c r="H13" s="19" t="s">
        <v>69</v>
      </c>
      <c r="I13" s="12" t="s">
        <v>70</v>
      </c>
      <c r="J13" s="10" t="s">
        <v>63</v>
      </c>
      <c r="K13" s="10" t="s">
        <v>41</v>
      </c>
      <c r="L13" s="10" t="s">
        <v>4</v>
      </c>
      <c r="M13" s="14">
        <v>44881.0</v>
      </c>
      <c r="N13" s="11" t="s">
        <v>71</v>
      </c>
      <c r="O13" s="10" t="s">
        <v>72</v>
      </c>
      <c r="P13" s="10" t="s">
        <v>44</v>
      </c>
      <c r="Q13" s="2"/>
      <c r="R13" s="10">
        <v>12.0</v>
      </c>
      <c r="S13" s="14">
        <v>44881.0</v>
      </c>
      <c r="T13" s="14">
        <v>45246.0</v>
      </c>
      <c r="U13" s="10">
        <f t="shared" si="4"/>
        <v>-845</v>
      </c>
      <c r="V13" s="2"/>
      <c r="W13" s="10">
        <v>42.0</v>
      </c>
      <c r="X13" s="14">
        <v>45247.0</v>
      </c>
      <c r="Y13" s="14">
        <v>46524.0</v>
      </c>
      <c r="Z13" s="10">
        <f t="shared" si="5"/>
        <v>433</v>
      </c>
      <c r="AA13" s="1"/>
      <c r="AB13" s="15"/>
      <c r="AC13" s="15"/>
      <c r="AD13" s="15"/>
      <c r="AE13" s="15"/>
      <c r="AF13" s="2"/>
      <c r="AG13" s="16" t="s">
        <v>45</v>
      </c>
      <c r="AH13" s="17" t="s">
        <v>46</v>
      </c>
      <c r="AI13" s="18" t="s">
        <v>47</v>
      </c>
      <c r="AJ13" s="10" t="s">
        <v>48</v>
      </c>
      <c r="AK13" s="16" t="s">
        <v>45</v>
      </c>
      <c r="AL13" s="10" t="s">
        <v>49</v>
      </c>
      <c r="AM13" s="10" t="s">
        <v>48</v>
      </c>
      <c r="AN13" s="10" t="s">
        <v>50</v>
      </c>
    </row>
    <row r="14" ht="30.0" customHeight="1">
      <c r="A14" s="9" t="str">
        <f t="shared" si="1"/>
        <v>Inativo</v>
      </c>
      <c r="B14" s="9" t="str">
        <f t="shared" si="2"/>
        <v>Ativo</v>
      </c>
      <c r="C14" s="9" t="str">
        <f t="shared" si="3"/>
        <v>N/I</v>
      </c>
      <c r="D14" s="10" t="s">
        <v>34</v>
      </c>
      <c r="E14" s="11" t="s">
        <v>35</v>
      </c>
      <c r="F14" s="11" t="s">
        <v>67</v>
      </c>
      <c r="G14" s="12" t="s">
        <v>58</v>
      </c>
      <c r="H14" s="19" t="s">
        <v>73</v>
      </c>
      <c r="I14" s="12" t="s">
        <v>70</v>
      </c>
      <c r="J14" s="10" t="s">
        <v>63</v>
      </c>
      <c r="K14" s="10" t="s">
        <v>41</v>
      </c>
      <c r="L14" s="10" t="s">
        <v>4</v>
      </c>
      <c r="M14" s="14">
        <v>44883.0</v>
      </c>
      <c r="N14" s="11" t="s">
        <v>71</v>
      </c>
      <c r="O14" s="10" t="s">
        <v>72</v>
      </c>
      <c r="P14" s="10" t="s">
        <v>44</v>
      </c>
      <c r="Q14" s="2"/>
      <c r="R14" s="10">
        <v>12.0</v>
      </c>
      <c r="S14" s="14">
        <v>44883.0</v>
      </c>
      <c r="T14" s="14">
        <v>45248.0</v>
      </c>
      <c r="U14" s="10">
        <f t="shared" si="4"/>
        <v>-843</v>
      </c>
      <c r="V14" s="2"/>
      <c r="W14" s="10">
        <v>42.0</v>
      </c>
      <c r="X14" s="14">
        <v>45249.0</v>
      </c>
      <c r="Y14" s="14">
        <v>46526.0</v>
      </c>
      <c r="Z14" s="10">
        <f t="shared" si="5"/>
        <v>435</v>
      </c>
      <c r="AA14" s="1"/>
      <c r="AB14" s="15"/>
      <c r="AC14" s="15"/>
      <c r="AD14" s="15"/>
      <c r="AE14" s="15"/>
      <c r="AF14" s="2"/>
      <c r="AG14" s="16" t="s">
        <v>45</v>
      </c>
      <c r="AH14" s="17" t="s">
        <v>46</v>
      </c>
      <c r="AI14" s="18" t="s">
        <v>47</v>
      </c>
      <c r="AJ14" s="10" t="s">
        <v>48</v>
      </c>
      <c r="AK14" s="16" t="s">
        <v>45</v>
      </c>
      <c r="AL14" s="10" t="s">
        <v>49</v>
      </c>
      <c r="AM14" s="10" t="s">
        <v>48</v>
      </c>
      <c r="AN14" s="10" t="s">
        <v>50</v>
      </c>
    </row>
    <row r="15" ht="30.0" customHeight="1">
      <c r="A15" s="9" t="str">
        <f t="shared" si="1"/>
        <v>Inativo</v>
      </c>
      <c r="B15" s="9" t="str">
        <f t="shared" si="2"/>
        <v>Ativo</v>
      </c>
      <c r="C15" s="9" t="str">
        <f t="shared" si="3"/>
        <v>N/I</v>
      </c>
      <c r="D15" s="10" t="s">
        <v>34</v>
      </c>
      <c r="E15" s="11" t="s">
        <v>35</v>
      </c>
      <c r="F15" s="11" t="s">
        <v>67</v>
      </c>
      <c r="G15" s="12" t="s">
        <v>58</v>
      </c>
      <c r="H15" s="19" t="s">
        <v>74</v>
      </c>
      <c r="I15" s="12" t="s">
        <v>70</v>
      </c>
      <c r="J15" s="10" t="s">
        <v>63</v>
      </c>
      <c r="K15" s="10" t="s">
        <v>41</v>
      </c>
      <c r="L15" s="10" t="s">
        <v>4</v>
      </c>
      <c r="M15" s="14">
        <v>44894.0</v>
      </c>
      <c r="N15" s="11" t="s">
        <v>71</v>
      </c>
      <c r="O15" s="10" t="s">
        <v>72</v>
      </c>
      <c r="P15" s="10" t="s">
        <v>44</v>
      </c>
      <c r="Q15" s="2"/>
      <c r="R15" s="10">
        <v>12.0</v>
      </c>
      <c r="S15" s="14">
        <v>44894.0</v>
      </c>
      <c r="T15" s="14">
        <v>45259.0</v>
      </c>
      <c r="U15" s="10">
        <f t="shared" si="4"/>
        <v>-832</v>
      </c>
      <c r="V15" s="2"/>
      <c r="W15" s="10">
        <v>42.0</v>
      </c>
      <c r="X15" s="14">
        <v>45261.0</v>
      </c>
      <c r="Y15" s="14">
        <v>46539.0</v>
      </c>
      <c r="Z15" s="10">
        <f t="shared" si="5"/>
        <v>448</v>
      </c>
      <c r="AA15" s="1"/>
      <c r="AB15" s="15"/>
      <c r="AC15" s="15"/>
      <c r="AD15" s="15"/>
      <c r="AE15" s="15"/>
      <c r="AF15" s="2"/>
      <c r="AG15" s="16" t="s">
        <v>45</v>
      </c>
      <c r="AH15" s="17" t="s">
        <v>46</v>
      </c>
      <c r="AI15" s="18" t="s">
        <v>47</v>
      </c>
      <c r="AJ15" s="10" t="s">
        <v>48</v>
      </c>
      <c r="AK15" s="16" t="s">
        <v>45</v>
      </c>
      <c r="AL15" s="10" t="s">
        <v>49</v>
      </c>
      <c r="AM15" s="10" t="s">
        <v>48</v>
      </c>
      <c r="AN15" s="10" t="s">
        <v>50</v>
      </c>
    </row>
    <row r="16" ht="30.0" customHeight="1">
      <c r="A16" s="9" t="str">
        <f t="shared" si="1"/>
        <v>Inativo</v>
      </c>
      <c r="B16" s="9" t="str">
        <f t="shared" si="2"/>
        <v>Ativo</v>
      </c>
      <c r="C16" s="9" t="str">
        <f t="shared" si="3"/>
        <v>N/I</v>
      </c>
      <c r="D16" s="10" t="s">
        <v>34</v>
      </c>
      <c r="E16" s="11" t="s">
        <v>35</v>
      </c>
      <c r="F16" s="11" t="s">
        <v>67</v>
      </c>
      <c r="G16" s="12" t="s">
        <v>58</v>
      </c>
      <c r="H16" s="19" t="s">
        <v>75</v>
      </c>
      <c r="I16" s="12" t="s">
        <v>70</v>
      </c>
      <c r="J16" s="10" t="s">
        <v>63</v>
      </c>
      <c r="K16" s="10" t="s">
        <v>41</v>
      </c>
      <c r="L16" s="10" t="s">
        <v>4</v>
      </c>
      <c r="M16" s="14">
        <v>44897.0</v>
      </c>
      <c r="N16" s="11" t="s">
        <v>71</v>
      </c>
      <c r="O16" s="10" t="s">
        <v>72</v>
      </c>
      <c r="P16" s="10" t="s">
        <v>44</v>
      </c>
      <c r="Q16" s="2"/>
      <c r="R16" s="10">
        <v>12.0</v>
      </c>
      <c r="S16" s="14">
        <v>44897.0</v>
      </c>
      <c r="T16" s="14">
        <v>45262.0</v>
      </c>
      <c r="U16" s="10">
        <f t="shared" si="4"/>
        <v>-829</v>
      </c>
      <c r="V16" s="2"/>
      <c r="W16" s="10">
        <v>42.0</v>
      </c>
      <c r="X16" s="14">
        <v>45263.0</v>
      </c>
      <c r="Y16" s="14">
        <v>46541.0</v>
      </c>
      <c r="Z16" s="10">
        <f t="shared" si="5"/>
        <v>450</v>
      </c>
      <c r="AA16" s="1"/>
      <c r="AB16" s="15"/>
      <c r="AC16" s="15"/>
      <c r="AD16" s="15"/>
      <c r="AE16" s="15"/>
      <c r="AF16" s="2"/>
      <c r="AG16" s="16" t="s">
        <v>45</v>
      </c>
      <c r="AH16" s="17" t="s">
        <v>46</v>
      </c>
      <c r="AI16" s="18" t="s">
        <v>47</v>
      </c>
      <c r="AJ16" s="10" t="s">
        <v>48</v>
      </c>
      <c r="AK16" s="16" t="s">
        <v>45</v>
      </c>
      <c r="AL16" s="10" t="s">
        <v>49</v>
      </c>
      <c r="AM16" s="10" t="s">
        <v>48</v>
      </c>
      <c r="AN16" s="10" t="s">
        <v>50</v>
      </c>
    </row>
    <row r="17" ht="30.0" customHeight="1">
      <c r="A17" s="9" t="str">
        <f t="shared" si="1"/>
        <v>Inativo</v>
      </c>
      <c r="B17" s="9" t="str">
        <f t="shared" si="2"/>
        <v>Ativo</v>
      </c>
      <c r="C17" s="9" t="str">
        <f t="shared" si="3"/>
        <v>N/I</v>
      </c>
      <c r="D17" s="10" t="s">
        <v>34</v>
      </c>
      <c r="E17" s="11" t="s">
        <v>35</v>
      </c>
      <c r="F17" s="11" t="s">
        <v>67</v>
      </c>
      <c r="G17" s="12" t="s">
        <v>52</v>
      </c>
      <c r="H17" s="19" t="s">
        <v>76</v>
      </c>
      <c r="I17" s="12" t="s">
        <v>70</v>
      </c>
      <c r="J17" s="10" t="s">
        <v>63</v>
      </c>
      <c r="K17" s="10" t="s">
        <v>41</v>
      </c>
      <c r="L17" s="10" t="s">
        <v>4</v>
      </c>
      <c r="M17" s="14">
        <v>44900.0</v>
      </c>
      <c r="N17" s="11" t="s">
        <v>71</v>
      </c>
      <c r="O17" s="10" t="s">
        <v>72</v>
      </c>
      <c r="P17" s="10" t="s">
        <v>44</v>
      </c>
      <c r="Q17" s="2"/>
      <c r="R17" s="10">
        <v>12.0</v>
      </c>
      <c r="S17" s="14">
        <v>44900.0</v>
      </c>
      <c r="T17" s="14">
        <v>45265.0</v>
      </c>
      <c r="U17" s="10">
        <f t="shared" si="4"/>
        <v>-826</v>
      </c>
      <c r="V17" s="2"/>
      <c r="W17" s="10">
        <v>42.0</v>
      </c>
      <c r="X17" s="14">
        <v>45266.0</v>
      </c>
      <c r="Y17" s="14">
        <v>46544.0</v>
      </c>
      <c r="Z17" s="10">
        <f t="shared" si="5"/>
        <v>453</v>
      </c>
      <c r="AA17" s="1"/>
      <c r="AB17" s="15"/>
      <c r="AC17" s="15"/>
      <c r="AD17" s="15"/>
      <c r="AE17" s="15"/>
      <c r="AF17" s="2"/>
      <c r="AG17" s="16" t="s">
        <v>45</v>
      </c>
      <c r="AH17" s="17" t="s">
        <v>46</v>
      </c>
      <c r="AI17" s="18" t="s">
        <v>47</v>
      </c>
      <c r="AJ17" s="10" t="s">
        <v>48</v>
      </c>
      <c r="AK17" s="16" t="s">
        <v>45</v>
      </c>
      <c r="AL17" s="10" t="s">
        <v>49</v>
      </c>
      <c r="AM17" s="10" t="s">
        <v>48</v>
      </c>
      <c r="AN17" s="10" t="s">
        <v>50</v>
      </c>
    </row>
    <row r="18" ht="30.0" customHeight="1">
      <c r="A18" s="9" t="str">
        <f t="shared" si="1"/>
        <v>Inativo</v>
      </c>
      <c r="B18" s="9" t="str">
        <f t="shared" si="2"/>
        <v>Ativo</v>
      </c>
      <c r="C18" s="9" t="str">
        <f t="shared" si="3"/>
        <v>N/I</v>
      </c>
      <c r="D18" s="10" t="s">
        <v>34</v>
      </c>
      <c r="E18" s="11" t="s">
        <v>35</v>
      </c>
      <c r="F18" s="11" t="s">
        <v>67</v>
      </c>
      <c r="G18" s="12" t="s">
        <v>58</v>
      </c>
      <c r="H18" s="19" t="s">
        <v>77</v>
      </c>
      <c r="I18" s="12" t="s">
        <v>70</v>
      </c>
      <c r="J18" s="10" t="s">
        <v>63</v>
      </c>
      <c r="K18" s="10" t="s">
        <v>41</v>
      </c>
      <c r="L18" s="10" t="s">
        <v>4</v>
      </c>
      <c r="M18" s="14">
        <v>44985.0</v>
      </c>
      <c r="N18" s="11" t="s">
        <v>71</v>
      </c>
      <c r="O18" s="10" t="s">
        <v>72</v>
      </c>
      <c r="P18" s="10" t="s">
        <v>44</v>
      </c>
      <c r="Q18" s="2"/>
      <c r="R18" s="10">
        <v>12.0</v>
      </c>
      <c r="S18" s="14">
        <v>44985.0</v>
      </c>
      <c r="T18" s="14">
        <v>45350.0</v>
      </c>
      <c r="U18" s="10">
        <f t="shared" si="4"/>
        <v>-741</v>
      </c>
      <c r="V18" s="2"/>
      <c r="W18" s="10">
        <v>42.0</v>
      </c>
      <c r="X18" s="14">
        <v>45351.0</v>
      </c>
      <c r="Y18" s="14">
        <v>46628.0</v>
      </c>
      <c r="Z18" s="10">
        <f t="shared" si="5"/>
        <v>537</v>
      </c>
      <c r="AA18" s="1"/>
      <c r="AB18" s="15"/>
      <c r="AC18" s="15"/>
      <c r="AD18" s="15"/>
      <c r="AE18" s="15"/>
      <c r="AF18" s="2"/>
      <c r="AG18" s="16" t="s">
        <v>45</v>
      </c>
      <c r="AH18" s="17" t="s">
        <v>46</v>
      </c>
      <c r="AI18" s="18" t="s">
        <v>47</v>
      </c>
      <c r="AJ18" s="10" t="s">
        <v>48</v>
      </c>
      <c r="AK18" s="16" t="s">
        <v>45</v>
      </c>
      <c r="AL18" s="10" t="s">
        <v>49</v>
      </c>
      <c r="AM18" s="10" t="s">
        <v>48</v>
      </c>
      <c r="AN18" s="10" t="s">
        <v>50</v>
      </c>
    </row>
    <row r="19" ht="30.0" customHeight="1">
      <c r="A19" s="9" t="str">
        <f t="shared" si="1"/>
        <v>Inativo</v>
      </c>
      <c r="B19" s="9" t="str">
        <f t="shared" si="2"/>
        <v>Ativo</v>
      </c>
      <c r="C19" s="9" t="str">
        <f t="shared" si="3"/>
        <v>N/I</v>
      </c>
      <c r="D19" s="10" t="s">
        <v>34</v>
      </c>
      <c r="E19" s="11" t="s">
        <v>35</v>
      </c>
      <c r="F19" s="11" t="s">
        <v>67</v>
      </c>
      <c r="G19" s="12" t="s">
        <v>37</v>
      </c>
      <c r="H19" s="19" t="s">
        <v>78</v>
      </c>
      <c r="I19" s="12" t="s">
        <v>70</v>
      </c>
      <c r="J19" s="10" t="s">
        <v>63</v>
      </c>
      <c r="K19" s="10" t="s">
        <v>41</v>
      </c>
      <c r="L19" s="10" t="s">
        <v>4</v>
      </c>
      <c r="M19" s="14">
        <v>45007.0</v>
      </c>
      <c r="N19" s="11" t="s">
        <v>71</v>
      </c>
      <c r="O19" s="10" t="s">
        <v>72</v>
      </c>
      <c r="P19" s="10" t="s">
        <v>44</v>
      </c>
      <c r="Q19" s="2"/>
      <c r="R19" s="10">
        <v>12.0</v>
      </c>
      <c r="S19" s="14">
        <v>45007.0</v>
      </c>
      <c r="T19" s="14">
        <v>45373.0</v>
      </c>
      <c r="U19" s="10">
        <f t="shared" si="4"/>
        <v>-718</v>
      </c>
      <c r="V19" s="2"/>
      <c r="W19" s="10">
        <v>42.0</v>
      </c>
      <c r="X19" s="14">
        <v>45374.0</v>
      </c>
      <c r="Y19" s="14">
        <v>46653.0</v>
      </c>
      <c r="Z19" s="10">
        <f t="shared" si="5"/>
        <v>562</v>
      </c>
      <c r="AA19" s="1"/>
      <c r="AB19" s="15"/>
      <c r="AC19" s="15"/>
      <c r="AD19" s="15"/>
      <c r="AE19" s="15"/>
      <c r="AF19" s="2"/>
      <c r="AG19" s="16" t="s">
        <v>45</v>
      </c>
      <c r="AH19" s="17" t="s">
        <v>46</v>
      </c>
      <c r="AI19" s="18" t="s">
        <v>47</v>
      </c>
      <c r="AJ19" s="10" t="s">
        <v>48</v>
      </c>
      <c r="AK19" s="16" t="s">
        <v>45</v>
      </c>
      <c r="AL19" s="10" t="s">
        <v>49</v>
      </c>
      <c r="AM19" s="10" t="s">
        <v>48</v>
      </c>
      <c r="AN19" s="10" t="s">
        <v>50</v>
      </c>
    </row>
    <row r="20" ht="30.0" customHeight="1">
      <c r="A20" s="9" t="str">
        <f t="shared" si="1"/>
        <v>Inativo</v>
      </c>
      <c r="B20" s="9" t="str">
        <f t="shared" si="2"/>
        <v>Ativo</v>
      </c>
      <c r="C20" s="9" t="str">
        <f t="shared" si="3"/>
        <v>N/I</v>
      </c>
      <c r="D20" s="10" t="s">
        <v>34</v>
      </c>
      <c r="E20" s="11" t="s">
        <v>35</v>
      </c>
      <c r="F20" s="11" t="s">
        <v>67</v>
      </c>
      <c r="G20" s="12" t="s">
        <v>79</v>
      </c>
      <c r="H20" s="19" t="s">
        <v>80</v>
      </c>
      <c r="I20" s="12" t="s">
        <v>70</v>
      </c>
      <c r="J20" s="10" t="s">
        <v>63</v>
      </c>
      <c r="K20" s="10" t="s">
        <v>41</v>
      </c>
      <c r="L20" s="10" t="s">
        <v>4</v>
      </c>
      <c r="M20" s="14">
        <v>45069.0</v>
      </c>
      <c r="N20" s="11" t="s">
        <v>71</v>
      </c>
      <c r="O20" s="10" t="s">
        <v>72</v>
      </c>
      <c r="P20" s="10" t="s">
        <v>44</v>
      </c>
      <c r="Q20" s="2"/>
      <c r="R20" s="10">
        <v>12.0</v>
      </c>
      <c r="S20" s="14">
        <v>45069.0</v>
      </c>
      <c r="T20" s="14">
        <v>45435.0</v>
      </c>
      <c r="U20" s="10">
        <f t="shared" si="4"/>
        <v>-656</v>
      </c>
      <c r="V20" s="2"/>
      <c r="W20" s="10">
        <v>42.0</v>
      </c>
      <c r="X20" s="14">
        <v>45436.0</v>
      </c>
      <c r="Y20" s="14">
        <v>46715.0</v>
      </c>
      <c r="Z20" s="10">
        <f t="shared" si="5"/>
        <v>624</v>
      </c>
      <c r="AA20" s="1"/>
      <c r="AB20" s="15"/>
      <c r="AC20" s="15"/>
      <c r="AD20" s="15"/>
      <c r="AE20" s="15"/>
      <c r="AF20" s="2"/>
      <c r="AG20" s="16" t="s">
        <v>45</v>
      </c>
      <c r="AH20" s="17" t="s">
        <v>46</v>
      </c>
      <c r="AI20" s="18" t="s">
        <v>47</v>
      </c>
      <c r="AJ20" s="10" t="s">
        <v>48</v>
      </c>
      <c r="AK20" s="16" t="s">
        <v>45</v>
      </c>
      <c r="AL20" s="10" t="s">
        <v>49</v>
      </c>
      <c r="AM20" s="10" t="s">
        <v>48</v>
      </c>
      <c r="AN20" s="10" t="s">
        <v>50</v>
      </c>
    </row>
    <row r="21" ht="30.0" customHeight="1">
      <c r="A21" s="9" t="str">
        <f t="shared" si="1"/>
        <v>Inativo</v>
      </c>
      <c r="B21" s="9" t="str">
        <f t="shared" si="2"/>
        <v>Ativo</v>
      </c>
      <c r="C21" s="9" t="str">
        <f t="shared" si="3"/>
        <v>N/I</v>
      </c>
      <c r="D21" s="10" t="s">
        <v>34</v>
      </c>
      <c r="E21" s="11" t="s">
        <v>35</v>
      </c>
      <c r="F21" s="11" t="s">
        <v>67</v>
      </c>
      <c r="G21" s="12" t="s">
        <v>52</v>
      </c>
      <c r="H21" s="19" t="s">
        <v>81</v>
      </c>
      <c r="I21" s="12" t="s">
        <v>70</v>
      </c>
      <c r="J21" s="10" t="s">
        <v>63</v>
      </c>
      <c r="K21" s="10" t="s">
        <v>41</v>
      </c>
      <c r="L21" s="10" t="s">
        <v>4</v>
      </c>
      <c r="M21" s="14">
        <v>45086.0</v>
      </c>
      <c r="N21" s="11" t="s">
        <v>71</v>
      </c>
      <c r="O21" s="10" t="s">
        <v>72</v>
      </c>
      <c r="P21" s="10" t="s">
        <v>44</v>
      </c>
      <c r="Q21" s="2"/>
      <c r="R21" s="10">
        <v>12.0</v>
      </c>
      <c r="S21" s="14">
        <v>45086.0</v>
      </c>
      <c r="T21" s="14">
        <v>45452.0</v>
      </c>
      <c r="U21" s="10">
        <f t="shared" si="4"/>
        <v>-639</v>
      </c>
      <c r="V21" s="2"/>
      <c r="W21" s="10">
        <v>42.0</v>
      </c>
      <c r="X21" s="14">
        <v>45453.0</v>
      </c>
      <c r="Y21" s="14">
        <v>46731.0</v>
      </c>
      <c r="Z21" s="10">
        <f t="shared" si="5"/>
        <v>640</v>
      </c>
      <c r="AA21" s="1"/>
      <c r="AB21" s="15"/>
      <c r="AC21" s="15"/>
      <c r="AD21" s="15"/>
      <c r="AE21" s="15"/>
      <c r="AF21" s="2"/>
      <c r="AG21" s="16" t="s">
        <v>45</v>
      </c>
      <c r="AH21" s="17" t="s">
        <v>46</v>
      </c>
      <c r="AI21" s="18" t="s">
        <v>47</v>
      </c>
      <c r="AJ21" s="10" t="s">
        <v>48</v>
      </c>
      <c r="AK21" s="16" t="s">
        <v>45</v>
      </c>
      <c r="AL21" s="10" t="s">
        <v>49</v>
      </c>
      <c r="AM21" s="10" t="s">
        <v>48</v>
      </c>
      <c r="AN21" s="10" t="s">
        <v>50</v>
      </c>
    </row>
    <row r="22" ht="30.0" customHeight="1">
      <c r="A22" s="9" t="str">
        <f t="shared" si="1"/>
        <v>Inativo</v>
      </c>
      <c r="B22" s="9" t="str">
        <f t="shared" si="2"/>
        <v>Ativo</v>
      </c>
      <c r="C22" s="9" t="str">
        <f t="shared" si="3"/>
        <v>N/I</v>
      </c>
      <c r="D22" s="10" t="s">
        <v>34</v>
      </c>
      <c r="E22" s="11" t="s">
        <v>35</v>
      </c>
      <c r="F22" s="11" t="s">
        <v>67</v>
      </c>
      <c r="G22" s="12" t="s">
        <v>52</v>
      </c>
      <c r="H22" s="19" t="s">
        <v>82</v>
      </c>
      <c r="I22" s="12" t="s">
        <v>70</v>
      </c>
      <c r="J22" s="10" t="s">
        <v>63</v>
      </c>
      <c r="K22" s="10" t="s">
        <v>41</v>
      </c>
      <c r="L22" s="10" t="s">
        <v>4</v>
      </c>
      <c r="M22" s="14">
        <v>45105.0</v>
      </c>
      <c r="N22" s="11" t="s">
        <v>71</v>
      </c>
      <c r="O22" s="10" t="s">
        <v>72</v>
      </c>
      <c r="P22" s="10" t="s">
        <v>44</v>
      </c>
      <c r="Q22" s="2"/>
      <c r="R22" s="10">
        <v>12.0</v>
      </c>
      <c r="S22" s="14">
        <v>45105.0</v>
      </c>
      <c r="T22" s="14">
        <v>45471.0</v>
      </c>
      <c r="U22" s="10">
        <f t="shared" si="4"/>
        <v>-620</v>
      </c>
      <c r="V22" s="2"/>
      <c r="W22" s="10">
        <v>42.0</v>
      </c>
      <c r="X22" s="14">
        <v>45472.0</v>
      </c>
      <c r="Y22" s="14">
        <v>46750.0</v>
      </c>
      <c r="Z22" s="10">
        <f t="shared" si="5"/>
        <v>659</v>
      </c>
      <c r="AA22" s="1"/>
      <c r="AB22" s="15"/>
      <c r="AC22" s="15"/>
      <c r="AD22" s="15"/>
      <c r="AE22" s="15"/>
      <c r="AF22" s="2"/>
      <c r="AG22" s="16" t="s">
        <v>45</v>
      </c>
      <c r="AH22" s="17" t="s">
        <v>46</v>
      </c>
      <c r="AI22" s="18" t="s">
        <v>47</v>
      </c>
      <c r="AJ22" s="10" t="s">
        <v>48</v>
      </c>
      <c r="AK22" s="16" t="s">
        <v>45</v>
      </c>
      <c r="AL22" s="10" t="s">
        <v>49</v>
      </c>
      <c r="AM22" s="10" t="s">
        <v>48</v>
      </c>
      <c r="AN22" s="10" t="s">
        <v>50</v>
      </c>
    </row>
    <row r="23" ht="30.0" customHeight="1">
      <c r="A23" s="9" t="str">
        <f t="shared" si="1"/>
        <v>Inativo</v>
      </c>
      <c r="B23" s="9" t="str">
        <f t="shared" si="2"/>
        <v>Ativo</v>
      </c>
      <c r="C23" s="9" t="str">
        <f t="shared" si="3"/>
        <v>N/I</v>
      </c>
      <c r="D23" s="10" t="s">
        <v>34</v>
      </c>
      <c r="E23" s="11" t="s">
        <v>35</v>
      </c>
      <c r="F23" s="11" t="s">
        <v>67</v>
      </c>
      <c r="G23" s="12" t="s">
        <v>83</v>
      </c>
      <c r="H23" s="20">
        <v>1.5197725155E10</v>
      </c>
      <c r="I23" s="12" t="s">
        <v>70</v>
      </c>
      <c r="J23" s="10" t="s">
        <v>63</v>
      </c>
      <c r="K23" s="10" t="s">
        <v>41</v>
      </c>
      <c r="L23" s="10" t="s">
        <v>4</v>
      </c>
      <c r="M23" s="14">
        <v>45238.0</v>
      </c>
      <c r="N23" s="11" t="s">
        <v>71</v>
      </c>
      <c r="O23" s="10" t="s">
        <v>72</v>
      </c>
      <c r="P23" s="10" t="s">
        <v>44</v>
      </c>
      <c r="Q23" s="2"/>
      <c r="R23" s="10">
        <v>12.0</v>
      </c>
      <c r="S23" s="14">
        <v>45238.0</v>
      </c>
      <c r="T23" s="14">
        <v>45604.0</v>
      </c>
      <c r="U23" s="10">
        <f t="shared" si="4"/>
        <v>-487</v>
      </c>
      <c r="V23" s="2"/>
      <c r="W23" s="10">
        <v>42.0</v>
      </c>
      <c r="X23" s="14">
        <v>45238.0</v>
      </c>
      <c r="Y23" s="14">
        <v>46515.0</v>
      </c>
      <c r="Z23" s="10">
        <f t="shared" si="5"/>
        <v>424</v>
      </c>
      <c r="AA23" s="1"/>
      <c r="AB23" s="15"/>
      <c r="AC23" s="15"/>
      <c r="AD23" s="15"/>
      <c r="AE23" s="15"/>
      <c r="AF23" s="2"/>
      <c r="AG23" s="16" t="s">
        <v>45</v>
      </c>
      <c r="AH23" s="17" t="s">
        <v>46</v>
      </c>
      <c r="AI23" s="18" t="s">
        <v>47</v>
      </c>
      <c r="AJ23" s="10" t="s">
        <v>48</v>
      </c>
      <c r="AK23" s="16" t="s">
        <v>45</v>
      </c>
      <c r="AL23" s="10" t="s">
        <v>49</v>
      </c>
      <c r="AM23" s="10" t="s">
        <v>48</v>
      </c>
      <c r="AN23" s="10" t="s">
        <v>50</v>
      </c>
    </row>
    <row r="24" ht="30.0" customHeight="1">
      <c r="A24" s="9" t="str">
        <f t="shared" si="1"/>
        <v>Inativo</v>
      </c>
      <c r="B24" s="9" t="str">
        <f t="shared" si="2"/>
        <v>Ativo</v>
      </c>
      <c r="C24" s="9" t="str">
        <f t="shared" si="3"/>
        <v>N/I</v>
      </c>
      <c r="D24" s="10" t="s">
        <v>34</v>
      </c>
      <c r="E24" s="11" t="s">
        <v>35</v>
      </c>
      <c r="F24" s="11" t="s">
        <v>67</v>
      </c>
      <c r="G24" s="12" t="s">
        <v>84</v>
      </c>
      <c r="H24" s="20" t="s">
        <v>85</v>
      </c>
      <c r="I24" s="12" t="s">
        <v>70</v>
      </c>
      <c r="J24" s="10" t="s">
        <v>63</v>
      </c>
      <c r="K24" s="10" t="s">
        <v>41</v>
      </c>
      <c r="L24" s="10" t="s">
        <v>4</v>
      </c>
      <c r="M24" s="14">
        <v>45238.0</v>
      </c>
      <c r="N24" s="11" t="s">
        <v>71</v>
      </c>
      <c r="O24" s="10" t="s">
        <v>72</v>
      </c>
      <c r="P24" s="10" t="s">
        <v>44</v>
      </c>
      <c r="Q24" s="2"/>
      <c r="R24" s="10">
        <v>12.0</v>
      </c>
      <c r="S24" s="14">
        <v>45238.0</v>
      </c>
      <c r="T24" s="14">
        <v>45604.0</v>
      </c>
      <c r="U24" s="10">
        <f t="shared" si="4"/>
        <v>-487</v>
      </c>
      <c r="V24" s="2"/>
      <c r="W24" s="10">
        <v>42.0</v>
      </c>
      <c r="X24" s="14">
        <v>45238.0</v>
      </c>
      <c r="Y24" s="14">
        <v>46515.0</v>
      </c>
      <c r="Z24" s="10">
        <f t="shared" si="5"/>
        <v>424</v>
      </c>
      <c r="AA24" s="1"/>
      <c r="AB24" s="15"/>
      <c r="AC24" s="15"/>
      <c r="AD24" s="15"/>
      <c r="AE24" s="15"/>
      <c r="AF24" s="2"/>
      <c r="AG24" s="16" t="s">
        <v>45</v>
      </c>
      <c r="AH24" s="17" t="s">
        <v>46</v>
      </c>
      <c r="AI24" s="18" t="s">
        <v>47</v>
      </c>
      <c r="AJ24" s="10" t="s">
        <v>48</v>
      </c>
      <c r="AK24" s="16" t="s">
        <v>45</v>
      </c>
      <c r="AL24" s="10" t="s">
        <v>49</v>
      </c>
      <c r="AM24" s="10" t="s">
        <v>48</v>
      </c>
      <c r="AN24" s="10" t="s">
        <v>50</v>
      </c>
    </row>
    <row r="25" ht="30.0" customHeight="1">
      <c r="A25" s="9" t="str">
        <f t="shared" si="1"/>
        <v>Inativo</v>
      </c>
      <c r="B25" s="9" t="str">
        <f t="shared" si="2"/>
        <v>Ativo</v>
      </c>
      <c r="C25" s="9" t="str">
        <f t="shared" si="3"/>
        <v>N/I</v>
      </c>
      <c r="D25" s="10" t="s">
        <v>34</v>
      </c>
      <c r="E25" s="11" t="s">
        <v>35</v>
      </c>
      <c r="F25" s="11" t="s">
        <v>86</v>
      </c>
      <c r="G25" s="12" t="s">
        <v>66</v>
      </c>
      <c r="H25" s="20" t="s">
        <v>87</v>
      </c>
      <c r="I25" s="12" t="s">
        <v>88</v>
      </c>
      <c r="J25" s="10" t="s">
        <v>89</v>
      </c>
      <c r="K25" s="10" t="s">
        <v>41</v>
      </c>
      <c r="L25" s="10" t="s">
        <v>4</v>
      </c>
      <c r="M25" s="14">
        <v>45050.0</v>
      </c>
      <c r="N25" s="11" t="s">
        <v>90</v>
      </c>
      <c r="O25" s="10" t="s">
        <v>91</v>
      </c>
      <c r="P25" s="10" t="s">
        <v>44</v>
      </c>
      <c r="Q25" s="2"/>
      <c r="R25" s="10">
        <v>12.0</v>
      </c>
      <c r="S25" s="14">
        <v>45050.0</v>
      </c>
      <c r="T25" s="14">
        <v>45416.0</v>
      </c>
      <c r="U25" s="10">
        <f t="shared" si="4"/>
        <v>-675</v>
      </c>
      <c r="V25" s="2"/>
      <c r="W25" s="10">
        <v>42.0</v>
      </c>
      <c r="X25" s="14">
        <v>45050.0</v>
      </c>
      <c r="Y25" s="14">
        <v>46330.0</v>
      </c>
      <c r="Z25" s="10">
        <f t="shared" si="5"/>
        <v>239</v>
      </c>
      <c r="AA25" s="1"/>
      <c r="AB25" s="15"/>
      <c r="AC25" s="15"/>
      <c r="AD25" s="15"/>
      <c r="AE25" s="15"/>
      <c r="AF25" s="2"/>
      <c r="AG25" s="16" t="s">
        <v>45</v>
      </c>
      <c r="AH25" s="17" t="s">
        <v>46</v>
      </c>
      <c r="AI25" s="18" t="s">
        <v>47</v>
      </c>
      <c r="AJ25" s="10" t="s">
        <v>48</v>
      </c>
      <c r="AK25" s="16" t="s">
        <v>45</v>
      </c>
      <c r="AL25" s="10" t="s">
        <v>49</v>
      </c>
      <c r="AM25" s="10" t="s">
        <v>48</v>
      </c>
      <c r="AN25" s="10" t="s">
        <v>50</v>
      </c>
    </row>
    <row r="26" ht="30.0" customHeight="1">
      <c r="A26" s="9" t="str">
        <f t="shared" si="1"/>
        <v>Inativo</v>
      </c>
      <c r="B26" s="9" t="str">
        <f t="shared" si="2"/>
        <v>Ativo</v>
      </c>
      <c r="C26" s="9" t="str">
        <f t="shared" si="3"/>
        <v>N/I</v>
      </c>
      <c r="D26" s="10" t="s">
        <v>34</v>
      </c>
      <c r="E26" s="11" t="s">
        <v>35</v>
      </c>
      <c r="F26" s="11" t="s">
        <v>86</v>
      </c>
      <c r="G26" s="12" t="s">
        <v>66</v>
      </c>
      <c r="H26" s="20" t="s">
        <v>92</v>
      </c>
      <c r="I26" s="12" t="s">
        <v>88</v>
      </c>
      <c r="J26" s="10" t="s">
        <v>89</v>
      </c>
      <c r="K26" s="10" t="s">
        <v>41</v>
      </c>
      <c r="L26" s="10" t="s">
        <v>4</v>
      </c>
      <c r="M26" s="14">
        <v>45050.0</v>
      </c>
      <c r="N26" s="11" t="s">
        <v>90</v>
      </c>
      <c r="O26" s="10" t="s">
        <v>91</v>
      </c>
      <c r="P26" s="10" t="s">
        <v>44</v>
      </c>
      <c r="Q26" s="2"/>
      <c r="R26" s="10">
        <v>12.0</v>
      </c>
      <c r="S26" s="14">
        <v>45050.0</v>
      </c>
      <c r="T26" s="14">
        <v>45416.0</v>
      </c>
      <c r="U26" s="10">
        <f t="shared" si="4"/>
        <v>-675</v>
      </c>
      <c r="V26" s="2"/>
      <c r="W26" s="10">
        <v>42.0</v>
      </c>
      <c r="X26" s="14">
        <v>45050.0</v>
      </c>
      <c r="Y26" s="14">
        <v>46330.0</v>
      </c>
      <c r="Z26" s="10">
        <f t="shared" si="5"/>
        <v>239</v>
      </c>
      <c r="AA26" s="1"/>
      <c r="AB26" s="15"/>
      <c r="AC26" s="15"/>
      <c r="AD26" s="15"/>
      <c r="AE26" s="15"/>
      <c r="AF26" s="2"/>
      <c r="AG26" s="16" t="s">
        <v>45</v>
      </c>
      <c r="AH26" s="17" t="s">
        <v>46</v>
      </c>
      <c r="AI26" s="18" t="s">
        <v>47</v>
      </c>
      <c r="AJ26" s="10" t="s">
        <v>48</v>
      </c>
      <c r="AK26" s="16" t="s">
        <v>45</v>
      </c>
      <c r="AL26" s="10" t="s">
        <v>49</v>
      </c>
      <c r="AM26" s="10" t="s">
        <v>48</v>
      </c>
      <c r="AN26" s="10" t="s">
        <v>50</v>
      </c>
    </row>
    <row r="27" ht="30.0" customHeight="1">
      <c r="A27" s="9" t="str">
        <f t="shared" si="1"/>
        <v>Inativo</v>
      </c>
      <c r="B27" s="9" t="str">
        <f t="shared" si="2"/>
        <v>Ativo</v>
      </c>
      <c r="C27" s="9" t="str">
        <f t="shared" si="3"/>
        <v>N/I</v>
      </c>
      <c r="D27" s="10" t="s">
        <v>34</v>
      </c>
      <c r="E27" s="11" t="s">
        <v>35</v>
      </c>
      <c r="F27" s="11" t="s">
        <v>86</v>
      </c>
      <c r="G27" s="12" t="s">
        <v>66</v>
      </c>
      <c r="H27" s="20" t="s">
        <v>93</v>
      </c>
      <c r="I27" s="12" t="s">
        <v>88</v>
      </c>
      <c r="J27" s="10" t="s">
        <v>89</v>
      </c>
      <c r="K27" s="10" t="s">
        <v>41</v>
      </c>
      <c r="L27" s="10" t="s">
        <v>4</v>
      </c>
      <c r="M27" s="14">
        <v>45050.0</v>
      </c>
      <c r="N27" s="11" t="s">
        <v>90</v>
      </c>
      <c r="O27" s="10" t="s">
        <v>91</v>
      </c>
      <c r="P27" s="10" t="s">
        <v>44</v>
      </c>
      <c r="Q27" s="2"/>
      <c r="R27" s="10">
        <v>12.0</v>
      </c>
      <c r="S27" s="14">
        <v>45050.0</v>
      </c>
      <c r="T27" s="14">
        <v>45416.0</v>
      </c>
      <c r="U27" s="10">
        <f t="shared" si="4"/>
        <v>-675</v>
      </c>
      <c r="V27" s="2"/>
      <c r="W27" s="10">
        <v>42.0</v>
      </c>
      <c r="X27" s="14">
        <v>45050.0</v>
      </c>
      <c r="Y27" s="14">
        <v>46330.0</v>
      </c>
      <c r="Z27" s="10">
        <f t="shared" si="5"/>
        <v>239</v>
      </c>
      <c r="AA27" s="1"/>
      <c r="AB27" s="15"/>
      <c r="AC27" s="15"/>
      <c r="AD27" s="15"/>
      <c r="AE27" s="15"/>
      <c r="AF27" s="2"/>
      <c r="AG27" s="16" t="s">
        <v>45</v>
      </c>
      <c r="AH27" s="17" t="s">
        <v>46</v>
      </c>
      <c r="AI27" s="18" t="s">
        <v>47</v>
      </c>
      <c r="AJ27" s="10" t="s">
        <v>48</v>
      </c>
      <c r="AK27" s="16" t="s">
        <v>45</v>
      </c>
      <c r="AL27" s="10" t="s">
        <v>49</v>
      </c>
      <c r="AM27" s="10" t="s">
        <v>48</v>
      </c>
      <c r="AN27" s="10" t="s">
        <v>50</v>
      </c>
    </row>
    <row r="28" ht="30.0" customHeight="1">
      <c r="A28" s="9" t="str">
        <f t="shared" si="1"/>
        <v>Inativo</v>
      </c>
      <c r="B28" s="9" t="str">
        <f t="shared" si="2"/>
        <v>Ativo</v>
      </c>
      <c r="C28" s="9" t="str">
        <f t="shared" si="3"/>
        <v>N/I</v>
      </c>
      <c r="D28" s="10" t="s">
        <v>34</v>
      </c>
      <c r="E28" s="11" t="s">
        <v>35</v>
      </c>
      <c r="F28" s="11" t="s">
        <v>86</v>
      </c>
      <c r="G28" s="12" t="s">
        <v>94</v>
      </c>
      <c r="H28" s="20" t="s">
        <v>95</v>
      </c>
      <c r="I28" s="12" t="s">
        <v>88</v>
      </c>
      <c r="J28" s="10" t="s">
        <v>89</v>
      </c>
      <c r="K28" s="10" t="s">
        <v>41</v>
      </c>
      <c r="L28" s="10" t="s">
        <v>4</v>
      </c>
      <c r="M28" s="14">
        <v>45050.0</v>
      </c>
      <c r="N28" s="11" t="s">
        <v>90</v>
      </c>
      <c r="O28" s="10" t="s">
        <v>91</v>
      </c>
      <c r="P28" s="10" t="s">
        <v>44</v>
      </c>
      <c r="Q28" s="2"/>
      <c r="R28" s="10">
        <v>12.0</v>
      </c>
      <c r="S28" s="14">
        <v>45050.0</v>
      </c>
      <c r="T28" s="14">
        <v>45416.0</v>
      </c>
      <c r="U28" s="10">
        <f t="shared" si="4"/>
        <v>-675</v>
      </c>
      <c r="V28" s="2"/>
      <c r="W28" s="10">
        <v>42.0</v>
      </c>
      <c r="X28" s="14">
        <v>45050.0</v>
      </c>
      <c r="Y28" s="14">
        <v>46330.0</v>
      </c>
      <c r="Z28" s="10">
        <f t="shared" si="5"/>
        <v>239</v>
      </c>
      <c r="AA28" s="1"/>
      <c r="AB28" s="15"/>
      <c r="AC28" s="15"/>
      <c r="AD28" s="15"/>
      <c r="AE28" s="15"/>
      <c r="AF28" s="2"/>
      <c r="AG28" s="16" t="s">
        <v>45</v>
      </c>
      <c r="AH28" s="17" t="s">
        <v>46</v>
      </c>
      <c r="AI28" s="18" t="s">
        <v>47</v>
      </c>
      <c r="AJ28" s="10" t="s">
        <v>48</v>
      </c>
      <c r="AK28" s="16" t="s">
        <v>45</v>
      </c>
      <c r="AL28" s="10" t="s">
        <v>49</v>
      </c>
      <c r="AM28" s="10" t="s">
        <v>48</v>
      </c>
      <c r="AN28" s="10" t="s">
        <v>50</v>
      </c>
    </row>
    <row r="29" ht="30.0" customHeight="1">
      <c r="A29" s="9" t="str">
        <f t="shared" si="1"/>
        <v>Inativo</v>
      </c>
      <c r="B29" s="9" t="str">
        <f t="shared" si="2"/>
        <v>Ativo</v>
      </c>
      <c r="C29" s="9" t="str">
        <f t="shared" si="3"/>
        <v>N/I</v>
      </c>
      <c r="D29" s="10" t="s">
        <v>34</v>
      </c>
      <c r="E29" s="11" t="s">
        <v>35</v>
      </c>
      <c r="F29" s="11" t="s">
        <v>86</v>
      </c>
      <c r="G29" s="12" t="s">
        <v>94</v>
      </c>
      <c r="H29" s="20" t="s">
        <v>96</v>
      </c>
      <c r="I29" s="12" t="s">
        <v>88</v>
      </c>
      <c r="J29" s="10" t="s">
        <v>89</v>
      </c>
      <c r="K29" s="10" t="s">
        <v>41</v>
      </c>
      <c r="L29" s="10" t="s">
        <v>4</v>
      </c>
      <c r="M29" s="14">
        <v>45050.0</v>
      </c>
      <c r="N29" s="11" t="s">
        <v>90</v>
      </c>
      <c r="O29" s="10" t="s">
        <v>91</v>
      </c>
      <c r="P29" s="10" t="s">
        <v>44</v>
      </c>
      <c r="Q29" s="2"/>
      <c r="R29" s="10">
        <v>12.0</v>
      </c>
      <c r="S29" s="14">
        <v>45050.0</v>
      </c>
      <c r="T29" s="14">
        <v>45416.0</v>
      </c>
      <c r="U29" s="10">
        <f t="shared" si="4"/>
        <v>-675</v>
      </c>
      <c r="V29" s="2"/>
      <c r="W29" s="10">
        <v>42.0</v>
      </c>
      <c r="X29" s="14">
        <v>45050.0</v>
      </c>
      <c r="Y29" s="14">
        <v>46330.0</v>
      </c>
      <c r="Z29" s="10">
        <f t="shared" si="5"/>
        <v>239</v>
      </c>
      <c r="AA29" s="1"/>
      <c r="AB29" s="15"/>
      <c r="AC29" s="15"/>
      <c r="AD29" s="15"/>
      <c r="AE29" s="15"/>
      <c r="AF29" s="2"/>
      <c r="AG29" s="16" t="s">
        <v>45</v>
      </c>
      <c r="AH29" s="17" t="s">
        <v>46</v>
      </c>
      <c r="AI29" s="18" t="s">
        <v>47</v>
      </c>
      <c r="AJ29" s="10" t="s">
        <v>48</v>
      </c>
      <c r="AK29" s="16" t="s">
        <v>45</v>
      </c>
      <c r="AL29" s="10" t="s">
        <v>49</v>
      </c>
      <c r="AM29" s="10" t="s">
        <v>48</v>
      </c>
      <c r="AN29" s="10" t="s">
        <v>50</v>
      </c>
    </row>
    <row r="30" ht="30.0" customHeight="1">
      <c r="A30" s="9" t="str">
        <f t="shared" si="1"/>
        <v>Inativo</v>
      </c>
      <c r="B30" s="9" t="str">
        <f t="shared" si="2"/>
        <v>Ativo</v>
      </c>
      <c r="C30" s="9" t="str">
        <f t="shared" si="3"/>
        <v>N/I</v>
      </c>
      <c r="D30" s="10" t="s">
        <v>34</v>
      </c>
      <c r="E30" s="11" t="s">
        <v>35</v>
      </c>
      <c r="F30" s="11" t="s">
        <v>86</v>
      </c>
      <c r="G30" s="12" t="s">
        <v>94</v>
      </c>
      <c r="H30" s="20" t="s">
        <v>97</v>
      </c>
      <c r="I30" s="12" t="s">
        <v>88</v>
      </c>
      <c r="J30" s="10" t="s">
        <v>89</v>
      </c>
      <c r="K30" s="10" t="s">
        <v>41</v>
      </c>
      <c r="L30" s="10" t="s">
        <v>4</v>
      </c>
      <c r="M30" s="14">
        <v>45050.0</v>
      </c>
      <c r="N30" s="11" t="s">
        <v>90</v>
      </c>
      <c r="O30" s="10" t="s">
        <v>91</v>
      </c>
      <c r="P30" s="10" t="s">
        <v>44</v>
      </c>
      <c r="Q30" s="2"/>
      <c r="R30" s="10">
        <v>12.0</v>
      </c>
      <c r="S30" s="14">
        <v>45050.0</v>
      </c>
      <c r="T30" s="14">
        <v>45416.0</v>
      </c>
      <c r="U30" s="10">
        <f t="shared" si="4"/>
        <v>-675</v>
      </c>
      <c r="V30" s="2"/>
      <c r="W30" s="10">
        <v>42.0</v>
      </c>
      <c r="X30" s="14">
        <v>45050.0</v>
      </c>
      <c r="Y30" s="14">
        <v>46330.0</v>
      </c>
      <c r="Z30" s="10">
        <f t="shared" si="5"/>
        <v>239</v>
      </c>
      <c r="AA30" s="1"/>
      <c r="AB30" s="15"/>
      <c r="AC30" s="15"/>
      <c r="AD30" s="15"/>
      <c r="AE30" s="15"/>
      <c r="AF30" s="2"/>
      <c r="AG30" s="16" t="s">
        <v>45</v>
      </c>
      <c r="AH30" s="17" t="s">
        <v>46</v>
      </c>
      <c r="AI30" s="18" t="s">
        <v>47</v>
      </c>
      <c r="AJ30" s="10" t="s">
        <v>48</v>
      </c>
      <c r="AK30" s="16" t="s">
        <v>45</v>
      </c>
      <c r="AL30" s="10" t="s">
        <v>49</v>
      </c>
      <c r="AM30" s="10" t="s">
        <v>48</v>
      </c>
      <c r="AN30" s="10" t="s">
        <v>50</v>
      </c>
    </row>
    <row r="31" ht="30.0" customHeight="1">
      <c r="A31" s="9" t="str">
        <f t="shared" si="1"/>
        <v>Inativo</v>
      </c>
      <c r="B31" s="9" t="str">
        <f t="shared" si="2"/>
        <v>Ativo</v>
      </c>
      <c r="C31" s="9" t="str">
        <f t="shared" si="3"/>
        <v>N/I</v>
      </c>
      <c r="D31" s="10" t="s">
        <v>34</v>
      </c>
      <c r="E31" s="11" t="s">
        <v>35</v>
      </c>
      <c r="F31" s="11" t="s">
        <v>98</v>
      </c>
      <c r="G31" s="12" t="s">
        <v>68</v>
      </c>
      <c r="H31" s="21" t="s">
        <v>99</v>
      </c>
      <c r="I31" s="12" t="s">
        <v>100</v>
      </c>
      <c r="J31" s="10" t="s">
        <v>101</v>
      </c>
      <c r="K31" s="10" t="s">
        <v>41</v>
      </c>
      <c r="L31" s="10" t="s">
        <v>4</v>
      </c>
      <c r="M31" s="14">
        <v>44883.0</v>
      </c>
      <c r="N31" s="11" t="s">
        <v>102</v>
      </c>
      <c r="O31" s="10" t="s">
        <v>103</v>
      </c>
      <c r="P31" s="10" t="s">
        <v>44</v>
      </c>
      <c r="Q31" s="2"/>
      <c r="R31" s="10">
        <v>12.0</v>
      </c>
      <c r="S31" s="14">
        <v>44883.0</v>
      </c>
      <c r="T31" s="14">
        <v>45248.0</v>
      </c>
      <c r="U31" s="10">
        <f t="shared" si="4"/>
        <v>-843</v>
      </c>
      <c r="V31" s="2"/>
      <c r="W31" s="10">
        <v>42.0</v>
      </c>
      <c r="X31" s="14">
        <v>45249.0</v>
      </c>
      <c r="Y31" s="14">
        <v>46526.0</v>
      </c>
      <c r="Z31" s="10">
        <f t="shared" si="5"/>
        <v>435</v>
      </c>
      <c r="AA31" s="1"/>
      <c r="AB31" s="15"/>
      <c r="AC31" s="15"/>
      <c r="AD31" s="15"/>
      <c r="AE31" s="15"/>
      <c r="AF31" s="2"/>
      <c r="AG31" s="16" t="s">
        <v>45</v>
      </c>
      <c r="AH31" s="17" t="s">
        <v>46</v>
      </c>
      <c r="AI31" s="18" t="s">
        <v>47</v>
      </c>
      <c r="AJ31" s="10" t="s">
        <v>48</v>
      </c>
      <c r="AK31" s="16" t="s">
        <v>45</v>
      </c>
      <c r="AL31" s="10" t="s">
        <v>49</v>
      </c>
      <c r="AM31" s="10" t="s">
        <v>48</v>
      </c>
      <c r="AN31" s="10" t="s">
        <v>50</v>
      </c>
    </row>
    <row r="32" ht="30.0" customHeight="1">
      <c r="A32" s="9" t="str">
        <f t="shared" si="1"/>
        <v>Inativo</v>
      </c>
      <c r="B32" s="9" t="str">
        <f t="shared" si="2"/>
        <v>Ativo</v>
      </c>
      <c r="C32" s="9" t="str">
        <f t="shared" si="3"/>
        <v>N/I</v>
      </c>
      <c r="D32" s="10" t="s">
        <v>34</v>
      </c>
      <c r="E32" s="11" t="s">
        <v>35</v>
      </c>
      <c r="F32" s="11" t="s">
        <v>98</v>
      </c>
      <c r="G32" s="12" t="s">
        <v>68</v>
      </c>
      <c r="H32" s="21" t="s">
        <v>104</v>
      </c>
      <c r="I32" s="12" t="s">
        <v>100</v>
      </c>
      <c r="J32" s="10" t="s">
        <v>101</v>
      </c>
      <c r="K32" s="10" t="s">
        <v>41</v>
      </c>
      <c r="L32" s="10" t="s">
        <v>4</v>
      </c>
      <c r="M32" s="14">
        <v>44883.0</v>
      </c>
      <c r="N32" s="11" t="s">
        <v>102</v>
      </c>
      <c r="O32" s="10" t="s">
        <v>103</v>
      </c>
      <c r="P32" s="10" t="s">
        <v>44</v>
      </c>
      <c r="Q32" s="2"/>
      <c r="R32" s="10">
        <v>12.0</v>
      </c>
      <c r="S32" s="14">
        <v>44883.0</v>
      </c>
      <c r="T32" s="14">
        <v>45248.0</v>
      </c>
      <c r="U32" s="10">
        <f t="shared" si="4"/>
        <v>-843</v>
      </c>
      <c r="V32" s="2"/>
      <c r="W32" s="10">
        <v>42.0</v>
      </c>
      <c r="X32" s="14">
        <v>45249.0</v>
      </c>
      <c r="Y32" s="14">
        <v>46526.0</v>
      </c>
      <c r="Z32" s="10">
        <f t="shared" si="5"/>
        <v>435</v>
      </c>
      <c r="AA32" s="1"/>
      <c r="AB32" s="15"/>
      <c r="AC32" s="15"/>
      <c r="AD32" s="15"/>
      <c r="AE32" s="15"/>
      <c r="AF32" s="2"/>
      <c r="AG32" s="16" t="s">
        <v>45</v>
      </c>
      <c r="AH32" s="17" t="s">
        <v>46</v>
      </c>
      <c r="AI32" s="18" t="s">
        <v>47</v>
      </c>
      <c r="AJ32" s="10" t="s">
        <v>48</v>
      </c>
      <c r="AK32" s="16" t="s">
        <v>45</v>
      </c>
      <c r="AL32" s="10" t="s">
        <v>49</v>
      </c>
      <c r="AM32" s="10" t="s">
        <v>48</v>
      </c>
      <c r="AN32" s="10" t="s">
        <v>50</v>
      </c>
    </row>
    <row r="33" ht="30.0" customHeight="1">
      <c r="A33" s="9" t="str">
        <f t="shared" si="1"/>
        <v>Inativo</v>
      </c>
      <c r="B33" s="9" t="str">
        <f t="shared" si="2"/>
        <v>Ativo</v>
      </c>
      <c r="C33" s="9" t="str">
        <f t="shared" si="3"/>
        <v>N/I</v>
      </c>
      <c r="D33" s="10" t="s">
        <v>34</v>
      </c>
      <c r="E33" s="11" t="s">
        <v>35</v>
      </c>
      <c r="F33" s="11" t="s">
        <v>98</v>
      </c>
      <c r="G33" s="12" t="s">
        <v>68</v>
      </c>
      <c r="H33" s="21" t="s">
        <v>105</v>
      </c>
      <c r="I33" s="12" t="s">
        <v>100</v>
      </c>
      <c r="J33" s="10" t="s">
        <v>101</v>
      </c>
      <c r="K33" s="10" t="s">
        <v>41</v>
      </c>
      <c r="L33" s="10" t="s">
        <v>4</v>
      </c>
      <c r="M33" s="14">
        <v>44881.0</v>
      </c>
      <c r="N33" s="11" t="s">
        <v>102</v>
      </c>
      <c r="O33" s="10" t="s">
        <v>103</v>
      </c>
      <c r="P33" s="10" t="s">
        <v>44</v>
      </c>
      <c r="Q33" s="2"/>
      <c r="R33" s="10">
        <v>12.0</v>
      </c>
      <c r="S33" s="14">
        <v>44881.0</v>
      </c>
      <c r="T33" s="14">
        <v>45246.0</v>
      </c>
      <c r="U33" s="10">
        <f t="shared" si="4"/>
        <v>-845</v>
      </c>
      <c r="V33" s="2"/>
      <c r="W33" s="10">
        <v>42.0</v>
      </c>
      <c r="X33" s="14">
        <v>45249.0</v>
      </c>
      <c r="Y33" s="14">
        <v>46526.0</v>
      </c>
      <c r="Z33" s="10">
        <f t="shared" si="5"/>
        <v>435</v>
      </c>
      <c r="AA33" s="1"/>
      <c r="AB33" s="15"/>
      <c r="AC33" s="15"/>
      <c r="AD33" s="15"/>
      <c r="AE33" s="15"/>
      <c r="AF33" s="2"/>
      <c r="AG33" s="16" t="s">
        <v>45</v>
      </c>
      <c r="AH33" s="17" t="s">
        <v>46</v>
      </c>
      <c r="AI33" s="18" t="s">
        <v>47</v>
      </c>
      <c r="AJ33" s="10" t="s">
        <v>48</v>
      </c>
      <c r="AK33" s="16" t="s">
        <v>45</v>
      </c>
      <c r="AL33" s="10" t="s">
        <v>49</v>
      </c>
      <c r="AM33" s="10" t="s">
        <v>48</v>
      </c>
      <c r="AN33" s="10" t="s">
        <v>50</v>
      </c>
    </row>
    <row r="34" ht="30.0" customHeight="1">
      <c r="A34" s="9" t="str">
        <f t="shared" si="1"/>
        <v>Inativo</v>
      </c>
      <c r="B34" s="9" t="str">
        <f t="shared" si="2"/>
        <v>Ativo</v>
      </c>
      <c r="C34" s="9" t="str">
        <f t="shared" si="3"/>
        <v>N/I</v>
      </c>
      <c r="D34" s="10" t="s">
        <v>34</v>
      </c>
      <c r="E34" s="11" t="s">
        <v>35</v>
      </c>
      <c r="F34" s="11" t="s">
        <v>98</v>
      </c>
      <c r="G34" s="12" t="s">
        <v>68</v>
      </c>
      <c r="H34" s="21" t="s">
        <v>106</v>
      </c>
      <c r="I34" s="12" t="s">
        <v>100</v>
      </c>
      <c r="J34" s="10" t="s">
        <v>101</v>
      </c>
      <c r="K34" s="10" t="s">
        <v>41</v>
      </c>
      <c r="L34" s="10" t="s">
        <v>4</v>
      </c>
      <c r="M34" s="14">
        <v>44883.0</v>
      </c>
      <c r="N34" s="11" t="s">
        <v>102</v>
      </c>
      <c r="O34" s="10" t="s">
        <v>103</v>
      </c>
      <c r="P34" s="10" t="s">
        <v>44</v>
      </c>
      <c r="Q34" s="2"/>
      <c r="R34" s="10">
        <v>12.0</v>
      </c>
      <c r="S34" s="14">
        <v>44883.0</v>
      </c>
      <c r="T34" s="14">
        <v>45248.0</v>
      </c>
      <c r="U34" s="10">
        <f t="shared" si="4"/>
        <v>-843</v>
      </c>
      <c r="V34" s="2"/>
      <c r="W34" s="10">
        <v>42.0</v>
      </c>
      <c r="X34" s="14">
        <v>45249.0</v>
      </c>
      <c r="Y34" s="14">
        <v>46526.0</v>
      </c>
      <c r="Z34" s="10">
        <f t="shared" si="5"/>
        <v>435</v>
      </c>
      <c r="AA34" s="1"/>
      <c r="AB34" s="15"/>
      <c r="AC34" s="15"/>
      <c r="AD34" s="15"/>
      <c r="AE34" s="15"/>
      <c r="AF34" s="2"/>
      <c r="AG34" s="16" t="s">
        <v>45</v>
      </c>
      <c r="AH34" s="17" t="s">
        <v>46</v>
      </c>
      <c r="AI34" s="18" t="s">
        <v>47</v>
      </c>
      <c r="AJ34" s="10" t="s">
        <v>48</v>
      </c>
      <c r="AK34" s="16" t="s">
        <v>45</v>
      </c>
      <c r="AL34" s="10" t="s">
        <v>49</v>
      </c>
      <c r="AM34" s="10" t="s">
        <v>48</v>
      </c>
      <c r="AN34" s="10" t="s">
        <v>50</v>
      </c>
    </row>
    <row r="35" ht="30.0" customHeight="1">
      <c r="A35" s="9" t="str">
        <f t="shared" si="1"/>
        <v>Inativo</v>
      </c>
      <c r="B35" s="9" t="str">
        <f t="shared" si="2"/>
        <v>Ativo</v>
      </c>
      <c r="C35" s="9" t="str">
        <f t="shared" si="3"/>
        <v>N/I</v>
      </c>
      <c r="D35" s="10" t="s">
        <v>34</v>
      </c>
      <c r="E35" s="11" t="s">
        <v>35</v>
      </c>
      <c r="F35" s="11" t="s">
        <v>98</v>
      </c>
      <c r="G35" s="12" t="s">
        <v>68</v>
      </c>
      <c r="H35" s="21" t="s">
        <v>107</v>
      </c>
      <c r="I35" s="12" t="s">
        <v>100</v>
      </c>
      <c r="J35" s="10" t="s">
        <v>101</v>
      </c>
      <c r="K35" s="10" t="s">
        <v>41</v>
      </c>
      <c r="L35" s="10" t="s">
        <v>4</v>
      </c>
      <c r="M35" s="14">
        <v>44883.0</v>
      </c>
      <c r="N35" s="11" t="s">
        <v>102</v>
      </c>
      <c r="O35" s="10" t="s">
        <v>103</v>
      </c>
      <c r="P35" s="10" t="s">
        <v>44</v>
      </c>
      <c r="Q35" s="2"/>
      <c r="R35" s="10">
        <v>12.0</v>
      </c>
      <c r="S35" s="14">
        <v>44883.0</v>
      </c>
      <c r="T35" s="14">
        <v>45248.0</v>
      </c>
      <c r="U35" s="10">
        <f t="shared" si="4"/>
        <v>-843</v>
      </c>
      <c r="V35" s="2"/>
      <c r="W35" s="10">
        <v>42.0</v>
      </c>
      <c r="X35" s="14">
        <v>45249.0</v>
      </c>
      <c r="Y35" s="14">
        <v>46526.0</v>
      </c>
      <c r="Z35" s="10">
        <f t="shared" si="5"/>
        <v>435</v>
      </c>
      <c r="AA35" s="1"/>
      <c r="AB35" s="15"/>
      <c r="AC35" s="15"/>
      <c r="AD35" s="15"/>
      <c r="AE35" s="15"/>
      <c r="AF35" s="2"/>
      <c r="AG35" s="16" t="s">
        <v>45</v>
      </c>
      <c r="AH35" s="17" t="s">
        <v>46</v>
      </c>
      <c r="AI35" s="18" t="s">
        <v>47</v>
      </c>
      <c r="AJ35" s="10" t="s">
        <v>48</v>
      </c>
      <c r="AK35" s="16" t="s">
        <v>45</v>
      </c>
      <c r="AL35" s="10" t="s">
        <v>49</v>
      </c>
      <c r="AM35" s="10" t="s">
        <v>48</v>
      </c>
      <c r="AN35" s="10" t="s">
        <v>50</v>
      </c>
    </row>
    <row r="36" ht="30.0" customHeight="1">
      <c r="A36" s="9" t="str">
        <f t="shared" si="1"/>
        <v>Inativo</v>
      </c>
      <c r="B36" s="9" t="str">
        <f t="shared" si="2"/>
        <v>Ativo</v>
      </c>
      <c r="C36" s="9" t="str">
        <f t="shared" si="3"/>
        <v>N/I</v>
      </c>
      <c r="D36" s="10" t="s">
        <v>34</v>
      </c>
      <c r="E36" s="11" t="s">
        <v>35</v>
      </c>
      <c r="F36" s="11" t="s">
        <v>98</v>
      </c>
      <c r="G36" s="12" t="s">
        <v>37</v>
      </c>
      <c r="H36" s="21" t="s">
        <v>108</v>
      </c>
      <c r="I36" s="12" t="s">
        <v>100</v>
      </c>
      <c r="J36" s="10" t="s">
        <v>101</v>
      </c>
      <c r="K36" s="10" t="s">
        <v>41</v>
      </c>
      <c r="L36" s="10" t="s">
        <v>4</v>
      </c>
      <c r="M36" s="14">
        <v>44886.0</v>
      </c>
      <c r="N36" s="11" t="s">
        <v>102</v>
      </c>
      <c r="O36" s="10" t="s">
        <v>103</v>
      </c>
      <c r="P36" s="10" t="s">
        <v>44</v>
      </c>
      <c r="Q36" s="2"/>
      <c r="R36" s="10">
        <v>12.0</v>
      </c>
      <c r="S36" s="14">
        <v>44886.0</v>
      </c>
      <c r="T36" s="14">
        <v>45251.0</v>
      </c>
      <c r="U36" s="10">
        <f t="shared" si="4"/>
        <v>-840</v>
      </c>
      <c r="V36" s="2"/>
      <c r="W36" s="10">
        <v>42.0</v>
      </c>
      <c r="X36" s="14">
        <v>45368.0</v>
      </c>
      <c r="Y36" s="14">
        <v>46647.0</v>
      </c>
      <c r="Z36" s="10">
        <f t="shared" si="5"/>
        <v>556</v>
      </c>
      <c r="AA36" s="1"/>
      <c r="AB36" s="15"/>
      <c r="AC36" s="15"/>
      <c r="AD36" s="15"/>
      <c r="AE36" s="15"/>
      <c r="AF36" s="2"/>
      <c r="AG36" s="16" t="s">
        <v>45</v>
      </c>
      <c r="AH36" s="17" t="s">
        <v>46</v>
      </c>
      <c r="AI36" s="18" t="s">
        <v>47</v>
      </c>
      <c r="AJ36" s="10" t="s">
        <v>48</v>
      </c>
      <c r="AK36" s="16" t="s">
        <v>45</v>
      </c>
      <c r="AL36" s="10" t="s">
        <v>49</v>
      </c>
      <c r="AM36" s="10" t="s">
        <v>48</v>
      </c>
      <c r="AN36" s="10" t="s">
        <v>50</v>
      </c>
    </row>
    <row r="37" ht="30.0" customHeight="1">
      <c r="A37" s="9" t="str">
        <f t="shared" si="1"/>
        <v>Inativo</v>
      </c>
      <c r="B37" s="9" t="str">
        <f t="shared" si="2"/>
        <v>Ativo</v>
      </c>
      <c r="C37" s="9" t="str">
        <f t="shared" si="3"/>
        <v>N/I</v>
      </c>
      <c r="D37" s="10" t="s">
        <v>34</v>
      </c>
      <c r="E37" s="11" t="s">
        <v>35</v>
      </c>
      <c r="F37" s="11" t="s">
        <v>98</v>
      </c>
      <c r="G37" s="12" t="s">
        <v>79</v>
      </c>
      <c r="H37" s="21" t="s">
        <v>109</v>
      </c>
      <c r="I37" s="12" t="s">
        <v>100</v>
      </c>
      <c r="J37" s="10" t="s">
        <v>101</v>
      </c>
      <c r="K37" s="10" t="s">
        <v>41</v>
      </c>
      <c r="L37" s="10" t="s">
        <v>4</v>
      </c>
      <c r="M37" s="14">
        <v>44887.0</v>
      </c>
      <c r="N37" s="11" t="s">
        <v>102</v>
      </c>
      <c r="O37" s="10" t="s">
        <v>103</v>
      </c>
      <c r="P37" s="10" t="s">
        <v>44</v>
      </c>
      <c r="Q37" s="2"/>
      <c r="R37" s="10">
        <v>12.0</v>
      </c>
      <c r="S37" s="14">
        <v>44887.0</v>
      </c>
      <c r="T37" s="14">
        <v>45252.0</v>
      </c>
      <c r="U37" s="10">
        <f t="shared" si="4"/>
        <v>-839</v>
      </c>
      <c r="V37" s="2"/>
      <c r="W37" s="10">
        <v>42.0</v>
      </c>
      <c r="X37" s="14">
        <v>45253.0</v>
      </c>
      <c r="Y37" s="14">
        <v>46530.0</v>
      </c>
      <c r="Z37" s="10">
        <f t="shared" si="5"/>
        <v>439</v>
      </c>
      <c r="AA37" s="1"/>
      <c r="AB37" s="15"/>
      <c r="AC37" s="15"/>
      <c r="AD37" s="15"/>
      <c r="AE37" s="15"/>
      <c r="AF37" s="2"/>
      <c r="AG37" s="16" t="s">
        <v>45</v>
      </c>
      <c r="AH37" s="17" t="s">
        <v>46</v>
      </c>
      <c r="AI37" s="18" t="s">
        <v>47</v>
      </c>
      <c r="AJ37" s="10" t="s">
        <v>48</v>
      </c>
      <c r="AK37" s="16" t="s">
        <v>45</v>
      </c>
      <c r="AL37" s="10" t="s">
        <v>49</v>
      </c>
      <c r="AM37" s="10" t="s">
        <v>48</v>
      </c>
      <c r="AN37" s="10" t="s">
        <v>50</v>
      </c>
    </row>
    <row r="38" ht="30.0" customHeight="1">
      <c r="A38" s="9" t="str">
        <f t="shared" si="1"/>
        <v>Inativo</v>
      </c>
      <c r="B38" s="9" t="str">
        <f t="shared" si="2"/>
        <v>Ativo</v>
      </c>
      <c r="C38" s="9" t="str">
        <f t="shared" si="3"/>
        <v>N/I</v>
      </c>
      <c r="D38" s="10" t="s">
        <v>34</v>
      </c>
      <c r="E38" s="11" t="s">
        <v>35</v>
      </c>
      <c r="F38" s="11" t="s">
        <v>98</v>
      </c>
      <c r="G38" s="12" t="s">
        <v>37</v>
      </c>
      <c r="H38" s="21" t="s">
        <v>110</v>
      </c>
      <c r="I38" s="12" t="s">
        <v>100</v>
      </c>
      <c r="J38" s="10" t="s">
        <v>101</v>
      </c>
      <c r="K38" s="10" t="s">
        <v>41</v>
      </c>
      <c r="L38" s="10" t="s">
        <v>4</v>
      </c>
      <c r="M38" s="14">
        <v>44888.0</v>
      </c>
      <c r="N38" s="11" t="s">
        <v>102</v>
      </c>
      <c r="O38" s="10" t="s">
        <v>103</v>
      </c>
      <c r="P38" s="10" t="s">
        <v>44</v>
      </c>
      <c r="Q38" s="2"/>
      <c r="R38" s="10">
        <v>12.0</v>
      </c>
      <c r="S38" s="14">
        <v>44887.0</v>
      </c>
      <c r="T38" s="14">
        <v>45252.0</v>
      </c>
      <c r="U38" s="10">
        <f t="shared" si="4"/>
        <v>-839</v>
      </c>
      <c r="V38" s="2"/>
      <c r="W38" s="10">
        <v>42.0</v>
      </c>
      <c r="X38" s="14">
        <v>45253.0</v>
      </c>
      <c r="Y38" s="14">
        <v>46530.0</v>
      </c>
      <c r="Z38" s="10">
        <f t="shared" si="5"/>
        <v>439</v>
      </c>
      <c r="AA38" s="1"/>
      <c r="AB38" s="15"/>
      <c r="AC38" s="15"/>
      <c r="AD38" s="15"/>
      <c r="AE38" s="15"/>
      <c r="AF38" s="2"/>
      <c r="AG38" s="16" t="s">
        <v>45</v>
      </c>
      <c r="AH38" s="17" t="s">
        <v>46</v>
      </c>
      <c r="AI38" s="18" t="s">
        <v>47</v>
      </c>
      <c r="AJ38" s="10" t="s">
        <v>48</v>
      </c>
      <c r="AK38" s="16" t="s">
        <v>45</v>
      </c>
      <c r="AL38" s="10" t="s">
        <v>49</v>
      </c>
      <c r="AM38" s="10" t="s">
        <v>48</v>
      </c>
      <c r="AN38" s="10" t="s">
        <v>50</v>
      </c>
    </row>
    <row r="39" ht="30.0" customHeight="1">
      <c r="A39" s="9" t="str">
        <f t="shared" si="1"/>
        <v>Inativo</v>
      </c>
      <c r="B39" s="9" t="str">
        <f t="shared" si="2"/>
        <v>Ativo</v>
      </c>
      <c r="C39" s="9" t="str">
        <f t="shared" si="3"/>
        <v>N/I</v>
      </c>
      <c r="D39" s="10" t="s">
        <v>34</v>
      </c>
      <c r="E39" s="11" t="s">
        <v>35</v>
      </c>
      <c r="F39" s="11" t="s">
        <v>98</v>
      </c>
      <c r="G39" s="12" t="s">
        <v>37</v>
      </c>
      <c r="H39" s="21" t="s">
        <v>111</v>
      </c>
      <c r="I39" s="12" t="s">
        <v>100</v>
      </c>
      <c r="J39" s="10" t="s">
        <v>101</v>
      </c>
      <c r="K39" s="10" t="s">
        <v>41</v>
      </c>
      <c r="L39" s="10" t="s">
        <v>4</v>
      </c>
      <c r="M39" s="14">
        <v>44889.0</v>
      </c>
      <c r="N39" s="11" t="s">
        <v>102</v>
      </c>
      <c r="O39" s="10" t="s">
        <v>103</v>
      </c>
      <c r="P39" s="10" t="s">
        <v>44</v>
      </c>
      <c r="Q39" s="2"/>
      <c r="R39" s="10">
        <v>12.0</v>
      </c>
      <c r="S39" s="14">
        <v>44887.0</v>
      </c>
      <c r="T39" s="14">
        <v>45252.0</v>
      </c>
      <c r="U39" s="10">
        <f t="shared" si="4"/>
        <v>-839</v>
      </c>
      <c r="V39" s="2"/>
      <c r="W39" s="10">
        <v>42.0</v>
      </c>
      <c r="X39" s="14">
        <v>45253.0</v>
      </c>
      <c r="Y39" s="14">
        <v>46530.0</v>
      </c>
      <c r="Z39" s="10">
        <f t="shared" si="5"/>
        <v>439</v>
      </c>
      <c r="AA39" s="1"/>
      <c r="AB39" s="15"/>
      <c r="AC39" s="15"/>
      <c r="AD39" s="15"/>
      <c r="AE39" s="15"/>
      <c r="AF39" s="2"/>
      <c r="AG39" s="16" t="s">
        <v>45</v>
      </c>
      <c r="AH39" s="17" t="s">
        <v>46</v>
      </c>
      <c r="AI39" s="18" t="s">
        <v>47</v>
      </c>
      <c r="AJ39" s="10" t="s">
        <v>48</v>
      </c>
      <c r="AK39" s="16" t="s">
        <v>45</v>
      </c>
      <c r="AL39" s="10" t="s">
        <v>49</v>
      </c>
      <c r="AM39" s="10" t="s">
        <v>48</v>
      </c>
      <c r="AN39" s="10" t="s">
        <v>50</v>
      </c>
    </row>
    <row r="40" ht="30.0" customHeight="1">
      <c r="A40" s="9" t="str">
        <f t="shared" si="1"/>
        <v>Inativo</v>
      </c>
      <c r="B40" s="9" t="str">
        <f t="shared" si="2"/>
        <v>Ativo</v>
      </c>
      <c r="C40" s="9" t="str">
        <f t="shared" si="3"/>
        <v>N/I</v>
      </c>
      <c r="D40" s="10" t="s">
        <v>34</v>
      </c>
      <c r="E40" s="11" t="s">
        <v>35</v>
      </c>
      <c r="F40" s="11" t="s">
        <v>98</v>
      </c>
      <c r="G40" s="12" t="s">
        <v>79</v>
      </c>
      <c r="H40" s="21" t="s">
        <v>112</v>
      </c>
      <c r="I40" s="12" t="s">
        <v>100</v>
      </c>
      <c r="J40" s="10" t="s">
        <v>101</v>
      </c>
      <c r="K40" s="10" t="s">
        <v>41</v>
      </c>
      <c r="L40" s="10" t="s">
        <v>4</v>
      </c>
      <c r="M40" s="14">
        <v>44890.0</v>
      </c>
      <c r="N40" s="11" t="s">
        <v>102</v>
      </c>
      <c r="O40" s="10" t="s">
        <v>103</v>
      </c>
      <c r="P40" s="10" t="s">
        <v>44</v>
      </c>
      <c r="Q40" s="2"/>
      <c r="R40" s="10">
        <v>12.0</v>
      </c>
      <c r="S40" s="14">
        <v>44890.0</v>
      </c>
      <c r="T40" s="14">
        <v>45255.0</v>
      </c>
      <c r="U40" s="10">
        <f t="shared" si="4"/>
        <v>-836</v>
      </c>
      <c r="V40" s="2"/>
      <c r="W40" s="10">
        <v>42.0</v>
      </c>
      <c r="X40" s="14">
        <v>45255.0</v>
      </c>
      <c r="Y40" s="14">
        <v>46532.0</v>
      </c>
      <c r="Z40" s="10">
        <f t="shared" si="5"/>
        <v>441</v>
      </c>
      <c r="AA40" s="1"/>
      <c r="AB40" s="15"/>
      <c r="AC40" s="15"/>
      <c r="AD40" s="15"/>
      <c r="AE40" s="15"/>
      <c r="AF40" s="2"/>
      <c r="AG40" s="16" t="s">
        <v>45</v>
      </c>
      <c r="AH40" s="17" t="s">
        <v>46</v>
      </c>
      <c r="AI40" s="18" t="s">
        <v>47</v>
      </c>
      <c r="AJ40" s="10" t="s">
        <v>48</v>
      </c>
      <c r="AK40" s="16" t="s">
        <v>45</v>
      </c>
      <c r="AL40" s="10" t="s">
        <v>49</v>
      </c>
      <c r="AM40" s="10" t="s">
        <v>48</v>
      </c>
      <c r="AN40" s="10" t="s">
        <v>50</v>
      </c>
    </row>
    <row r="41" ht="30.0" customHeight="1">
      <c r="A41" s="9" t="str">
        <f t="shared" si="1"/>
        <v>Inativo</v>
      </c>
      <c r="B41" s="9" t="str">
        <f t="shared" si="2"/>
        <v>Ativo</v>
      </c>
      <c r="C41" s="9" t="str">
        <f t="shared" si="3"/>
        <v>N/I</v>
      </c>
      <c r="D41" s="10" t="s">
        <v>34</v>
      </c>
      <c r="E41" s="11" t="s">
        <v>35</v>
      </c>
      <c r="F41" s="11" t="s">
        <v>98</v>
      </c>
      <c r="G41" s="12" t="s">
        <v>58</v>
      </c>
      <c r="H41" s="21" t="s">
        <v>113</v>
      </c>
      <c r="I41" s="12" t="s">
        <v>100</v>
      </c>
      <c r="J41" s="10" t="s">
        <v>101</v>
      </c>
      <c r="K41" s="10" t="s">
        <v>41</v>
      </c>
      <c r="L41" s="10" t="s">
        <v>4</v>
      </c>
      <c r="M41" s="14">
        <v>44981.0</v>
      </c>
      <c r="N41" s="11" t="s">
        <v>102</v>
      </c>
      <c r="O41" s="10" t="s">
        <v>103</v>
      </c>
      <c r="P41" s="10" t="s">
        <v>44</v>
      </c>
      <c r="Q41" s="2"/>
      <c r="R41" s="10">
        <v>12.0</v>
      </c>
      <c r="S41" s="14">
        <v>44981.0</v>
      </c>
      <c r="T41" s="14">
        <v>45346.0</v>
      </c>
      <c r="U41" s="10">
        <f t="shared" si="4"/>
        <v>-745</v>
      </c>
      <c r="V41" s="2"/>
      <c r="W41" s="10">
        <v>42.0</v>
      </c>
      <c r="X41" s="14">
        <v>45347.0</v>
      </c>
      <c r="Y41" s="14">
        <v>46624.0</v>
      </c>
      <c r="Z41" s="10">
        <f t="shared" si="5"/>
        <v>533</v>
      </c>
      <c r="AA41" s="1"/>
      <c r="AB41" s="15"/>
      <c r="AC41" s="15"/>
      <c r="AD41" s="15"/>
      <c r="AE41" s="15"/>
      <c r="AF41" s="2"/>
      <c r="AG41" s="16" t="s">
        <v>45</v>
      </c>
      <c r="AH41" s="17" t="s">
        <v>46</v>
      </c>
      <c r="AI41" s="18" t="s">
        <v>47</v>
      </c>
      <c r="AJ41" s="10" t="s">
        <v>48</v>
      </c>
      <c r="AK41" s="16" t="s">
        <v>45</v>
      </c>
      <c r="AL41" s="10" t="s">
        <v>49</v>
      </c>
      <c r="AM41" s="10" t="s">
        <v>48</v>
      </c>
      <c r="AN41" s="10" t="s">
        <v>50</v>
      </c>
    </row>
    <row r="42" ht="30.0" customHeight="1">
      <c r="A42" s="9" t="str">
        <f t="shared" si="1"/>
        <v>Inativo</v>
      </c>
      <c r="B42" s="9" t="str">
        <f t="shared" si="2"/>
        <v>Ativo</v>
      </c>
      <c r="C42" s="9" t="str">
        <f t="shared" si="3"/>
        <v>N/I</v>
      </c>
      <c r="D42" s="10" t="s">
        <v>34</v>
      </c>
      <c r="E42" s="11" t="s">
        <v>35</v>
      </c>
      <c r="F42" s="11" t="s">
        <v>98</v>
      </c>
      <c r="G42" s="12" t="s">
        <v>52</v>
      </c>
      <c r="H42" s="21" t="s">
        <v>114</v>
      </c>
      <c r="I42" s="12" t="s">
        <v>100</v>
      </c>
      <c r="J42" s="10" t="s">
        <v>101</v>
      </c>
      <c r="K42" s="10" t="s">
        <v>41</v>
      </c>
      <c r="L42" s="10" t="s">
        <v>4</v>
      </c>
      <c r="M42" s="14">
        <v>44984.0</v>
      </c>
      <c r="N42" s="11" t="s">
        <v>102</v>
      </c>
      <c r="O42" s="10" t="s">
        <v>103</v>
      </c>
      <c r="P42" s="10" t="s">
        <v>44</v>
      </c>
      <c r="Q42" s="2"/>
      <c r="R42" s="10">
        <v>12.0</v>
      </c>
      <c r="S42" s="14">
        <v>44984.0</v>
      </c>
      <c r="T42" s="14">
        <v>45349.0</v>
      </c>
      <c r="U42" s="10">
        <f t="shared" si="4"/>
        <v>-742</v>
      </c>
      <c r="V42" s="2"/>
      <c r="W42" s="10">
        <v>42.0</v>
      </c>
      <c r="X42" s="14">
        <v>45350.0</v>
      </c>
      <c r="Y42" s="14">
        <v>46627.0</v>
      </c>
      <c r="Z42" s="10">
        <f t="shared" si="5"/>
        <v>536</v>
      </c>
      <c r="AA42" s="1"/>
      <c r="AB42" s="15"/>
      <c r="AC42" s="15"/>
      <c r="AD42" s="15"/>
      <c r="AE42" s="15"/>
      <c r="AF42" s="2"/>
      <c r="AG42" s="16" t="s">
        <v>45</v>
      </c>
      <c r="AH42" s="17" t="s">
        <v>46</v>
      </c>
      <c r="AI42" s="18" t="s">
        <v>47</v>
      </c>
      <c r="AJ42" s="10" t="s">
        <v>48</v>
      </c>
      <c r="AK42" s="16" t="s">
        <v>45</v>
      </c>
      <c r="AL42" s="10" t="s">
        <v>49</v>
      </c>
      <c r="AM42" s="10" t="s">
        <v>48</v>
      </c>
      <c r="AN42" s="10" t="s">
        <v>50</v>
      </c>
    </row>
    <row r="43" ht="30.0" customHeight="1">
      <c r="A43" s="9" t="str">
        <f t="shared" si="1"/>
        <v>Inativo</v>
      </c>
      <c r="B43" s="9" t="str">
        <f t="shared" si="2"/>
        <v>Ativo</v>
      </c>
      <c r="C43" s="9" t="str">
        <f t="shared" si="3"/>
        <v>N/I</v>
      </c>
      <c r="D43" s="10" t="s">
        <v>34</v>
      </c>
      <c r="E43" s="11" t="s">
        <v>35</v>
      </c>
      <c r="F43" s="11" t="s">
        <v>98</v>
      </c>
      <c r="G43" s="12" t="s">
        <v>52</v>
      </c>
      <c r="H43" s="21" t="s">
        <v>115</v>
      </c>
      <c r="I43" s="12" t="s">
        <v>100</v>
      </c>
      <c r="J43" s="10" t="s">
        <v>101</v>
      </c>
      <c r="K43" s="10" t="s">
        <v>41</v>
      </c>
      <c r="L43" s="10" t="s">
        <v>4</v>
      </c>
      <c r="M43" s="14">
        <v>44989.0</v>
      </c>
      <c r="N43" s="11" t="s">
        <v>102</v>
      </c>
      <c r="O43" s="10" t="s">
        <v>103</v>
      </c>
      <c r="P43" s="10" t="s">
        <v>44</v>
      </c>
      <c r="Q43" s="2"/>
      <c r="R43" s="10">
        <v>12.0</v>
      </c>
      <c r="S43" s="14">
        <v>44989.0</v>
      </c>
      <c r="T43" s="14">
        <v>45355.0</v>
      </c>
      <c r="U43" s="10">
        <f t="shared" si="4"/>
        <v>-736</v>
      </c>
      <c r="V43" s="2"/>
      <c r="W43" s="10">
        <v>42.0</v>
      </c>
      <c r="X43" s="14">
        <v>45356.0</v>
      </c>
      <c r="Y43" s="14">
        <v>46635.0</v>
      </c>
      <c r="Z43" s="10">
        <f t="shared" si="5"/>
        <v>544</v>
      </c>
      <c r="AA43" s="1"/>
      <c r="AB43" s="15"/>
      <c r="AC43" s="15"/>
      <c r="AD43" s="15"/>
      <c r="AE43" s="15"/>
      <c r="AF43" s="2"/>
      <c r="AG43" s="16" t="s">
        <v>45</v>
      </c>
      <c r="AH43" s="17" t="s">
        <v>46</v>
      </c>
      <c r="AI43" s="18" t="s">
        <v>47</v>
      </c>
      <c r="AJ43" s="10" t="s">
        <v>48</v>
      </c>
      <c r="AK43" s="16" t="s">
        <v>45</v>
      </c>
      <c r="AL43" s="10" t="s">
        <v>49</v>
      </c>
      <c r="AM43" s="10" t="s">
        <v>48</v>
      </c>
      <c r="AN43" s="10" t="s">
        <v>50</v>
      </c>
    </row>
    <row r="44" ht="30.0" customHeight="1">
      <c r="A44" s="9" t="str">
        <f t="shared" si="1"/>
        <v>Inativo</v>
      </c>
      <c r="B44" s="9" t="str">
        <f t="shared" si="2"/>
        <v>Ativo</v>
      </c>
      <c r="C44" s="9" t="str">
        <f t="shared" si="3"/>
        <v>N/I</v>
      </c>
      <c r="D44" s="10" t="s">
        <v>34</v>
      </c>
      <c r="E44" s="11" t="s">
        <v>35</v>
      </c>
      <c r="F44" s="11" t="s">
        <v>98</v>
      </c>
      <c r="G44" s="12" t="s">
        <v>116</v>
      </c>
      <c r="H44" s="21" t="s">
        <v>117</v>
      </c>
      <c r="I44" s="12" t="s">
        <v>100</v>
      </c>
      <c r="J44" s="10" t="s">
        <v>101</v>
      </c>
      <c r="K44" s="10" t="s">
        <v>41</v>
      </c>
      <c r="L44" s="10" t="s">
        <v>4</v>
      </c>
      <c r="M44" s="14">
        <v>44992.0</v>
      </c>
      <c r="N44" s="11" t="s">
        <v>102</v>
      </c>
      <c r="O44" s="10" t="s">
        <v>103</v>
      </c>
      <c r="P44" s="10" t="s">
        <v>44</v>
      </c>
      <c r="Q44" s="2"/>
      <c r="R44" s="10">
        <v>12.0</v>
      </c>
      <c r="S44" s="14">
        <v>44992.0</v>
      </c>
      <c r="T44" s="14">
        <v>45358.0</v>
      </c>
      <c r="U44" s="10">
        <f t="shared" si="4"/>
        <v>-733</v>
      </c>
      <c r="V44" s="2"/>
      <c r="W44" s="10">
        <v>42.0</v>
      </c>
      <c r="X44" s="14">
        <v>45359.0</v>
      </c>
      <c r="Y44" s="14">
        <v>46638.0</v>
      </c>
      <c r="Z44" s="10">
        <f t="shared" si="5"/>
        <v>547</v>
      </c>
      <c r="AA44" s="1"/>
      <c r="AB44" s="15"/>
      <c r="AC44" s="15"/>
      <c r="AD44" s="15"/>
      <c r="AE44" s="15"/>
      <c r="AF44" s="2"/>
      <c r="AG44" s="16" t="s">
        <v>45</v>
      </c>
      <c r="AH44" s="17" t="s">
        <v>46</v>
      </c>
      <c r="AI44" s="18" t="s">
        <v>47</v>
      </c>
      <c r="AJ44" s="10" t="s">
        <v>48</v>
      </c>
      <c r="AK44" s="16" t="s">
        <v>45</v>
      </c>
      <c r="AL44" s="10" t="s">
        <v>49</v>
      </c>
      <c r="AM44" s="10" t="s">
        <v>48</v>
      </c>
      <c r="AN44" s="10" t="s">
        <v>50</v>
      </c>
    </row>
    <row r="45" ht="30.0" customHeight="1">
      <c r="A45" s="9" t="str">
        <f t="shared" si="1"/>
        <v>Inativo</v>
      </c>
      <c r="B45" s="9" t="str">
        <f t="shared" si="2"/>
        <v>Ativo</v>
      </c>
      <c r="C45" s="9" t="str">
        <f t="shared" si="3"/>
        <v>N/I</v>
      </c>
      <c r="D45" s="10" t="s">
        <v>34</v>
      </c>
      <c r="E45" s="11" t="s">
        <v>35</v>
      </c>
      <c r="F45" s="11" t="s">
        <v>98</v>
      </c>
      <c r="G45" s="12" t="s">
        <v>52</v>
      </c>
      <c r="H45" s="21" t="s">
        <v>118</v>
      </c>
      <c r="I45" s="12" t="s">
        <v>100</v>
      </c>
      <c r="J45" s="10" t="s">
        <v>101</v>
      </c>
      <c r="K45" s="10" t="s">
        <v>41</v>
      </c>
      <c r="L45" s="10" t="s">
        <v>4</v>
      </c>
      <c r="M45" s="14">
        <v>44991.0</v>
      </c>
      <c r="N45" s="11" t="s">
        <v>102</v>
      </c>
      <c r="O45" s="10" t="s">
        <v>103</v>
      </c>
      <c r="P45" s="10" t="s">
        <v>44</v>
      </c>
      <c r="Q45" s="2"/>
      <c r="R45" s="10">
        <v>12.0</v>
      </c>
      <c r="S45" s="14">
        <v>44991.0</v>
      </c>
      <c r="T45" s="14">
        <v>45357.0</v>
      </c>
      <c r="U45" s="10">
        <f t="shared" si="4"/>
        <v>-734</v>
      </c>
      <c r="V45" s="2"/>
      <c r="W45" s="10">
        <v>42.0</v>
      </c>
      <c r="X45" s="14">
        <v>45358.0</v>
      </c>
      <c r="Y45" s="14">
        <v>46637.0</v>
      </c>
      <c r="Z45" s="10">
        <f t="shared" si="5"/>
        <v>546</v>
      </c>
      <c r="AA45" s="1"/>
      <c r="AB45" s="15"/>
      <c r="AC45" s="15"/>
      <c r="AD45" s="15"/>
      <c r="AE45" s="15"/>
      <c r="AF45" s="2"/>
      <c r="AG45" s="16" t="s">
        <v>45</v>
      </c>
      <c r="AH45" s="17" t="s">
        <v>46</v>
      </c>
      <c r="AI45" s="18" t="s">
        <v>47</v>
      </c>
      <c r="AJ45" s="10" t="s">
        <v>48</v>
      </c>
      <c r="AK45" s="16" t="s">
        <v>45</v>
      </c>
      <c r="AL45" s="10" t="s">
        <v>49</v>
      </c>
      <c r="AM45" s="10" t="s">
        <v>48</v>
      </c>
      <c r="AN45" s="10" t="s">
        <v>50</v>
      </c>
    </row>
    <row r="46" ht="30.0" customHeight="1">
      <c r="A46" s="9" t="str">
        <f t="shared" si="1"/>
        <v>Inativo</v>
      </c>
      <c r="B46" s="9" t="str">
        <f t="shared" si="2"/>
        <v>Ativo</v>
      </c>
      <c r="C46" s="9" t="str">
        <f t="shared" si="3"/>
        <v>N/I</v>
      </c>
      <c r="D46" s="10" t="s">
        <v>34</v>
      </c>
      <c r="E46" s="11" t="s">
        <v>35</v>
      </c>
      <c r="F46" s="11" t="s">
        <v>98</v>
      </c>
      <c r="G46" s="12" t="s">
        <v>37</v>
      </c>
      <c r="H46" s="21" t="s">
        <v>119</v>
      </c>
      <c r="I46" s="12" t="s">
        <v>100</v>
      </c>
      <c r="J46" s="10" t="s">
        <v>101</v>
      </c>
      <c r="K46" s="10" t="s">
        <v>41</v>
      </c>
      <c r="L46" s="10" t="s">
        <v>4</v>
      </c>
      <c r="M46" s="14">
        <v>44994.0</v>
      </c>
      <c r="N46" s="11" t="s">
        <v>102</v>
      </c>
      <c r="O46" s="10" t="s">
        <v>103</v>
      </c>
      <c r="P46" s="10" t="s">
        <v>44</v>
      </c>
      <c r="Q46" s="2"/>
      <c r="R46" s="10">
        <v>12.0</v>
      </c>
      <c r="S46" s="14">
        <v>44994.0</v>
      </c>
      <c r="T46" s="14">
        <v>45360.0</v>
      </c>
      <c r="U46" s="10">
        <f t="shared" si="4"/>
        <v>-731</v>
      </c>
      <c r="V46" s="2"/>
      <c r="W46" s="10">
        <v>42.0</v>
      </c>
      <c r="X46" s="14">
        <v>45361.0</v>
      </c>
      <c r="Y46" s="14">
        <v>46640.0</v>
      </c>
      <c r="Z46" s="10">
        <f t="shared" si="5"/>
        <v>549</v>
      </c>
      <c r="AA46" s="1"/>
      <c r="AB46" s="15"/>
      <c r="AC46" s="15"/>
      <c r="AD46" s="15"/>
      <c r="AE46" s="15"/>
      <c r="AF46" s="2"/>
      <c r="AG46" s="16" t="s">
        <v>45</v>
      </c>
      <c r="AH46" s="17" t="s">
        <v>46</v>
      </c>
      <c r="AI46" s="18" t="s">
        <v>47</v>
      </c>
      <c r="AJ46" s="10" t="s">
        <v>48</v>
      </c>
      <c r="AK46" s="16" t="s">
        <v>45</v>
      </c>
      <c r="AL46" s="10" t="s">
        <v>49</v>
      </c>
      <c r="AM46" s="10" t="s">
        <v>48</v>
      </c>
      <c r="AN46" s="10" t="s">
        <v>50</v>
      </c>
    </row>
    <row r="47" ht="30.0" customHeight="1">
      <c r="A47" s="9" t="str">
        <f t="shared" si="1"/>
        <v>Inativo</v>
      </c>
      <c r="B47" s="9" t="str">
        <f t="shared" si="2"/>
        <v>Ativo</v>
      </c>
      <c r="C47" s="9" t="str">
        <f t="shared" si="3"/>
        <v>N/I</v>
      </c>
      <c r="D47" s="10" t="s">
        <v>34</v>
      </c>
      <c r="E47" s="11" t="s">
        <v>35</v>
      </c>
      <c r="F47" s="11" t="s">
        <v>98</v>
      </c>
      <c r="G47" s="12" t="s">
        <v>52</v>
      </c>
      <c r="H47" s="21" t="s">
        <v>120</v>
      </c>
      <c r="I47" s="12" t="s">
        <v>100</v>
      </c>
      <c r="J47" s="10" t="s">
        <v>101</v>
      </c>
      <c r="K47" s="10" t="s">
        <v>41</v>
      </c>
      <c r="L47" s="10" t="s">
        <v>4</v>
      </c>
      <c r="M47" s="14">
        <v>45051.0</v>
      </c>
      <c r="N47" s="11" t="s">
        <v>102</v>
      </c>
      <c r="O47" s="10" t="s">
        <v>103</v>
      </c>
      <c r="P47" s="10" t="s">
        <v>44</v>
      </c>
      <c r="Q47" s="2"/>
      <c r="R47" s="10">
        <v>12.0</v>
      </c>
      <c r="S47" s="14">
        <v>45051.0</v>
      </c>
      <c r="T47" s="14">
        <v>45417.0</v>
      </c>
      <c r="U47" s="10">
        <f t="shared" si="4"/>
        <v>-674</v>
      </c>
      <c r="V47" s="2"/>
      <c r="W47" s="10">
        <v>42.0</v>
      </c>
      <c r="X47" s="14">
        <v>45418.0</v>
      </c>
      <c r="Y47" s="14">
        <v>46697.0</v>
      </c>
      <c r="Z47" s="10">
        <f t="shared" si="5"/>
        <v>606</v>
      </c>
      <c r="AA47" s="1"/>
      <c r="AB47" s="15"/>
      <c r="AC47" s="15"/>
      <c r="AD47" s="15"/>
      <c r="AE47" s="15"/>
      <c r="AF47" s="2"/>
      <c r="AG47" s="16" t="s">
        <v>45</v>
      </c>
      <c r="AH47" s="17" t="s">
        <v>46</v>
      </c>
      <c r="AI47" s="18" t="s">
        <v>47</v>
      </c>
      <c r="AJ47" s="10" t="s">
        <v>48</v>
      </c>
      <c r="AK47" s="16" t="s">
        <v>45</v>
      </c>
      <c r="AL47" s="10" t="s">
        <v>49</v>
      </c>
      <c r="AM47" s="10" t="s">
        <v>48</v>
      </c>
      <c r="AN47" s="10" t="s">
        <v>50</v>
      </c>
    </row>
    <row r="48" ht="30.0" customHeight="1">
      <c r="A48" s="9" t="str">
        <f t="shared" si="1"/>
        <v>Inativo</v>
      </c>
      <c r="B48" s="9" t="str">
        <f t="shared" si="2"/>
        <v>Ativo</v>
      </c>
      <c r="C48" s="9" t="str">
        <f t="shared" si="3"/>
        <v>N/I</v>
      </c>
      <c r="D48" s="10" t="s">
        <v>34</v>
      </c>
      <c r="E48" s="11" t="s">
        <v>35</v>
      </c>
      <c r="F48" s="11" t="s">
        <v>98</v>
      </c>
      <c r="G48" s="12" t="s">
        <v>52</v>
      </c>
      <c r="H48" s="21" t="s">
        <v>121</v>
      </c>
      <c r="I48" s="12" t="s">
        <v>100</v>
      </c>
      <c r="J48" s="10" t="s">
        <v>101</v>
      </c>
      <c r="K48" s="10" t="s">
        <v>41</v>
      </c>
      <c r="L48" s="10" t="s">
        <v>4</v>
      </c>
      <c r="M48" s="14">
        <v>45057.0</v>
      </c>
      <c r="N48" s="11" t="s">
        <v>102</v>
      </c>
      <c r="O48" s="10" t="s">
        <v>103</v>
      </c>
      <c r="P48" s="10" t="s">
        <v>44</v>
      </c>
      <c r="Q48" s="2"/>
      <c r="R48" s="10">
        <v>12.0</v>
      </c>
      <c r="S48" s="14">
        <v>45057.0</v>
      </c>
      <c r="T48" s="14">
        <v>45423.0</v>
      </c>
      <c r="U48" s="10">
        <f t="shared" si="4"/>
        <v>-668</v>
      </c>
      <c r="V48" s="2"/>
      <c r="W48" s="10">
        <v>42.0</v>
      </c>
      <c r="X48" s="14">
        <v>45424.0</v>
      </c>
      <c r="Y48" s="14">
        <v>46703.0</v>
      </c>
      <c r="Z48" s="10">
        <f t="shared" si="5"/>
        <v>612</v>
      </c>
      <c r="AA48" s="1"/>
      <c r="AB48" s="15"/>
      <c r="AC48" s="15"/>
      <c r="AD48" s="15"/>
      <c r="AE48" s="15"/>
      <c r="AF48" s="2"/>
      <c r="AG48" s="16" t="s">
        <v>45</v>
      </c>
      <c r="AH48" s="17" t="s">
        <v>46</v>
      </c>
      <c r="AI48" s="18" t="s">
        <v>47</v>
      </c>
      <c r="AJ48" s="10" t="s">
        <v>48</v>
      </c>
      <c r="AK48" s="16" t="s">
        <v>45</v>
      </c>
      <c r="AL48" s="10" t="s">
        <v>49</v>
      </c>
      <c r="AM48" s="10" t="s">
        <v>48</v>
      </c>
      <c r="AN48" s="10" t="s">
        <v>50</v>
      </c>
    </row>
    <row r="49" ht="30.0" customHeight="1">
      <c r="A49" s="9" t="str">
        <f t="shared" si="1"/>
        <v>Inativo</v>
      </c>
      <c r="B49" s="9" t="str">
        <f t="shared" si="2"/>
        <v>Ativo</v>
      </c>
      <c r="C49" s="9" t="str">
        <f t="shared" si="3"/>
        <v>N/I</v>
      </c>
      <c r="D49" s="10" t="s">
        <v>34</v>
      </c>
      <c r="E49" s="11" t="s">
        <v>35</v>
      </c>
      <c r="F49" s="11" t="s">
        <v>98</v>
      </c>
      <c r="G49" s="12" t="s">
        <v>58</v>
      </c>
      <c r="H49" s="21" t="s">
        <v>122</v>
      </c>
      <c r="I49" s="12" t="s">
        <v>100</v>
      </c>
      <c r="J49" s="10" t="s">
        <v>101</v>
      </c>
      <c r="K49" s="10" t="s">
        <v>41</v>
      </c>
      <c r="L49" s="10" t="s">
        <v>4</v>
      </c>
      <c r="M49" s="14">
        <v>45064.0</v>
      </c>
      <c r="N49" s="11" t="s">
        <v>102</v>
      </c>
      <c r="O49" s="10" t="s">
        <v>103</v>
      </c>
      <c r="P49" s="10" t="s">
        <v>44</v>
      </c>
      <c r="Q49" s="2"/>
      <c r="R49" s="10">
        <v>12.0</v>
      </c>
      <c r="S49" s="14">
        <v>45064.0</v>
      </c>
      <c r="T49" s="14">
        <v>45430.0</v>
      </c>
      <c r="U49" s="10">
        <f t="shared" si="4"/>
        <v>-661</v>
      </c>
      <c r="V49" s="2"/>
      <c r="W49" s="10">
        <v>42.0</v>
      </c>
      <c r="X49" s="14">
        <v>45431.0</v>
      </c>
      <c r="Y49" s="14">
        <v>46710.0</v>
      </c>
      <c r="Z49" s="10">
        <f t="shared" si="5"/>
        <v>619</v>
      </c>
      <c r="AA49" s="1"/>
      <c r="AB49" s="15"/>
      <c r="AC49" s="15"/>
      <c r="AD49" s="15"/>
      <c r="AE49" s="15"/>
      <c r="AF49" s="2"/>
      <c r="AG49" s="16" t="s">
        <v>45</v>
      </c>
      <c r="AH49" s="17" t="s">
        <v>46</v>
      </c>
      <c r="AI49" s="18" t="s">
        <v>47</v>
      </c>
      <c r="AJ49" s="10" t="s">
        <v>48</v>
      </c>
      <c r="AK49" s="16" t="s">
        <v>45</v>
      </c>
      <c r="AL49" s="10" t="s">
        <v>49</v>
      </c>
      <c r="AM49" s="10" t="s">
        <v>48</v>
      </c>
      <c r="AN49" s="10" t="s">
        <v>50</v>
      </c>
    </row>
    <row r="50" ht="30.0" customHeight="1">
      <c r="A50" s="9" t="str">
        <f t="shared" si="1"/>
        <v>Inativo</v>
      </c>
      <c r="B50" s="9" t="str">
        <f t="shared" si="2"/>
        <v>Ativo</v>
      </c>
      <c r="C50" s="9" t="str">
        <f t="shared" si="3"/>
        <v>N/I</v>
      </c>
      <c r="D50" s="10" t="s">
        <v>34</v>
      </c>
      <c r="E50" s="11" t="s">
        <v>35</v>
      </c>
      <c r="F50" s="11" t="s">
        <v>98</v>
      </c>
      <c r="G50" s="12" t="s">
        <v>37</v>
      </c>
      <c r="H50" s="21" t="s">
        <v>123</v>
      </c>
      <c r="I50" s="12" t="s">
        <v>100</v>
      </c>
      <c r="J50" s="10" t="s">
        <v>101</v>
      </c>
      <c r="K50" s="10" t="s">
        <v>41</v>
      </c>
      <c r="L50" s="10" t="s">
        <v>4</v>
      </c>
      <c r="M50" s="14">
        <v>45208.0</v>
      </c>
      <c r="N50" s="11" t="s">
        <v>102</v>
      </c>
      <c r="O50" s="10" t="s">
        <v>103</v>
      </c>
      <c r="P50" s="10" t="s">
        <v>44</v>
      </c>
      <c r="Q50" s="2"/>
      <c r="R50" s="10">
        <v>12.0</v>
      </c>
      <c r="S50" s="14">
        <v>45208.0</v>
      </c>
      <c r="T50" s="14">
        <v>45574.0</v>
      </c>
      <c r="U50" s="10">
        <f t="shared" si="4"/>
        <v>-517</v>
      </c>
      <c r="V50" s="2"/>
      <c r="W50" s="10">
        <v>42.0</v>
      </c>
      <c r="X50" s="14">
        <v>45575.0</v>
      </c>
      <c r="Y50" s="14">
        <v>46853.0</v>
      </c>
      <c r="Z50" s="10">
        <f t="shared" si="5"/>
        <v>762</v>
      </c>
      <c r="AA50" s="1"/>
      <c r="AB50" s="15"/>
      <c r="AC50" s="15"/>
      <c r="AD50" s="15"/>
      <c r="AE50" s="15"/>
      <c r="AF50" s="2"/>
      <c r="AG50" s="16" t="s">
        <v>45</v>
      </c>
      <c r="AH50" s="17" t="s">
        <v>46</v>
      </c>
      <c r="AI50" s="18" t="s">
        <v>47</v>
      </c>
      <c r="AJ50" s="10" t="s">
        <v>48</v>
      </c>
      <c r="AK50" s="16" t="s">
        <v>45</v>
      </c>
      <c r="AL50" s="10" t="s">
        <v>49</v>
      </c>
      <c r="AM50" s="10" t="s">
        <v>48</v>
      </c>
      <c r="AN50" s="10" t="s">
        <v>50</v>
      </c>
    </row>
    <row r="51" ht="30.0" customHeight="1">
      <c r="A51" s="9" t="str">
        <f t="shared" si="1"/>
        <v>Inativo</v>
      </c>
      <c r="B51" s="9" t="str">
        <f t="shared" si="2"/>
        <v>Ativo</v>
      </c>
      <c r="C51" s="9" t="str">
        <f t="shared" si="3"/>
        <v>N/I</v>
      </c>
      <c r="D51" s="10" t="s">
        <v>34</v>
      </c>
      <c r="E51" s="11" t="s">
        <v>35</v>
      </c>
      <c r="F51" s="11" t="s">
        <v>98</v>
      </c>
      <c r="G51" s="12" t="s">
        <v>83</v>
      </c>
      <c r="H51" s="20" t="s">
        <v>124</v>
      </c>
      <c r="I51" s="12" t="s">
        <v>100</v>
      </c>
      <c r="J51" s="10" t="s">
        <v>101</v>
      </c>
      <c r="K51" s="10" t="s">
        <v>41</v>
      </c>
      <c r="L51" s="10" t="s">
        <v>4</v>
      </c>
      <c r="M51" s="14">
        <v>45250.0</v>
      </c>
      <c r="N51" s="11" t="s">
        <v>102</v>
      </c>
      <c r="O51" s="10" t="s">
        <v>103</v>
      </c>
      <c r="P51" s="10" t="s">
        <v>44</v>
      </c>
      <c r="Q51" s="2"/>
      <c r="R51" s="10">
        <v>12.0</v>
      </c>
      <c r="S51" s="14">
        <v>45250.0</v>
      </c>
      <c r="T51" s="14">
        <v>45616.0</v>
      </c>
      <c r="U51" s="10">
        <f t="shared" si="4"/>
        <v>-475</v>
      </c>
      <c r="V51" s="2"/>
      <c r="W51" s="10">
        <v>42.0</v>
      </c>
      <c r="X51" s="14">
        <v>45250.0</v>
      </c>
      <c r="Y51" s="14">
        <v>46527.0</v>
      </c>
      <c r="Z51" s="10">
        <f t="shared" si="5"/>
        <v>436</v>
      </c>
      <c r="AA51" s="1"/>
      <c r="AB51" s="15"/>
      <c r="AC51" s="15"/>
      <c r="AD51" s="15"/>
      <c r="AE51" s="15"/>
      <c r="AF51" s="2"/>
      <c r="AG51" s="16" t="s">
        <v>45</v>
      </c>
      <c r="AH51" s="17" t="s">
        <v>46</v>
      </c>
      <c r="AI51" s="18" t="s">
        <v>47</v>
      </c>
      <c r="AJ51" s="10" t="s">
        <v>48</v>
      </c>
      <c r="AK51" s="16" t="s">
        <v>45</v>
      </c>
      <c r="AL51" s="10" t="s">
        <v>49</v>
      </c>
      <c r="AM51" s="10" t="s">
        <v>48</v>
      </c>
      <c r="AN51" s="10" t="s">
        <v>50</v>
      </c>
    </row>
    <row r="52" ht="30.0" customHeight="1">
      <c r="A52" s="9" t="str">
        <f t="shared" si="1"/>
        <v>Inativo</v>
      </c>
      <c r="B52" s="9" t="str">
        <f t="shared" si="2"/>
        <v>Ativo</v>
      </c>
      <c r="C52" s="9" t="str">
        <f t="shared" si="3"/>
        <v>N/I</v>
      </c>
      <c r="D52" s="10" t="s">
        <v>34</v>
      </c>
      <c r="E52" s="11" t="s">
        <v>35</v>
      </c>
      <c r="F52" s="11" t="s">
        <v>98</v>
      </c>
      <c r="G52" s="12" t="s">
        <v>84</v>
      </c>
      <c r="H52" s="20" t="s">
        <v>125</v>
      </c>
      <c r="I52" s="12" t="s">
        <v>100</v>
      </c>
      <c r="J52" s="10" t="s">
        <v>101</v>
      </c>
      <c r="K52" s="10" t="s">
        <v>41</v>
      </c>
      <c r="L52" s="10" t="s">
        <v>4</v>
      </c>
      <c r="M52" s="14">
        <v>45250.0</v>
      </c>
      <c r="N52" s="11" t="s">
        <v>102</v>
      </c>
      <c r="O52" s="10" t="s">
        <v>103</v>
      </c>
      <c r="P52" s="10" t="s">
        <v>44</v>
      </c>
      <c r="Q52" s="2"/>
      <c r="R52" s="10">
        <v>12.0</v>
      </c>
      <c r="S52" s="14">
        <v>45250.0</v>
      </c>
      <c r="T52" s="14">
        <v>45616.0</v>
      </c>
      <c r="U52" s="10">
        <f t="shared" si="4"/>
        <v>-475</v>
      </c>
      <c r="V52" s="2"/>
      <c r="W52" s="10">
        <v>42.0</v>
      </c>
      <c r="X52" s="14">
        <v>45250.0</v>
      </c>
      <c r="Y52" s="14">
        <v>46527.0</v>
      </c>
      <c r="Z52" s="10">
        <f t="shared" si="5"/>
        <v>436</v>
      </c>
      <c r="AA52" s="1"/>
      <c r="AB52" s="15"/>
      <c r="AC52" s="15"/>
      <c r="AD52" s="15"/>
      <c r="AE52" s="15"/>
      <c r="AF52" s="2"/>
      <c r="AG52" s="16" t="s">
        <v>45</v>
      </c>
      <c r="AH52" s="17" t="s">
        <v>46</v>
      </c>
      <c r="AI52" s="18" t="s">
        <v>47</v>
      </c>
      <c r="AJ52" s="10" t="s">
        <v>48</v>
      </c>
      <c r="AK52" s="16" t="s">
        <v>45</v>
      </c>
      <c r="AL52" s="10" t="s">
        <v>49</v>
      </c>
      <c r="AM52" s="10" t="s">
        <v>48</v>
      </c>
      <c r="AN52" s="10" t="s">
        <v>50</v>
      </c>
    </row>
    <row r="53" ht="30.0" customHeight="1">
      <c r="A53" s="9" t="str">
        <f t="shared" si="1"/>
        <v>Inativo</v>
      </c>
      <c r="B53" s="9" t="str">
        <f t="shared" si="2"/>
        <v>Ativo</v>
      </c>
      <c r="C53" s="9" t="str">
        <f t="shared" si="3"/>
        <v>N/I</v>
      </c>
      <c r="D53" s="10" t="s">
        <v>34</v>
      </c>
      <c r="E53" s="11" t="s">
        <v>35</v>
      </c>
      <c r="F53" s="11" t="s">
        <v>98</v>
      </c>
      <c r="G53" s="12" t="s">
        <v>84</v>
      </c>
      <c r="H53" s="20" t="s">
        <v>126</v>
      </c>
      <c r="I53" s="12" t="s">
        <v>100</v>
      </c>
      <c r="J53" s="10" t="s">
        <v>101</v>
      </c>
      <c r="K53" s="10" t="s">
        <v>41</v>
      </c>
      <c r="L53" s="10" t="s">
        <v>4</v>
      </c>
      <c r="M53" s="14">
        <v>45250.0</v>
      </c>
      <c r="N53" s="11" t="s">
        <v>102</v>
      </c>
      <c r="O53" s="10" t="s">
        <v>103</v>
      </c>
      <c r="P53" s="10" t="s">
        <v>44</v>
      </c>
      <c r="Q53" s="2"/>
      <c r="R53" s="10">
        <v>12.0</v>
      </c>
      <c r="S53" s="14">
        <v>45250.0</v>
      </c>
      <c r="T53" s="14">
        <v>45616.0</v>
      </c>
      <c r="U53" s="10">
        <f t="shared" si="4"/>
        <v>-475</v>
      </c>
      <c r="V53" s="2"/>
      <c r="W53" s="10">
        <v>42.0</v>
      </c>
      <c r="X53" s="14">
        <v>45250.0</v>
      </c>
      <c r="Y53" s="14">
        <v>46527.0</v>
      </c>
      <c r="Z53" s="10">
        <f t="shared" si="5"/>
        <v>436</v>
      </c>
      <c r="AA53" s="1"/>
      <c r="AB53" s="15"/>
      <c r="AC53" s="15"/>
      <c r="AD53" s="15"/>
      <c r="AE53" s="15"/>
      <c r="AF53" s="2"/>
      <c r="AG53" s="16" t="s">
        <v>45</v>
      </c>
      <c r="AH53" s="17" t="s">
        <v>46</v>
      </c>
      <c r="AI53" s="18" t="s">
        <v>47</v>
      </c>
      <c r="AJ53" s="10" t="s">
        <v>48</v>
      </c>
      <c r="AK53" s="16" t="s">
        <v>45</v>
      </c>
      <c r="AL53" s="10" t="s">
        <v>49</v>
      </c>
      <c r="AM53" s="10" t="s">
        <v>48</v>
      </c>
      <c r="AN53" s="10" t="s">
        <v>50</v>
      </c>
    </row>
    <row r="54" ht="30.0" customHeight="1">
      <c r="A54" s="9" t="str">
        <f t="shared" si="1"/>
        <v>Inativo</v>
      </c>
      <c r="B54" s="9" t="str">
        <f t="shared" si="2"/>
        <v>Ativo</v>
      </c>
      <c r="C54" s="9" t="str">
        <f t="shared" si="3"/>
        <v>N/I</v>
      </c>
      <c r="D54" s="10" t="s">
        <v>34</v>
      </c>
      <c r="E54" s="11" t="s">
        <v>35</v>
      </c>
      <c r="F54" s="11" t="s">
        <v>98</v>
      </c>
      <c r="G54" s="12" t="s">
        <v>84</v>
      </c>
      <c r="H54" s="20" t="s">
        <v>127</v>
      </c>
      <c r="I54" s="12" t="s">
        <v>100</v>
      </c>
      <c r="J54" s="10" t="s">
        <v>101</v>
      </c>
      <c r="K54" s="10" t="s">
        <v>41</v>
      </c>
      <c r="L54" s="10" t="s">
        <v>4</v>
      </c>
      <c r="M54" s="14">
        <v>45250.0</v>
      </c>
      <c r="N54" s="11" t="s">
        <v>102</v>
      </c>
      <c r="O54" s="10" t="s">
        <v>103</v>
      </c>
      <c r="P54" s="10" t="s">
        <v>44</v>
      </c>
      <c r="Q54" s="2"/>
      <c r="R54" s="10">
        <v>12.0</v>
      </c>
      <c r="S54" s="14">
        <v>45250.0</v>
      </c>
      <c r="T54" s="14">
        <v>45616.0</v>
      </c>
      <c r="U54" s="10">
        <f t="shared" si="4"/>
        <v>-475</v>
      </c>
      <c r="V54" s="2"/>
      <c r="W54" s="10">
        <v>42.0</v>
      </c>
      <c r="X54" s="14">
        <v>45250.0</v>
      </c>
      <c r="Y54" s="14">
        <v>46527.0</v>
      </c>
      <c r="Z54" s="10">
        <f t="shared" si="5"/>
        <v>436</v>
      </c>
      <c r="AA54" s="1"/>
      <c r="AB54" s="15"/>
      <c r="AC54" s="15"/>
      <c r="AD54" s="15"/>
      <c r="AE54" s="15"/>
      <c r="AF54" s="2"/>
      <c r="AG54" s="16" t="s">
        <v>45</v>
      </c>
      <c r="AH54" s="17" t="s">
        <v>46</v>
      </c>
      <c r="AI54" s="18" t="s">
        <v>47</v>
      </c>
      <c r="AJ54" s="10" t="s">
        <v>48</v>
      </c>
      <c r="AK54" s="16" t="s">
        <v>45</v>
      </c>
      <c r="AL54" s="10" t="s">
        <v>49</v>
      </c>
      <c r="AM54" s="10" t="s">
        <v>48</v>
      </c>
      <c r="AN54" s="10" t="s">
        <v>50</v>
      </c>
    </row>
    <row r="55" ht="30.0" customHeight="1">
      <c r="A55" s="9" t="str">
        <f t="shared" si="1"/>
        <v>Inativo</v>
      </c>
      <c r="B55" s="9" t="str">
        <f t="shared" si="2"/>
        <v>Ativo</v>
      </c>
      <c r="C55" s="9" t="str">
        <f t="shared" si="3"/>
        <v>N/I</v>
      </c>
      <c r="D55" s="10" t="s">
        <v>34</v>
      </c>
      <c r="E55" s="11" t="s">
        <v>35</v>
      </c>
      <c r="F55" s="11" t="s">
        <v>98</v>
      </c>
      <c r="G55" s="12" t="s">
        <v>37</v>
      </c>
      <c r="H55" s="21" t="s">
        <v>128</v>
      </c>
      <c r="I55" s="12" t="s">
        <v>100</v>
      </c>
      <c r="J55" s="10" t="s">
        <v>101</v>
      </c>
      <c r="K55" s="10" t="s">
        <v>41</v>
      </c>
      <c r="L55" s="10" t="s">
        <v>4</v>
      </c>
      <c r="M55" s="14">
        <v>45301.0</v>
      </c>
      <c r="N55" s="11" t="s">
        <v>102</v>
      </c>
      <c r="O55" s="10" t="s">
        <v>103</v>
      </c>
      <c r="P55" s="10" t="s">
        <v>44</v>
      </c>
      <c r="Q55" s="2"/>
      <c r="R55" s="10">
        <v>12.0</v>
      </c>
      <c r="S55" s="14">
        <v>45215.0</v>
      </c>
      <c r="T55" s="14">
        <v>45581.0</v>
      </c>
      <c r="U55" s="10">
        <f t="shared" si="4"/>
        <v>-510</v>
      </c>
      <c r="V55" s="2"/>
      <c r="W55" s="10">
        <v>42.0</v>
      </c>
      <c r="X55" s="14">
        <v>45582.0</v>
      </c>
      <c r="Y55" s="14">
        <v>46860.0</v>
      </c>
      <c r="Z55" s="10">
        <f t="shared" si="5"/>
        <v>769</v>
      </c>
      <c r="AA55" s="1"/>
      <c r="AB55" s="15"/>
      <c r="AC55" s="15"/>
      <c r="AD55" s="15"/>
      <c r="AE55" s="15"/>
      <c r="AF55" s="2"/>
      <c r="AG55" s="16" t="s">
        <v>45</v>
      </c>
      <c r="AH55" s="17" t="s">
        <v>46</v>
      </c>
      <c r="AI55" s="18" t="s">
        <v>47</v>
      </c>
      <c r="AJ55" s="10" t="s">
        <v>48</v>
      </c>
      <c r="AK55" s="16" t="s">
        <v>45</v>
      </c>
      <c r="AL55" s="10" t="s">
        <v>49</v>
      </c>
      <c r="AM55" s="10" t="s">
        <v>48</v>
      </c>
      <c r="AN55" s="10" t="s">
        <v>50</v>
      </c>
    </row>
    <row r="56" ht="30.0" customHeight="1">
      <c r="A56" s="9" t="str">
        <f t="shared" si="1"/>
        <v>Inativo</v>
      </c>
      <c r="B56" s="9" t="str">
        <f t="shared" si="2"/>
        <v>Ativo</v>
      </c>
      <c r="C56" s="9" t="str">
        <f t="shared" si="3"/>
        <v>N/I</v>
      </c>
      <c r="D56" s="10" t="s">
        <v>34</v>
      </c>
      <c r="E56" s="11" t="s">
        <v>35</v>
      </c>
      <c r="F56" s="11" t="s">
        <v>129</v>
      </c>
      <c r="G56" s="12" t="s">
        <v>79</v>
      </c>
      <c r="H56" s="21" t="s">
        <v>130</v>
      </c>
      <c r="I56" s="12" t="s">
        <v>131</v>
      </c>
      <c r="J56" s="10" t="s">
        <v>132</v>
      </c>
      <c r="K56" s="10" t="s">
        <v>41</v>
      </c>
      <c r="L56" s="10" t="s">
        <v>4</v>
      </c>
      <c r="M56" s="22">
        <v>44999.0</v>
      </c>
      <c r="N56" s="11" t="s">
        <v>133</v>
      </c>
      <c r="O56" s="10" t="s">
        <v>134</v>
      </c>
      <c r="P56" s="10" t="s">
        <v>44</v>
      </c>
      <c r="Q56" s="2"/>
      <c r="R56" s="10">
        <v>12.0</v>
      </c>
      <c r="S56" s="14">
        <v>44999.0</v>
      </c>
      <c r="T56" s="14">
        <v>45365.0</v>
      </c>
      <c r="U56" s="10">
        <f t="shared" si="4"/>
        <v>-726</v>
      </c>
      <c r="V56" s="2"/>
      <c r="W56" s="10">
        <v>42.0</v>
      </c>
      <c r="X56" s="14">
        <v>45366.0</v>
      </c>
      <c r="Y56" s="14">
        <v>46645.0</v>
      </c>
      <c r="Z56" s="10">
        <f t="shared" si="5"/>
        <v>554</v>
      </c>
      <c r="AA56" s="1"/>
      <c r="AB56" s="15"/>
      <c r="AC56" s="15"/>
      <c r="AD56" s="15"/>
      <c r="AE56" s="15"/>
      <c r="AF56" s="2"/>
      <c r="AG56" s="16" t="s">
        <v>45</v>
      </c>
      <c r="AH56" s="17" t="s">
        <v>46</v>
      </c>
      <c r="AI56" s="18" t="s">
        <v>47</v>
      </c>
      <c r="AJ56" s="10" t="s">
        <v>48</v>
      </c>
      <c r="AK56" s="16" t="s">
        <v>45</v>
      </c>
      <c r="AL56" s="10" t="s">
        <v>49</v>
      </c>
      <c r="AM56" s="10" t="s">
        <v>48</v>
      </c>
      <c r="AN56" s="10" t="s">
        <v>50</v>
      </c>
    </row>
    <row r="57" ht="30.0" customHeight="1">
      <c r="A57" s="9" t="str">
        <f t="shared" si="1"/>
        <v>Inativo</v>
      </c>
      <c r="B57" s="9" t="str">
        <f t="shared" si="2"/>
        <v>Ativo</v>
      </c>
      <c r="C57" s="9" t="str">
        <f t="shared" si="3"/>
        <v>N/I</v>
      </c>
      <c r="D57" s="10" t="s">
        <v>34</v>
      </c>
      <c r="E57" s="11" t="s">
        <v>35</v>
      </c>
      <c r="F57" s="11" t="s">
        <v>129</v>
      </c>
      <c r="G57" s="12" t="s">
        <v>37</v>
      </c>
      <c r="H57" s="21" t="s">
        <v>135</v>
      </c>
      <c r="I57" s="12" t="s">
        <v>131</v>
      </c>
      <c r="J57" s="10" t="s">
        <v>132</v>
      </c>
      <c r="K57" s="10" t="s">
        <v>41</v>
      </c>
      <c r="L57" s="10" t="s">
        <v>4</v>
      </c>
      <c r="M57" s="22">
        <v>45001.0</v>
      </c>
      <c r="N57" s="11" t="s">
        <v>133</v>
      </c>
      <c r="O57" s="10" t="s">
        <v>134</v>
      </c>
      <c r="P57" s="10" t="s">
        <v>44</v>
      </c>
      <c r="Q57" s="2"/>
      <c r="R57" s="10">
        <v>12.0</v>
      </c>
      <c r="S57" s="14">
        <v>45001.0</v>
      </c>
      <c r="T57" s="14">
        <v>45367.0</v>
      </c>
      <c r="U57" s="10">
        <f t="shared" si="4"/>
        <v>-724</v>
      </c>
      <c r="V57" s="2"/>
      <c r="W57" s="10">
        <v>42.0</v>
      </c>
      <c r="X57" s="14">
        <v>45368.0</v>
      </c>
      <c r="Y57" s="14">
        <v>46647.0</v>
      </c>
      <c r="Z57" s="10">
        <f t="shared" si="5"/>
        <v>556</v>
      </c>
      <c r="AA57" s="1"/>
      <c r="AB57" s="15"/>
      <c r="AC57" s="15"/>
      <c r="AD57" s="15"/>
      <c r="AE57" s="15"/>
      <c r="AF57" s="2"/>
      <c r="AG57" s="16" t="s">
        <v>45</v>
      </c>
      <c r="AH57" s="17" t="s">
        <v>46</v>
      </c>
      <c r="AI57" s="18" t="s">
        <v>47</v>
      </c>
      <c r="AJ57" s="10" t="s">
        <v>48</v>
      </c>
      <c r="AK57" s="16" t="s">
        <v>45</v>
      </c>
      <c r="AL57" s="10" t="s">
        <v>49</v>
      </c>
      <c r="AM57" s="10" t="s">
        <v>48</v>
      </c>
      <c r="AN57" s="10" t="s">
        <v>50</v>
      </c>
    </row>
    <row r="58" ht="30.0" customHeight="1">
      <c r="A58" s="9" t="str">
        <f t="shared" si="1"/>
        <v>Inativo</v>
      </c>
      <c r="B58" s="9" t="str">
        <f t="shared" si="2"/>
        <v>Ativo</v>
      </c>
      <c r="C58" s="9" t="str">
        <f t="shared" si="3"/>
        <v>N/I</v>
      </c>
      <c r="D58" s="10" t="s">
        <v>34</v>
      </c>
      <c r="E58" s="11" t="s">
        <v>35</v>
      </c>
      <c r="F58" s="11" t="s">
        <v>129</v>
      </c>
      <c r="G58" s="12" t="s">
        <v>37</v>
      </c>
      <c r="H58" s="21" t="s">
        <v>136</v>
      </c>
      <c r="I58" s="12" t="s">
        <v>131</v>
      </c>
      <c r="J58" s="10" t="s">
        <v>132</v>
      </c>
      <c r="K58" s="10" t="s">
        <v>41</v>
      </c>
      <c r="L58" s="10" t="s">
        <v>4</v>
      </c>
      <c r="M58" s="22">
        <v>45001.0</v>
      </c>
      <c r="N58" s="11" t="s">
        <v>133</v>
      </c>
      <c r="O58" s="10" t="s">
        <v>134</v>
      </c>
      <c r="P58" s="10" t="s">
        <v>44</v>
      </c>
      <c r="Q58" s="2"/>
      <c r="R58" s="10">
        <v>12.0</v>
      </c>
      <c r="S58" s="14">
        <v>45001.0</v>
      </c>
      <c r="T58" s="14">
        <v>45367.0</v>
      </c>
      <c r="U58" s="10">
        <f t="shared" si="4"/>
        <v>-724</v>
      </c>
      <c r="V58" s="2"/>
      <c r="W58" s="10">
        <v>42.0</v>
      </c>
      <c r="X58" s="14">
        <v>45368.0</v>
      </c>
      <c r="Y58" s="14">
        <v>46647.0</v>
      </c>
      <c r="Z58" s="10">
        <f t="shared" si="5"/>
        <v>556</v>
      </c>
      <c r="AA58" s="1"/>
      <c r="AB58" s="15"/>
      <c r="AC58" s="15"/>
      <c r="AD58" s="15"/>
      <c r="AE58" s="15"/>
      <c r="AF58" s="2"/>
      <c r="AG58" s="16" t="s">
        <v>45</v>
      </c>
      <c r="AH58" s="17" t="s">
        <v>46</v>
      </c>
      <c r="AI58" s="18" t="s">
        <v>47</v>
      </c>
      <c r="AJ58" s="10" t="s">
        <v>48</v>
      </c>
      <c r="AK58" s="16" t="s">
        <v>45</v>
      </c>
      <c r="AL58" s="10" t="s">
        <v>49</v>
      </c>
      <c r="AM58" s="10" t="s">
        <v>48</v>
      </c>
      <c r="AN58" s="10" t="s">
        <v>50</v>
      </c>
    </row>
    <row r="59" ht="30.0" customHeight="1">
      <c r="A59" s="9" t="str">
        <f t="shared" si="1"/>
        <v>Inativo</v>
      </c>
      <c r="B59" s="9" t="str">
        <f t="shared" si="2"/>
        <v>Ativo</v>
      </c>
      <c r="C59" s="9" t="str">
        <f t="shared" si="3"/>
        <v>N/I</v>
      </c>
      <c r="D59" s="10" t="s">
        <v>34</v>
      </c>
      <c r="E59" s="11" t="s">
        <v>35</v>
      </c>
      <c r="F59" s="11" t="s">
        <v>129</v>
      </c>
      <c r="G59" s="12" t="s">
        <v>37</v>
      </c>
      <c r="H59" s="21" t="s">
        <v>137</v>
      </c>
      <c r="I59" s="12" t="s">
        <v>131</v>
      </c>
      <c r="J59" s="10" t="s">
        <v>132</v>
      </c>
      <c r="K59" s="10" t="s">
        <v>41</v>
      </c>
      <c r="L59" s="10" t="s">
        <v>4</v>
      </c>
      <c r="M59" s="22">
        <v>45002.0</v>
      </c>
      <c r="N59" s="11" t="s">
        <v>133</v>
      </c>
      <c r="O59" s="10" t="s">
        <v>134</v>
      </c>
      <c r="P59" s="10" t="s">
        <v>44</v>
      </c>
      <c r="Q59" s="2"/>
      <c r="R59" s="10">
        <v>12.0</v>
      </c>
      <c r="S59" s="14">
        <v>45002.0</v>
      </c>
      <c r="T59" s="14">
        <v>45368.0</v>
      </c>
      <c r="U59" s="10">
        <f t="shared" si="4"/>
        <v>-723</v>
      </c>
      <c r="V59" s="2"/>
      <c r="W59" s="10">
        <v>42.0</v>
      </c>
      <c r="X59" s="14">
        <v>45369.0</v>
      </c>
      <c r="Y59" s="14">
        <v>46648.0</v>
      </c>
      <c r="Z59" s="10">
        <f t="shared" si="5"/>
        <v>557</v>
      </c>
      <c r="AA59" s="1"/>
      <c r="AB59" s="15"/>
      <c r="AC59" s="15"/>
      <c r="AD59" s="15"/>
      <c r="AE59" s="15"/>
      <c r="AF59" s="2"/>
      <c r="AG59" s="16" t="s">
        <v>45</v>
      </c>
      <c r="AH59" s="17" t="s">
        <v>46</v>
      </c>
      <c r="AI59" s="18" t="s">
        <v>47</v>
      </c>
      <c r="AJ59" s="10" t="s">
        <v>48</v>
      </c>
      <c r="AK59" s="16" t="s">
        <v>45</v>
      </c>
      <c r="AL59" s="10" t="s">
        <v>49</v>
      </c>
      <c r="AM59" s="10" t="s">
        <v>48</v>
      </c>
      <c r="AN59" s="10" t="s">
        <v>50</v>
      </c>
    </row>
    <row r="60" ht="30.0" customHeight="1">
      <c r="A60" s="9" t="str">
        <f t="shared" si="1"/>
        <v>Inativo</v>
      </c>
      <c r="B60" s="9" t="str">
        <f t="shared" si="2"/>
        <v>Ativo</v>
      </c>
      <c r="C60" s="9" t="str">
        <f t="shared" si="3"/>
        <v>N/I</v>
      </c>
      <c r="D60" s="10" t="s">
        <v>34</v>
      </c>
      <c r="E60" s="11" t="s">
        <v>35</v>
      </c>
      <c r="F60" s="11" t="s">
        <v>129</v>
      </c>
      <c r="G60" s="12" t="s">
        <v>58</v>
      </c>
      <c r="H60" s="21" t="s">
        <v>138</v>
      </c>
      <c r="I60" s="12" t="s">
        <v>131</v>
      </c>
      <c r="J60" s="10" t="s">
        <v>132</v>
      </c>
      <c r="K60" s="10" t="s">
        <v>41</v>
      </c>
      <c r="L60" s="10" t="s">
        <v>4</v>
      </c>
      <c r="M60" s="22">
        <v>45002.0</v>
      </c>
      <c r="N60" s="11" t="s">
        <v>133</v>
      </c>
      <c r="O60" s="10" t="s">
        <v>134</v>
      </c>
      <c r="P60" s="10" t="s">
        <v>44</v>
      </c>
      <c r="Q60" s="2"/>
      <c r="R60" s="10">
        <v>12.0</v>
      </c>
      <c r="S60" s="14">
        <v>45002.0</v>
      </c>
      <c r="T60" s="14">
        <v>45368.0</v>
      </c>
      <c r="U60" s="10">
        <f t="shared" si="4"/>
        <v>-723</v>
      </c>
      <c r="V60" s="2"/>
      <c r="W60" s="10">
        <v>42.0</v>
      </c>
      <c r="X60" s="14">
        <v>45369.0</v>
      </c>
      <c r="Y60" s="14">
        <v>46648.0</v>
      </c>
      <c r="Z60" s="10">
        <f t="shared" si="5"/>
        <v>557</v>
      </c>
      <c r="AA60" s="1"/>
      <c r="AB60" s="15"/>
      <c r="AC60" s="15"/>
      <c r="AD60" s="15"/>
      <c r="AE60" s="15"/>
      <c r="AF60" s="2"/>
      <c r="AG60" s="16" t="s">
        <v>45</v>
      </c>
      <c r="AH60" s="17" t="s">
        <v>46</v>
      </c>
      <c r="AI60" s="18" t="s">
        <v>47</v>
      </c>
      <c r="AJ60" s="10" t="s">
        <v>48</v>
      </c>
      <c r="AK60" s="16" t="s">
        <v>45</v>
      </c>
      <c r="AL60" s="10" t="s">
        <v>49</v>
      </c>
      <c r="AM60" s="10" t="s">
        <v>48</v>
      </c>
      <c r="AN60" s="10" t="s">
        <v>50</v>
      </c>
    </row>
    <row r="61" ht="30.0" customHeight="1">
      <c r="A61" s="9" t="str">
        <f t="shared" si="1"/>
        <v>Inativo</v>
      </c>
      <c r="B61" s="9" t="str">
        <f t="shared" si="2"/>
        <v>Ativo</v>
      </c>
      <c r="C61" s="9" t="str">
        <f t="shared" si="3"/>
        <v>N/I</v>
      </c>
      <c r="D61" s="10" t="s">
        <v>34</v>
      </c>
      <c r="E61" s="11" t="s">
        <v>35</v>
      </c>
      <c r="F61" s="11" t="s">
        <v>129</v>
      </c>
      <c r="G61" s="12" t="s">
        <v>58</v>
      </c>
      <c r="H61" s="21" t="s">
        <v>139</v>
      </c>
      <c r="I61" s="12" t="s">
        <v>131</v>
      </c>
      <c r="J61" s="10" t="s">
        <v>132</v>
      </c>
      <c r="K61" s="10" t="s">
        <v>41</v>
      </c>
      <c r="L61" s="10" t="s">
        <v>4</v>
      </c>
      <c r="M61" s="22">
        <v>45002.0</v>
      </c>
      <c r="N61" s="11" t="s">
        <v>133</v>
      </c>
      <c r="O61" s="10" t="s">
        <v>134</v>
      </c>
      <c r="P61" s="10" t="s">
        <v>44</v>
      </c>
      <c r="Q61" s="2"/>
      <c r="R61" s="10">
        <v>12.0</v>
      </c>
      <c r="S61" s="14">
        <v>45002.0</v>
      </c>
      <c r="T61" s="14">
        <v>45368.0</v>
      </c>
      <c r="U61" s="10">
        <f t="shared" si="4"/>
        <v>-723</v>
      </c>
      <c r="V61" s="2"/>
      <c r="W61" s="10">
        <v>42.0</v>
      </c>
      <c r="X61" s="14">
        <v>45369.0</v>
      </c>
      <c r="Y61" s="14">
        <v>46648.0</v>
      </c>
      <c r="Z61" s="10">
        <f t="shared" si="5"/>
        <v>557</v>
      </c>
      <c r="AA61" s="1"/>
      <c r="AB61" s="15"/>
      <c r="AC61" s="15"/>
      <c r="AD61" s="15"/>
      <c r="AE61" s="15"/>
      <c r="AF61" s="2"/>
      <c r="AG61" s="16" t="s">
        <v>45</v>
      </c>
      <c r="AH61" s="17" t="s">
        <v>46</v>
      </c>
      <c r="AI61" s="18" t="s">
        <v>47</v>
      </c>
      <c r="AJ61" s="10" t="s">
        <v>48</v>
      </c>
      <c r="AK61" s="16" t="s">
        <v>45</v>
      </c>
      <c r="AL61" s="10" t="s">
        <v>49</v>
      </c>
      <c r="AM61" s="10" t="s">
        <v>48</v>
      </c>
      <c r="AN61" s="10" t="s">
        <v>50</v>
      </c>
    </row>
    <row r="62" ht="30.0" customHeight="1">
      <c r="A62" s="9" t="str">
        <f t="shared" si="1"/>
        <v>Inativo</v>
      </c>
      <c r="B62" s="9" t="str">
        <f t="shared" si="2"/>
        <v>Ativo</v>
      </c>
      <c r="C62" s="9" t="str">
        <f t="shared" si="3"/>
        <v>N/I</v>
      </c>
      <c r="D62" s="10" t="s">
        <v>34</v>
      </c>
      <c r="E62" s="11" t="s">
        <v>35</v>
      </c>
      <c r="F62" s="11" t="s">
        <v>129</v>
      </c>
      <c r="G62" s="12" t="s">
        <v>52</v>
      </c>
      <c r="H62" s="21" t="s">
        <v>140</v>
      </c>
      <c r="I62" s="12" t="s">
        <v>131</v>
      </c>
      <c r="J62" s="10" t="s">
        <v>132</v>
      </c>
      <c r="K62" s="10" t="s">
        <v>41</v>
      </c>
      <c r="L62" s="10" t="s">
        <v>4</v>
      </c>
      <c r="M62" s="22">
        <v>45005.0</v>
      </c>
      <c r="N62" s="11" t="s">
        <v>133</v>
      </c>
      <c r="O62" s="10" t="s">
        <v>134</v>
      </c>
      <c r="P62" s="10" t="s">
        <v>44</v>
      </c>
      <c r="Q62" s="2"/>
      <c r="R62" s="10">
        <v>12.0</v>
      </c>
      <c r="S62" s="14">
        <v>45005.0</v>
      </c>
      <c r="T62" s="14">
        <v>45371.0</v>
      </c>
      <c r="U62" s="10">
        <f t="shared" si="4"/>
        <v>-720</v>
      </c>
      <c r="V62" s="2"/>
      <c r="W62" s="10">
        <v>42.0</v>
      </c>
      <c r="X62" s="14">
        <v>45372.0</v>
      </c>
      <c r="Y62" s="14">
        <v>46651.0</v>
      </c>
      <c r="Z62" s="10">
        <f t="shared" si="5"/>
        <v>560</v>
      </c>
      <c r="AA62" s="1"/>
      <c r="AB62" s="15"/>
      <c r="AC62" s="15"/>
      <c r="AD62" s="15"/>
      <c r="AE62" s="15"/>
      <c r="AF62" s="2"/>
      <c r="AG62" s="16" t="s">
        <v>45</v>
      </c>
      <c r="AH62" s="17" t="s">
        <v>46</v>
      </c>
      <c r="AI62" s="18" t="s">
        <v>47</v>
      </c>
      <c r="AJ62" s="10" t="s">
        <v>48</v>
      </c>
      <c r="AK62" s="16" t="s">
        <v>45</v>
      </c>
      <c r="AL62" s="10" t="s">
        <v>49</v>
      </c>
      <c r="AM62" s="10" t="s">
        <v>48</v>
      </c>
      <c r="AN62" s="10" t="s">
        <v>50</v>
      </c>
    </row>
    <row r="63" ht="30.0" customHeight="1">
      <c r="A63" s="9" t="str">
        <f t="shared" si="1"/>
        <v>Inativo</v>
      </c>
      <c r="B63" s="9" t="str">
        <f t="shared" si="2"/>
        <v>Ativo</v>
      </c>
      <c r="C63" s="9" t="str">
        <f t="shared" si="3"/>
        <v>N/I</v>
      </c>
      <c r="D63" s="10" t="s">
        <v>34</v>
      </c>
      <c r="E63" s="11" t="s">
        <v>35</v>
      </c>
      <c r="F63" s="11" t="s">
        <v>129</v>
      </c>
      <c r="G63" s="12" t="s">
        <v>68</v>
      </c>
      <c r="H63" s="21" t="s">
        <v>141</v>
      </c>
      <c r="I63" s="12" t="s">
        <v>131</v>
      </c>
      <c r="J63" s="10" t="s">
        <v>132</v>
      </c>
      <c r="K63" s="10" t="s">
        <v>41</v>
      </c>
      <c r="L63" s="10" t="s">
        <v>4</v>
      </c>
      <c r="M63" s="22">
        <v>45006.0</v>
      </c>
      <c r="N63" s="11" t="s">
        <v>133</v>
      </c>
      <c r="O63" s="10" t="s">
        <v>134</v>
      </c>
      <c r="P63" s="10" t="s">
        <v>44</v>
      </c>
      <c r="Q63" s="2"/>
      <c r="R63" s="10">
        <v>12.0</v>
      </c>
      <c r="S63" s="14">
        <v>45006.0</v>
      </c>
      <c r="T63" s="14">
        <v>45372.0</v>
      </c>
      <c r="U63" s="10">
        <f t="shared" si="4"/>
        <v>-719</v>
      </c>
      <c r="V63" s="2"/>
      <c r="W63" s="10">
        <v>42.0</v>
      </c>
      <c r="X63" s="14">
        <v>45373.0</v>
      </c>
      <c r="Y63" s="14">
        <v>46652.0</v>
      </c>
      <c r="Z63" s="10">
        <f t="shared" si="5"/>
        <v>561</v>
      </c>
      <c r="AA63" s="1"/>
      <c r="AB63" s="15"/>
      <c r="AC63" s="15"/>
      <c r="AD63" s="15"/>
      <c r="AE63" s="15"/>
      <c r="AF63" s="2"/>
      <c r="AG63" s="16" t="s">
        <v>45</v>
      </c>
      <c r="AH63" s="17" t="s">
        <v>46</v>
      </c>
      <c r="AI63" s="18" t="s">
        <v>47</v>
      </c>
      <c r="AJ63" s="10" t="s">
        <v>48</v>
      </c>
      <c r="AK63" s="16" t="s">
        <v>45</v>
      </c>
      <c r="AL63" s="10" t="s">
        <v>49</v>
      </c>
      <c r="AM63" s="10" t="s">
        <v>48</v>
      </c>
      <c r="AN63" s="10" t="s">
        <v>50</v>
      </c>
    </row>
    <row r="64" ht="30.0" customHeight="1">
      <c r="A64" s="9" t="str">
        <f t="shared" si="1"/>
        <v>Inativo</v>
      </c>
      <c r="B64" s="9" t="str">
        <f t="shared" si="2"/>
        <v>Ativo</v>
      </c>
      <c r="C64" s="9" t="str">
        <f t="shared" si="3"/>
        <v>N/I</v>
      </c>
      <c r="D64" s="10" t="s">
        <v>34</v>
      </c>
      <c r="E64" s="11" t="s">
        <v>35</v>
      </c>
      <c r="F64" s="11" t="s">
        <v>129</v>
      </c>
      <c r="G64" s="12" t="s">
        <v>68</v>
      </c>
      <c r="H64" s="21" t="s">
        <v>142</v>
      </c>
      <c r="I64" s="12" t="s">
        <v>131</v>
      </c>
      <c r="J64" s="10" t="s">
        <v>132</v>
      </c>
      <c r="K64" s="10" t="s">
        <v>41</v>
      </c>
      <c r="L64" s="10" t="s">
        <v>4</v>
      </c>
      <c r="M64" s="22">
        <v>45006.0</v>
      </c>
      <c r="N64" s="11" t="s">
        <v>133</v>
      </c>
      <c r="O64" s="10" t="s">
        <v>134</v>
      </c>
      <c r="P64" s="10" t="s">
        <v>44</v>
      </c>
      <c r="Q64" s="2"/>
      <c r="R64" s="10">
        <v>12.0</v>
      </c>
      <c r="S64" s="14">
        <v>45006.0</v>
      </c>
      <c r="T64" s="14">
        <v>45372.0</v>
      </c>
      <c r="U64" s="10">
        <f t="shared" si="4"/>
        <v>-719</v>
      </c>
      <c r="V64" s="2"/>
      <c r="W64" s="10">
        <v>42.0</v>
      </c>
      <c r="X64" s="14">
        <v>45373.0</v>
      </c>
      <c r="Y64" s="14">
        <v>46652.0</v>
      </c>
      <c r="Z64" s="10">
        <f t="shared" si="5"/>
        <v>561</v>
      </c>
      <c r="AA64" s="1"/>
      <c r="AB64" s="15"/>
      <c r="AC64" s="15"/>
      <c r="AD64" s="15"/>
      <c r="AE64" s="15"/>
      <c r="AF64" s="2"/>
      <c r="AG64" s="16" t="s">
        <v>45</v>
      </c>
      <c r="AH64" s="17" t="s">
        <v>46</v>
      </c>
      <c r="AI64" s="18" t="s">
        <v>47</v>
      </c>
      <c r="AJ64" s="10" t="s">
        <v>48</v>
      </c>
      <c r="AK64" s="16" t="s">
        <v>45</v>
      </c>
      <c r="AL64" s="10" t="s">
        <v>49</v>
      </c>
      <c r="AM64" s="10" t="s">
        <v>48</v>
      </c>
      <c r="AN64" s="10" t="s">
        <v>50</v>
      </c>
    </row>
    <row r="65" ht="30.0" customHeight="1">
      <c r="A65" s="9" t="str">
        <f t="shared" si="1"/>
        <v>Inativo</v>
      </c>
      <c r="B65" s="9" t="str">
        <f t="shared" si="2"/>
        <v>Ativo</v>
      </c>
      <c r="C65" s="9" t="str">
        <f t="shared" si="3"/>
        <v>N/I</v>
      </c>
      <c r="D65" s="10" t="s">
        <v>34</v>
      </c>
      <c r="E65" s="11" t="s">
        <v>35</v>
      </c>
      <c r="F65" s="11" t="s">
        <v>129</v>
      </c>
      <c r="G65" s="12" t="s">
        <v>52</v>
      </c>
      <c r="H65" s="21" t="s">
        <v>143</v>
      </c>
      <c r="I65" s="12" t="s">
        <v>131</v>
      </c>
      <c r="J65" s="10" t="s">
        <v>132</v>
      </c>
      <c r="K65" s="10" t="s">
        <v>41</v>
      </c>
      <c r="L65" s="10" t="s">
        <v>4</v>
      </c>
      <c r="M65" s="22">
        <v>45006.0</v>
      </c>
      <c r="N65" s="11" t="s">
        <v>133</v>
      </c>
      <c r="O65" s="10" t="s">
        <v>134</v>
      </c>
      <c r="P65" s="10" t="s">
        <v>44</v>
      </c>
      <c r="Q65" s="2"/>
      <c r="R65" s="10">
        <v>12.0</v>
      </c>
      <c r="S65" s="14">
        <v>45006.0</v>
      </c>
      <c r="T65" s="14">
        <v>45372.0</v>
      </c>
      <c r="U65" s="10">
        <f t="shared" si="4"/>
        <v>-719</v>
      </c>
      <c r="V65" s="2"/>
      <c r="W65" s="10">
        <v>42.0</v>
      </c>
      <c r="X65" s="14">
        <v>45373.0</v>
      </c>
      <c r="Y65" s="14">
        <v>46652.0</v>
      </c>
      <c r="Z65" s="10">
        <f t="shared" si="5"/>
        <v>561</v>
      </c>
      <c r="AA65" s="1"/>
      <c r="AB65" s="15"/>
      <c r="AC65" s="15"/>
      <c r="AD65" s="15"/>
      <c r="AE65" s="15"/>
      <c r="AF65" s="2"/>
      <c r="AG65" s="16" t="s">
        <v>45</v>
      </c>
      <c r="AH65" s="17" t="s">
        <v>46</v>
      </c>
      <c r="AI65" s="18" t="s">
        <v>47</v>
      </c>
      <c r="AJ65" s="10" t="s">
        <v>48</v>
      </c>
      <c r="AK65" s="16" t="s">
        <v>45</v>
      </c>
      <c r="AL65" s="10" t="s">
        <v>49</v>
      </c>
      <c r="AM65" s="10" t="s">
        <v>48</v>
      </c>
      <c r="AN65" s="10" t="s">
        <v>50</v>
      </c>
    </row>
    <row r="66" ht="30.0" customHeight="1">
      <c r="A66" s="9" t="str">
        <f t="shared" si="1"/>
        <v>Inativo</v>
      </c>
      <c r="B66" s="9" t="str">
        <f t="shared" si="2"/>
        <v>Ativo</v>
      </c>
      <c r="C66" s="9" t="str">
        <f t="shared" si="3"/>
        <v>N/I</v>
      </c>
      <c r="D66" s="10" t="s">
        <v>34</v>
      </c>
      <c r="E66" s="11" t="s">
        <v>35</v>
      </c>
      <c r="F66" s="11" t="s">
        <v>129</v>
      </c>
      <c r="G66" s="12" t="s">
        <v>37</v>
      </c>
      <c r="H66" s="21" t="s">
        <v>144</v>
      </c>
      <c r="I66" s="12" t="s">
        <v>131</v>
      </c>
      <c r="J66" s="10" t="s">
        <v>132</v>
      </c>
      <c r="K66" s="10" t="s">
        <v>41</v>
      </c>
      <c r="L66" s="10" t="s">
        <v>4</v>
      </c>
      <c r="M66" s="22">
        <v>45006.0</v>
      </c>
      <c r="N66" s="11" t="s">
        <v>133</v>
      </c>
      <c r="O66" s="10" t="s">
        <v>134</v>
      </c>
      <c r="P66" s="10" t="s">
        <v>44</v>
      </c>
      <c r="Q66" s="2"/>
      <c r="R66" s="10">
        <v>12.0</v>
      </c>
      <c r="S66" s="14">
        <v>45006.0</v>
      </c>
      <c r="T66" s="14">
        <v>45372.0</v>
      </c>
      <c r="U66" s="10">
        <f t="shared" si="4"/>
        <v>-719</v>
      </c>
      <c r="V66" s="2"/>
      <c r="W66" s="10">
        <v>42.0</v>
      </c>
      <c r="X66" s="14">
        <v>45373.0</v>
      </c>
      <c r="Y66" s="14">
        <v>46652.0</v>
      </c>
      <c r="Z66" s="10">
        <f t="shared" si="5"/>
        <v>561</v>
      </c>
      <c r="AA66" s="1"/>
      <c r="AB66" s="15"/>
      <c r="AC66" s="15"/>
      <c r="AD66" s="15"/>
      <c r="AE66" s="15"/>
      <c r="AF66" s="2"/>
      <c r="AG66" s="16" t="s">
        <v>45</v>
      </c>
      <c r="AH66" s="17" t="s">
        <v>46</v>
      </c>
      <c r="AI66" s="18" t="s">
        <v>47</v>
      </c>
      <c r="AJ66" s="10" t="s">
        <v>48</v>
      </c>
      <c r="AK66" s="16" t="s">
        <v>45</v>
      </c>
      <c r="AL66" s="10" t="s">
        <v>49</v>
      </c>
      <c r="AM66" s="10" t="s">
        <v>48</v>
      </c>
      <c r="AN66" s="10" t="s">
        <v>50</v>
      </c>
    </row>
    <row r="67" ht="30.0" customHeight="1">
      <c r="A67" s="9" t="str">
        <f t="shared" si="1"/>
        <v>Inativo</v>
      </c>
      <c r="B67" s="9" t="str">
        <f t="shared" si="2"/>
        <v>Ativo</v>
      </c>
      <c r="C67" s="9" t="str">
        <f t="shared" si="3"/>
        <v>N/I</v>
      </c>
      <c r="D67" s="10" t="s">
        <v>34</v>
      </c>
      <c r="E67" s="11" t="s">
        <v>35</v>
      </c>
      <c r="F67" s="11" t="s">
        <v>129</v>
      </c>
      <c r="G67" s="12" t="s">
        <v>37</v>
      </c>
      <c r="H67" s="21" t="s">
        <v>145</v>
      </c>
      <c r="I67" s="12" t="s">
        <v>131</v>
      </c>
      <c r="J67" s="10" t="s">
        <v>132</v>
      </c>
      <c r="K67" s="10" t="s">
        <v>41</v>
      </c>
      <c r="L67" s="10" t="s">
        <v>4</v>
      </c>
      <c r="M67" s="22">
        <v>45006.0</v>
      </c>
      <c r="N67" s="11" t="s">
        <v>133</v>
      </c>
      <c r="O67" s="10" t="s">
        <v>134</v>
      </c>
      <c r="P67" s="10" t="s">
        <v>44</v>
      </c>
      <c r="Q67" s="2"/>
      <c r="R67" s="10">
        <v>12.0</v>
      </c>
      <c r="S67" s="14">
        <v>45006.0</v>
      </c>
      <c r="T67" s="14">
        <v>45372.0</v>
      </c>
      <c r="U67" s="10">
        <f t="shared" si="4"/>
        <v>-719</v>
      </c>
      <c r="V67" s="2"/>
      <c r="W67" s="10">
        <v>42.0</v>
      </c>
      <c r="X67" s="14">
        <v>45373.0</v>
      </c>
      <c r="Y67" s="14">
        <v>46652.0</v>
      </c>
      <c r="Z67" s="10">
        <f t="shared" si="5"/>
        <v>561</v>
      </c>
      <c r="AA67" s="1"/>
      <c r="AB67" s="15"/>
      <c r="AC67" s="15"/>
      <c r="AD67" s="15"/>
      <c r="AE67" s="15"/>
      <c r="AF67" s="2"/>
      <c r="AG67" s="16" t="s">
        <v>45</v>
      </c>
      <c r="AH67" s="17" t="s">
        <v>46</v>
      </c>
      <c r="AI67" s="18" t="s">
        <v>47</v>
      </c>
      <c r="AJ67" s="10" t="s">
        <v>48</v>
      </c>
      <c r="AK67" s="16" t="s">
        <v>45</v>
      </c>
      <c r="AL67" s="10" t="s">
        <v>49</v>
      </c>
      <c r="AM67" s="10" t="s">
        <v>48</v>
      </c>
      <c r="AN67" s="10" t="s">
        <v>50</v>
      </c>
    </row>
    <row r="68" ht="30.0" customHeight="1">
      <c r="A68" s="9" t="str">
        <f t="shared" si="1"/>
        <v>Inativo</v>
      </c>
      <c r="B68" s="9" t="str">
        <f t="shared" si="2"/>
        <v>Ativo</v>
      </c>
      <c r="C68" s="9" t="str">
        <f t="shared" si="3"/>
        <v>N/I</v>
      </c>
      <c r="D68" s="10" t="s">
        <v>34</v>
      </c>
      <c r="E68" s="11" t="s">
        <v>35</v>
      </c>
      <c r="F68" s="11" t="s">
        <v>129</v>
      </c>
      <c r="G68" s="12" t="s">
        <v>37</v>
      </c>
      <c r="H68" s="21" t="s">
        <v>146</v>
      </c>
      <c r="I68" s="12" t="s">
        <v>131</v>
      </c>
      <c r="J68" s="10" t="s">
        <v>132</v>
      </c>
      <c r="K68" s="10" t="s">
        <v>41</v>
      </c>
      <c r="L68" s="10" t="s">
        <v>4</v>
      </c>
      <c r="M68" s="22">
        <v>45006.0</v>
      </c>
      <c r="N68" s="11" t="s">
        <v>133</v>
      </c>
      <c r="O68" s="10" t="s">
        <v>134</v>
      </c>
      <c r="P68" s="10" t="s">
        <v>44</v>
      </c>
      <c r="Q68" s="2"/>
      <c r="R68" s="10">
        <v>12.0</v>
      </c>
      <c r="S68" s="14">
        <v>45006.0</v>
      </c>
      <c r="T68" s="14">
        <v>45372.0</v>
      </c>
      <c r="U68" s="10">
        <f t="shared" si="4"/>
        <v>-719</v>
      </c>
      <c r="V68" s="2"/>
      <c r="W68" s="10">
        <v>42.0</v>
      </c>
      <c r="X68" s="14">
        <v>45373.0</v>
      </c>
      <c r="Y68" s="14">
        <v>46652.0</v>
      </c>
      <c r="Z68" s="10">
        <f t="shared" si="5"/>
        <v>561</v>
      </c>
      <c r="AA68" s="1"/>
      <c r="AB68" s="15"/>
      <c r="AC68" s="15"/>
      <c r="AD68" s="15"/>
      <c r="AE68" s="15"/>
      <c r="AF68" s="2"/>
      <c r="AG68" s="16" t="s">
        <v>45</v>
      </c>
      <c r="AH68" s="17" t="s">
        <v>46</v>
      </c>
      <c r="AI68" s="18" t="s">
        <v>47</v>
      </c>
      <c r="AJ68" s="10" t="s">
        <v>48</v>
      </c>
      <c r="AK68" s="16" t="s">
        <v>45</v>
      </c>
      <c r="AL68" s="10" t="s">
        <v>49</v>
      </c>
      <c r="AM68" s="10" t="s">
        <v>48</v>
      </c>
      <c r="AN68" s="10" t="s">
        <v>50</v>
      </c>
    </row>
    <row r="69" ht="30.0" customHeight="1">
      <c r="A69" s="9" t="str">
        <f t="shared" si="1"/>
        <v>Inativo</v>
      </c>
      <c r="B69" s="9" t="str">
        <f t="shared" si="2"/>
        <v>Ativo</v>
      </c>
      <c r="C69" s="9" t="str">
        <f t="shared" si="3"/>
        <v>N/I</v>
      </c>
      <c r="D69" s="10" t="s">
        <v>34</v>
      </c>
      <c r="E69" s="11" t="s">
        <v>35</v>
      </c>
      <c r="F69" s="11" t="s">
        <v>129</v>
      </c>
      <c r="G69" s="12" t="s">
        <v>68</v>
      </c>
      <c r="H69" s="21" t="s">
        <v>147</v>
      </c>
      <c r="I69" s="12" t="s">
        <v>131</v>
      </c>
      <c r="J69" s="10" t="s">
        <v>132</v>
      </c>
      <c r="K69" s="10" t="s">
        <v>41</v>
      </c>
      <c r="L69" s="10" t="s">
        <v>4</v>
      </c>
      <c r="M69" s="22">
        <v>45007.0</v>
      </c>
      <c r="N69" s="11" t="s">
        <v>133</v>
      </c>
      <c r="O69" s="10" t="s">
        <v>134</v>
      </c>
      <c r="P69" s="10" t="s">
        <v>44</v>
      </c>
      <c r="Q69" s="2"/>
      <c r="R69" s="10">
        <v>12.0</v>
      </c>
      <c r="S69" s="14">
        <v>45007.0</v>
      </c>
      <c r="T69" s="14">
        <v>45373.0</v>
      </c>
      <c r="U69" s="10">
        <f t="shared" si="4"/>
        <v>-718</v>
      </c>
      <c r="V69" s="2"/>
      <c r="W69" s="10">
        <v>42.0</v>
      </c>
      <c r="X69" s="14">
        <v>45374.0</v>
      </c>
      <c r="Y69" s="14">
        <v>46653.0</v>
      </c>
      <c r="Z69" s="10">
        <f t="shared" si="5"/>
        <v>562</v>
      </c>
      <c r="AA69" s="1"/>
      <c r="AB69" s="15"/>
      <c r="AC69" s="15"/>
      <c r="AD69" s="15"/>
      <c r="AE69" s="15"/>
      <c r="AF69" s="2"/>
      <c r="AG69" s="16" t="s">
        <v>45</v>
      </c>
      <c r="AH69" s="17" t="s">
        <v>46</v>
      </c>
      <c r="AI69" s="18" t="s">
        <v>47</v>
      </c>
      <c r="AJ69" s="10" t="s">
        <v>48</v>
      </c>
      <c r="AK69" s="16" t="s">
        <v>45</v>
      </c>
      <c r="AL69" s="10" t="s">
        <v>49</v>
      </c>
      <c r="AM69" s="10" t="s">
        <v>48</v>
      </c>
      <c r="AN69" s="10" t="s">
        <v>50</v>
      </c>
    </row>
    <row r="70" ht="30.0" customHeight="1">
      <c r="A70" s="9" t="str">
        <f t="shared" si="1"/>
        <v>Inativo</v>
      </c>
      <c r="B70" s="9" t="str">
        <f t="shared" si="2"/>
        <v>Ativo</v>
      </c>
      <c r="C70" s="9" t="str">
        <f t="shared" si="3"/>
        <v>N/I</v>
      </c>
      <c r="D70" s="10" t="s">
        <v>34</v>
      </c>
      <c r="E70" s="11" t="s">
        <v>35</v>
      </c>
      <c r="F70" s="11" t="s">
        <v>129</v>
      </c>
      <c r="G70" s="12" t="s">
        <v>52</v>
      </c>
      <c r="H70" s="21" t="s">
        <v>148</v>
      </c>
      <c r="I70" s="12" t="s">
        <v>131</v>
      </c>
      <c r="J70" s="10" t="s">
        <v>132</v>
      </c>
      <c r="K70" s="10" t="s">
        <v>41</v>
      </c>
      <c r="L70" s="10" t="s">
        <v>4</v>
      </c>
      <c r="M70" s="22">
        <v>45007.0</v>
      </c>
      <c r="N70" s="11" t="s">
        <v>133</v>
      </c>
      <c r="O70" s="10" t="s">
        <v>134</v>
      </c>
      <c r="P70" s="10" t="s">
        <v>44</v>
      </c>
      <c r="Q70" s="2"/>
      <c r="R70" s="10">
        <v>12.0</v>
      </c>
      <c r="S70" s="14">
        <v>45007.0</v>
      </c>
      <c r="T70" s="14">
        <v>45373.0</v>
      </c>
      <c r="U70" s="10">
        <f t="shared" si="4"/>
        <v>-718</v>
      </c>
      <c r="V70" s="2"/>
      <c r="W70" s="10">
        <v>42.0</v>
      </c>
      <c r="X70" s="14">
        <v>45374.0</v>
      </c>
      <c r="Y70" s="14">
        <v>46653.0</v>
      </c>
      <c r="Z70" s="10">
        <f t="shared" si="5"/>
        <v>562</v>
      </c>
      <c r="AA70" s="1"/>
      <c r="AB70" s="15"/>
      <c r="AC70" s="15"/>
      <c r="AD70" s="15"/>
      <c r="AE70" s="15"/>
      <c r="AF70" s="2"/>
      <c r="AG70" s="16" t="s">
        <v>45</v>
      </c>
      <c r="AH70" s="17" t="s">
        <v>46</v>
      </c>
      <c r="AI70" s="18" t="s">
        <v>47</v>
      </c>
      <c r="AJ70" s="10" t="s">
        <v>48</v>
      </c>
      <c r="AK70" s="16" t="s">
        <v>45</v>
      </c>
      <c r="AL70" s="10" t="s">
        <v>49</v>
      </c>
      <c r="AM70" s="10" t="s">
        <v>48</v>
      </c>
      <c r="AN70" s="10" t="s">
        <v>50</v>
      </c>
    </row>
    <row r="71" ht="30.0" customHeight="1">
      <c r="A71" s="9" t="str">
        <f t="shared" si="1"/>
        <v>Inativo</v>
      </c>
      <c r="B71" s="9" t="str">
        <f t="shared" si="2"/>
        <v>Ativo</v>
      </c>
      <c r="C71" s="9" t="str">
        <f t="shared" si="3"/>
        <v>N/I</v>
      </c>
      <c r="D71" s="10" t="s">
        <v>34</v>
      </c>
      <c r="E71" s="11" t="s">
        <v>35</v>
      </c>
      <c r="F71" s="11" t="s">
        <v>129</v>
      </c>
      <c r="G71" s="12" t="s">
        <v>79</v>
      </c>
      <c r="H71" s="21" t="s">
        <v>149</v>
      </c>
      <c r="I71" s="12" t="s">
        <v>131</v>
      </c>
      <c r="J71" s="10" t="s">
        <v>132</v>
      </c>
      <c r="K71" s="10" t="s">
        <v>41</v>
      </c>
      <c r="L71" s="10" t="s">
        <v>4</v>
      </c>
      <c r="M71" s="22">
        <v>45008.0</v>
      </c>
      <c r="N71" s="11" t="s">
        <v>133</v>
      </c>
      <c r="O71" s="10" t="s">
        <v>134</v>
      </c>
      <c r="P71" s="10" t="s">
        <v>44</v>
      </c>
      <c r="Q71" s="2"/>
      <c r="R71" s="10">
        <v>12.0</v>
      </c>
      <c r="S71" s="14">
        <v>45008.0</v>
      </c>
      <c r="T71" s="14">
        <v>45374.0</v>
      </c>
      <c r="U71" s="10">
        <f t="shared" si="4"/>
        <v>-717</v>
      </c>
      <c r="V71" s="2"/>
      <c r="W71" s="10">
        <v>42.0</v>
      </c>
      <c r="X71" s="14">
        <v>45375.0</v>
      </c>
      <c r="Y71" s="14">
        <v>46654.0</v>
      </c>
      <c r="Z71" s="10">
        <f t="shared" si="5"/>
        <v>563</v>
      </c>
      <c r="AA71" s="1"/>
      <c r="AB71" s="15"/>
      <c r="AC71" s="15"/>
      <c r="AD71" s="15"/>
      <c r="AE71" s="15"/>
      <c r="AF71" s="2"/>
      <c r="AG71" s="16" t="s">
        <v>45</v>
      </c>
      <c r="AH71" s="17" t="s">
        <v>46</v>
      </c>
      <c r="AI71" s="18" t="s">
        <v>47</v>
      </c>
      <c r="AJ71" s="10" t="s">
        <v>48</v>
      </c>
      <c r="AK71" s="16" t="s">
        <v>45</v>
      </c>
      <c r="AL71" s="10" t="s">
        <v>49</v>
      </c>
      <c r="AM71" s="10" t="s">
        <v>48</v>
      </c>
      <c r="AN71" s="10" t="s">
        <v>50</v>
      </c>
    </row>
    <row r="72" ht="30.0" customHeight="1">
      <c r="A72" s="9" t="str">
        <f t="shared" si="1"/>
        <v>Inativo</v>
      </c>
      <c r="B72" s="9" t="str">
        <f t="shared" si="2"/>
        <v>Ativo</v>
      </c>
      <c r="C72" s="9" t="str">
        <f t="shared" si="3"/>
        <v>N/I</v>
      </c>
      <c r="D72" s="10" t="s">
        <v>34</v>
      </c>
      <c r="E72" s="11" t="s">
        <v>35</v>
      </c>
      <c r="F72" s="11" t="s">
        <v>129</v>
      </c>
      <c r="G72" s="12" t="s">
        <v>52</v>
      </c>
      <c r="H72" s="21" t="s">
        <v>150</v>
      </c>
      <c r="I72" s="12" t="s">
        <v>131</v>
      </c>
      <c r="J72" s="10" t="s">
        <v>132</v>
      </c>
      <c r="K72" s="10" t="s">
        <v>41</v>
      </c>
      <c r="L72" s="10" t="s">
        <v>4</v>
      </c>
      <c r="M72" s="22">
        <v>45013.0</v>
      </c>
      <c r="N72" s="11" t="s">
        <v>133</v>
      </c>
      <c r="O72" s="10" t="s">
        <v>134</v>
      </c>
      <c r="P72" s="10" t="s">
        <v>44</v>
      </c>
      <c r="Q72" s="2"/>
      <c r="R72" s="10">
        <v>12.0</v>
      </c>
      <c r="S72" s="14">
        <v>45013.0</v>
      </c>
      <c r="T72" s="14">
        <v>45379.0</v>
      </c>
      <c r="U72" s="10">
        <f t="shared" si="4"/>
        <v>-712</v>
      </c>
      <c r="V72" s="2"/>
      <c r="W72" s="10">
        <v>42.0</v>
      </c>
      <c r="X72" s="14">
        <v>45380.0</v>
      </c>
      <c r="Y72" s="14">
        <v>46659.0</v>
      </c>
      <c r="Z72" s="10">
        <f t="shared" si="5"/>
        <v>568</v>
      </c>
      <c r="AA72" s="1"/>
      <c r="AB72" s="15"/>
      <c r="AC72" s="15"/>
      <c r="AD72" s="15"/>
      <c r="AE72" s="15"/>
      <c r="AF72" s="2"/>
      <c r="AG72" s="16" t="s">
        <v>45</v>
      </c>
      <c r="AH72" s="17" t="s">
        <v>46</v>
      </c>
      <c r="AI72" s="18" t="s">
        <v>47</v>
      </c>
      <c r="AJ72" s="10" t="s">
        <v>48</v>
      </c>
      <c r="AK72" s="16" t="s">
        <v>45</v>
      </c>
      <c r="AL72" s="10" t="s">
        <v>49</v>
      </c>
      <c r="AM72" s="10" t="s">
        <v>48</v>
      </c>
      <c r="AN72" s="10" t="s">
        <v>50</v>
      </c>
    </row>
    <row r="73" ht="30.0" customHeight="1">
      <c r="A73" s="9" t="str">
        <f t="shared" si="1"/>
        <v>Inativo</v>
      </c>
      <c r="B73" s="9" t="str">
        <f t="shared" si="2"/>
        <v>Ativo</v>
      </c>
      <c r="C73" s="9" t="str">
        <f t="shared" si="3"/>
        <v>N/I</v>
      </c>
      <c r="D73" s="10" t="s">
        <v>34</v>
      </c>
      <c r="E73" s="11" t="s">
        <v>35</v>
      </c>
      <c r="F73" s="11" t="s">
        <v>129</v>
      </c>
      <c r="G73" s="12" t="s">
        <v>68</v>
      </c>
      <c r="H73" s="21" t="s">
        <v>151</v>
      </c>
      <c r="I73" s="12" t="s">
        <v>131</v>
      </c>
      <c r="J73" s="10" t="s">
        <v>132</v>
      </c>
      <c r="K73" s="10" t="s">
        <v>41</v>
      </c>
      <c r="L73" s="10" t="s">
        <v>4</v>
      </c>
      <c r="M73" s="22">
        <v>45014.0</v>
      </c>
      <c r="N73" s="11" t="s">
        <v>133</v>
      </c>
      <c r="O73" s="10" t="s">
        <v>134</v>
      </c>
      <c r="P73" s="10" t="s">
        <v>44</v>
      </c>
      <c r="Q73" s="2"/>
      <c r="R73" s="10">
        <v>12.0</v>
      </c>
      <c r="S73" s="14">
        <v>45014.0</v>
      </c>
      <c r="T73" s="14">
        <v>45380.0</v>
      </c>
      <c r="U73" s="10">
        <f t="shared" si="4"/>
        <v>-711</v>
      </c>
      <c r="V73" s="2"/>
      <c r="W73" s="10">
        <v>42.0</v>
      </c>
      <c r="X73" s="14">
        <v>45381.0</v>
      </c>
      <c r="Y73" s="14">
        <v>46660.0</v>
      </c>
      <c r="Z73" s="10">
        <f t="shared" si="5"/>
        <v>569</v>
      </c>
      <c r="AA73" s="1"/>
      <c r="AB73" s="15"/>
      <c r="AC73" s="15"/>
      <c r="AD73" s="15"/>
      <c r="AE73" s="15"/>
      <c r="AF73" s="2"/>
      <c r="AG73" s="16" t="s">
        <v>45</v>
      </c>
      <c r="AH73" s="17" t="s">
        <v>46</v>
      </c>
      <c r="AI73" s="18" t="s">
        <v>47</v>
      </c>
      <c r="AJ73" s="10" t="s">
        <v>48</v>
      </c>
      <c r="AK73" s="16" t="s">
        <v>45</v>
      </c>
      <c r="AL73" s="10" t="s">
        <v>49</v>
      </c>
      <c r="AM73" s="10" t="s">
        <v>48</v>
      </c>
      <c r="AN73" s="10" t="s">
        <v>50</v>
      </c>
    </row>
    <row r="74" ht="30.0" customHeight="1">
      <c r="A74" s="9" t="str">
        <f t="shared" si="1"/>
        <v>Inativo</v>
      </c>
      <c r="B74" s="9" t="str">
        <f t="shared" si="2"/>
        <v>Ativo</v>
      </c>
      <c r="C74" s="9" t="str">
        <f t="shared" si="3"/>
        <v>N/I</v>
      </c>
      <c r="D74" s="10" t="s">
        <v>34</v>
      </c>
      <c r="E74" s="11" t="s">
        <v>35</v>
      </c>
      <c r="F74" s="11" t="s">
        <v>129</v>
      </c>
      <c r="G74" s="12" t="s">
        <v>68</v>
      </c>
      <c r="H74" s="21" t="s">
        <v>152</v>
      </c>
      <c r="I74" s="12" t="s">
        <v>131</v>
      </c>
      <c r="J74" s="10" t="s">
        <v>132</v>
      </c>
      <c r="K74" s="10" t="s">
        <v>41</v>
      </c>
      <c r="L74" s="10" t="s">
        <v>4</v>
      </c>
      <c r="M74" s="22">
        <v>45014.0</v>
      </c>
      <c r="N74" s="11" t="s">
        <v>133</v>
      </c>
      <c r="O74" s="10" t="s">
        <v>134</v>
      </c>
      <c r="P74" s="10" t="s">
        <v>44</v>
      </c>
      <c r="Q74" s="2"/>
      <c r="R74" s="10">
        <v>12.0</v>
      </c>
      <c r="S74" s="14">
        <v>45014.0</v>
      </c>
      <c r="T74" s="14">
        <v>45380.0</v>
      </c>
      <c r="U74" s="10">
        <f t="shared" si="4"/>
        <v>-711</v>
      </c>
      <c r="V74" s="2"/>
      <c r="W74" s="10">
        <v>42.0</v>
      </c>
      <c r="X74" s="14">
        <v>45381.0</v>
      </c>
      <c r="Y74" s="14">
        <v>46660.0</v>
      </c>
      <c r="Z74" s="10">
        <f t="shared" si="5"/>
        <v>569</v>
      </c>
      <c r="AA74" s="1"/>
      <c r="AB74" s="15"/>
      <c r="AC74" s="15"/>
      <c r="AD74" s="15"/>
      <c r="AE74" s="15"/>
      <c r="AF74" s="2"/>
      <c r="AG74" s="16" t="s">
        <v>45</v>
      </c>
      <c r="AH74" s="17" t="s">
        <v>46</v>
      </c>
      <c r="AI74" s="18" t="s">
        <v>47</v>
      </c>
      <c r="AJ74" s="10" t="s">
        <v>48</v>
      </c>
      <c r="AK74" s="16" t="s">
        <v>45</v>
      </c>
      <c r="AL74" s="10" t="s">
        <v>49</v>
      </c>
      <c r="AM74" s="10" t="s">
        <v>48</v>
      </c>
      <c r="AN74" s="10" t="s">
        <v>50</v>
      </c>
    </row>
    <row r="75" ht="30.0" customHeight="1">
      <c r="A75" s="9" t="str">
        <f t="shared" si="1"/>
        <v>Inativo</v>
      </c>
      <c r="B75" s="9" t="str">
        <f t="shared" si="2"/>
        <v>Ativo</v>
      </c>
      <c r="C75" s="9" t="str">
        <f t="shared" si="3"/>
        <v>N/I</v>
      </c>
      <c r="D75" s="10" t="s">
        <v>34</v>
      </c>
      <c r="E75" s="11" t="s">
        <v>35</v>
      </c>
      <c r="F75" s="11" t="s">
        <v>129</v>
      </c>
      <c r="G75" s="12" t="s">
        <v>68</v>
      </c>
      <c r="H75" s="21" t="s">
        <v>153</v>
      </c>
      <c r="I75" s="12" t="s">
        <v>131</v>
      </c>
      <c r="J75" s="10" t="s">
        <v>132</v>
      </c>
      <c r="K75" s="10" t="s">
        <v>41</v>
      </c>
      <c r="L75" s="10" t="s">
        <v>4</v>
      </c>
      <c r="M75" s="22">
        <v>45015.0</v>
      </c>
      <c r="N75" s="11" t="s">
        <v>133</v>
      </c>
      <c r="O75" s="10" t="s">
        <v>134</v>
      </c>
      <c r="P75" s="10" t="s">
        <v>44</v>
      </c>
      <c r="Q75" s="2"/>
      <c r="R75" s="10">
        <v>12.0</v>
      </c>
      <c r="S75" s="14">
        <v>45015.0</v>
      </c>
      <c r="T75" s="14">
        <v>45381.0</v>
      </c>
      <c r="U75" s="10">
        <f t="shared" si="4"/>
        <v>-710</v>
      </c>
      <c r="V75" s="2"/>
      <c r="W75" s="10">
        <v>42.0</v>
      </c>
      <c r="X75" s="14">
        <v>45382.0</v>
      </c>
      <c r="Y75" s="14">
        <v>46660.0</v>
      </c>
      <c r="Z75" s="10">
        <f t="shared" si="5"/>
        <v>569</v>
      </c>
      <c r="AA75" s="1"/>
      <c r="AB75" s="15"/>
      <c r="AC75" s="15"/>
      <c r="AD75" s="15"/>
      <c r="AE75" s="15"/>
      <c r="AF75" s="2"/>
      <c r="AG75" s="16" t="s">
        <v>45</v>
      </c>
      <c r="AH75" s="17" t="s">
        <v>46</v>
      </c>
      <c r="AI75" s="18" t="s">
        <v>47</v>
      </c>
      <c r="AJ75" s="10" t="s">
        <v>48</v>
      </c>
      <c r="AK75" s="16" t="s">
        <v>45</v>
      </c>
      <c r="AL75" s="10" t="s">
        <v>49</v>
      </c>
      <c r="AM75" s="10" t="s">
        <v>48</v>
      </c>
      <c r="AN75" s="10" t="s">
        <v>50</v>
      </c>
    </row>
    <row r="76" ht="30.0" customHeight="1">
      <c r="A76" s="9" t="str">
        <f t="shared" si="1"/>
        <v>Inativo</v>
      </c>
      <c r="B76" s="9" t="str">
        <f t="shared" si="2"/>
        <v>Ativo</v>
      </c>
      <c r="C76" s="9" t="str">
        <f t="shared" si="3"/>
        <v>N/I</v>
      </c>
      <c r="D76" s="10" t="s">
        <v>34</v>
      </c>
      <c r="E76" s="11" t="s">
        <v>35</v>
      </c>
      <c r="F76" s="11" t="s">
        <v>129</v>
      </c>
      <c r="G76" s="12" t="s">
        <v>68</v>
      </c>
      <c r="H76" s="21" t="s">
        <v>154</v>
      </c>
      <c r="I76" s="12" t="s">
        <v>131</v>
      </c>
      <c r="J76" s="10" t="s">
        <v>132</v>
      </c>
      <c r="K76" s="10" t="s">
        <v>41</v>
      </c>
      <c r="L76" s="10" t="s">
        <v>4</v>
      </c>
      <c r="M76" s="22">
        <v>45015.0</v>
      </c>
      <c r="N76" s="11" t="s">
        <v>133</v>
      </c>
      <c r="O76" s="10" t="s">
        <v>134</v>
      </c>
      <c r="P76" s="10" t="s">
        <v>44</v>
      </c>
      <c r="Q76" s="2"/>
      <c r="R76" s="10">
        <v>12.0</v>
      </c>
      <c r="S76" s="14">
        <v>45015.0</v>
      </c>
      <c r="T76" s="14">
        <v>45381.0</v>
      </c>
      <c r="U76" s="10">
        <f t="shared" si="4"/>
        <v>-710</v>
      </c>
      <c r="V76" s="2"/>
      <c r="W76" s="10">
        <v>42.0</v>
      </c>
      <c r="X76" s="14">
        <v>45382.0</v>
      </c>
      <c r="Y76" s="14">
        <v>46660.0</v>
      </c>
      <c r="Z76" s="10">
        <f t="shared" si="5"/>
        <v>569</v>
      </c>
      <c r="AA76" s="1"/>
      <c r="AB76" s="15"/>
      <c r="AC76" s="15"/>
      <c r="AD76" s="15"/>
      <c r="AE76" s="15"/>
      <c r="AF76" s="2"/>
      <c r="AG76" s="16" t="s">
        <v>45</v>
      </c>
      <c r="AH76" s="17" t="s">
        <v>46</v>
      </c>
      <c r="AI76" s="18" t="s">
        <v>47</v>
      </c>
      <c r="AJ76" s="10" t="s">
        <v>48</v>
      </c>
      <c r="AK76" s="16" t="s">
        <v>45</v>
      </c>
      <c r="AL76" s="10" t="s">
        <v>49</v>
      </c>
      <c r="AM76" s="10" t="s">
        <v>48</v>
      </c>
      <c r="AN76" s="10" t="s">
        <v>50</v>
      </c>
    </row>
    <row r="77" ht="30.0" customHeight="1">
      <c r="A77" s="9" t="str">
        <f t="shared" si="1"/>
        <v>Inativo</v>
      </c>
      <c r="B77" s="9" t="str">
        <f t="shared" si="2"/>
        <v>Ativo</v>
      </c>
      <c r="C77" s="9" t="str">
        <f t="shared" si="3"/>
        <v>N/I</v>
      </c>
      <c r="D77" s="10" t="s">
        <v>34</v>
      </c>
      <c r="E77" s="11" t="s">
        <v>35</v>
      </c>
      <c r="F77" s="11" t="s">
        <v>129</v>
      </c>
      <c r="G77" s="12" t="s">
        <v>68</v>
      </c>
      <c r="H77" s="21" t="s">
        <v>155</v>
      </c>
      <c r="I77" s="12" t="s">
        <v>131</v>
      </c>
      <c r="J77" s="10" t="s">
        <v>132</v>
      </c>
      <c r="K77" s="10" t="s">
        <v>41</v>
      </c>
      <c r="L77" s="10" t="s">
        <v>4</v>
      </c>
      <c r="M77" s="22">
        <v>45015.0</v>
      </c>
      <c r="N77" s="11" t="s">
        <v>133</v>
      </c>
      <c r="O77" s="10" t="s">
        <v>134</v>
      </c>
      <c r="P77" s="10" t="s">
        <v>44</v>
      </c>
      <c r="Q77" s="2"/>
      <c r="R77" s="10">
        <v>12.0</v>
      </c>
      <c r="S77" s="14">
        <v>45015.0</v>
      </c>
      <c r="T77" s="14">
        <v>45381.0</v>
      </c>
      <c r="U77" s="10">
        <f t="shared" si="4"/>
        <v>-710</v>
      </c>
      <c r="V77" s="2"/>
      <c r="W77" s="10">
        <v>42.0</v>
      </c>
      <c r="X77" s="14">
        <v>45382.0</v>
      </c>
      <c r="Y77" s="14">
        <v>46660.0</v>
      </c>
      <c r="Z77" s="10">
        <f t="shared" si="5"/>
        <v>569</v>
      </c>
      <c r="AA77" s="1"/>
      <c r="AB77" s="15"/>
      <c r="AC77" s="15"/>
      <c r="AD77" s="15"/>
      <c r="AE77" s="15"/>
      <c r="AF77" s="2"/>
      <c r="AG77" s="16" t="s">
        <v>45</v>
      </c>
      <c r="AH77" s="17" t="s">
        <v>46</v>
      </c>
      <c r="AI77" s="18" t="s">
        <v>47</v>
      </c>
      <c r="AJ77" s="10" t="s">
        <v>48</v>
      </c>
      <c r="AK77" s="16" t="s">
        <v>45</v>
      </c>
      <c r="AL77" s="10" t="s">
        <v>49</v>
      </c>
      <c r="AM77" s="10" t="s">
        <v>48</v>
      </c>
      <c r="AN77" s="10" t="s">
        <v>50</v>
      </c>
    </row>
    <row r="78" ht="30.0" customHeight="1">
      <c r="A78" s="9" t="str">
        <f t="shared" si="1"/>
        <v>Inativo</v>
      </c>
      <c r="B78" s="9" t="str">
        <f t="shared" si="2"/>
        <v>Ativo</v>
      </c>
      <c r="C78" s="9" t="str">
        <f t="shared" si="3"/>
        <v>N/I</v>
      </c>
      <c r="D78" s="10" t="s">
        <v>34</v>
      </c>
      <c r="E78" s="11" t="s">
        <v>35</v>
      </c>
      <c r="F78" s="11" t="s">
        <v>129</v>
      </c>
      <c r="G78" s="12" t="s">
        <v>68</v>
      </c>
      <c r="H78" s="21" t="s">
        <v>156</v>
      </c>
      <c r="I78" s="12" t="s">
        <v>131</v>
      </c>
      <c r="J78" s="10" t="s">
        <v>132</v>
      </c>
      <c r="K78" s="10" t="s">
        <v>41</v>
      </c>
      <c r="L78" s="10" t="s">
        <v>4</v>
      </c>
      <c r="M78" s="22">
        <v>45015.0</v>
      </c>
      <c r="N78" s="11" t="s">
        <v>133</v>
      </c>
      <c r="O78" s="10" t="s">
        <v>134</v>
      </c>
      <c r="P78" s="10" t="s">
        <v>44</v>
      </c>
      <c r="Q78" s="2"/>
      <c r="R78" s="10">
        <v>12.0</v>
      </c>
      <c r="S78" s="14">
        <v>45015.0</v>
      </c>
      <c r="T78" s="14">
        <v>45381.0</v>
      </c>
      <c r="U78" s="10">
        <f t="shared" si="4"/>
        <v>-710</v>
      </c>
      <c r="V78" s="2"/>
      <c r="W78" s="10">
        <v>42.0</v>
      </c>
      <c r="X78" s="14">
        <v>45382.0</v>
      </c>
      <c r="Y78" s="14">
        <v>46660.0</v>
      </c>
      <c r="Z78" s="10">
        <f t="shared" si="5"/>
        <v>569</v>
      </c>
      <c r="AA78" s="1"/>
      <c r="AB78" s="15"/>
      <c r="AC78" s="15"/>
      <c r="AD78" s="15"/>
      <c r="AE78" s="15"/>
      <c r="AF78" s="2"/>
      <c r="AG78" s="16" t="s">
        <v>45</v>
      </c>
      <c r="AH78" s="17" t="s">
        <v>46</v>
      </c>
      <c r="AI78" s="18" t="s">
        <v>47</v>
      </c>
      <c r="AJ78" s="10" t="s">
        <v>48</v>
      </c>
      <c r="AK78" s="16" t="s">
        <v>45</v>
      </c>
      <c r="AL78" s="10" t="s">
        <v>49</v>
      </c>
      <c r="AM78" s="10" t="s">
        <v>48</v>
      </c>
      <c r="AN78" s="10" t="s">
        <v>50</v>
      </c>
    </row>
    <row r="79" ht="30.0" customHeight="1">
      <c r="A79" s="9" t="str">
        <f t="shared" si="1"/>
        <v>Inativo</v>
      </c>
      <c r="B79" s="9" t="str">
        <f t="shared" si="2"/>
        <v>Ativo</v>
      </c>
      <c r="C79" s="9" t="str">
        <f t="shared" si="3"/>
        <v>N/I</v>
      </c>
      <c r="D79" s="10" t="s">
        <v>34</v>
      </c>
      <c r="E79" s="11" t="s">
        <v>35</v>
      </c>
      <c r="F79" s="11" t="s">
        <v>129</v>
      </c>
      <c r="G79" s="12" t="s">
        <v>68</v>
      </c>
      <c r="H79" s="21" t="s">
        <v>157</v>
      </c>
      <c r="I79" s="12" t="s">
        <v>131</v>
      </c>
      <c r="J79" s="10" t="s">
        <v>132</v>
      </c>
      <c r="K79" s="10" t="s">
        <v>41</v>
      </c>
      <c r="L79" s="10" t="s">
        <v>4</v>
      </c>
      <c r="M79" s="22">
        <v>45015.0</v>
      </c>
      <c r="N79" s="11" t="s">
        <v>133</v>
      </c>
      <c r="O79" s="10" t="s">
        <v>134</v>
      </c>
      <c r="P79" s="10" t="s">
        <v>44</v>
      </c>
      <c r="Q79" s="2"/>
      <c r="R79" s="10">
        <v>12.0</v>
      </c>
      <c r="S79" s="14">
        <v>45015.0</v>
      </c>
      <c r="T79" s="14">
        <v>45381.0</v>
      </c>
      <c r="U79" s="10">
        <f t="shared" si="4"/>
        <v>-710</v>
      </c>
      <c r="V79" s="2"/>
      <c r="W79" s="10">
        <v>42.0</v>
      </c>
      <c r="X79" s="14">
        <v>45382.0</v>
      </c>
      <c r="Y79" s="14">
        <v>46660.0</v>
      </c>
      <c r="Z79" s="10">
        <f t="shared" si="5"/>
        <v>569</v>
      </c>
      <c r="AA79" s="1"/>
      <c r="AB79" s="15"/>
      <c r="AC79" s="15"/>
      <c r="AD79" s="15"/>
      <c r="AE79" s="15"/>
      <c r="AF79" s="2"/>
      <c r="AG79" s="16" t="s">
        <v>45</v>
      </c>
      <c r="AH79" s="17" t="s">
        <v>46</v>
      </c>
      <c r="AI79" s="18" t="s">
        <v>47</v>
      </c>
      <c r="AJ79" s="10" t="s">
        <v>48</v>
      </c>
      <c r="AK79" s="16" t="s">
        <v>45</v>
      </c>
      <c r="AL79" s="10" t="s">
        <v>49</v>
      </c>
      <c r="AM79" s="10" t="s">
        <v>48</v>
      </c>
      <c r="AN79" s="10" t="s">
        <v>50</v>
      </c>
    </row>
    <row r="80" ht="30.0" customHeight="1">
      <c r="A80" s="9" t="str">
        <f t="shared" si="1"/>
        <v>Inativo</v>
      </c>
      <c r="B80" s="9" t="str">
        <f t="shared" si="2"/>
        <v>Ativo</v>
      </c>
      <c r="C80" s="9" t="str">
        <f t="shared" si="3"/>
        <v>N/I</v>
      </c>
      <c r="D80" s="10" t="s">
        <v>34</v>
      </c>
      <c r="E80" s="11" t="s">
        <v>35</v>
      </c>
      <c r="F80" s="11" t="s">
        <v>129</v>
      </c>
      <c r="G80" s="12" t="s">
        <v>52</v>
      </c>
      <c r="H80" s="21" t="s">
        <v>158</v>
      </c>
      <c r="I80" s="12" t="s">
        <v>131</v>
      </c>
      <c r="J80" s="10" t="s">
        <v>132</v>
      </c>
      <c r="K80" s="10" t="s">
        <v>41</v>
      </c>
      <c r="L80" s="10" t="s">
        <v>4</v>
      </c>
      <c r="M80" s="22">
        <v>45017.0</v>
      </c>
      <c r="N80" s="11" t="s">
        <v>133</v>
      </c>
      <c r="O80" s="10" t="s">
        <v>134</v>
      </c>
      <c r="P80" s="10" t="s">
        <v>44</v>
      </c>
      <c r="Q80" s="2"/>
      <c r="R80" s="10">
        <v>12.0</v>
      </c>
      <c r="S80" s="14">
        <v>45017.0</v>
      </c>
      <c r="T80" s="14">
        <v>45383.0</v>
      </c>
      <c r="U80" s="10">
        <f t="shared" si="4"/>
        <v>-708</v>
      </c>
      <c r="V80" s="2"/>
      <c r="W80" s="10">
        <v>42.0</v>
      </c>
      <c r="X80" s="14">
        <v>45384.0</v>
      </c>
      <c r="Y80" s="14">
        <v>46662.0</v>
      </c>
      <c r="Z80" s="10">
        <f t="shared" si="5"/>
        <v>571</v>
      </c>
      <c r="AA80" s="1"/>
      <c r="AB80" s="15"/>
      <c r="AC80" s="15"/>
      <c r="AD80" s="15"/>
      <c r="AE80" s="15"/>
      <c r="AF80" s="2"/>
      <c r="AG80" s="16" t="s">
        <v>45</v>
      </c>
      <c r="AH80" s="17" t="s">
        <v>46</v>
      </c>
      <c r="AI80" s="18" t="s">
        <v>47</v>
      </c>
      <c r="AJ80" s="10" t="s">
        <v>48</v>
      </c>
      <c r="AK80" s="16" t="s">
        <v>45</v>
      </c>
      <c r="AL80" s="10" t="s">
        <v>49</v>
      </c>
      <c r="AM80" s="10" t="s">
        <v>48</v>
      </c>
      <c r="AN80" s="10" t="s">
        <v>50</v>
      </c>
    </row>
    <row r="81" ht="30.0" customHeight="1">
      <c r="A81" s="9" t="str">
        <f t="shared" si="1"/>
        <v>Inativo</v>
      </c>
      <c r="B81" s="9" t="str">
        <f t="shared" si="2"/>
        <v>Ativo</v>
      </c>
      <c r="C81" s="9" t="str">
        <f t="shared" si="3"/>
        <v>N/I</v>
      </c>
      <c r="D81" s="10" t="s">
        <v>34</v>
      </c>
      <c r="E81" s="11" t="s">
        <v>35</v>
      </c>
      <c r="F81" s="11" t="s">
        <v>129</v>
      </c>
      <c r="G81" s="12" t="s">
        <v>37</v>
      </c>
      <c r="H81" s="21" t="s">
        <v>159</v>
      </c>
      <c r="I81" s="12" t="s">
        <v>131</v>
      </c>
      <c r="J81" s="10" t="s">
        <v>132</v>
      </c>
      <c r="K81" s="10" t="s">
        <v>41</v>
      </c>
      <c r="L81" s="10" t="s">
        <v>4</v>
      </c>
      <c r="M81" s="22">
        <v>45022.0</v>
      </c>
      <c r="N81" s="11" t="s">
        <v>133</v>
      </c>
      <c r="O81" s="10" t="s">
        <v>134</v>
      </c>
      <c r="P81" s="10" t="s">
        <v>44</v>
      </c>
      <c r="Q81" s="2"/>
      <c r="R81" s="10">
        <v>12.0</v>
      </c>
      <c r="S81" s="14">
        <v>45022.0</v>
      </c>
      <c r="T81" s="14">
        <v>45388.0</v>
      </c>
      <c r="U81" s="10">
        <f t="shared" si="4"/>
        <v>-703</v>
      </c>
      <c r="V81" s="2"/>
      <c r="W81" s="10">
        <v>42.0</v>
      </c>
      <c r="X81" s="14">
        <v>45389.0</v>
      </c>
      <c r="Y81" s="14">
        <v>46667.0</v>
      </c>
      <c r="Z81" s="10">
        <f t="shared" si="5"/>
        <v>576</v>
      </c>
      <c r="AA81" s="1"/>
      <c r="AB81" s="15"/>
      <c r="AC81" s="15"/>
      <c r="AD81" s="15"/>
      <c r="AE81" s="15"/>
      <c r="AF81" s="2"/>
      <c r="AG81" s="16" t="s">
        <v>45</v>
      </c>
      <c r="AH81" s="17" t="s">
        <v>46</v>
      </c>
      <c r="AI81" s="18" t="s">
        <v>47</v>
      </c>
      <c r="AJ81" s="10" t="s">
        <v>48</v>
      </c>
      <c r="AK81" s="16" t="s">
        <v>45</v>
      </c>
      <c r="AL81" s="10" t="s">
        <v>49</v>
      </c>
      <c r="AM81" s="10" t="s">
        <v>48</v>
      </c>
      <c r="AN81" s="10" t="s">
        <v>50</v>
      </c>
    </row>
    <row r="82" ht="30.0" customHeight="1">
      <c r="A82" s="9" t="str">
        <f t="shared" si="1"/>
        <v>Inativo</v>
      </c>
      <c r="B82" s="9" t="str">
        <f t="shared" si="2"/>
        <v>Ativo</v>
      </c>
      <c r="C82" s="9" t="str">
        <f t="shared" si="3"/>
        <v>N/I</v>
      </c>
      <c r="D82" s="10" t="s">
        <v>34</v>
      </c>
      <c r="E82" s="11" t="s">
        <v>35</v>
      </c>
      <c r="F82" s="11" t="s">
        <v>129</v>
      </c>
      <c r="G82" s="12" t="s">
        <v>58</v>
      </c>
      <c r="H82" s="21" t="s">
        <v>160</v>
      </c>
      <c r="I82" s="12" t="s">
        <v>131</v>
      </c>
      <c r="J82" s="10" t="s">
        <v>132</v>
      </c>
      <c r="K82" s="10" t="s">
        <v>41</v>
      </c>
      <c r="L82" s="10" t="s">
        <v>4</v>
      </c>
      <c r="M82" s="22">
        <v>45022.0</v>
      </c>
      <c r="N82" s="11" t="s">
        <v>133</v>
      </c>
      <c r="O82" s="10" t="s">
        <v>134</v>
      </c>
      <c r="P82" s="10" t="s">
        <v>44</v>
      </c>
      <c r="Q82" s="2"/>
      <c r="R82" s="10">
        <v>12.0</v>
      </c>
      <c r="S82" s="14">
        <v>45022.0</v>
      </c>
      <c r="T82" s="14">
        <v>45388.0</v>
      </c>
      <c r="U82" s="10">
        <f t="shared" si="4"/>
        <v>-703</v>
      </c>
      <c r="V82" s="2"/>
      <c r="W82" s="10">
        <v>42.0</v>
      </c>
      <c r="X82" s="14">
        <v>45389.0</v>
      </c>
      <c r="Y82" s="14">
        <v>46667.0</v>
      </c>
      <c r="Z82" s="10">
        <f t="shared" si="5"/>
        <v>576</v>
      </c>
      <c r="AA82" s="1"/>
      <c r="AB82" s="15"/>
      <c r="AC82" s="15"/>
      <c r="AD82" s="15"/>
      <c r="AE82" s="15"/>
      <c r="AF82" s="2"/>
      <c r="AG82" s="16" t="s">
        <v>45</v>
      </c>
      <c r="AH82" s="17" t="s">
        <v>46</v>
      </c>
      <c r="AI82" s="18" t="s">
        <v>47</v>
      </c>
      <c r="AJ82" s="10" t="s">
        <v>48</v>
      </c>
      <c r="AK82" s="16" t="s">
        <v>45</v>
      </c>
      <c r="AL82" s="10" t="s">
        <v>49</v>
      </c>
      <c r="AM82" s="10" t="s">
        <v>48</v>
      </c>
      <c r="AN82" s="10" t="s">
        <v>50</v>
      </c>
    </row>
    <row r="83" ht="30.0" customHeight="1">
      <c r="A83" s="9" t="str">
        <f t="shared" si="1"/>
        <v>Inativo</v>
      </c>
      <c r="B83" s="9" t="str">
        <f t="shared" si="2"/>
        <v>Ativo</v>
      </c>
      <c r="C83" s="9" t="str">
        <f t="shared" si="3"/>
        <v>N/I</v>
      </c>
      <c r="D83" s="10" t="s">
        <v>34</v>
      </c>
      <c r="E83" s="11" t="s">
        <v>35</v>
      </c>
      <c r="F83" s="11" t="s">
        <v>129</v>
      </c>
      <c r="G83" s="12" t="s">
        <v>68</v>
      </c>
      <c r="H83" s="21" t="s">
        <v>161</v>
      </c>
      <c r="I83" s="12" t="s">
        <v>131</v>
      </c>
      <c r="J83" s="10" t="s">
        <v>132</v>
      </c>
      <c r="K83" s="10" t="s">
        <v>41</v>
      </c>
      <c r="L83" s="10" t="s">
        <v>4</v>
      </c>
      <c r="M83" s="22">
        <v>45050.0</v>
      </c>
      <c r="N83" s="11" t="s">
        <v>133</v>
      </c>
      <c r="O83" s="10" t="s">
        <v>134</v>
      </c>
      <c r="P83" s="10" t="s">
        <v>44</v>
      </c>
      <c r="Q83" s="2"/>
      <c r="R83" s="10">
        <v>12.0</v>
      </c>
      <c r="S83" s="14">
        <v>45050.0</v>
      </c>
      <c r="T83" s="14">
        <v>45416.0</v>
      </c>
      <c r="U83" s="10">
        <f t="shared" si="4"/>
        <v>-675</v>
      </c>
      <c r="V83" s="2"/>
      <c r="W83" s="10">
        <v>42.0</v>
      </c>
      <c r="X83" s="14">
        <v>45417.0</v>
      </c>
      <c r="Y83" s="14">
        <v>46696.0</v>
      </c>
      <c r="Z83" s="10">
        <f t="shared" si="5"/>
        <v>605</v>
      </c>
      <c r="AA83" s="1"/>
      <c r="AB83" s="15"/>
      <c r="AC83" s="15"/>
      <c r="AD83" s="15"/>
      <c r="AE83" s="15"/>
      <c r="AF83" s="2"/>
      <c r="AG83" s="16" t="s">
        <v>45</v>
      </c>
      <c r="AH83" s="17" t="s">
        <v>46</v>
      </c>
      <c r="AI83" s="18" t="s">
        <v>47</v>
      </c>
      <c r="AJ83" s="10" t="s">
        <v>48</v>
      </c>
      <c r="AK83" s="16" t="s">
        <v>45</v>
      </c>
      <c r="AL83" s="10" t="s">
        <v>49</v>
      </c>
      <c r="AM83" s="10" t="s">
        <v>48</v>
      </c>
      <c r="AN83" s="10" t="s">
        <v>50</v>
      </c>
    </row>
    <row r="84" ht="30.0" customHeight="1">
      <c r="A84" s="9" t="str">
        <f t="shared" si="1"/>
        <v>Inativo</v>
      </c>
      <c r="B84" s="9" t="str">
        <f t="shared" si="2"/>
        <v>Ativo</v>
      </c>
      <c r="C84" s="9" t="str">
        <f t="shared" si="3"/>
        <v>N/I</v>
      </c>
      <c r="D84" s="10" t="s">
        <v>34</v>
      </c>
      <c r="E84" s="11" t="s">
        <v>35</v>
      </c>
      <c r="F84" s="11" t="s">
        <v>129</v>
      </c>
      <c r="G84" s="12" t="s">
        <v>68</v>
      </c>
      <c r="H84" s="21" t="s">
        <v>162</v>
      </c>
      <c r="I84" s="12" t="s">
        <v>131</v>
      </c>
      <c r="J84" s="10" t="s">
        <v>132</v>
      </c>
      <c r="K84" s="10" t="s">
        <v>41</v>
      </c>
      <c r="L84" s="10" t="s">
        <v>4</v>
      </c>
      <c r="M84" s="22">
        <v>45050.0</v>
      </c>
      <c r="N84" s="11" t="s">
        <v>133</v>
      </c>
      <c r="O84" s="10" t="s">
        <v>134</v>
      </c>
      <c r="P84" s="10" t="s">
        <v>44</v>
      </c>
      <c r="Q84" s="2"/>
      <c r="R84" s="10">
        <v>12.0</v>
      </c>
      <c r="S84" s="14">
        <v>45050.0</v>
      </c>
      <c r="T84" s="14">
        <v>45416.0</v>
      </c>
      <c r="U84" s="10">
        <f t="shared" si="4"/>
        <v>-675</v>
      </c>
      <c r="V84" s="2"/>
      <c r="W84" s="10">
        <v>42.0</v>
      </c>
      <c r="X84" s="14">
        <v>45417.0</v>
      </c>
      <c r="Y84" s="14">
        <v>46696.0</v>
      </c>
      <c r="Z84" s="10">
        <f t="shared" si="5"/>
        <v>605</v>
      </c>
      <c r="AA84" s="1"/>
      <c r="AB84" s="15"/>
      <c r="AC84" s="15"/>
      <c r="AD84" s="15"/>
      <c r="AE84" s="15"/>
      <c r="AF84" s="2"/>
      <c r="AG84" s="16" t="s">
        <v>45</v>
      </c>
      <c r="AH84" s="17" t="s">
        <v>46</v>
      </c>
      <c r="AI84" s="18" t="s">
        <v>47</v>
      </c>
      <c r="AJ84" s="10" t="s">
        <v>48</v>
      </c>
      <c r="AK84" s="16" t="s">
        <v>45</v>
      </c>
      <c r="AL84" s="10" t="s">
        <v>49</v>
      </c>
      <c r="AM84" s="10" t="s">
        <v>48</v>
      </c>
      <c r="AN84" s="10" t="s">
        <v>50</v>
      </c>
    </row>
    <row r="85" ht="30.0" customHeight="1">
      <c r="A85" s="9" t="str">
        <f t="shared" si="1"/>
        <v>Inativo</v>
      </c>
      <c r="B85" s="9" t="str">
        <f t="shared" si="2"/>
        <v>Ativo</v>
      </c>
      <c r="C85" s="9" t="str">
        <f t="shared" si="3"/>
        <v>N/I</v>
      </c>
      <c r="D85" s="10" t="s">
        <v>34</v>
      </c>
      <c r="E85" s="11" t="s">
        <v>35</v>
      </c>
      <c r="F85" s="11" t="s">
        <v>129</v>
      </c>
      <c r="G85" s="12" t="s">
        <v>37</v>
      </c>
      <c r="H85" s="21">
        <v>46075.0</v>
      </c>
      <c r="I85" s="12" t="s">
        <v>131</v>
      </c>
      <c r="J85" s="10" t="s">
        <v>132</v>
      </c>
      <c r="K85" s="10" t="s">
        <v>41</v>
      </c>
      <c r="L85" s="10" t="s">
        <v>4</v>
      </c>
      <c r="M85" s="22">
        <v>45050.0</v>
      </c>
      <c r="N85" s="11" t="s">
        <v>133</v>
      </c>
      <c r="O85" s="10" t="s">
        <v>134</v>
      </c>
      <c r="P85" s="10" t="s">
        <v>44</v>
      </c>
      <c r="Q85" s="2"/>
      <c r="R85" s="10">
        <v>12.0</v>
      </c>
      <c r="S85" s="14">
        <v>45050.0</v>
      </c>
      <c r="T85" s="14">
        <v>45416.0</v>
      </c>
      <c r="U85" s="10">
        <f t="shared" si="4"/>
        <v>-675</v>
      </c>
      <c r="V85" s="2"/>
      <c r="W85" s="10">
        <v>42.0</v>
      </c>
      <c r="X85" s="14">
        <v>45417.0</v>
      </c>
      <c r="Y85" s="14">
        <v>46696.0</v>
      </c>
      <c r="Z85" s="10">
        <f t="shared" si="5"/>
        <v>605</v>
      </c>
      <c r="AA85" s="1"/>
      <c r="AB85" s="15"/>
      <c r="AC85" s="15"/>
      <c r="AD85" s="15"/>
      <c r="AE85" s="15"/>
      <c r="AF85" s="2"/>
      <c r="AG85" s="16" t="s">
        <v>45</v>
      </c>
      <c r="AH85" s="17" t="s">
        <v>46</v>
      </c>
      <c r="AI85" s="18" t="s">
        <v>47</v>
      </c>
      <c r="AJ85" s="10" t="s">
        <v>48</v>
      </c>
      <c r="AK85" s="16" t="s">
        <v>45</v>
      </c>
      <c r="AL85" s="10" t="s">
        <v>49</v>
      </c>
      <c r="AM85" s="10" t="s">
        <v>48</v>
      </c>
      <c r="AN85" s="10" t="s">
        <v>50</v>
      </c>
    </row>
    <row r="86" ht="30.0" customHeight="1">
      <c r="A86" s="9" t="str">
        <f t="shared" si="1"/>
        <v>Inativo</v>
      </c>
      <c r="B86" s="9" t="str">
        <f t="shared" si="2"/>
        <v>Ativo</v>
      </c>
      <c r="C86" s="9" t="str">
        <f t="shared" si="3"/>
        <v>N/I</v>
      </c>
      <c r="D86" s="10" t="s">
        <v>34</v>
      </c>
      <c r="E86" s="11" t="s">
        <v>35</v>
      </c>
      <c r="F86" s="11" t="s">
        <v>129</v>
      </c>
      <c r="G86" s="12" t="s">
        <v>37</v>
      </c>
      <c r="H86" s="21" t="s">
        <v>163</v>
      </c>
      <c r="I86" s="12" t="s">
        <v>131</v>
      </c>
      <c r="J86" s="10" t="s">
        <v>132</v>
      </c>
      <c r="K86" s="10" t="s">
        <v>41</v>
      </c>
      <c r="L86" s="10" t="s">
        <v>4</v>
      </c>
      <c r="M86" s="22">
        <v>45051.0</v>
      </c>
      <c r="N86" s="11" t="s">
        <v>133</v>
      </c>
      <c r="O86" s="10" t="s">
        <v>134</v>
      </c>
      <c r="P86" s="10" t="s">
        <v>44</v>
      </c>
      <c r="Q86" s="2"/>
      <c r="R86" s="10">
        <v>12.0</v>
      </c>
      <c r="S86" s="14">
        <v>45051.0</v>
      </c>
      <c r="T86" s="14">
        <v>45417.0</v>
      </c>
      <c r="U86" s="10">
        <f t="shared" si="4"/>
        <v>-674</v>
      </c>
      <c r="V86" s="2"/>
      <c r="W86" s="10">
        <v>42.0</v>
      </c>
      <c r="X86" s="14">
        <v>45418.0</v>
      </c>
      <c r="Y86" s="14">
        <v>46697.0</v>
      </c>
      <c r="Z86" s="10">
        <f t="shared" si="5"/>
        <v>606</v>
      </c>
      <c r="AA86" s="1"/>
      <c r="AB86" s="15"/>
      <c r="AC86" s="15"/>
      <c r="AD86" s="15"/>
      <c r="AE86" s="15"/>
      <c r="AF86" s="2"/>
      <c r="AG86" s="16" t="s">
        <v>45</v>
      </c>
      <c r="AH86" s="17" t="s">
        <v>46</v>
      </c>
      <c r="AI86" s="18" t="s">
        <v>47</v>
      </c>
      <c r="AJ86" s="10" t="s">
        <v>48</v>
      </c>
      <c r="AK86" s="16" t="s">
        <v>45</v>
      </c>
      <c r="AL86" s="10" t="s">
        <v>49</v>
      </c>
      <c r="AM86" s="10" t="s">
        <v>48</v>
      </c>
      <c r="AN86" s="10" t="s">
        <v>50</v>
      </c>
    </row>
    <row r="87" ht="30.0" customHeight="1">
      <c r="A87" s="9" t="str">
        <f t="shared" si="1"/>
        <v>Inativo</v>
      </c>
      <c r="B87" s="9" t="str">
        <f t="shared" si="2"/>
        <v>Ativo</v>
      </c>
      <c r="C87" s="9" t="str">
        <f t="shared" si="3"/>
        <v>N/I</v>
      </c>
      <c r="D87" s="10" t="s">
        <v>34</v>
      </c>
      <c r="E87" s="11" t="s">
        <v>35</v>
      </c>
      <c r="F87" s="11" t="s">
        <v>129</v>
      </c>
      <c r="G87" s="12" t="s">
        <v>37</v>
      </c>
      <c r="H87" s="21" t="s">
        <v>164</v>
      </c>
      <c r="I87" s="12" t="s">
        <v>131</v>
      </c>
      <c r="J87" s="10" t="s">
        <v>132</v>
      </c>
      <c r="K87" s="10" t="s">
        <v>41</v>
      </c>
      <c r="L87" s="10" t="s">
        <v>4</v>
      </c>
      <c r="M87" s="22">
        <v>45085.0</v>
      </c>
      <c r="N87" s="11" t="s">
        <v>133</v>
      </c>
      <c r="O87" s="10" t="s">
        <v>134</v>
      </c>
      <c r="P87" s="10" t="s">
        <v>44</v>
      </c>
      <c r="Q87" s="2"/>
      <c r="R87" s="10">
        <v>12.0</v>
      </c>
      <c r="S87" s="14">
        <v>45085.0</v>
      </c>
      <c r="T87" s="14">
        <v>45451.0</v>
      </c>
      <c r="U87" s="10">
        <f t="shared" si="4"/>
        <v>-640</v>
      </c>
      <c r="V87" s="2"/>
      <c r="W87" s="10">
        <v>42.0</v>
      </c>
      <c r="X87" s="14">
        <v>45452.0</v>
      </c>
      <c r="Y87" s="14">
        <v>46730.0</v>
      </c>
      <c r="Z87" s="10">
        <f t="shared" si="5"/>
        <v>639</v>
      </c>
      <c r="AA87" s="1"/>
      <c r="AB87" s="15"/>
      <c r="AC87" s="15"/>
      <c r="AD87" s="15"/>
      <c r="AE87" s="15"/>
      <c r="AF87" s="2"/>
      <c r="AG87" s="16" t="s">
        <v>45</v>
      </c>
      <c r="AH87" s="17" t="s">
        <v>46</v>
      </c>
      <c r="AI87" s="18" t="s">
        <v>47</v>
      </c>
      <c r="AJ87" s="10" t="s">
        <v>48</v>
      </c>
      <c r="AK87" s="16" t="s">
        <v>45</v>
      </c>
      <c r="AL87" s="10" t="s">
        <v>49</v>
      </c>
      <c r="AM87" s="10" t="s">
        <v>48</v>
      </c>
      <c r="AN87" s="10" t="s">
        <v>50</v>
      </c>
    </row>
    <row r="88" ht="30.0" customHeight="1">
      <c r="A88" s="9" t="str">
        <f t="shared" si="1"/>
        <v>Inativo</v>
      </c>
      <c r="B88" s="9" t="str">
        <f t="shared" si="2"/>
        <v>Ativo</v>
      </c>
      <c r="C88" s="9" t="str">
        <f t="shared" si="3"/>
        <v>N/I</v>
      </c>
      <c r="D88" s="10" t="s">
        <v>34</v>
      </c>
      <c r="E88" s="11" t="s">
        <v>35</v>
      </c>
      <c r="F88" s="11" t="s">
        <v>129</v>
      </c>
      <c r="G88" s="12" t="s">
        <v>52</v>
      </c>
      <c r="H88" s="21" t="s">
        <v>165</v>
      </c>
      <c r="I88" s="12" t="s">
        <v>131</v>
      </c>
      <c r="J88" s="10" t="s">
        <v>132</v>
      </c>
      <c r="K88" s="10" t="s">
        <v>41</v>
      </c>
      <c r="L88" s="10" t="s">
        <v>4</v>
      </c>
      <c r="M88" s="14">
        <v>45119.0</v>
      </c>
      <c r="N88" s="11" t="s">
        <v>133</v>
      </c>
      <c r="O88" s="10" t="s">
        <v>134</v>
      </c>
      <c r="P88" s="10" t="s">
        <v>44</v>
      </c>
      <c r="Q88" s="2"/>
      <c r="R88" s="10">
        <v>12.0</v>
      </c>
      <c r="S88" s="14">
        <v>45119.0</v>
      </c>
      <c r="T88" s="14">
        <v>45485.0</v>
      </c>
      <c r="U88" s="10">
        <f t="shared" si="4"/>
        <v>-606</v>
      </c>
      <c r="V88" s="2"/>
      <c r="W88" s="10">
        <v>42.0</v>
      </c>
      <c r="X88" s="14">
        <v>45486.0</v>
      </c>
      <c r="Y88" s="14">
        <v>46765.0</v>
      </c>
      <c r="Z88" s="10">
        <f t="shared" si="5"/>
        <v>674</v>
      </c>
      <c r="AA88" s="1"/>
      <c r="AB88" s="15"/>
      <c r="AC88" s="15"/>
      <c r="AD88" s="15"/>
      <c r="AE88" s="15"/>
      <c r="AF88" s="2"/>
      <c r="AG88" s="16" t="s">
        <v>45</v>
      </c>
      <c r="AH88" s="17" t="s">
        <v>46</v>
      </c>
      <c r="AI88" s="18" t="s">
        <v>47</v>
      </c>
      <c r="AJ88" s="10" t="s">
        <v>48</v>
      </c>
      <c r="AK88" s="16" t="s">
        <v>45</v>
      </c>
      <c r="AL88" s="10" t="s">
        <v>49</v>
      </c>
      <c r="AM88" s="10" t="s">
        <v>48</v>
      </c>
      <c r="AN88" s="10" t="s">
        <v>50</v>
      </c>
    </row>
    <row r="89" ht="30.0" customHeight="1">
      <c r="A89" s="9" t="str">
        <f t="shared" si="1"/>
        <v>Inativo</v>
      </c>
      <c r="B89" s="9" t="str">
        <f t="shared" si="2"/>
        <v>Ativo</v>
      </c>
      <c r="C89" s="9" t="str">
        <f t="shared" si="3"/>
        <v>N/I</v>
      </c>
      <c r="D89" s="10" t="s">
        <v>34</v>
      </c>
      <c r="E89" s="11" t="s">
        <v>35</v>
      </c>
      <c r="F89" s="11" t="s">
        <v>129</v>
      </c>
      <c r="G89" s="12" t="s">
        <v>68</v>
      </c>
      <c r="H89" s="21" t="s">
        <v>166</v>
      </c>
      <c r="I89" s="12" t="s">
        <v>131</v>
      </c>
      <c r="J89" s="10" t="s">
        <v>132</v>
      </c>
      <c r="K89" s="10" t="s">
        <v>41</v>
      </c>
      <c r="L89" s="10" t="s">
        <v>4</v>
      </c>
      <c r="M89" s="22">
        <v>45538.0</v>
      </c>
      <c r="N89" s="11" t="s">
        <v>133</v>
      </c>
      <c r="O89" s="10" t="s">
        <v>134</v>
      </c>
      <c r="P89" s="10" t="s">
        <v>44</v>
      </c>
      <c r="Q89" s="2"/>
      <c r="R89" s="10">
        <v>12.0</v>
      </c>
      <c r="S89" s="14">
        <v>45538.0</v>
      </c>
      <c r="T89" s="14">
        <v>45903.0</v>
      </c>
      <c r="U89" s="10">
        <f t="shared" si="4"/>
        <v>-188</v>
      </c>
      <c r="V89" s="2"/>
      <c r="W89" s="10">
        <v>42.0</v>
      </c>
      <c r="X89" s="14">
        <v>45538.0</v>
      </c>
      <c r="Y89" s="14">
        <v>47181.0</v>
      </c>
      <c r="Z89" s="10">
        <f t="shared" si="5"/>
        <v>1090</v>
      </c>
      <c r="AA89" s="1"/>
      <c r="AB89" s="15"/>
      <c r="AC89" s="15"/>
      <c r="AD89" s="15"/>
      <c r="AE89" s="15"/>
      <c r="AF89" s="2"/>
      <c r="AG89" s="16" t="s">
        <v>45</v>
      </c>
      <c r="AH89" s="17" t="s">
        <v>46</v>
      </c>
      <c r="AI89" s="18" t="s">
        <v>47</v>
      </c>
      <c r="AJ89" s="10" t="s">
        <v>48</v>
      </c>
      <c r="AK89" s="16" t="s">
        <v>45</v>
      </c>
      <c r="AL89" s="10" t="s">
        <v>49</v>
      </c>
      <c r="AM89" s="10" t="s">
        <v>48</v>
      </c>
      <c r="AN89" s="10" t="s">
        <v>50</v>
      </c>
    </row>
    <row r="90" ht="30.0" customHeight="1">
      <c r="A90" s="9" t="str">
        <f t="shared" si="1"/>
        <v>Inativo</v>
      </c>
      <c r="B90" s="9" t="str">
        <f t="shared" si="2"/>
        <v>Ativo</v>
      </c>
      <c r="C90" s="9" t="str">
        <f t="shared" si="3"/>
        <v>N/I</v>
      </c>
      <c r="D90" s="10" t="s">
        <v>34</v>
      </c>
      <c r="E90" s="11" t="s">
        <v>35</v>
      </c>
      <c r="F90" s="11" t="s">
        <v>129</v>
      </c>
      <c r="G90" s="12" t="s">
        <v>167</v>
      </c>
      <c r="H90" s="23" t="s">
        <v>168</v>
      </c>
      <c r="I90" s="12" t="s">
        <v>131</v>
      </c>
      <c r="J90" s="10" t="s">
        <v>132</v>
      </c>
      <c r="K90" s="10" t="s">
        <v>41</v>
      </c>
      <c r="L90" s="10" t="s">
        <v>4</v>
      </c>
      <c r="M90" s="22">
        <v>45180.0</v>
      </c>
      <c r="N90" s="11" t="s">
        <v>133</v>
      </c>
      <c r="O90" s="10" t="s">
        <v>134</v>
      </c>
      <c r="P90" s="10" t="s">
        <v>44</v>
      </c>
      <c r="Q90" s="2"/>
      <c r="R90" s="10">
        <v>12.0</v>
      </c>
      <c r="S90" s="14">
        <v>45239.0</v>
      </c>
      <c r="T90" s="14">
        <v>45605.0</v>
      </c>
      <c r="U90" s="10">
        <f t="shared" si="4"/>
        <v>-486</v>
      </c>
      <c r="V90" s="2"/>
      <c r="W90" s="10">
        <v>42.0</v>
      </c>
      <c r="X90" s="14">
        <v>45606.0</v>
      </c>
      <c r="Y90" s="14">
        <v>46883.0</v>
      </c>
      <c r="Z90" s="10">
        <f t="shared" si="5"/>
        <v>792</v>
      </c>
      <c r="AA90" s="1"/>
      <c r="AB90" s="15"/>
      <c r="AC90" s="15"/>
      <c r="AD90" s="15"/>
      <c r="AE90" s="15"/>
      <c r="AF90" s="2"/>
      <c r="AG90" s="16" t="s">
        <v>45</v>
      </c>
      <c r="AH90" s="17" t="s">
        <v>46</v>
      </c>
      <c r="AI90" s="18" t="s">
        <v>47</v>
      </c>
      <c r="AJ90" s="10" t="s">
        <v>48</v>
      </c>
      <c r="AK90" s="16" t="s">
        <v>45</v>
      </c>
      <c r="AL90" s="10" t="s">
        <v>49</v>
      </c>
      <c r="AM90" s="10" t="s">
        <v>48</v>
      </c>
      <c r="AN90" s="10" t="s">
        <v>50</v>
      </c>
    </row>
    <row r="91" ht="30.0" customHeight="1">
      <c r="A91" s="9" t="str">
        <f t="shared" si="1"/>
        <v>Inativo</v>
      </c>
      <c r="B91" s="9" t="str">
        <f t="shared" si="2"/>
        <v>Ativo</v>
      </c>
      <c r="C91" s="9" t="str">
        <f t="shared" si="3"/>
        <v>N/I</v>
      </c>
      <c r="D91" s="10" t="s">
        <v>34</v>
      </c>
      <c r="E91" s="11" t="s">
        <v>35</v>
      </c>
      <c r="F91" s="11" t="s">
        <v>129</v>
      </c>
      <c r="G91" s="12" t="s">
        <v>83</v>
      </c>
      <c r="H91" s="23" t="s">
        <v>169</v>
      </c>
      <c r="I91" s="12" t="s">
        <v>131</v>
      </c>
      <c r="J91" s="10" t="s">
        <v>132</v>
      </c>
      <c r="K91" s="10" t="s">
        <v>41</v>
      </c>
      <c r="L91" s="10" t="s">
        <v>4</v>
      </c>
      <c r="M91" s="22">
        <v>45238.0</v>
      </c>
      <c r="N91" s="11" t="s">
        <v>133</v>
      </c>
      <c r="O91" s="10" t="s">
        <v>134</v>
      </c>
      <c r="P91" s="10" t="s">
        <v>44</v>
      </c>
      <c r="Q91" s="2"/>
      <c r="R91" s="10">
        <v>12.0</v>
      </c>
      <c r="S91" s="14">
        <v>45238.0</v>
      </c>
      <c r="T91" s="14">
        <v>45604.0</v>
      </c>
      <c r="U91" s="10">
        <f t="shared" si="4"/>
        <v>-487</v>
      </c>
      <c r="V91" s="2"/>
      <c r="W91" s="10">
        <v>42.0</v>
      </c>
      <c r="X91" s="14">
        <v>45238.0</v>
      </c>
      <c r="Y91" s="14">
        <v>46515.0</v>
      </c>
      <c r="Z91" s="10">
        <f t="shared" si="5"/>
        <v>424</v>
      </c>
      <c r="AA91" s="1"/>
      <c r="AB91" s="15"/>
      <c r="AC91" s="15"/>
      <c r="AD91" s="15"/>
      <c r="AE91" s="15"/>
      <c r="AF91" s="2"/>
      <c r="AG91" s="16" t="s">
        <v>45</v>
      </c>
      <c r="AH91" s="17" t="s">
        <v>46</v>
      </c>
      <c r="AI91" s="18" t="s">
        <v>47</v>
      </c>
      <c r="AJ91" s="10" t="s">
        <v>48</v>
      </c>
      <c r="AK91" s="16" t="s">
        <v>45</v>
      </c>
      <c r="AL91" s="10" t="s">
        <v>49</v>
      </c>
      <c r="AM91" s="10" t="s">
        <v>48</v>
      </c>
      <c r="AN91" s="10" t="s">
        <v>50</v>
      </c>
    </row>
    <row r="92" ht="30.0" customHeight="1">
      <c r="A92" s="9" t="str">
        <f t="shared" si="1"/>
        <v>Inativo</v>
      </c>
      <c r="B92" s="9" t="str">
        <f t="shared" si="2"/>
        <v>Ativo</v>
      </c>
      <c r="C92" s="9" t="str">
        <f t="shared" si="3"/>
        <v>N/I</v>
      </c>
      <c r="D92" s="10" t="s">
        <v>34</v>
      </c>
      <c r="E92" s="11" t="s">
        <v>35</v>
      </c>
      <c r="F92" s="11" t="s">
        <v>129</v>
      </c>
      <c r="G92" s="12" t="s">
        <v>167</v>
      </c>
      <c r="H92" s="23" t="s">
        <v>170</v>
      </c>
      <c r="I92" s="12" t="s">
        <v>131</v>
      </c>
      <c r="J92" s="10" t="s">
        <v>132</v>
      </c>
      <c r="K92" s="10" t="s">
        <v>41</v>
      </c>
      <c r="L92" s="10" t="s">
        <v>4</v>
      </c>
      <c r="M92" s="22">
        <v>45239.0</v>
      </c>
      <c r="N92" s="11" t="s">
        <v>133</v>
      </c>
      <c r="O92" s="10" t="s">
        <v>134</v>
      </c>
      <c r="P92" s="10" t="s">
        <v>44</v>
      </c>
      <c r="Q92" s="2"/>
      <c r="R92" s="10">
        <v>12.0</v>
      </c>
      <c r="S92" s="14">
        <v>45239.0</v>
      </c>
      <c r="T92" s="14">
        <v>45605.0</v>
      </c>
      <c r="U92" s="10">
        <f t="shared" si="4"/>
        <v>-486</v>
      </c>
      <c r="V92" s="2"/>
      <c r="W92" s="10">
        <v>42.0</v>
      </c>
      <c r="X92" s="14">
        <v>45606.0</v>
      </c>
      <c r="Y92" s="14">
        <v>46883.0</v>
      </c>
      <c r="Z92" s="10">
        <f t="shared" si="5"/>
        <v>792</v>
      </c>
      <c r="AA92" s="1"/>
      <c r="AB92" s="15"/>
      <c r="AC92" s="15"/>
      <c r="AD92" s="15"/>
      <c r="AE92" s="15"/>
      <c r="AF92" s="2"/>
      <c r="AG92" s="16" t="s">
        <v>45</v>
      </c>
      <c r="AH92" s="17" t="s">
        <v>46</v>
      </c>
      <c r="AI92" s="18" t="s">
        <v>47</v>
      </c>
      <c r="AJ92" s="10" t="s">
        <v>48</v>
      </c>
      <c r="AK92" s="16" t="s">
        <v>45</v>
      </c>
      <c r="AL92" s="10" t="s">
        <v>49</v>
      </c>
      <c r="AM92" s="10" t="s">
        <v>48</v>
      </c>
      <c r="AN92" s="10" t="s">
        <v>50</v>
      </c>
    </row>
    <row r="93" ht="30.0" customHeight="1">
      <c r="A93" s="9" t="str">
        <f t="shared" si="1"/>
        <v>Inativo</v>
      </c>
      <c r="B93" s="9" t="str">
        <f t="shared" si="2"/>
        <v>Ativo</v>
      </c>
      <c r="C93" s="9" t="str">
        <f t="shared" si="3"/>
        <v>N/I</v>
      </c>
      <c r="D93" s="10" t="s">
        <v>34</v>
      </c>
      <c r="E93" s="11" t="s">
        <v>35</v>
      </c>
      <c r="F93" s="11" t="s">
        <v>129</v>
      </c>
      <c r="G93" s="12" t="s">
        <v>171</v>
      </c>
      <c r="H93" s="23" t="s">
        <v>172</v>
      </c>
      <c r="I93" s="12" t="s">
        <v>131</v>
      </c>
      <c r="J93" s="10" t="s">
        <v>132</v>
      </c>
      <c r="K93" s="10" t="s">
        <v>41</v>
      </c>
      <c r="L93" s="10" t="s">
        <v>4</v>
      </c>
      <c r="M93" s="22">
        <v>45240.0</v>
      </c>
      <c r="N93" s="11" t="s">
        <v>133</v>
      </c>
      <c r="O93" s="10" t="s">
        <v>134</v>
      </c>
      <c r="P93" s="10" t="s">
        <v>44</v>
      </c>
      <c r="Q93" s="2"/>
      <c r="R93" s="10">
        <v>12.0</v>
      </c>
      <c r="S93" s="14">
        <v>45240.0</v>
      </c>
      <c r="T93" s="14">
        <v>45606.0</v>
      </c>
      <c r="U93" s="10">
        <f t="shared" si="4"/>
        <v>-485</v>
      </c>
      <c r="V93" s="2"/>
      <c r="W93" s="10">
        <v>42.0</v>
      </c>
      <c r="X93" s="14">
        <v>45240.0</v>
      </c>
      <c r="Y93" s="14">
        <v>46517.0</v>
      </c>
      <c r="Z93" s="10">
        <f t="shared" si="5"/>
        <v>426</v>
      </c>
      <c r="AA93" s="1"/>
      <c r="AB93" s="15"/>
      <c r="AC93" s="15"/>
      <c r="AD93" s="15"/>
      <c r="AE93" s="15"/>
      <c r="AF93" s="2"/>
      <c r="AG93" s="16" t="s">
        <v>45</v>
      </c>
      <c r="AH93" s="17" t="s">
        <v>46</v>
      </c>
      <c r="AI93" s="18" t="s">
        <v>47</v>
      </c>
      <c r="AJ93" s="10" t="s">
        <v>48</v>
      </c>
      <c r="AK93" s="16" t="s">
        <v>45</v>
      </c>
      <c r="AL93" s="10" t="s">
        <v>49</v>
      </c>
      <c r="AM93" s="10" t="s">
        <v>48</v>
      </c>
      <c r="AN93" s="10" t="s">
        <v>50</v>
      </c>
    </row>
    <row r="94" ht="30.0" customHeight="1">
      <c r="A94" s="9" t="str">
        <f t="shared" si="1"/>
        <v>Inativo</v>
      </c>
      <c r="B94" s="9" t="str">
        <f t="shared" si="2"/>
        <v>Ativo</v>
      </c>
      <c r="C94" s="9" t="str">
        <f t="shared" si="3"/>
        <v>N/I</v>
      </c>
      <c r="D94" s="10" t="s">
        <v>34</v>
      </c>
      <c r="E94" s="11" t="s">
        <v>35</v>
      </c>
      <c r="F94" s="11" t="s">
        <v>129</v>
      </c>
      <c r="G94" s="12" t="s">
        <v>171</v>
      </c>
      <c r="H94" s="23" t="s">
        <v>173</v>
      </c>
      <c r="I94" s="12" t="s">
        <v>131</v>
      </c>
      <c r="J94" s="10" t="s">
        <v>132</v>
      </c>
      <c r="K94" s="10" t="s">
        <v>41</v>
      </c>
      <c r="L94" s="10" t="s">
        <v>4</v>
      </c>
      <c r="M94" s="22">
        <v>45240.0</v>
      </c>
      <c r="N94" s="11" t="s">
        <v>133</v>
      </c>
      <c r="O94" s="10" t="s">
        <v>134</v>
      </c>
      <c r="P94" s="10" t="s">
        <v>44</v>
      </c>
      <c r="Q94" s="2"/>
      <c r="R94" s="10">
        <v>12.0</v>
      </c>
      <c r="S94" s="14">
        <v>45240.0</v>
      </c>
      <c r="T94" s="14">
        <v>45606.0</v>
      </c>
      <c r="U94" s="10">
        <f t="shared" si="4"/>
        <v>-485</v>
      </c>
      <c r="V94" s="2"/>
      <c r="W94" s="10">
        <v>42.0</v>
      </c>
      <c r="X94" s="14">
        <v>45240.0</v>
      </c>
      <c r="Y94" s="14">
        <v>46517.0</v>
      </c>
      <c r="Z94" s="10">
        <f t="shared" si="5"/>
        <v>426</v>
      </c>
      <c r="AA94" s="1"/>
      <c r="AB94" s="15"/>
      <c r="AC94" s="15"/>
      <c r="AD94" s="15"/>
      <c r="AE94" s="15"/>
      <c r="AF94" s="2"/>
      <c r="AG94" s="16" t="s">
        <v>45</v>
      </c>
      <c r="AH94" s="17" t="s">
        <v>46</v>
      </c>
      <c r="AI94" s="18" t="s">
        <v>47</v>
      </c>
      <c r="AJ94" s="10" t="s">
        <v>48</v>
      </c>
      <c r="AK94" s="16" t="s">
        <v>45</v>
      </c>
      <c r="AL94" s="10" t="s">
        <v>49</v>
      </c>
      <c r="AM94" s="10" t="s">
        <v>48</v>
      </c>
      <c r="AN94" s="10" t="s">
        <v>50</v>
      </c>
    </row>
    <row r="95" ht="30.0" customHeight="1">
      <c r="A95" s="9" t="str">
        <f t="shared" si="1"/>
        <v>Inativo</v>
      </c>
      <c r="B95" s="9" t="str">
        <f t="shared" si="2"/>
        <v>Ativo</v>
      </c>
      <c r="C95" s="9" t="str">
        <f t="shared" si="3"/>
        <v>N/I</v>
      </c>
      <c r="D95" s="10" t="s">
        <v>34</v>
      </c>
      <c r="E95" s="11" t="s">
        <v>35</v>
      </c>
      <c r="F95" s="11" t="s">
        <v>129</v>
      </c>
      <c r="G95" s="12" t="s">
        <v>171</v>
      </c>
      <c r="H95" s="23" t="s">
        <v>174</v>
      </c>
      <c r="I95" s="12" t="s">
        <v>131</v>
      </c>
      <c r="J95" s="10" t="s">
        <v>132</v>
      </c>
      <c r="K95" s="10" t="s">
        <v>41</v>
      </c>
      <c r="L95" s="10" t="s">
        <v>4</v>
      </c>
      <c r="M95" s="22">
        <v>45240.0</v>
      </c>
      <c r="N95" s="11" t="s">
        <v>133</v>
      </c>
      <c r="O95" s="10" t="s">
        <v>134</v>
      </c>
      <c r="P95" s="10" t="s">
        <v>44</v>
      </c>
      <c r="Q95" s="2"/>
      <c r="R95" s="10">
        <v>12.0</v>
      </c>
      <c r="S95" s="14">
        <v>45240.0</v>
      </c>
      <c r="T95" s="14">
        <v>45606.0</v>
      </c>
      <c r="U95" s="10">
        <f t="shared" si="4"/>
        <v>-485</v>
      </c>
      <c r="V95" s="2"/>
      <c r="W95" s="10">
        <v>42.0</v>
      </c>
      <c r="X95" s="14">
        <v>45240.0</v>
      </c>
      <c r="Y95" s="14">
        <v>46517.0</v>
      </c>
      <c r="Z95" s="10">
        <f t="shared" si="5"/>
        <v>426</v>
      </c>
      <c r="AA95" s="1"/>
      <c r="AB95" s="15"/>
      <c r="AC95" s="15"/>
      <c r="AD95" s="15"/>
      <c r="AE95" s="15"/>
      <c r="AF95" s="2"/>
      <c r="AG95" s="16" t="s">
        <v>45</v>
      </c>
      <c r="AH95" s="17" t="s">
        <v>46</v>
      </c>
      <c r="AI95" s="18" t="s">
        <v>47</v>
      </c>
      <c r="AJ95" s="10" t="s">
        <v>48</v>
      </c>
      <c r="AK95" s="16" t="s">
        <v>45</v>
      </c>
      <c r="AL95" s="10" t="s">
        <v>49</v>
      </c>
      <c r="AM95" s="10" t="s">
        <v>48</v>
      </c>
      <c r="AN95" s="10" t="s">
        <v>50</v>
      </c>
    </row>
    <row r="96" ht="30.0" customHeight="1">
      <c r="A96" s="9" t="str">
        <f t="shared" si="1"/>
        <v>Inativo</v>
      </c>
      <c r="B96" s="9" t="str">
        <f t="shared" si="2"/>
        <v>Ativo</v>
      </c>
      <c r="C96" s="9" t="str">
        <f t="shared" si="3"/>
        <v>N/I</v>
      </c>
      <c r="D96" s="10" t="s">
        <v>34</v>
      </c>
      <c r="E96" s="11" t="s">
        <v>35</v>
      </c>
      <c r="F96" s="11" t="s">
        <v>129</v>
      </c>
      <c r="G96" s="12" t="s">
        <v>171</v>
      </c>
      <c r="H96" s="23" t="s">
        <v>175</v>
      </c>
      <c r="I96" s="12" t="s">
        <v>131</v>
      </c>
      <c r="J96" s="10" t="s">
        <v>132</v>
      </c>
      <c r="K96" s="10" t="s">
        <v>41</v>
      </c>
      <c r="L96" s="10" t="s">
        <v>4</v>
      </c>
      <c r="M96" s="22">
        <v>45240.0</v>
      </c>
      <c r="N96" s="11" t="s">
        <v>133</v>
      </c>
      <c r="O96" s="10" t="s">
        <v>134</v>
      </c>
      <c r="P96" s="10" t="s">
        <v>44</v>
      </c>
      <c r="Q96" s="2"/>
      <c r="R96" s="10">
        <v>12.0</v>
      </c>
      <c r="S96" s="14">
        <v>45240.0</v>
      </c>
      <c r="T96" s="14">
        <v>45606.0</v>
      </c>
      <c r="U96" s="10">
        <f t="shared" si="4"/>
        <v>-485</v>
      </c>
      <c r="V96" s="2"/>
      <c r="W96" s="10">
        <v>42.0</v>
      </c>
      <c r="X96" s="14">
        <v>45240.0</v>
      </c>
      <c r="Y96" s="14">
        <v>46517.0</v>
      </c>
      <c r="Z96" s="10">
        <f t="shared" si="5"/>
        <v>426</v>
      </c>
      <c r="AA96" s="1"/>
      <c r="AB96" s="15"/>
      <c r="AC96" s="15"/>
      <c r="AD96" s="15"/>
      <c r="AE96" s="15"/>
      <c r="AF96" s="2"/>
      <c r="AG96" s="16" t="s">
        <v>45</v>
      </c>
      <c r="AH96" s="17" t="s">
        <v>46</v>
      </c>
      <c r="AI96" s="18" t="s">
        <v>47</v>
      </c>
      <c r="AJ96" s="10" t="s">
        <v>48</v>
      </c>
      <c r="AK96" s="16" t="s">
        <v>45</v>
      </c>
      <c r="AL96" s="10" t="s">
        <v>49</v>
      </c>
      <c r="AM96" s="10" t="s">
        <v>48</v>
      </c>
      <c r="AN96" s="10" t="s">
        <v>50</v>
      </c>
    </row>
    <row r="97" ht="30.0" customHeight="1">
      <c r="A97" s="9" t="str">
        <f t="shared" si="1"/>
        <v>Inativo</v>
      </c>
      <c r="B97" s="9" t="str">
        <f t="shared" si="2"/>
        <v>Ativo</v>
      </c>
      <c r="C97" s="9" t="str">
        <f t="shared" si="3"/>
        <v>N/I</v>
      </c>
      <c r="D97" s="10" t="s">
        <v>34</v>
      </c>
      <c r="E97" s="11" t="s">
        <v>35</v>
      </c>
      <c r="F97" s="11" t="s">
        <v>129</v>
      </c>
      <c r="G97" s="12" t="s">
        <v>171</v>
      </c>
      <c r="H97" s="23" t="s">
        <v>176</v>
      </c>
      <c r="I97" s="12" t="s">
        <v>131</v>
      </c>
      <c r="J97" s="10" t="s">
        <v>132</v>
      </c>
      <c r="K97" s="10" t="s">
        <v>41</v>
      </c>
      <c r="L97" s="10" t="s">
        <v>4</v>
      </c>
      <c r="M97" s="22">
        <v>45240.0</v>
      </c>
      <c r="N97" s="11" t="s">
        <v>133</v>
      </c>
      <c r="O97" s="10" t="s">
        <v>134</v>
      </c>
      <c r="P97" s="10" t="s">
        <v>44</v>
      </c>
      <c r="Q97" s="2"/>
      <c r="R97" s="10">
        <v>12.0</v>
      </c>
      <c r="S97" s="14">
        <v>45240.0</v>
      </c>
      <c r="T97" s="14">
        <v>45606.0</v>
      </c>
      <c r="U97" s="10">
        <f t="shared" si="4"/>
        <v>-485</v>
      </c>
      <c r="V97" s="2"/>
      <c r="W97" s="10">
        <v>42.0</v>
      </c>
      <c r="X97" s="14">
        <v>45240.0</v>
      </c>
      <c r="Y97" s="14">
        <v>46517.0</v>
      </c>
      <c r="Z97" s="10">
        <f t="shared" si="5"/>
        <v>426</v>
      </c>
      <c r="AA97" s="1"/>
      <c r="AB97" s="15"/>
      <c r="AC97" s="15"/>
      <c r="AD97" s="15"/>
      <c r="AE97" s="15"/>
      <c r="AF97" s="2"/>
      <c r="AG97" s="16" t="s">
        <v>45</v>
      </c>
      <c r="AH97" s="17" t="s">
        <v>46</v>
      </c>
      <c r="AI97" s="18" t="s">
        <v>47</v>
      </c>
      <c r="AJ97" s="10" t="s">
        <v>48</v>
      </c>
      <c r="AK97" s="16" t="s">
        <v>45</v>
      </c>
      <c r="AL97" s="10" t="s">
        <v>49</v>
      </c>
      <c r="AM97" s="10" t="s">
        <v>48</v>
      </c>
      <c r="AN97" s="10" t="s">
        <v>50</v>
      </c>
    </row>
    <row r="98" ht="30.0" customHeight="1">
      <c r="A98" s="9" t="str">
        <f t="shared" si="1"/>
        <v>Inativo</v>
      </c>
      <c r="B98" s="9" t="str">
        <f t="shared" si="2"/>
        <v>Ativo</v>
      </c>
      <c r="C98" s="9" t="str">
        <f t="shared" si="3"/>
        <v>N/I</v>
      </c>
      <c r="D98" s="10" t="s">
        <v>34</v>
      </c>
      <c r="E98" s="11" t="s">
        <v>35</v>
      </c>
      <c r="F98" s="11" t="s">
        <v>129</v>
      </c>
      <c r="G98" s="12" t="s">
        <v>52</v>
      </c>
      <c r="H98" s="21" t="s">
        <v>177</v>
      </c>
      <c r="I98" s="12" t="s">
        <v>131</v>
      </c>
      <c r="J98" s="10" t="s">
        <v>132</v>
      </c>
      <c r="K98" s="10" t="s">
        <v>41</v>
      </c>
      <c r="L98" s="10" t="s">
        <v>4</v>
      </c>
      <c r="M98" s="14">
        <v>45247.0</v>
      </c>
      <c r="N98" s="11" t="s">
        <v>133</v>
      </c>
      <c r="O98" s="10" t="s">
        <v>134</v>
      </c>
      <c r="P98" s="10" t="s">
        <v>44</v>
      </c>
      <c r="Q98" s="2"/>
      <c r="R98" s="10">
        <v>12.0</v>
      </c>
      <c r="S98" s="14">
        <v>45247.0</v>
      </c>
      <c r="T98" s="14">
        <v>45613.0</v>
      </c>
      <c r="U98" s="10">
        <f t="shared" si="4"/>
        <v>-478</v>
      </c>
      <c r="V98" s="2"/>
      <c r="W98" s="10">
        <v>42.0</v>
      </c>
      <c r="X98" s="14">
        <v>45614.0</v>
      </c>
      <c r="Y98" s="14">
        <v>46891.0</v>
      </c>
      <c r="Z98" s="10">
        <f t="shared" si="5"/>
        <v>800</v>
      </c>
      <c r="AA98" s="1"/>
      <c r="AB98" s="15"/>
      <c r="AC98" s="15"/>
      <c r="AD98" s="15"/>
      <c r="AE98" s="15"/>
      <c r="AF98" s="2"/>
      <c r="AG98" s="16" t="s">
        <v>45</v>
      </c>
      <c r="AH98" s="17" t="s">
        <v>46</v>
      </c>
      <c r="AI98" s="18" t="s">
        <v>47</v>
      </c>
      <c r="AJ98" s="10" t="s">
        <v>48</v>
      </c>
      <c r="AK98" s="16" t="s">
        <v>45</v>
      </c>
      <c r="AL98" s="10" t="s">
        <v>49</v>
      </c>
      <c r="AM98" s="10" t="s">
        <v>48</v>
      </c>
      <c r="AN98" s="10" t="s">
        <v>50</v>
      </c>
    </row>
    <row r="99" ht="30.0" customHeight="1">
      <c r="A99" s="9" t="str">
        <f t="shared" si="1"/>
        <v>Inativo</v>
      </c>
      <c r="B99" s="9" t="str">
        <f t="shared" si="2"/>
        <v>Ativo</v>
      </c>
      <c r="C99" s="9" t="str">
        <f t="shared" si="3"/>
        <v>N/I</v>
      </c>
      <c r="D99" s="10" t="s">
        <v>34</v>
      </c>
      <c r="E99" s="11" t="s">
        <v>35</v>
      </c>
      <c r="F99" s="11" t="s">
        <v>129</v>
      </c>
      <c r="G99" s="12" t="s">
        <v>37</v>
      </c>
      <c r="H99" s="21" t="s">
        <v>178</v>
      </c>
      <c r="I99" s="12" t="s">
        <v>131</v>
      </c>
      <c r="J99" s="10" t="s">
        <v>132</v>
      </c>
      <c r="K99" s="10" t="s">
        <v>41</v>
      </c>
      <c r="L99" s="10" t="s">
        <v>4</v>
      </c>
      <c r="M99" s="22">
        <v>45289.0</v>
      </c>
      <c r="N99" s="11" t="s">
        <v>133</v>
      </c>
      <c r="O99" s="10" t="s">
        <v>134</v>
      </c>
      <c r="P99" s="10" t="s">
        <v>44</v>
      </c>
      <c r="Q99" s="2"/>
      <c r="R99" s="10">
        <v>12.0</v>
      </c>
      <c r="S99" s="14">
        <v>45289.0</v>
      </c>
      <c r="T99" s="14">
        <v>45655.0</v>
      </c>
      <c r="U99" s="10">
        <f t="shared" si="4"/>
        <v>-436</v>
      </c>
      <c r="V99" s="2"/>
      <c r="W99" s="10">
        <v>42.0</v>
      </c>
      <c r="X99" s="14">
        <v>45656.0</v>
      </c>
      <c r="Y99" s="14">
        <v>46934.0</v>
      </c>
      <c r="Z99" s="10">
        <f t="shared" si="5"/>
        <v>843</v>
      </c>
      <c r="AA99" s="1"/>
      <c r="AB99" s="15"/>
      <c r="AC99" s="15"/>
      <c r="AD99" s="15"/>
      <c r="AE99" s="15"/>
      <c r="AF99" s="2"/>
      <c r="AG99" s="16" t="s">
        <v>45</v>
      </c>
      <c r="AH99" s="17" t="s">
        <v>46</v>
      </c>
      <c r="AI99" s="18" t="s">
        <v>47</v>
      </c>
      <c r="AJ99" s="10" t="s">
        <v>48</v>
      </c>
      <c r="AK99" s="16" t="s">
        <v>45</v>
      </c>
      <c r="AL99" s="10" t="s">
        <v>49</v>
      </c>
      <c r="AM99" s="10" t="s">
        <v>48</v>
      </c>
      <c r="AN99" s="10" t="s">
        <v>50</v>
      </c>
    </row>
    <row r="100" ht="30.0" customHeight="1">
      <c r="A100" s="9" t="str">
        <f t="shared" si="1"/>
        <v>N/I</v>
      </c>
      <c r="B100" s="9" t="str">
        <f t="shared" si="2"/>
        <v>N/I</v>
      </c>
      <c r="C100" s="9" t="str">
        <f t="shared" si="3"/>
        <v>N/I</v>
      </c>
      <c r="D100" s="10" t="s">
        <v>34</v>
      </c>
      <c r="E100" s="11" t="s">
        <v>35</v>
      </c>
      <c r="F100" s="11" t="s">
        <v>129</v>
      </c>
      <c r="G100" s="12" t="s">
        <v>68</v>
      </c>
      <c r="H100" s="23" t="s">
        <v>179</v>
      </c>
      <c r="I100" s="12" t="s">
        <v>131</v>
      </c>
      <c r="J100" s="10" t="s">
        <v>132</v>
      </c>
      <c r="K100" s="10" t="s">
        <v>41</v>
      </c>
      <c r="L100" s="10" t="s">
        <v>4</v>
      </c>
      <c r="M100" s="24" t="s">
        <v>180</v>
      </c>
      <c r="N100" s="11" t="s">
        <v>133</v>
      </c>
      <c r="O100" s="10" t="s">
        <v>134</v>
      </c>
      <c r="P100" s="10" t="s">
        <v>44</v>
      </c>
      <c r="Q100" s="2"/>
      <c r="R100" s="24" t="s">
        <v>180</v>
      </c>
      <c r="S100" s="24" t="s">
        <v>180</v>
      </c>
      <c r="T100" s="24" t="s">
        <v>180</v>
      </c>
      <c r="U100" s="24"/>
      <c r="V100" s="2"/>
      <c r="W100" s="24" t="s">
        <v>180</v>
      </c>
      <c r="X100" s="24" t="s">
        <v>180</v>
      </c>
      <c r="Y100" s="24" t="s">
        <v>180</v>
      </c>
      <c r="Z100" s="24"/>
      <c r="AA100" s="1"/>
      <c r="AB100" s="15"/>
      <c r="AC100" s="15"/>
      <c r="AD100" s="15"/>
      <c r="AE100" s="15"/>
      <c r="AF100" s="2"/>
      <c r="AG100" s="16" t="s">
        <v>45</v>
      </c>
      <c r="AH100" s="17" t="s">
        <v>46</v>
      </c>
      <c r="AI100" s="18" t="s">
        <v>47</v>
      </c>
      <c r="AJ100" s="10" t="s">
        <v>48</v>
      </c>
      <c r="AK100" s="16" t="s">
        <v>45</v>
      </c>
      <c r="AL100" s="10" t="s">
        <v>49</v>
      </c>
      <c r="AM100" s="10" t="s">
        <v>48</v>
      </c>
      <c r="AN100" s="10" t="s">
        <v>50</v>
      </c>
    </row>
    <row r="101" ht="30.0" customHeight="1">
      <c r="A101" s="9" t="str">
        <f t="shared" si="1"/>
        <v>Ativo</v>
      </c>
      <c r="B101" s="9" t="str">
        <f t="shared" si="2"/>
        <v>Ativo</v>
      </c>
      <c r="C101" s="9" t="str">
        <f t="shared" si="3"/>
        <v>N/I</v>
      </c>
      <c r="D101" s="10" t="s">
        <v>34</v>
      </c>
      <c r="E101" s="11" t="s">
        <v>35</v>
      </c>
      <c r="F101" s="11" t="s">
        <v>129</v>
      </c>
      <c r="G101" s="12" t="s">
        <v>181</v>
      </c>
      <c r="H101" s="23" t="s">
        <v>182</v>
      </c>
      <c r="I101" s="12" t="s">
        <v>131</v>
      </c>
      <c r="J101" s="10" t="s">
        <v>132</v>
      </c>
      <c r="K101" s="10" t="s">
        <v>41</v>
      </c>
      <c r="L101" s="10" t="s">
        <v>4</v>
      </c>
      <c r="M101" s="22">
        <v>45727.0</v>
      </c>
      <c r="N101" s="11" t="s">
        <v>133</v>
      </c>
      <c r="O101" s="10" t="s">
        <v>134</v>
      </c>
      <c r="P101" s="10" t="s">
        <v>44</v>
      </c>
      <c r="Q101" s="2"/>
      <c r="R101" s="10">
        <v>12.0</v>
      </c>
      <c r="S101" s="14">
        <v>45727.0</v>
      </c>
      <c r="T101" s="14">
        <v>46092.0</v>
      </c>
      <c r="U101" s="10">
        <f t="shared" ref="U101:U102" si="6">T101-TODAY()</f>
        <v>1</v>
      </c>
      <c r="V101" s="2"/>
      <c r="W101" s="10">
        <v>42.0</v>
      </c>
      <c r="X101" s="14">
        <v>45727.0</v>
      </c>
      <c r="Y101" s="14">
        <v>47007.0</v>
      </c>
      <c r="Z101" s="10">
        <f t="shared" ref="Z101:Z102" si="7">Y101-TODAY()</f>
        <v>916</v>
      </c>
      <c r="AA101" s="1"/>
      <c r="AB101" s="15"/>
      <c r="AC101" s="15"/>
      <c r="AD101" s="15"/>
      <c r="AE101" s="15"/>
      <c r="AF101" s="2"/>
      <c r="AG101" s="16" t="s">
        <v>45</v>
      </c>
      <c r="AH101" s="17" t="s">
        <v>46</v>
      </c>
      <c r="AI101" s="18" t="s">
        <v>47</v>
      </c>
      <c r="AJ101" s="10" t="s">
        <v>48</v>
      </c>
      <c r="AK101" s="16" t="s">
        <v>45</v>
      </c>
      <c r="AL101" s="10" t="s">
        <v>49</v>
      </c>
      <c r="AM101" s="10" t="s">
        <v>48</v>
      </c>
      <c r="AN101" s="10" t="s">
        <v>50</v>
      </c>
    </row>
    <row r="102" ht="30.0" customHeight="1">
      <c r="A102" s="9" t="str">
        <f t="shared" si="1"/>
        <v>Ativo</v>
      </c>
      <c r="B102" s="9" t="str">
        <f t="shared" si="2"/>
        <v>Ativo</v>
      </c>
      <c r="C102" s="9" t="str">
        <f t="shared" si="3"/>
        <v>N/I</v>
      </c>
      <c r="D102" s="10" t="s">
        <v>34</v>
      </c>
      <c r="E102" s="11" t="s">
        <v>35</v>
      </c>
      <c r="F102" s="11" t="s">
        <v>129</v>
      </c>
      <c r="G102" s="12" t="s">
        <v>181</v>
      </c>
      <c r="H102" s="23" t="s">
        <v>183</v>
      </c>
      <c r="I102" s="12" t="s">
        <v>131</v>
      </c>
      <c r="J102" s="10" t="s">
        <v>132</v>
      </c>
      <c r="K102" s="10" t="s">
        <v>41</v>
      </c>
      <c r="L102" s="10" t="s">
        <v>4</v>
      </c>
      <c r="M102" s="22">
        <v>45727.0</v>
      </c>
      <c r="N102" s="11" t="s">
        <v>133</v>
      </c>
      <c r="O102" s="10" t="s">
        <v>134</v>
      </c>
      <c r="P102" s="10" t="s">
        <v>44</v>
      </c>
      <c r="Q102" s="2"/>
      <c r="R102" s="10">
        <v>12.0</v>
      </c>
      <c r="S102" s="14">
        <v>45727.0</v>
      </c>
      <c r="T102" s="14">
        <v>46092.0</v>
      </c>
      <c r="U102" s="10">
        <f t="shared" si="6"/>
        <v>1</v>
      </c>
      <c r="V102" s="2"/>
      <c r="W102" s="10">
        <v>42.0</v>
      </c>
      <c r="X102" s="14">
        <v>45727.0</v>
      </c>
      <c r="Y102" s="14">
        <v>47007.0</v>
      </c>
      <c r="Z102" s="10">
        <f t="shared" si="7"/>
        <v>916</v>
      </c>
      <c r="AA102" s="1"/>
      <c r="AB102" s="15"/>
      <c r="AC102" s="15"/>
      <c r="AD102" s="15"/>
      <c r="AE102" s="15"/>
      <c r="AF102" s="2"/>
      <c r="AG102" s="16" t="s">
        <v>45</v>
      </c>
      <c r="AH102" s="17" t="s">
        <v>46</v>
      </c>
      <c r="AI102" s="18" t="s">
        <v>47</v>
      </c>
      <c r="AJ102" s="10" t="s">
        <v>48</v>
      </c>
      <c r="AK102" s="16" t="s">
        <v>45</v>
      </c>
      <c r="AL102" s="10" t="s">
        <v>49</v>
      </c>
      <c r="AM102" s="10" t="s">
        <v>48</v>
      </c>
      <c r="AN102" s="10" t="s">
        <v>50</v>
      </c>
    </row>
    <row r="103" ht="30.0" customHeight="1">
      <c r="A103" s="9" t="str">
        <f t="shared" si="1"/>
        <v>N/I</v>
      </c>
      <c r="B103" s="9" t="str">
        <f t="shared" si="2"/>
        <v>N/I</v>
      </c>
      <c r="C103" s="9" t="str">
        <f t="shared" si="3"/>
        <v>N/I</v>
      </c>
      <c r="D103" s="10" t="s">
        <v>184</v>
      </c>
      <c r="E103" s="11" t="s">
        <v>185</v>
      </c>
      <c r="F103" s="11" t="s">
        <v>186</v>
      </c>
      <c r="G103" s="12" t="s">
        <v>68</v>
      </c>
      <c r="H103" s="25" t="s">
        <v>187</v>
      </c>
      <c r="I103" s="12" t="s">
        <v>188</v>
      </c>
      <c r="J103" s="10" t="s">
        <v>189</v>
      </c>
      <c r="K103" s="10" t="s">
        <v>190</v>
      </c>
      <c r="L103" s="10" t="s">
        <v>4</v>
      </c>
      <c r="M103" s="26" t="s">
        <v>191</v>
      </c>
      <c r="N103" s="11"/>
      <c r="O103" s="10"/>
      <c r="P103" s="10" t="s">
        <v>192</v>
      </c>
      <c r="Q103" s="2"/>
      <c r="R103" s="24" t="s">
        <v>193</v>
      </c>
      <c r="S103" s="24" t="s">
        <v>193</v>
      </c>
      <c r="T103" s="24" t="s">
        <v>193</v>
      </c>
      <c r="U103" s="24"/>
      <c r="V103" s="2"/>
      <c r="W103" s="15"/>
      <c r="X103" s="15"/>
      <c r="Y103" s="15"/>
      <c r="Z103" s="15"/>
      <c r="AA103" s="1"/>
      <c r="AB103" s="15"/>
      <c r="AC103" s="15"/>
      <c r="AD103" s="15"/>
      <c r="AE103" s="15"/>
      <c r="AF103" s="2"/>
      <c r="AG103" s="10"/>
      <c r="AH103" s="10"/>
      <c r="AI103" s="10"/>
      <c r="AJ103" s="10"/>
      <c r="AK103" s="10"/>
      <c r="AL103" s="10"/>
      <c r="AM103" s="10"/>
      <c r="AN103" s="10"/>
    </row>
    <row r="104" ht="30.0" customHeight="1">
      <c r="A104" s="9" t="str">
        <f t="shared" si="1"/>
        <v>N/I</v>
      </c>
      <c r="B104" s="9" t="str">
        <f t="shared" si="2"/>
        <v>N/I</v>
      </c>
      <c r="C104" s="9" t="str">
        <f t="shared" si="3"/>
        <v>N/I</v>
      </c>
      <c r="D104" s="10" t="s">
        <v>184</v>
      </c>
      <c r="E104" s="11" t="s">
        <v>185</v>
      </c>
      <c r="F104" s="11" t="s">
        <v>186</v>
      </c>
      <c r="G104" s="12" t="s">
        <v>68</v>
      </c>
      <c r="H104" s="25" t="s">
        <v>187</v>
      </c>
      <c r="I104" s="12" t="s">
        <v>188</v>
      </c>
      <c r="J104" s="10" t="s">
        <v>189</v>
      </c>
      <c r="K104" s="10" t="s">
        <v>190</v>
      </c>
      <c r="L104" s="10" t="s">
        <v>4</v>
      </c>
      <c r="M104" s="26" t="s">
        <v>191</v>
      </c>
      <c r="N104" s="11"/>
      <c r="O104" s="10"/>
      <c r="P104" s="10" t="s">
        <v>192</v>
      </c>
      <c r="Q104" s="2"/>
      <c r="R104" s="24" t="s">
        <v>193</v>
      </c>
      <c r="S104" s="24" t="s">
        <v>193</v>
      </c>
      <c r="T104" s="24" t="s">
        <v>193</v>
      </c>
      <c r="U104" s="24"/>
      <c r="V104" s="2"/>
      <c r="W104" s="15"/>
      <c r="X104" s="15"/>
      <c r="Y104" s="15"/>
      <c r="Z104" s="15"/>
      <c r="AA104" s="1"/>
      <c r="AB104" s="15"/>
      <c r="AC104" s="15"/>
      <c r="AD104" s="15"/>
      <c r="AE104" s="15"/>
      <c r="AF104" s="2"/>
      <c r="AG104" s="10"/>
      <c r="AH104" s="10"/>
      <c r="AI104" s="10"/>
      <c r="AJ104" s="10"/>
      <c r="AK104" s="10"/>
      <c r="AL104" s="10"/>
      <c r="AM104" s="10"/>
      <c r="AN104" s="10"/>
    </row>
    <row r="105" ht="30.0" customHeight="1">
      <c r="A105" s="9" t="str">
        <f t="shared" si="1"/>
        <v>N/I</v>
      </c>
      <c r="B105" s="9" t="str">
        <f t="shared" si="2"/>
        <v>N/I</v>
      </c>
      <c r="C105" s="9" t="str">
        <f t="shared" si="3"/>
        <v>N/I</v>
      </c>
      <c r="D105" s="10" t="s">
        <v>184</v>
      </c>
      <c r="E105" s="11" t="s">
        <v>185</v>
      </c>
      <c r="F105" s="11" t="s">
        <v>186</v>
      </c>
      <c r="G105" s="12" t="s">
        <v>68</v>
      </c>
      <c r="H105" s="25" t="s">
        <v>187</v>
      </c>
      <c r="I105" s="12" t="s">
        <v>188</v>
      </c>
      <c r="J105" s="10" t="s">
        <v>189</v>
      </c>
      <c r="K105" s="10" t="s">
        <v>190</v>
      </c>
      <c r="L105" s="10" t="s">
        <v>4</v>
      </c>
      <c r="M105" s="26" t="s">
        <v>191</v>
      </c>
      <c r="N105" s="11"/>
      <c r="O105" s="10"/>
      <c r="P105" s="10" t="s">
        <v>192</v>
      </c>
      <c r="Q105" s="2"/>
      <c r="R105" s="24" t="s">
        <v>193</v>
      </c>
      <c r="S105" s="24" t="s">
        <v>193</v>
      </c>
      <c r="T105" s="24" t="s">
        <v>193</v>
      </c>
      <c r="U105" s="24"/>
      <c r="V105" s="2"/>
      <c r="W105" s="15"/>
      <c r="X105" s="15"/>
      <c r="Y105" s="15"/>
      <c r="Z105" s="15"/>
      <c r="AA105" s="1"/>
      <c r="AB105" s="15"/>
      <c r="AC105" s="15"/>
      <c r="AD105" s="15"/>
      <c r="AE105" s="15"/>
      <c r="AF105" s="2"/>
      <c r="AG105" s="10"/>
      <c r="AH105" s="10"/>
      <c r="AI105" s="10"/>
      <c r="AJ105" s="10"/>
      <c r="AK105" s="10"/>
      <c r="AL105" s="10"/>
      <c r="AM105" s="10"/>
      <c r="AN105" s="10"/>
    </row>
    <row r="106" ht="30.0" customHeight="1">
      <c r="A106" s="9" t="str">
        <f t="shared" si="1"/>
        <v>N/I</v>
      </c>
      <c r="B106" s="9" t="str">
        <f t="shared" si="2"/>
        <v>N/I</v>
      </c>
      <c r="C106" s="9" t="str">
        <f t="shared" si="3"/>
        <v>N/I</v>
      </c>
      <c r="D106" s="10" t="s">
        <v>184</v>
      </c>
      <c r="E106" s="11" t="s">
        <v>185</v>
      </c>
      <c r="F106" s="11" t="s">
        <v>186</v>
      </c>
      <c r="G106" s="12" t="s">
        <v>52</v>
      </c>
      <c r="H106" s="25" t="s">
        <v>187</v>
      </c>
      <c r="I106" s="12" t="s">
        <v>188</v>
      </c>
      <c r="J106" s="10" t="s">
        <v>189</v>
      </c>
      <c r="K106" s="10" t="s">
        <v>190</v>
      </c>
      <c r="L106" s="10" t="s">
        <v>4</v>
      </c>
      <c r="M106" s="26" t="s">
        <v>191</v>
      </c>
      <c r="N106" s="11"/>
      <c r="O106" s="10"/>
      <c r="P106" s="10" t="s">
        <v>192</v>
      </c>
      <c r="Q106" s="2"/>
      <c r="R106" s="24" t="s">
        <v>193</v>
      </c>
      <c r="S106" s="24" t="s">
        <v>193</v>
      </c>
      <c r="T106" s="24" t="s">
        <v>193</v>
      </c>
      <c r="U106" s="24"/>
      <c r="V106" s="2"/>
      <c r="W106" s="15"/>
      <c r="X106" s="15"/>
      <c r="Y106" s="15"/>
      <c r="Z106" s="15"/>
      <c r="AA106" s="1"/>
      <c r="AB106" s="15"/>
      <c r="AC106" s="15"/>
      <c r="AD106" s="15"/>
      <c r="AE106" s="15"/>
      <c r="AF106" s="2"/>
      <c r="AG106" s="10"/>
      <c r="AH106" s="10"/>
      <c r="AI106" s="10"/>
      <c r="AJ106" s="10"/>
      <c r="AK106" s="10"/>
      <c r="AL106" s="10"/>
      <c r="AM106" s="10"/>
      <c r="AN106" s="10"/>
    </row>
    <row r="107" ht="30.0" customHeight="1">
      <c r="A107" s="9" t="str">
        <f t="shared" si="1"/>
        <v>N/I</v>
      </c>
      <c r="B107" s="9" t="str">
        <f t="shared" si="2"/>
        <v>N/I</v>
      </c>
      <c r="C107" s="9" t="str">
        <f t="shared" si="3"/>
        <v>N/I</v>
      </c>
      <c r="D107" s="10" t="s">
        <v>184</v>
      </c>
      <c r="E107" s="11" t="s">
        <v>185</v>
      </c>
      <c r="F107" s="11" t="s">
        <v>186</v>
      </c>
      <c r="G107" s="12" t="s">
        <v>58</v>
      </c>
      <c r="H107" s="25" t="s">
        <v>187</v>
      </c>
      <c r="I107" s="12" t="s">
        <v>188</v>
      </c>
      <c r="J107" s="10" t="s">
        <v>189</v>
      </c>
      <c r="K107" s="10" t="s">
        <v>190</v>
      </c>
      <c r="L107" s="10" t="s">
        <v>4</v>
      </c>
      <c r="M107" s="26" t="s">
        <v>191</v>
      </c>
      <c r="N107" s="11"/>
      <c r="O107" s="10"/>
      <c r="P107" s="10" t="s">
        <v>192</v>
      </c>
      <c r="Q107" s="2"/>
      <c r="R107" s="24" t="s">
        <v>193</v>
      </c>
      <c r="S107" s="24" t="s">
        <v>193</v>
      </c>
      <c r="T107" s="24" t="s">
        <v>193</v>
      </c>
      <c r="U107" s="24"/>
      <c r="V107" s="2"/>
      <c r="W107" s="15"/>
      <c r="X107" s="15"/>
      <c r="Y107" s="15"/>
      <c r="Z107" s="15"/>
      <c r="AA107" s="1"/>
      <c r="AB107" s="15"/>
      <c r="AC107" s="15"/>
      <c r="AD107" s="15"/>
      <c r="AE107" s="15"/>
      <c r="AF107" s="2"/>
      <c r="AG107" s="10"/>
      <c r="AH107" s="10"/>
      <c r="AI107" s="10"/>
      <c r="AJ107" s="10"/>
      <c r="AK107" s="10"/>
      <c r="AL107" s="10"/>
      <c r="AM107" s="10"/>
      <c r="AN107" s="10"/>
    </row>
    <row r="108" ht="30.0" customHeight="1">
      <c r="A108" s="9" t="str">
        <f t="shared" si="1"/>
        <v>N/I</v>
      </c>
      <c r="B108" s="9" t="str">
        <f t="shared" si="2"/>
        <v>N/I</v>
      </c>
      <c r="C108" s="9" t="str">
        <f t="shared" si="3"/>
        <v>N/I</v>
      </c>
      <c r="D108" s="10" t="s">
        <v>184</v>
      </c>
      <c r="E108" s="11" t="s">
        <v>185</v>
      </c>
      <c r="F108" s="11" t="s">
        <v>186</v>
      </c>
      <c r="G108" s="12" t="s">
        <v>58</v>
      </c>
      <c r="H108" s="25" t="s">
        <v>187</v>
      </c>
      <c r="I108" s="12" t="s">
        <v>188</v>
      </c>
      <c r="J108" s="10" t="s">
        <v>189</v>
      </c>
      <c r="K108" s="10" t="s">
        <v>190</v>
      </c>
      <c r="L108" s="10" t="s">
        <v>4</v>
      </c>
      <c r="M108" s="26" t="s">
        <v>191</v>
      </c>
      <c r="N108" s="11"/>
      <c r="O108" s="10"/>
      <c r="P108" s="10" t="s">
        <v>192</v>
      </c>
      <c r="Q108" s="2"/>
      <c r="R108" s="24" t="s">
        <v>193</v>
      </c>
      <c r="S108" s="24" t="s">
        <v>193</v>
      </c>
      <c r="T108" s="24" t="s">
        <v>193</v>
      </c>
      <c r="U108" s="24"/>
      <c r="V108" s="2"/>
      <c r="W108" s="15"/>
      <c r="X108" s="15"/>
      <c r="Y108" s="15"/>
      <c r="Z108" s="15"/>
      <c r="AA108" s="1"/>
      <c r="AB108" s="15"/>
      <c r="AC108" s="15"/>
      <c r="AD108" s="15"/>
      <c r="AE108" s="15"/>
      <c r="AF108" s="2"/>
      <c r="AG108" s="10"/>
      <c r="AH108" s="10"/>
      <c r="AI108" s="10"/>
      <c r="AJ108" s="10"/>
      <c r="AK108" s="10"/>
      <c r="AL108" s="10"/>
      <c r="AM108" s="10"/>
      <c r="AN108" s="10"/>
    </row>
    <row r="109" ht="30.0" customHeight="1">
      <c r="A109" s="9" t="str">
        <f t="shared" si="1"/>
        <v>N/I</v>
      </c>
      <c r="B109" s="9" t="str">
        <f t="shared" si="2"/>
        <v>N/I</v>
      </c>
      <c r="C109" s="9" t="str">
        <f t="shared" si="3"/>
        <v>N/I</v>
      </c>
      <c r="D109" s="10" t="s">
        <v>184</v>
      </c>
      <c r="E109" s="11" t="s">
        <v>185</v>
      </c>
      <c r="F109" s="11" t="s">
        <v>186</v>
      </c>
      <c r="G109" s="12" t="s">
        <v>58</v>
      </c>
      <c r="H109" s="25" t="s">
        <v>187</v>
      </c>
      <c r="I109" s="12" t="s">
        <v>188</v>
      </c>
      <c r="J109" s="10" t="s">
        <v>189</v>
      </c>
      <c r="K109" s="10" t="s">
        <v>190</v>
      </c>
      <c r="L109" s="10" t="s">
        <v>4</v>
      </c>
      <c r="M109" s="26" t="s">
        <v>191</v>
      </c>
      <c r="N109" s="11"/>
      <c r="O109" s="10"/>
      <c r="P109" s="10" t="s">
        <v>192</v>
      </c>
      <c r="Q109" s="2"/>
      <c r="R109" s="24" t="s">
        <v>193</v>
      </c>
      <c r="S109" s="24" t="s">
        <v>193</v>
      </c>
      <c r="T109" s="24" t="s">
        <v>193</v>
      </c>
      <c r="U109" s="24"/>
      <c r="V109" s="2"/>
      <c r="W109" s="15"/>
      <c r="X109" s="15"/>
      <c r="Y109" s="15"/>
      <c r="Z109" s="15"/>
      <c r="AA109" s="1"/>
      <c r="AB109" s="15"/>
      <c r="AC109" s="15"/>
      <c r="AD109" s="15"/>
      <c r="AE109" s="15"/>
      <c r="AF109" s="2"/>
      <c r="AG109" s="10"/>
      <c r="AH109" s="10"/>
      <c r="AI109" s="10"/>
      <c r="AJ109" s="10"/>
      <c r="AK109" s="10"/>
      <c r="AL109" s="10"/>
      <c r="AM109" s="10"/>
      <c r="AN109" s="10"/>
    </row>
    <row r="110" ht="30.0" customHeight="1">
      <c r="A110" s="9" t="str">
        <f t="shared" si="1"/>
        <v>N/I</v>
      </c>
      <c r="B110" s="9" t="str">
        <f t="shared" si="2"/>
        <v>N/I</v>
      </c>
      <c r="C110" s="9" t="str">
        <f t="shared" si="3"/>
        <v>N/I</v>
      </c>
      <c r="D110" s="10" t="s">
        <v>184</v>
      </c>
      <c r="E110" s="11" t="s">
        <v>185</v>
      </c>
      <c r="F110" s="11" t="s">
        <v>186</v>
      </c>
      <c r="G110" s="12" t="s">
        <v>116</v>
      </c>
      <c r="H110" s="25" t="s">
        <v>187</v>
      </c>
      <c r="I110" s="12" t="s">
        <v>188</v>
      </c>
      <c r="J110" s="10" t="s">
        <v>189</v>
      </c>
      <c r="K110" s="10" t="s">
        <v>190</v>
      </c>
      <c r="L110" s="10" t="s">
        <v>4</v>
      </c>
      <c r="M110" s="26" t="s">
        <v>191</v>
      </c>
      <c r="N110" s="11"/>
      <c r="O110" s="10"/>
      <c r="P110" s="10" t="s">
        <v>192</v>
      </c>
      <c r="Q110" s="2"/>
      <c r="R110" s="24" t="s">
        <v>193</v>
      </c>
      <c r="S110" s="24" t="s">
        <v>193</v>
      </c>
      <c r="T110" s="24" t="s">
        <v>193</v>
      </c>
      <c r="U110" s="24"/>
      <c r="V110" s="2"/>
      <c r="W110" s="15"/>
      <c r="X110" s="15"/>
      <c r="Y110" s="15"/>
      <c r="Z110" s="15"/>
      <c r="AA110" s="1"/>
      <c r="AB110" s="15"/>
      <c r="AC110" s="15"/>
      <c r="AD110" s="15"/>
      <c r="AE110" s="15"/>
      <c r="AF110" s="2"/>
      <c r="AG110" s="10"/>
      <c r="AH110" s="10"/>
      <c r="AI110" s="10"/>
      <c r="AJ110" s="10"/>
      <c r="AK110" s="10"/>
      <c r="AL110" s="10"/>
      <c r="AM110" s="10"/>
      <c r="AN110" s="10"/>
    </row>
    <row r="111" ht="30.0" customHeight="1">
      <c r="A111" s="9" t="str">
        <f t="shared" si="1"/>
        <v>N/I</v>
      </c>
      <c r="B111" s="9" t="str">
        <f t="shared" si="2"/>
        <v>N/I</v>
      </c>
      <c r="C111" s="9" t="str">
        <f t="shared" si="3"/>
        <v>N/I</v>
      </c>
      <c r="D111" s="10" t="s">
        <v>184</v>
      </c>
      <c r="E111" s="11" t="s">
        <v>185</v>
      </c>
      <c r="F111" s="11" t="s">
        <v>186</v>
      </c>
      <c r="G111" s="12" t="s">
        <v>79</v>
      </c>
      <c r="H111" s="25" t="s">
        <v>187</v>
      </c>
      <c r="I111" s="12" t="s">
        <v>188</v>
      </c>
      <c r="J111" s="10" t="s">
        <v>189</v>
      </c>
      <c r="K111" s="10" t="s">
        <v>190</v>
      </c>
      <c r="L111" s="10" t="s">
        <v>4</v>
      </c>
      <c r="M111" s="26" t="s">
        <v>191</v>
      </c>
      <c r="N111" s="11"/>
      <c r="O111" s="10"/>
      <c r="P111" s="10" t="s">
        <v>192</v>
      </c>
      <c r="Q111" s="2"/>
      <c r="R111" s="24" t="s">
        <v>193</v>
      </c>
      <c r="S111" s="24" t="s">
        <v>193</v>
      </c>
      <c r="T111" s="24" t="s">
        <v>193</v>
      </c>
      <c r="U111" s="24"/>
      <c r="V111" s="2"/>
      <c r="W111" s="15"/>
      <c r="X111" s="15"/>
      <c r="Y111" s="15"/>
      <c r="Z111" s="15"/>
      <c r="AA111" s="1"/>
      <c r="AB111" s="15"/>
      <c r="AC111" s="15"/>
      <c r="AD111" s="15"/>
      <c r="AE111" s="15"/>
      <c r="AF111" s="2"/>
      <c r="AG111" s="10"/>
      <c r="AH111" s="10"/>
      <c r="AI111" s="10"/>
      <c r="AJ111" s="10"/>
      <c r="AK111" s="10"/>
      <c r="AL111" s="10"/>
      <c r="AM111" s="10"/>
      <c r="AN111" s="10"/>
    </row>
    <row r="112" ht="30.0" customHeight="1">
      <c r="A112" s="9" t="str">
        <f t="shared" si="1"/>
        <v>Ativo</v>
      </c>
      <c r="B112" s="9" t="str">
        <f t="shared" si="2"/>
        <v>N/I</v>
      </c>
      <c r="C112" s="9" t="str">
        <f t="shared" si="3"/>
        <v>N/I</v>
      </c>
      <c r="D112" s="10" t="s">
        <v>184</v>
      </c>
      <c r="E112" s="11" t="s">
        <v>185</v>
      </c>
      <c r="F112" s="11" t="s">
        <v>194</v>
      </c>
      <c r="G112" s="12" t="s">
        <v>52</v>
      </c>
      <c r="H112" s="27" t="s">
        <v>195</v>
      </c>
      <c r="I112" s="12" t="s">
        <v>196</v>
      </c>
      <c r="J112" s="10" t="s">
        <v>197</v>
      </c>
      <c r="K112" s="10" t="s">
        <v>40</v>
      </c>
      <c r="L112" s="10" t="s">
        <v>4</v>
      </c>
      <c r="M112" s="14">
        <v>45839.0</v>
      </c>
      <c r="N112" s="11" t="s">
        <v>198</v>
      </c>
      <c r="O112" s="10" t="s">
        <v>199</v>
      </c>
      <c r="P112" s="10" t="s">
        <v>192</v>
      </c>
      <c r="Q112" s="2"/>
      <c r="R112" s="10">
        <v>44.0</v>
      </c>
      <c r="S112" s="14">
        <v>45839.0</v>
      </c>
      <c r="T112" s="14">
        <v>47177.0</v>
      </c>
      <c r="U112" s="10">
        <f>T112-TODAY()</f>
        <v>1086</v>
      </c>
      <c r="V112" s="2"/>
      <c r="W112" s="15"/>
      <c r="X112" s="15"/>
      <c r="Y112" s="15"/>
      <c r="Z112" s="15"/>
      <c r="AA112" s="1"/>
      <c r="AB112" s="15"/>
      <c r="AC112" s="15"/>
      <c r="AD112" s="15"/>
      <c r="AE112" s="15"/>
      <c r="AF112" s="2"/>
      <c r="AG112" s="10" t="s">
        <v>45</v>
      </c>
      <c r="AH112" s="10" t="s">
        <v>45</v>
      </c>
      <c r="AI112" s="10" t="s">
        <v>45</v>
      </c>
      <c r="AJ112" s="10" t="s">
        <v>45</v>
      </c>
      <c r="AK112" s="10" t="s">
        <v>45</v>
      </c>
      <c r="AL112" s="10" t="s">
        <v>45</v>
      </c>
      <c r="AM112" s="10" t="s">
        <v>45</v>
      </c>
      <c r="AN112" s="10" t="s">
        <v>45</v>
      </c>
    </row>
    <row r="113" ht="30.0" customHeight="1">
      <c r="A113" s="9" t="str">
        <f t="shared" si="1"/>
        <v>N/I</v>
      </c>
      <c r="B113" s="9" t="str">
        <f t="shared" si="2"/>
        <v>N/I</v>
      </c>
      <c r="C113" s="9" t="str">
        <f t="shared" si="3"/>
        <v>N/I</v>
      </c>
      <c r="D113" s="10" t="s">
        <v>184</v>
      </c>
      <c r="E113" s="11" t="s">
        <v>185</v>
      </c>
      <c r="F113" s="11" t="s">
        <v>194</v>
      </c>
      <c r="G113" s="12" t="s">
        <v>68</v>
      </c>
      <c r="H113" s="25" t="s">
        <v>187</v>
      </c>
      <c r="I113" s="12" t="s">
        <v>196</v>
      </c>
      <c r="J113" s="10" t="s">
        <v>197</v>
      </c>
      <c r="K113" s="10" t="s">
        <v>40</v>
      </c>
      <c r="L113" s="10" t="s">
        <v>4</v>
      </c>
      <c r="M113" s="26" t="s">
        <v>200</v>
      </c>
      <c r="N113" s="11"/>
      <c r="O113" s="10"/>
      <c r="P113" s="10" t="s">
        <v>192</v>
      </c>
      <c r="Q113" s="2"/>
      <c r="R113" s="24" t="s">
        <v>193</v>
      </c>
      <c r="S113" s="24" t="s">
        <v>193</v>
      </c>
      <c r="T113" s="24" t="s">
        <v>193</v>
      </c>
      <c r="U113" s="24"/>
      <c r="V113" s="2"/>
      <c r="W113" s="15"/>
      <c r="X113" s="15"/>
      <c r="Y113" s="15"/>
      <c r="Z113" s="15"/>
      <c r="AA113" s="1"/>
      <c r="AB113" s="15"/>
      <c r="AC113" s="15"/>
      <c r="AD113" s="15"/>
      <c r="AE113" s="15"/>
      <c r="AF113" s="2"/>
      <c r="AG113" s="10"/>
      <c r="AH113" s="10"/>
      <c r="AI113" s="10"/>
      <c r="AJ113" s="10"/>
      <c r="AK113" s="10"/>
      <c r="AL113" s="10"/>
      <c r="AM113" s="10"/>
      <c r="AN113" s="10"/>
    </row>
    <row r="114" ht="30.0" customHeight="1">
      <c r="A114" s="9" t="str">
        <f t="shared" si="1"/>
        <v>N/I</v>
      </c>
      <c r="B114" s="9" t="str">
        <f t="shared" si="2"/>
        <v>N/I</v>
      </c>
      <c r="C114" s="9" t="str">
        <f t="shared" si="3"/>
        <v>N/I</v>
      </c>
      <c r="D114" s="10" t="s">
        <v>184</v>
      </c>
      <c r="E114" s="11" t="s">
        <v>185</v>
      </c>
      <c r="F114" s="11" t="s">
        <v>194</v>
      </c>
      <c r="G114" s="12" t="s">
        <v>68</v>
      </c>
      <c r="H114" s="25" t="s">
        <v>187</v>
      </c>
      <c r="I114" s="12" t="s">
        <v>196</v>
      </c>
      <c r="J114" s="10" t="s">
        <v>197</v>
      </c>
      <c r="K114" s="10" t="s">
        <v>40</v>
      </c>
      <c r="L114" s="10" t="s">
        <v>4</v>
      </c>
      <c r="M114" s="26" t="s">
        <v>200</v>
      </c>
      <c r="N114" s="11"/>
      <c r="O114" s="10"/>
      <c r="P114" s="10" t="s">
        <v>192</v>
      </c>
      <c r="Q114" s="2"/>
      <c r="R114" s="24" t="s">
        <v>193</v>
      </c>
      <c r="S114" s="24" t="s">
        <v>193</v>
      </c>
      <c r="T114" s="24" t="s">
        <v>193</v>
      </c>
      <c r="U114" s="24"/>
      <c r="V114" s="2"/>
      <c r="W114" s="15"/>
      <c r="X114" s="15"/>
      <c r="Y114" s="15"/>
      <c r="Z114" s="15"/>
      <c r="AA114" s="1"/>
      <c r="AB114" s="15"/>
      <c r="AC114" s="15"/>
      <c r="AD114" s="15"/>
      <c r="AE114" s="15"/>
      <c r="AF114" s="2"/>
      <c r="AG114" s="10"/>
      <c r="AH114" s="10"/>
      <c r="AI114" s="10"/>
      <c r="AJ114" s="10"/>
      <c r="AK114" s="10"/>
      <c r="AL114" s="10"/>
      <c r="AM114" s="10"/>
      <c r="AN114" s="10"/>
    </row>
    <row r="115" ht="30.0" customHeight="1">
      <c r="A115" s="9" t="str">
        <f t="shared" si="1"/>
        <v>N/I</v>
      </c>
      <c r="B115" s="9" t="str">
        <f t="shared" si="2"/>
        <v>N/I</v>
      </c>
      <c r="C115" s="9" t="str">
        <f t="shared" si="3"/>
        <v>N/I</v>
      </c>
      <c r="D115" s="10" t="s">
        <v>184</v>
      </c>
      <c r="E115" s="11" t="s">
        <v>185</v>
      </c>
      <c r="F115" s="11" t="s">
        <v>194</v>
      </c>
      <c r="G115" s="12" t="s">
        <v>68</v>
      </c>
      <c r="H115" s="25" t="s">
        <v>187</v>
      </c>
      <c r="I115" s="12" t="s">
        <v>196</v>
      </c>
      <c r="J115" s="10" t="s">
        <v>197</v>
      </c>
      <c r="K115" s="10" t="s">
        <v>40</v>
      </c>
      <c r="L115" s="10" t="s">
        <v>4</v>
      </c>
      <c r="M115" s="26" t="s">
        <v>200</v>
      </c>
      <c r="N115" s="11"/>
      <c r="O115" s="10"/>
      <c r="P115" s="10" t="s">
        <v>192</v>
      </c>
      <c r="Q115" s="2"/>
      <c r="R115" s="24" t="s">
        <v>193</v>
      </c>
      <c r="S115" s="24" t="s">
        <v>193</v>
      </c>
      <c r="T115" s="24" t="s">
        <v>193</v>
      </c>
      <c r="U115" s="24"/>
      <c r="V115" s="2"/>
      <c r="W115" s="15"/>
      <c r="X115" s="15"/>
      <c r="Y115" s="15"/>
      <c r="Z115" s="15"/>
      <c r="AA115" s="1"/>
      <c r="AB115" s="15"/>
      <c r="AC115" s="15"/>
      <c r="AD115" s="15"/>
      <c r="AE115" s="15"/>
      <c r="AF115" s="2"/>
      <c r="AG115" s="10"/>
      <c r="AH115" s="10"/>
      <c r="AI115" s="10"/>
      <c r="AJ115" s="10"/>
      <c r="AK115" s="10"/>
      <c r="AL115" s="10"/>
      <c r="AM115" s="10"/>
      <c r="AN115" s="10"/>
    </row>
    <row r="116" ht="30.0" customHeight="1">
      <c r="A116" s="9" t="str">
        <f t="shared" si="1"/>
        <v>N/I</v>
      </c>
      <c r="B116" s="9" t="str">
        <f t="shared" si="2"/>
        <v>N/I</v>
      </c>
      <c r="C116" s="9" t="str">
        <f t="shared" si="3"/>
        <v>N/I</v>
      </c>
      <c r="D116" s="10" t="s">
        <v>184</v>
      </c>
      <c r="E116" s="11" t="s">
        <v>185</v>
      </c>
      <c r="F116" s="11" t="s">
        <v>194</v>
      </c>
      <c r="G116" s="12" t="s">
        <v>68</v>
      </c>
      <c r="H116" s="25" t="s">
        <v>187</v>
      </c>
      <c r="I116" s="12" t="s">
        <v>196</v>
      </c>
      <c r="J116" s="10" t="s">
        <v>197</v>
      </c>
      <c r="K116" s="10" t="s">
        <v>40</v>
      </c>
      <c r="L116" s="10" t="s">
        <v>4</v>
      </c>
      <c r="M116" s="26" t="s">
        <v>200</v>
      </c>
      <c r="N116" s="11"/>
      <c r="O116" s="10"/>
      <c r="P116" s="10" t="s">
        <v>192</v>
      </c>
      <c r="Q116" s="2"/>
      <c r="R116" s="24" t="s">
        <v>193</v>
      </c>
      <c r="S116" s="24" t="s">
        <v>193</v>
      </c>
      <c r="T116" s="24" t="s">
        <v>193</v>
      </c>
      <c r="U116" s="24"/>
      <c r="V116" s="2"/>
      <c r="W116" s="15"/>
      <c r="X116" s="15"/>
      <c r="Y116" s="15"/>
      <c r="Z116" s="15"/>
      <c r="AA116" s="1"/>
      <c r="AB116" s="15"/>
      <c r="AC116" s="15"/>
      <c r="AD116" s="15"/>
      <c r="AE116" s="15"/>
      <c r="AF116" s="2"/>
      <c r="AG116" s="10"/>
      <c r="AH116" s="10"/>
      <c r="AI116" s="10"/>
      <c r="AJ116" s="10"/>
      <c r="AK116" s="10"/>
      <c r="AL116" s="10"/>
      <c r="AM116" s="10"/>
      <c r="AN116" s="10"/>
    </row>
    <row r="117" ht="30.0" customHeight="1">
      <c r="A117" s="9" t="str">
        <f t="shared" si="1"/>
        <v>N/I</v>
      </c>
      <c r="B117" s="9" t="str">
        <f t="shared" si="2"/>
        <v>N/I</v>
      </c>
      <c r="C117" s="9" t="str">
        <f t="shared" si="3"/>
        <v>N/I</v>
      </c>
      <c r="D117" s="10" t="s">
        <v>184</v>
      </c>
      <c r="E117" s="11" t="s">
        <v>185</v>
      </c>
      <c r="F117" s="11" t="s">
        <v>194</v>
      </c>
      <c r="G117" s="12" t="s">
        <v>68</v>
      </c>
      <c r="H117" s="25" t="s">
        <v>187</v>
      </c>
      <c r="I117" s="12" t="s">
        <v>196</v>
      </c>
      <c r="J117" s="10" t="s">
        <v>197</v>
      </c>
      <c r="K117" s="10" t="s">
        <v>40</v>
      </c>
      <c r="L117" s="10" t="s">
        <v>4</v>
      </c>
      <c r="M117" s="26" t="s">
        <v>200</v>
      </c>
      <c r="N117" s="11"/>
      <c r="O117" s="10"/>
      <c r="P117" s="10" t="s">
        <v>192</v>
      </c>
      <c r="Q117" s="2"/>
      <c r="R117" s="24" t="s">
        <v>193</v>
      </c>
      <c r="S117" s="24" t="s">
        <v>193</v>
      </c>
      <c r="T117" s="24" t="s">
        <v>193</v>
      </c>
      <c r="U117" s="24"/>
      <c r="V117" s="2"/>
      <c r="W117" s="15"/>
      <c r="X117" s="15"/>
      <c r="Y117" s="15"/>
      <c r="Z117" s="15"/>
      <c r="AA117" s="1"/>
      <c r="AB117" s="15"/>
      <c r="AC117" s="15"/>
      <c r="AD117" s="15"/>
      <c r="AE117" s="15"/>
      <c r="AF117" s="2"/>
      <c r="AG117" s="10"/>
      <c r="AH117" s="10"/>
      <c r="AI117" s="10"/>
      <c r="AJ117" s="10"/>
      <c r="AK117" s="10"/>
      <c r="AL117" s="10"/>
      <c r="AM117" s="10"/>
      <c r="AN117" s="10"/>
    </row>
    <row r="118" ht="30.0" customHeight="1">
      <c r="A118" s="9" t="str">
        <f t="shared" si="1"/>
        <v>N/I</v>
      </c>
      <c r="B118" s="9" t="str">
        <f t="shared" si="2"/>
        <v>N/I</v>
      </c>
      <c r="C118" s="9" t="str">
        <f t="shared" si="3"/>
        <v>N/I</v>
      </c>
      <c r="D118" s="10" t="s">
        <v>184</v>
      </c>
      <c r="E118" s="11" t="s">
        <v>185</v>
      </c>
      <c r="F118" s="11" t="s">
        <v>194</v>
      </c>
      <c r="G118" s="12" t="s">
        <v>68</v>
      </c>
      <c r="H118" s="25" t="s">
        <v>187</v>
      </c>
      <c r="I118" s="12" t="s">
        <v>196</v>
      </c>
      <c r="J118" s="10" t="s">
        <v>197</v>
      </c>
      <c r="K118" s="10" t="s">
        <v>40</v>
      </c>
      <c r="L118" s="10" t="s">
        <v>4</v>
      </c>
      <c r="M118" s="26" t="s">
        <v>200</v>
      </c>
      <c r="N118" s="11"/>
      <c r="O118" s="10"/>
      <c r="P118" s="10" t="s">
        <v>192</v>
      </c>
      <c r="Q118" s="2"/>
      <c r="R118" s="24" t="s">
        <v>193</v>
      </c>
      <c r="S118" s="24" t="s">
        <v>193</v>
      </c>
      <c r="T118" s="24" t="s">
        <v>193</v>
      </c>
      <c r="U118" s="24"/>
      <c r="V118" s="2"/>
      <c r="W118" s="15"/>
      <c r="X118" s="15"/>
      <c r="Y118" s="15"/>
      <c r="Z118" s="15"/>
      <c r="AA118" s="1"/>
      <c r="AB118" s="15"/>
      <c r="AC118" s="15"/>
      <c r="AD118" s="15"/>
      <c r="AE118" s="15"/>
      <c r="AF118" s="2"/>
      <c r="AG118" s="10"/>
      <c r="AH118" s="10"/>
      <c r="AI118" s="10"/>
      <c r="AJ118" s="10"/>
      <c r="AK118" s="10"/>
      <c r="AL118" s="10"/>
      <c r="AM118" s="10"/>
      <c r="AN118" s="10"/>
    </row>
    <row r="119" ht="30.0" customHeight="1">
      <c r="A119" s="9" t="str">
        <f t="shared" si="1"/>
        <v>N/I</v>
      </c>
      <c r="B119" s="9" t="str">
        <f t="shared" si="2"/>
        <v>N/I</v>
      </c>
      <c r="C119" s="9" t="str">
        <f t="shared" si="3"/>
        <v>N/I</v>
      </c>
      <c r="D119" s="10" t="s">
        <v>184</v>
      </c>
      <c r="E119" s="11" t="s">
        <v>185</v>
      </c>
      <c r="F119" s="11" t="s">
        <v>194</v>
      </c>
      <c r="G119" s="12" t="s">
        <v>68</v>
      </c>
      <c r="H119" s="25" t="s">
        <v>187</v>
      </c>
      <c r="I119" s="12" t="s">
        <v>196</v>
      </c>
      <c r="J119" s="10" t="s">
        <v>197</v>
      </c>
      <c r="K119" s="10" t="s">
        <v>40</v>
      </c>
      <c r="L119" s="10" t="s">
        <v>4</v>
      </c>
      <c r="M119" s="26" t="s">
        <v>200</v>
      </c>
      <c r="N119" s="11"/>
      <c r="O119" s="10"/>
      <c r="P119" s="10" t="s">
        <v>192</v>
      </c>
      <c r="Q119" s="2"/>
      <c r="R119" s="24" t="s">
        <v>193</v>
      </c>
      <c r="S119" s="24" t="s">
        <v>193</v>
      </c>
      <c r="T119" s="24" t="s">
        <v>193</v>
      </c>
      <c r="U119" s="24"/>
      <c r="V119" s="2"/>
      <c r="W119" s="15"/>
      <c r="X119" s="15"/>
      <c r="Y119" s="15"/>
      <c r="Z119" s="15"/>
      <c r="AA119" s="1"/>
      <c r="AB119" s="15"/>
      <c r="AC119" s="15"/>
      <c r="AD119" s="15"/>
      <c r="AE119" s="15"/>
      <c r="AF119" s="2"/>
      <c r="AG119" s="10"/>
      <c r="AH119" s="10"/>
      <c r="AI119" s="10"/>
      <c r="AJ119" s="10"/>
      <c r="AK119" s="10"/>
      <c r="AL119" s="10"/>
      <c r="AM119" s="10"/>
      <c r="AN119" s="10"/>
    </row>
    <row r="120" ht="30.0" customHeight="1">
      <c r="A120" s="9" t="str">
        <f t="shared" si="1"/>
        <v>N/I</v>
      </c>
      <c r="B120" s="9" t="str">
        <f t="shared" si="2"/>
        <v>N/I</v>
      </c>
      <c r="C120" s="9" t="str">
        <f t="shared" si="3"/>
        <v>N/I</v>
      </c>
      <c r="D120" s="10" t="s">
        <v>184</v>
      </c>
      <c r="E120" s="11" t="s">
        <v>185</v>
      </c>
      <c r="F120" s="11" t="s">
        <v>194</v>
      </c>
      <c r="G120" s="12" t="s">
        <v>68</v>
      </c>
      <c r="H120" s="25" t="s">
        <v>187</v>
      </c>
      <c r="I120" s="12" t="s">
        <v>196</v>
      </c>
      <c r="J120" s="10" t="s">
        <v>197</v>
      </c>
      <c r="K120" s="10" t="s">
        <v>40</v>
      </c>
      <c r="L120" s="10" t="s">
        <v>4</v>
      </c>
      <c r="M120" s="26" t="s">
        <v>200</v>
      </c>
      <c r="N120" s="11"/>
      <c r="O120" s="10"/>
      <c r="P120" s="10" t="s">
        <v>192</v>
      </c>
      <c r="Q120" s="2"/>
      <c r="R120" s="24" t="s">
        <v>193</v>
      </c>
      <c r="S120" s="24" t="s">
        <v>193</v>
      </c>
      <c r="T120" s="24" t="s">
        <v>193</v>
      </c>
      <c r="U120" s="24"/>
      <c r="V120" s="2"/>
      <c r="W120" s="15"/>
      <c r="X120" s="15"/>
      <c r="Y120" s="15"/>
      <c r="Z120" s="15"/>
      <c r="AA120" s="1"/>
      <c r="AB120" s="15"/>
      <c r="AC120" s="15"/>
      <c r="AD120" s="15"/>
      <c r="AE120" s="15"/>
      <c r="AF120" s="2"/>
      <c r="AG120" s="10"/>
      <c r="AH120" s="10"/>
      <c r="AI120" s="10"/>
      <c r="AJ120" s="10"/>
      <c r="AK120" s="10"/>
      <c r="AL120" s="10"/>
      <c r="AM120" s="10"/>
      <c r="AN120" s="10"/>
    </row>
    <row r="121" ht="30.0" customHeight="1">
      <c r="A121" s="9" t="str">
        <f t="shared" si="1"/>
        <v>N/I</v>
      </c>
      <c r="B121" s="9" t="str">
        <f t="shared" si="2"/>
        <v>N/I</v>
      </c>
      <c r="C121" s="9" t="str">
        <f t="shared" si="3"/>
        <v>N/I</v>
      </c>
      <c r="D121" s="10" t="s">
        <v>184</v>
      </c>
      <c r="E121" s="11" t="s">
        <v>185</v>
      </c>
      <c r="F121" s="11" t="s">
        <v>194</v>
      </c>
      <c r="G121" s="12" t="s">
        <v>68</v>
      </c>
      <c r="H121" s="25" t="s">
        <v>187</v>
      </c>
      <c r="I121" s="12" t="s">
        <v>196</v>
      </c>
      <c r="J121" s="10" t="s">
        <v>197</v>
      </c>
      <c r="K121" s="10" t="s">
        <v>40</v>
      </c>
      <c r="L121" s="10" t="s">
        <v>4</v>
      </c>
      <c r="M121" s="26" t="s">
        <v>200</v>
      </c>
      <c r="N121" s="11"/>
      <c r="O121" s="10"/>
      <c r="P121" s="10" t="s">
        <v>192</v>
      </c>
      <c r="Q121" s="2"/>
      <c r="R121" s="24" t="s">
        <v>193</v>
      </c>
      <c r="S121" s="24" t="s">
        <v>193</v>
      </c>
      <c r="T121" s="24" t="s">
        <v>193</v>
      </c>
      <c r="U121" s="24"/>
      <c r="V121" s="2"/>
      <c r="W121" s="15"/>
      <c r="X121" s="15"/>
      <c r="Y121" s="15"/>
      <c r="Z121" s="15"/>
      <c r="AA121" s="1"/>
      <c r="AB121" s="15"/>
      <c r="AC121" s="15"/>
      <c r="AD121" s="15"/>
      <c r="AE121" s="15"/>
      <c r="AF121" s="2"/>
      <c r="AG121" s="10"/>
      <c r="AH121" s="10"/>
      <c r="AI121" s="10"/>
      <c r="AJ121" s="10"/>
      <c r="AK121" s="10"/>
      <c r="AL121" s="10"/>
      <c r="AM121" s="10"/>
      <c r="AN121" s="10"/>
    </row>
    <row r="122" ht="30.0" customHeight="1">
      <c r="A122" s="9" t="str">
        <f t="shared" si="1"/>
        <v>N/I</v>
      </c>
      <c r="B122" s="9" t="str">
        <f t="shared" si="2"/>
        <v>N/I</v>
      </c>
      <c r="C122" s="9" t="str">
        <f t="shared" si="3"/>
        <v>N/I</v>
      </c>
      <c r="D122" s="10" t="s">
        <v>184</v>
      </c>
      <c r="E122" s="11" t="s">
        <v>185</v>
      </c>
      <c r="F122" s="11" t="s">
        <v>194</v>
      </c>
      <c r="G122" s="12" t="s">
        <v>68</v>
      </c>
      <c r="H122" s="25" t="s">
        <v>187</v>
      </c>
      <c r="I122" s="12" t="s">
        <v>196</v>
      </c>
      <c r="J122" s="10" t="s">
        <v>197</v>
      </c>
      <c r="K122" s="10" t="s">
        <v>40</v>
      </c>
      <c r="L122" s="10" t="s">
        <v>4</v>
      </c>
      <c r="M122" s="26" t="s">
        <v>200</v>
      </c>
      <c r="N122" s="11"/>
      <c r="O122" s="10"/>
      <c r="P122" s="10" t="s">
        <v>192</v>
      </c>
      <c r="Q122" s="2"/>
      <c r="R122" s="24" t="s">
        <v>193</v>
      </c>
      <c r="S122" s="24" t="s">
        <v>193</v>
      </c>
      <c r="T122" s="24" t="s">
        <v>193</v>
      </c>
      <c r="U122" s="24"/>
      <c r="V122" s="2"/>
      <c r="W122" s="15"/>
      <c r="X122" s="15"/>
      <c r="Y122" s="15"/>
      <c r="Z122" s="15"/>
      <c r="AA122" s="1"/>
      <c r="AB122" s="15"/>
      <c r="AC122" s="15"/>
      <c r="AD122" s="15"/>
      <c r="AE122" s="15"/>
      <c r="AF122" s="2"/>
      <c r="AG122" s="10"/>
      <c r="AH122" s="10"/>
      <c r="AI122" s="10"/>
      <c r="AJ122" s="10"/>
      <c r="AK122" s="10"/>
      <c r="AL122" s="10"/>
      <c r="AM122" s="10"/>
      <c r="AN122" s="10"/>
    </row>
    <row r="123" ht="30.0" customHeight="1">
      <c r="A123" s="9" t="str">
        <f t="shared" si="1"/>
        <v>N/I</v>
      </c>
      <c r="B123" s="9" t="str">
        <f t="shared" si="2"/>
        <v>N/I</v>
      </c>
      <c r="C123" s="9" t="str">
        <f t="shared" si="3"/>
        <v>N/I</v>
      </c>
      <c r="D123" s="10" t="s">
        <v>184</v>
      </c>
      <c r="E123" s="11" t="s">
        <v>185</v>
      </c>
      <c r="F123" s="11" t="s">
        <v>194</v>
      </c>
      <c r="G123" s="12" t="s">
        <v>68</v>
      </c>
      <c r="H123" s="25" t="s">
        <v>187</v>
      </c>
      <c r="I123" s="12" t="s">
        <v>196</v>
      </c>
      <c r="J123" s="10" t="s">
        <v>197</v>
      </c>
      <c r="K123" s="10" t="s">
        <v>40</v>
      </c>
      <c r="L123" s="10" t="s">
        <v>4</v>
      </c>
      <c r="M123" s="26" t="s">
        <v>200</v>
      </c>
      <c r="N123" s="11"/>
      <c r="O123" s="10"/>
      <c r="P123" s="10" t="s">
        <v>192</v>
      </c>
      <c r="Q123" s="2"/>
      <c r="R123" s="24" t="s">
        <v>193</v>
      </c>
      <c r="S123" s="24" t="s">
        <v>193</v>
      </c>
      <c r="T123" s="24" t="s">
        <v>193</v>
      </c>
      <c r="U123" s="24"/>
      <c r="V123" s="2"/>
      <c r="W123" s="15"/>
      <c r="X123" s="15"/>
      <c r="Y123" s="15"/>
      <c r="Z123" s="15"/>
      <c r="AA123" s="1"/>
      <c r="AB123" s="15"/>
      <c r="AC123" s="15"/>
      <c r="AD123" s="15"/>
      <c r="AE123" s="15"/>
      <c r="AF123" s="2"/>
      <c r="AG123" s="10"/>
      <c r="AH123" s="10"/>
      <c r="AI123" s="10"/>
      <c r="AJ123" s="10"/>
      <c r="AK123" s="10"/>
      <c r="AL123" s="10"/>
      <c r="AM123" s="10"/>
      <c r="AN123" s="10"/>
    </row>
    <row r="124" ht="30.0" customHeight="1">
      <c r="A124" s="9" t="str">
        <f t="shared" si="1"/>
        <v>N/I</v>
      </c>
      <c r="B124" s="9" t="str">
        <f t="shared" si="2"/>
        <v>N/I</v>
      </c>
      <c r="C124" s="9" t="str">
        <f t="shared" si="3"/>
        <v>N/I</v>
      </c>
      <c r="D124" s="10" t="s">
        <v>184</v>
      </c>
      <c r="E124" s="11" t="s">
        <v>185</v>
      </c>
      <c r="F124" s="11" t="s">
        <v>194</v>
      </c>
      <c r="G124" s="12" t="s">
        <v>68</v>
      </c>
      <c r="H124" s="25" t="s">
        <v>187</v>
      </c>
      <c r="I124" s="12" t="s">
        <v>196</v>
      </c>
      <c r="J124" s="10" t="s">
        <v>197</v>
      </c>
      <c r="K124" s="10" t="s">
        <v>40</v>
      </c>
      <c r="L124" s="10" t="s">
        <v>4</v>
      </c>
      <c r="M124" s="26" t="s">
        <v>200</v>
      </c>
      <c r="N124" s="11"/>
      <c r="O124" s="10"/>
      <c r="P124" s="10" t="s">
        <v>192</v>
      </c>
      <c r="Q124" s="2"/>
      <c r="R124" s="24" t="s">
        <v>193</v>
      </c>
      <c r="S124" s="24" t="s">
        <v>193</v>
      </c>
      <c r="T124" s="24" t="s">
        <v>193</v>
      </c>
      <c r="U124" s="24"/>
      <c r="V124" s="2"/>
      <c r="W124" s="15"/>
      <c r="X124" s="15"/>
      <c r="Y124" s="15"/>
      <c r="Z124" s="15"/>
      <c r="AA124" s="1"/>
      <c r="AB124" s="15"/>
      <c r="AC124" s="15"/>
      <c r="AD124" s="15"/>
      <c r="AE124" s="15"/>
      <c r="AF124" s="2"/>
      <c r="AG124" s="10"/>
      <c r="AH124" s="10"/>
      <c r="AI124" s="10"/>
      <c r="AJ124" s="10"/>
      <c r="AK124" s="10"/>
      <c r="AL124" s="10"/>
      <c r="AM124" s="10"/>
      <c r="AN124" s="10"/>
    </row>
    <row r="125" ht="30.0" customHeight="1">
      <c r="A125" s="9" t="str">
        <f t="shared" si="1"/>
        <v>N/I</v>
      </c>
      <c r="B125" s="9" t="str">
        <f t="shared" si="2"/>
        <v>N/I</v>
      </c>
      <c r="C125" s="9" t="str">
        <f t="shared" si="3"/>
        <v>N/I</v>
      </c>
      <c r="D125" s="10" t="s">
        <v>184</v>
      </c>
      <c r="E125" s="11" t="s">
        <v>185</v>
      </c>
      <c r="F125" s="11" t="s">
        <v>194</v>
      </c>
      <c r="G125" s="12" t="s">
        <v>68</v>
      </c>
      <c r="H125" s="25" t="s">
        <v>187</v>
      </c>
      <c r="I125" s="12" t="s">
        <v>196</v>
      </c>
      <c r="J125" s="10" t="s">
        <v>197</v>
      </c>
      <c r="K125" s="10" t="s">
        <v>40</v>
      </c>
      <c r="L125" s="10" t="s">
        <v>4</v>
      </c>
      <c r="M125" s="26" t="s">
        <v>200</v>
      </c>
      <c r="N125" s="11"/>
      <c r="O125" s="10"/>
      <c r="P125" s="10" t="s">
        <v>192</v>
      </c>
      <c r="Q125" s="2"/>
      <c r="R125" s="24" t="s">
        <v>193</v>
      </c>
      <c r="S125" s="24" t="s">
        <v>193</v>
      </c>
      <c r="T125" s="24" t="s">
        <v>193</v>
      </c>
      <c r="U125" s="24"/>
      <c r="V125" s="2"/>
      <c r="W125" s="15"/>
      <c r="X125" s="15"/>
      <c r="Y125" s="15"/>
      <c r="Z125" s="15"/>
      <c r="AA125" s="1"/>
      <c r="AB125" s="15"/>
      <c r="AC125" s="15"/>
      <c r="AD125" s="15"/>
      <c r="AE125" s="15"/>
      <c r="AF125" s="2"/>
      <c r="AG125" s="10"/>
      <c r="AH125" s="10"/>
      <c r="AI125" s="10"/>
      <c r="AJ125" s="10"/>
      <c r="AK125" s="10"/>
      <c r="AL125" s="10"/>
      <c r="AM125" s="10"/>
      <c r="AN125" s="10"/>
    </row>
    <row r="126" ht="30.0" customHeight="1">
      <c r="A126" s="9" t="str">
        <f t="shared" si="1"/>
        <v>N/I</v>
      </c>
      <c r="B126" s="9" t="str">
        <f t="shared" si="2"/>
        <v>N/I</v>
      </c>
      <c r="C126" s="9" t="str">
        <f t="shared" si="3"/>
        <v>N/I</v>
      </c>
      <c r="D126" s="10" t="s">
        <v>184</v>
      </c>
      <c r="E126" s="11" t="s">
        <v>185</v>
      </c>
      <c r="F126" s="11" t="s">
        <v>194</v>
      </c>
      <c r="G126" s="12" t="s">
        <v>68</v>
      </c>
      <c r="H126" s="25" t="s">
        <v>187</v>
      </c>
      <c r="I126" s="12" t="s">
        <v>196</v>
      </c>
      <c r="J126" s="10" t="s">
        <v>197</v>
      </c>
      <c r="K126" s="10" t="s">
        <v>40</v>
      </c>
      <c r="L126" s="10" t="s">
        <v>4</v>
      </c>
      <c r="M126" s="26" t="s">
        <v>200</v>
      </c>
      <c r="N126" s="11"/>
      <c r="O126" s="10"/>
      <c r="P126" s="10" t="s">
        <v>192</v>
      </c>
      <c r="Q126" s="2"/>
      <c r="R126" s="24" t="s">
        <v>193</v>
      </c>
      <c r="S126" s="24" t="s">
        <v>193</v>
      </c>
      <c r="T126" s="24" t="s">
        <v>193</v>
      </c>
      <c r="U126" s="24"/>
      <c r="V126" s="2"/>
      <c r="W126" s="15"/>
      <c r="X126" s="15"/>
      <c r="Y126" s="15"/>
      <c r="Z126" s="15"/>
      <c r="AA126" s="1"/>
      <c r="AB126" s="15"/>
      <c r="AC126" s="15"/>
      <c r="AD126" s="15"/>
      <c r="AE126" s="15"/>
      <c r="AF126" s="2"/>
      <c r="AG126" s="10"/>
      <c r="AH126" s="10"/>
      <c r="AI126" s="10"/>
      <c r="AJ126" s="10"/>
      <c r="AK126" s="10"/>
      <c r="AL126" s="10"/>
      <c r="AM126" s="10"/>
      <c r="AN126" s="10"/>
    </row>
    <row r="127" ht="30.0" customHeight="1">
      <c r="A127" s="9" t="str">
        <f t="shared" si="1"/>
        <v>N/I</v>
      </c>
      <c r="B127" s="9" t="str">
        <f t="shared" si="2"/>
        <v>N/I</v>
      </c>
      <c r="C127" s="9" t="str">
        <f t="shared" si="3"/>
        <v>N/I</v>
      </c>
      <c r="D127" s="10" t="s">
        <v>184</v>
      </c>
      <c r="E127" s="11" t="s">
        <v>185</v>
      </c>
      <c r="F127" s="11" t="s">
        <v>194</v>
      </c>
      <c r="G127" s="12" t="s">
        <v>68</v>
      </c>
      <c r="H127" s="25" t="s">
        <v>187</v>
      </c>
      <c r="I127" s="12" t="s">
        <v>196</v>
      </c>
      <c r="J127" s="10" t="s">
        <v>197</v>
      </c>
      <c r="K127" s="10" t="s">
        <v>40</v>
      </c>
      <c r="L127" s="10" t="s">
        <v>4</v>
      </c>
      <c r="M127" s="26" t="s">
        <v>200</v>
      </c>
      <c r="N127" s="11"/>
      <c r="O127" s="10"/>
      <c r="P127" s="10" t="s">
        <v>192</v>
      </c>
      <c r="Q127" s="2"/>
      <c r="R127" s="24" t="s">
        <v>193</v>
      </c>
      <c r="S127" s="24" t="s">
        <v>193</v>
      </c>
      <c r="T127" s="24" t="s">
        <v>193</v>
      </c>
      <c r="U127" s="24"/>
      <c r="V127" s="2"/>
      <c r="W127" s="15"/>
      <c r="X127" s="15"/>
      <c r="Y127" s="15"/>
      <c r="Z127" s="15"/>
      <c r="AA127" s="1"/>
      <c r="AB127" s="15"/>
      <c r="AC127" s="15"/>
      <c r="AD127" s="15"/>
      <c r="AE127" s="15"/>
      <c r="AF127" s="2"/>
      <c r="AG127" s="10"/>
      <c r="AH127" s="10"/>
      <c r="AI127" s="10"/>
      <c r="AJ127" s="10"/>
      <c r="AK127" s="10"/>
      <c r="AL127" s="10"/>
      <c r="AM127" s="10"/>
      <c r="AN127" s="10"/>
    </row>
    <row r="128" ht="30.0" customHeight="1">
      <c r="A128" s="9" t="str">
        <f t="shared" si="1"/>
        <v>N/I</v>
      </c>
      <c r="B128" s="9" t="str">
        <f t="shared" si="2"/>
        <v>N/I</v>
      </c>
      <c r="C128" s="9" t="str">
        <f t="shared" si="3"/>
        <v>N/I</v>
      </c>
      <c r="D128" s="10" t="s">
        <v>184</v>
      </c>
      <c r="E128" s="11" t="s">
        <v>185</v>
      </c>
      <c r="F128" s="11" t="s">
        <v>194</v>
      </c>
      <c r="G128" s="12" t="s">
        <v>52</v>
      </c>
      <c r="H128" s="25" t="s">
        <v>187</v>
      </c>
      <c r="I128" s="12" t="s">
        <v>196</v>
      </c>
      <c r="J128" s="10" t="s">
        <v>197</v>
      </c>
      <c r="K128" s="10" t="s">
        <v>40</v>
      </c>
      <c r="L128" s="10" t="s">
        <v>4</v>
      </c>
      <c r="M128" s="26" t="s">
        <v>200</v>
      </c>
      <c r="N128" s="11"/>
      <c r="O128" s="10"/>
      <c r="P128" s="10" t="s">
        <v>192</v>
      </c>
      <c r="Q128" s="2"/>
      <c r="R128" s="24" t="s">
        <v>193</v>
      </c>
      <c r="S128" s="24" t="s">
        <v>193</v>
      </c>
      <c r="T128" s="24" t="s">
        <v>193</v>
      </c>
      <c r="U128" s="24"/>
      <c r="V128" s="2"/>
      <c r="W128" s="15"/>
      <c r="X128" s="15"/>
      <c r="Y128" s="15"/>
      <c r="Z128" s="15"/>
      <c r="AA128" s="1"/>
      <c r="AB128" s="15"/>
      <c r="AC128" s="15"/>
      <c r="AD128" s="15"/>
      <c r="AE128" s="15"/>
      <c r="AF128" s="2"/>
      <c r="AG128" s="10"/>
      <c r="AH128" s="10"/>
      <c r="AI128" s="10"/>
      <c r="AJ128" s="10"/>
      <c r="AK128" s="10"/>
      <c r="AL128" s="10"/>
      <c r="AM128" s="10"/>
      <c r="AN128" s="10"/>
    </row>
    <row r="129" ht="30.0" customHeight="1">
      <c r="A129" s="9" t="str">
        <f t="shared" si="1"/>
        <v>N/I</v>
      </c>
      <c r="B129" s="9" t="str">
        <f t="shared" si="2"/>
        <v>N/I</v>
      </c>
      <c r="C129" s="9" t="str">
        <f t="shared" si="3"/>
        <v>N/I</v>
      </c>
      <c r="D129" s="10" t="s">
        <v>184</v>
      </c>
      <c r="E129" s="11" t="s">
        <v>185</v>
      </c>
      <c r="F129" s="11" t="s">
        <v>194</v>
      </c>
      <c r="G129" s="12" t="s">
        <v>52</v>
      </c>
      <c r="H129" s="25" t="s">
        <v>187</v>
      </c>
      <c r="I129" s="12" t="s">
        <v>196</v>
      </c>
      <c r="J129" s="10" t="s">
        <v>197</v>
      </c>
      <c r="K129" s="10" t="s">
        <v>40</v>
      </c>
      <c r="L129" s="10" t="s">
        <v>4</v>
      </c>
      <c r="M129" s="26" t="s">
        <v>200</v>
      </c>
      <c r="N129" s="11"/>
      <c r="O129" s="10"/>
      <c r="P129" s="10" t="s">
        <v>192</v>
      </c>
      <c r="Q129" s="2"/>
      <c r="R129" s="24" t="s">
        <v>193</v>
      </c>
      <c r="S129" s="24" t="s">
        <v>193</v>
      </c>
      <c r="T129" s="24" t="s">
        <v>193</v>
      </c>
      <c r="U129" s="24"/>
      <c r="V129" s="2"/>
      <c r="W129" s="15"/>
      <c r="X129" s="15"/>
      <c r="Y129" s="15"/>
      <c r="Z129" s="15"/>
      <c r="AA129" s="1"/>
      <c r="AB129" s="15"/>
      <c r="AC129" s="15"/>
      <c r="AD129" s="15"/>
      <c r="AE129" s="15"/>
      <c r="AF129" s="2"/>
      <c r="AG129" s="10"/>
      <c r="AH129" s="10"/>
      <c r="AI129" s="10"/>
      <c r="AJ129" s="10"/>
      <c r="AK129" s="10"/>
      <c r="AL129" s="10"/>
      <c r="AM129" s="10"/>
      <c r="AN129" s="10"/>
    </row>
    <row r="130" ht="30.0" customHeight="1">
      <c r="A130" s="9" t="str">
        <f t="shared" si="1"/>
        <v>N/I</v>
      </c>
      <c r="B130" s="9" t="str">
        <f t="shared" si="2"/>
        <v>N/I</v>
      </c>
      <c r="C130" s="9" t="str">
        <f t="shared" si="3"/>
        <v>N/I</v>
      </c>
      <c r="D130" s="10" t="s">
        <v>184</v>
      </c>
      <c r="E130" s="11" t="s">
        <v>185</v>
      </c>
      <c r="F130" s="11" t="s">
        <v>194</v>
      </c>
      <c r="G130" s="12" t="s">
        <v>52</v>
      </c>
      <c r="H130" s="25" t="s">
        <v>187</v>
      </c>
      <c r="I130" s="12" t="s">
        <v>196</v>
      </c>
      <c r="J130" s="10" t="s">
        <v>197</v>
      </c>
      <c r="K130" s="10" t="s">
        <v>40</v>
      </c>
      <c r="L130" s="10" t="s">
        <v>4</v>
      </c>
      <c r="M130" s="26" t="s">
        <v>200</v>
      </c>
      <c r="N130" s="11"/>
      <c r="O130" s="10"/>
      <c r="P130" s="10" t="s">
        <v>192</v>
      </c>
      <c r="Q130" s="2"/>
      <c r="R130" s="24" t="s">
        <v>193</v>
      </c>
      <c r="S130" s="24" t="s">
        <v>193</v>
      </c>
      <c r="T130" s="24" t="s">
        <v>193</v>
      </c>
      <c r="U130" s="24"/>
      <c r="V130" s="2"/>
      <c r="W130" s="15"/>
      <c r="X130" s="15"/>
      <c r="Y130" s="15"/>
      <c r="Z130" s="15"/>
      <c r="AA130" s="1"/>
      <c r="AB130" s="15"/>
      <c r="AC130" s="15"/>
      <c r="AD130" s="15"/>
      <c r="AE130" s="15"/>
      <c r="AF130" s="2"/>
      <c r="AG130" s="10"/>
      <c r="AH130" s="10"/>
      <c r="AI130" s="10"/>
      <c r="AJ130" s="10"/>
      <c r="AK130" s="10"/>
      <c r="AL130" s="10"/>
      <c r="AM130" s="10"/>
      <c r="AN130" s="10"/>
    </row>
    <row r="131" ht="30.0" customHeight="1">
      <c r="A131" s="9" t="str">
        <f t="shared" si="1"/>
        <v>N/I</v>
      </c>
      <c r="B131" s="9" t="str">
        <f t="shared" si="2"/>
        <v>N/I</v>
      </c>
      <c r="C131" s="9" t="str">
        <f t="shared" si="3"/>
        <v>N/I</v>
      </c>
      <c r="D131" s="10" t="s">
        <v>184</v>
      </c>
      <c r="E131" s="11" t="s">
        <v>185</v>
      </c>
      <c r="F131" s="11" t="s">
        <v>194</v>
      </c>
      <c r="G131" s="12" t="s">
        <v>58</v>
      </c>
      <c r="H131" s="25" t="s">
        <v>187</v>
      </c>
      <c r="I131" s="12" t="s">
        <v>196</v>
      </c>
      <c r="J131" s="10" t="s">
        <v>197</v>
      </c>
      <c r="K131" s="10" t="s">
        <v>40</v>
      </c>
      <c r="L131" s="10" t="s">
        <v>4</v>
      </c>
      <c r="M131" s="26" t="s">
        <v>200</v>
      </c>
      <c r="N131" s="11"/>
      <c r="O131" s="10"/>
      <c r="P131" s="10" t="s">
        <v>192</v>
      </c>
      <c r="Q131" s="2"/>
      <c r="R131" s="24" t="s">
        <v>193</v>
      </c>
      <c r="S131" s="24" t="s">
        <v>193</v>
      </c>
      <c r="T131" s="24" t="s">
        <v>193</v>
      </c>
      <c r="U131" s="24"/>
      <c r="V131" s="2"/>
      <c r="W131" s="15"/>
      <c r="X131" s="15"/>
      <c r="Y131" s="15"/>
      <c r="Z131" s="15"/>
      <c r="AA131" s="1"/>
      <c r="AB131" s="15"/>
      <c r="AC131" s="15"/>
      <c r="AD131" s="15"/>
      <c r="AE131" s="15"/>
      <c r="AF131" s="2"/>
      <c r="AG131" s="10"/>
      <c r="AH131" s="10"/>
      <c r="AI131" s="10"/>
      <c r="AJ131" s="10"/>
      <c r="AK131" s="10"/>
      <c r="AL131" s="10"/>
      <c r="AM131" s="10"/>
      <c r="AN131" s="10"/>
    </row>
    <row r="132" ht="30.0" customHeight="1">
      <c r="A132" s="9" t="str">
        <f t="shared" si="1"/>
        <v>N/I</v>
      </c>
      <c r="B132" s="9" t="str">
        <f t="shared" si="2"/>
        <v>N/I</v>
      </c>
      <c r="C132" s="9" t="str">
        <f t="shared" si="3"/>
        <v>N/I</v>
      </c>
      <c r="D132" s="10" t="s">
        <v>184</v>
      </c>
      <c r="E132" s="11" t="s">
        <v>185</v>
      </c>
      <c r="F132" s="11" t="s">
        <v>194</v>
      </c>
      <c r="G132" s="12" t="s">
        <v>58</v>
      </c>
      <c r="H132" s="25" t="s">
        <v>187</v>
      </c>
      <c r="I132" s="12" t="s">
        <v>196</v>
      </c>
      <c r="J132" s="10" t="s">
        <v>197</v>
      </c>
      <c r="K132" s="10" t="s">
        <v>40</v>
      </c>
      <c r="L132" s="10" t="s">
        <v>4</v>
      </c>
      <c r="M132" s="26" t="s">
        <v>200</v>
      </c>
      <c r="N132" s="11"/>
      <c r="O132" s="10"/>
      <c r="P132" s="10" t="s">
        <v>192</v>
      </c>
      <c r="Q132" s="2"/>
      <c r="R132" s="24" t="s">
        <v>193</v>
      </c>
      <c r="S132" s="24" t="s">
        <v>193</v>
      </c>
      <c r="T132" s="24" t="s">
        <v>193</v>
      </c>
      <c r="U132" s="24"/>
      <c r="V132" s="2"/>
      <c r="W132" s="15"/>
      <c r="X132" s="15"/>
      <c r="Y132" s="15"/>
      <c r="Z132" s="15"/>
      <c r="AA132" s="1"/>
      <c r="AB132" s="15"/>
      <c r="AC132" s="15"/>
      <c r="AD132" s="15"/>
      <c r="AE132" s="15"/>
      <c r="AF132" s="2"/>
      <c r="AG132" s="10"/>
      <c r="AH132" s="10"/>
      <c r="AI132" s="10"/>
      <c r="AJ132" s="10"/>
      <c r="AK132" s="10"/>
      <c r="AL132" s="10"/>
      <c r="AM132" s="10"/>
      <c r="AN132" s="10"/>
    </row>
    <row r="133" ht="30.0" customHeight="1">
      <c r="A133" s="9" t="str">
        <f t="shared" si="1"/>
        <v>N/I</v>
      </c>
      <c r="B133" s="9" t="str">
        <f t="shared" si="2"/>
        <v>N/I</v>
      </c>
      <c r="C133" s="9" t="str">
        <f t="shared" si="3"/>
        <v>N/I</v>
      </c>
      <c r="D133" s="10" t="s">
        <v>184</v>
      </c>
      <c r="E133" s="11" t="s">
        <v>185</v>
      </c>
      <c r="F133" s="11" t="s">
        <v>194</v>
      </c>
      <c r="G133" s="12" t="s">
        <v>58</v>
      </c>
      <c r="H133" s="25" t="s">
        <v>187</v>
      </c>
      <c r="I133" s="12" t="s">
        <v>196</v>
      </c>
      <c r="J133" s="10" t="s">
        <v>197</v>
      </c>
      <c r="K133" s="10" t="s">
        <v>40</v>
      </c>
      <c r="L133" s="10" t="s">
        <v>4</v>
      </c>
      <c r="M133" s="26" t="s">
        <v>200</v>
      </c>
      <c r="N133" s="11"/>
      <c r="O133" s="10"/>
      <c r="P133" s="10" t="s">
        <v>192</v>
      </c>
      <c r="Q133" s="2"/>
      <c r="R133" s="24" t="s">
        <v>193</v>
      </c>
      <c r="S133" s="24" t="s">
        <v>193</v>
      </c>
      <c r="T133" s="24" t="s">
        <v>193</v>
      </c>
      <c r="U133" s="24"/>
      <c r="V133" s="2"/>
      <c r="W133" s="15"/>
      <c r="X133" s="15"/>
      <c r="Y133" s="15"/>
      <c r="Z133" s="15"/>
      <c r="AA133" s="1"/>
      <c r="AB133" s="15"/>
      <c r="AC133" s="15"/>
      <c r="AD133" s="15"/>
      <c r="AE133" s="15"/>
      <c r="AF133" s="2"/>
      <c r="AG133" s="10"/>
      <c r="AH133" s="10"/>
      <c r="AI133" s="10"/>
      <c r="AJ133" s="10"/>
      <c r="AK133" s="10"/>
      <c r="AL133" s="10"/>
      <c r="AM133" s="10"/>
      <c r="AN133" s="10"/>
    </row>
    <row r="134" ht="30.0" customHeight="1">
      <c r="A134" s="9" t="str">
        <f t="shared" si="1"/>
        <v>N/I</v>
      </c>
      <c r="B134" s="9" t="str">
        <f t="shared" si="2"/>
        <v>N/I</v>
      </c>
      <c r="C134" s="9" t="str">
        <f t="shared" si="3"/>
        <v>N/I</v>
      </c>
      <c r="D134" s="10" t="s">
        <v>184</v>
      </c>
      <c r="E134" s="11" t="s">
        <v>185</v>
      </c>
      <c r="F134" s="11" t="s">
        <v>194</v>
      </c>
      <c r="G134" s="12" t="s">
        <v>58</v>
      </c>
      <c r="H134" s="25" t="s">
        <v>187</v>
      </c>
      <c r="I134" s="12" t="s">
        <v>196</v>
      </c>
      <c r="J134" s="10" t="s">
        <v>197</v>
      </c>
      <c r="K134" s="10" t="s">
        <v>40</v>
      </c>
      <c r="L134" s="10" t="s">
        <v>4</v>
      </c>
      <c r="M134" s="26" t="s">
        <v>200</v>
      </c>
      <c r="N134" s="11"/>
      <c r="O134" s="10"/>
      <c r="P134" s="10" t="s">
        <v>192</v>
      </c>
      <c r="Q134" s="2"/>
      <c r="R134" s="24" t="s">
        <v>193</v>
      </c>
      <c r="S134" s="24" t="s">
        <v>193</v>
      </c>
      <c r="T134" s="24" t="s">
        <v>193</v>
      </c>
      <c r="U134" s="24"/>
      <c r="V134" s="2"/>
      <c r="W134" s="15"/>
      <c r="X134" s="15"/>
      <c r="Y134" s="15"/>
      <c r="Z134" s="15"/>
      <c r="AA134" s="1"/>
      <c r="AB134" s="15"/>
      <c r="AC134" s="15"/>
      <c r="AD134" s="15"/>
      <c r="AE134" s="15"/>
      <c r="AF134" s="2"/>
      <c r="AG134" s="10"/>
      <c r="AH134" s="10"/>
      <c r="AI134" s="10"/>
      <c r="AJ134" s="10"/>
      <c r="AK134" s="10"/>
      <c r="AL134" s="10"/>
      <c r="AM134" s="10"/>
      <c r="AN134" s="10"/>
    </row>
    <row r="135" ht="30.0" customHeight="1">
      <c r="A135" s="9" t="str">
        <f t="shared" si="1"/>
        <v>N/I</v>
      </c>
      <c r="B135" s="9" t="str">
        <f t="shared" si="2"/>
        <v>N/I</v>
      </c>
      <c r="C135" s="9" t="str">
        <f t="shared" si="3"/>
        <v>N/I</v>
      </c>
      <c r="D135" s="10" t="s">
        <v>184</v>
      </c>
      <c r="E135" s="11" t="s">
        <v>185</v>
      </c>
      <c r="F135" s="11" t="s">
        <v>194</v>
      </c>
      <c r="G135" s="12" t="s">
        <v>58</v>
      </c>
      <c r="H135" s="25" t="s">
        <v>187</v>
      </c>
      <c r="I135" s="12" t="s">
        <v>196</v>
      </c>
      <c r="J135" s="10" t="s">
        <v>197</v>
      </c>
      <c r="K135" s="10" t="s">
        <v>40</v>
      </c>
      <c r="L135" s="10" t="s">
        <v>4</v>
      </c>
      <c r="M135" s="26" t="s">
        <v>200</v>
      </c>
      <c r="N135" s="11"/>
      <c r="O135" s="10"/>
      <c r="P135" s="10" t="s">
        <v>192</v>
      </c>
      <c r="Q135" s="2"/>
      <c r="R135" s="24" t="s">
        <v>193</v>
      </c>
      <c r="S135" s="24" t="s">
        <v>193</v>
      </c>
      <c r="T135" s="24" t="s">
        <v>193</v>
      </c>
      <c r="U135" s="24"/>
      <c r="V135" s="2"/>
      <c r="W135" s="15"/>
      <c r="X135" s="15"/>
      <c r="Y135" s="15"/>
      <c r="Z135" s="15"/>
      <c r="AA135" s="1"/>
      <c r="AB135" s="15"/>
      <c r="AC135" s="15"/>
      <c r="AD135" s="15"/>
      <c r="AE135" s="15"/>
      <c r="AF135" s="2"/>
      <c r="AG135" s="10"/>
      <c r="AH135" s="10"/>
      <c r="AI135" s="10"/>
      <c r="AJ135" s="10"/>
      <c r="AK135" s="10"/>
      <c r="AL135" s="10"/>
      <c r="AM135" s="10"/>
      <c r="AN135" s="10"/>
    </row>
    <row r="136" ht="30.0" customHeight="1">
      <c r="A136" s="9" t="str">
        <f t="shared" si="1"/>
        <v>N/I</v>
      </c>
      <c r="B136" s="9" t="str">
        <f t="shared" si="2"/>
        <v>N/I</v>
      </c>
      <c r="C136" s="9" t="str">
        <f t="shared" si="3"/>
        <v>N/I</v>
      </c>
      <c r="D136" s="10" t="s">
        <v>184</v>
      </c>
      <c r="E136" s="11" t="s">
        <v>185</v>
      </c>
      <c r="F136" s="11" t="s">
        <v>194</v>
      </c>
      <c r="G136" s="12" t="s">
        <v>58</v>
      </c>
      <c r="H136" s="25" t="s">
        <v>187</v>
      </c>
      <c r="I136" s="12" t="s">
        <v>196</v>
      </c>
      <c r="J136" s="10" t="s">
        <v>197</v>
      </c>
      <c r="K136" s="10" t="s">
        <v>40</v>
      </c>
      <c r="L136" s="10" t="s">
        <v>4</v>
      </c>
      <c r="M136" s="26" t="s">
        <v>200</v>
      </c>
      <c r="N136" s="11"/>
      <c r="O136" s="10"/>
      <c r="P136" s="10" t="s">
        <v>192</v>
      </c>
      <c r="Q136" s="2"/>
      <c r="R136" s="24" t="s">
        <v>193</v>
      </c>
      <c r="S136" s="24" t="s">
        <v>193</v>
      </c>
      <c r="T136" s="24" t="s">
        <v>193</v>
      </c>
      <c r="U136" s="24"/>
      <c r="V136" s="2"/>
      <c r="W136" s="15"/>
      <c r="X136" s="15"/>
      <c r="Y136" s="15"/>
      <c r="Z136" s="15"/>
      <c r="AA136" s="1"/>
      <c r="AB136" s="15"/>
      <c r="AC136" s="15"/>
      <c r="AD136" s="15"/>
      <c r="AE136" s="15"/>
      <c r="AF136" s="2"/>
      <c r="AG136" s="10"/>
      <c r="AH136" s="10"/>
      <c r="AI136" s="10"/>
      <c r="AJ136" s="10"/>
      <c r="AK136" s="10"/>
      <c r="AL136" s="10"/>
      <c r="AM136" s="10"/>
      <c r="AN136" s="10"/>
    </row>
    <row r="137" ht="30.0" customHeight="1">
      <c r="A137" s="9" t="str">
        <f t="shared" si="1"/>
        <v>N/I</v>
      </c>
      <c r="B137" s="9" t="str">
        <f t="shared" si="2"/>
        <v>N/I</v>
      </c>
      <c r="C137" s="9" t="str">
        <f t="shared" si="3"/>
        <v>N/I</v>
      </c>
      <c r="D137" s="10" t="s">
        <v>184</v>
      </c>
      <c r="E137" s="11" t="s">
        <v>185</v>
      </c>
      <c r="F137" s="11" t="s">
        <v>194</v>
      </c>
      <c r="G137" s="12" t="s">
        <v>58</v>
      </c>
      <c r="H137" s="25" t="s">
        <v>187</v>
      </c>
      <c r="I137" s="12" t="s">
        <v>196</v>
      </c>
      <c r="J137" s="10" t="s">
        <v>197</v>
      </c>
      <c r="K137" s="10" t="s">
        <v>40</v>
      </c>
      <c r="L137" s="10" t="s">
        <v>4</v>
      </c>
      <c r="M137" s="26" t="s">
        <v>200</v>
      </c>
      <c r="N137" s="11"/>
      <c r="O137" s="10"/>
      <c r="P137" s="10" t="s">
        <v>192</v>
      </c>
      <c r="Q137" s="2"/>
      <c r="R137" s="24" t="s">
        <v>193</v>
      </c>
      <c r="S137" s="24" t="s">
        <v>193</v>
      </c>
      <c r="T137" s="24" t="s">
        <v>193</v>
      </c>
      <c r="U137" s="24"/>
      <c r="V137" s="2"/>
      <c r="W137" s="15"/>
      <c r="X137" s="15"/>
      <c r="Y137" s="15"/>
      <c r="Z137" s="15"/>
      <c r="AA137" s="1"/>
      <c r="AB137" s="15"/>
      <c r="AC137" s="15"/>
      <c r="AD137" s="15"/>
      <c r="AE137" s="15"/>
      <c r="AF137" s="2"/>
      <c r="AG137" s="10"/>
      <c r="AH137" s="10"/>
      <c r="AI137" s="10"/>
      <c r="AJ137" s="10"/>
      <c r="AK137" s="10"/>
      <c r="AL137" s="10"/>
      <c r="AM137" s="10"/>
      <c r="AN137" s="10"/>
    </row>
    <row r="138" ht="30.0" customHeight="1">
      <c r="A138" s="9" t="str">
        <f t="shared" si="1"/>
        <v>N/I</v>
      </c>
      <c r="B138" s="9" t="str">
        <f t="shared" si="2"/>
        <v>N/I</v>
      </c>
      <c r="C138" s="9" t="str">
        <f t="shared" si="3"/>
        <v>N/I</v>
      </c>
      <c r="D138" s="10" t="s">
        <v>184</v>
      </c>
      <c r="E138" s="11" t="s">
        <v>185</v>
      </c>
      <c r="F138" s="11" t="s">
        <v>194</v>
      </c>
      <c r="G138" s="12" t="s">
        <v>58</v>
      </c>
      <c r="H138" s="25" t="s">
        <v>187</v>
      </c>
      <c r="I138" s="12" t="s">
        <v>196</v>
      </c>
      <c r="J138" s="10" t="s">
        <v>197</v>
      </c>
      <c r="K138" s="10" t="s">
        <v>40</v>
      </c>
      <c r="L138" s="10" t="s">
        <v>4</v>
      </c>
      <c r="M138" s="26" t="s">
        <v>200</v>
      </c>
      <c r="N138" s="11"/>
      <c r="O138" s="10"/>
      <c r="P138" s="10" t="s">
        <v>192</v>
      </c>
      <c r="Q138" s="2"/>
      <c r="R138" s="24" t="s">
        <v>193</v>
      </c>
      <c r="S138" s="24" t="s">
        <v>193</v>
      </c>
      <c r="T138" s="24" t="s">
        <v>193</v>
      </c>
      <c r="U138" s="24"/>
      <c r="V138" s="2"/>
      <c r="W138" s="15"/>
      <c r="X138" s="15"/>
      <c r="Y138" s="15"/>
      <c r="Z138" s="15"/>
      <c r="AA138" s="1"/>
      <c r="AB138" s="15"/>
      <c r="AC138" s="15"/>
      <c r="AD138" s="15"/>
      <c r="AE138" s="15"/>
      <c r="AF138" s="2"/>
      <c r="AG138" s="10"/>
      <c r="AH138" s="10"/>
      <c r="AI138" s="10"/>
      <c r="AJ138" s="10"/>
      <c r="AK138" s="10"/>
      <c r="AL138" s="10"/>
      <c r="AM138" s="10"/>
      <c r="AN138" s="10"/>
    </row>
    <row r="139" ht="30.0" customHeight="1">
      <c r="A139" s="9" t="str">
        <f t="shared" si="1"/>
        <v>N/I</v>
      </c>
      <c r="B139" s="9" t="str">
        <f t="shared" si="2"/>
        <v>N/I</v>
      </c>
      <c r="C139" s="9" t="str">
        <f t="shared" si="3"/>
        <v>N/I</v>
      </c>
      <c r="D139" s="10" t="s">
        <v>184</v>
      </c>
      <c r="E139" s="11" t="s">
        <v>185</v>
      </c>
      <c r="F139" s="11" t="s">
        <v>194</v>
      </c>
      <c r="G139" s="12" t="s">
        <v>58</v>
      </c>
      <c r="H139" s="25" t="s">
        <v>187</v>
      </c>
      <c r="I139" s="12" t="s">
        <v>196</v>
      </c>
      <c r="J139" s="10" t="s">
        <v>197</v>
      </c>
      <c r="K139" s="10" t="s">
        <v>40</v>
      </c>
      <c r="L139" s="10" t="s">
        <v>4</v>
      </c>
      <c r="M139" s="26" t="s">
        <v>200</v>
      </c>
      <c r="N139" s="11"/>
      <c r="O139" s="10"/>
      <c r="P139" s="10" t="s">
        <v>192</v>
      </c>
      <c r="Q139" s="2"/>
      <c r="R139" s="24" t="s">
        <v>193</v>
      </c>
      <c r="S139" s="24" t="s">
        <v>193</v>
      </c>
      <c r="T139" s="24" t="s">
        <v>193</v>
      </c>
      <c r="U139" s="24"/>
      <c r="V139" s="2"/>
      <c r="W139" s="15"/>
      <c r="X139" s="15"/>
      <c r="Y139" s="15"/>
      <c r="Z139" s="15"/>
      <c r="AA139" s="1"/>
      <c r="AB139" s="15"/>
      <c r="AC139" s="15"/>
      <c r="AD139" s="15"/>
      <c r="AE139" s="15"/>
      <c r="AF139" s="2"/>
      <c r="AG139" s="10"/>
      <c r="AH139" s="10"/>
      <c r="AI139" s="10"/>
      <c r="AJ139" s="10"/>
      <c r="AK139" s="10"/>
      <c r="AL139" s="10"/>
      <c r="AM139" s="10"/>
      <c r="AN139" s="10"/>
    </row>
    <row r="140" ht="30.0" customHeight="1">
      <c r="A140" s="9" t="str">
        <f t="shared" si="1"/>
        <v>N/I</v>
      </c>
      <c r="B140" s="9" t="str">
        <f t="shared" si="2"/>
        <v>N/I</v>
      </c>
      <c r="C140" s="9" t="str">
        <f t="shared" si="3"/>
        <v>N/I</v>
      </c>
      <c r="D140" s="10" t="s">
        <v>184</v>
      </c>
      <c r="E140" s="11" t="s">
        <v>185</v>
      </c>
      <c r="F140" s="11" t="s">
        <v>194</v>
      </c>
      <c r="G140" s="12" t="s">
        <v>167</v>
      </c>
      <c r="H140" s="25" t="s">
        <v>187</v>
      </c>
      <c r="I140" s="12" t="s">
        <v>196</v>
      </c>
      <c r="J140" s="10" t="s">
        <v>197</v>
      </c>
      <c r="K140" s="10" t="s">
        <v>40</v>
      </c>
      <c r="L140" s="10" t="s">
        <v>4</v>
      </c>
      <c r="M140" s="26" t="s">
        <v>200</v>
      </c>
      <c r="N140" s="11"/>
      <c r="O140" s="10"/>
      <c r="P140" s="10" t="s">
        <v>192</v>
      </c>
      <c r="Q140" s="2"/>
      <c r="R140" s="24" t="s">
        <v>193</v>
      </c>
      <c r="S140" s="24" t="s">
        <v>193</v>
      </c>
      <c r="T140" s="24" t="s">
        <v>193</v>
      </c>
      <c r="U140" s="24"/>
      <c r="V140" s="2"/>
      <c r="W140" s="15"/>
      <c r="X140" s="15"/>
      <c r="Y140" s="15"/>
      <c r="Z140" s="15"/>
      <c r="AA140" s="1"/>
      <c r="AB140" s="15"/>
      <c r="AC140" s="15"/>
      <c r="AD140" s="15"/>
      <c r="AE140" s="15"/>
      <c r="AF140" s="2"/>
      <c r="AG140" s="10"/>
      <c r="AH140" s="10"/>
      <c r="AI140" s="10"/>
      <c r="AJ140" s="10"/>
      <c r="AK140" s="10"/>
      <c r="AL140" s="10"/>
      <c r="AM140" s="10"/>
      <c r="AN140" s="10"/>
    </row>
    <row r="141" ht="30.0" customHeight="1">
      <c r="A141" s="9" t="str">
        <f t="shared" si="1"/>
        <v>N/I</v>
      </c>
      <c r="B141" s="9" t="str">
        <f t="shared" si="2"/>
        <v>N/I</v>
      </c>
      <c r="C141" s="9" t="str">
        <f t="shared" si="3"/>
        <v>N/I</v>
      </c>
      <c r="D141" s="10" t="s">
        <v>184</v>
      </c>
      <c r="E141" s="11" t="s">
        <v>185</v>
      </c>
      <c r="F141" s="11" t="s">
        <v>194</v>
      </c>
      <c r="G141" s="12" t="s">
        <v>167</v>
      </c>
      <c r="H141" s="25" t="s">
        <v>187</v>
      </c>
      <c r="I141" s="12" t="s">
        <v>196</v>
      </c>
      <c r="J141" s="10" t="s">
        <v>197</v>
      </c>
      <c r="K141" s="10" t="s">
        <v>40</v>
      </c>
      <c r="L141" s="10" t="s">
        <v>4</v>
      </c>
      <c r="M141" s="26" t="s">
        <v>200</v>
      </c>
      <c r="N141" s="11"/>
      <c r="O141" s="10"/>
      <c r="P141" s="10" t="s">
        <v>192</v>
      </c>
      <c r="Q141" s="2"/>
      <c r="R141" s="24" t="s">
        <v>193</v>
      </c>
      <c r="S141" s="24" t="s">
        <v>193</v>
      </c>
      <c r="T141" s="24" t="s">
        <v>193</v>
      </c>
      <c r="U141" s="24"/>
      <c r="V141" s="2"/>
      <c r="W141" s="15"/>
      <c r="X141" s="15"/>
      <c r="Y141" s="15"/>
      <c r="Z141" s="15"/>
      <c r="AA141" s="1"/>
      <c r="AB141" s="15"/>
      <c r="AC141" s="15"/>
      <c r="AD141" s="15"/>
      <c r="AE141" s="15"/>
      <c r="AF141" s="2"/>
      <c r="AG141" s="10"/>
      <c r="AH141" s="10"/>
      <c r="AI141" s="10"/>
      <c r="AJ141" s="10"/>
      <c r="AK141" s="10"/>
      <c r="AL141" s="10"/>
      <c r="AM141" s="10"/>
      <c r="AN141" s="10"/>
    </row>
    <row r="142" ht="30.0" customHeight="1">
      <c r="A142" s="9" t="str">
        <f t="shared" si="1"/>
        <v>N/I</v>
      </c>
      <c r="B142" s="9" t="str">
        <f t="shared" si="2"/>
        <v>N/I</v>
      </c>
      <c r="C142" s="9" t="str">
        <f t="shared" si="3"/>
        <v>N/I</v>
      </c>
      <c r="D142" s="10" t="s">
        <v>184</v>
      </c>
      <c r="E142" s="11" t="s">
        <v>185</v>
      </c>
      <c r="F142" s="11" t="s">
        <v>194</v>
      </c>
      <c r="G142" s="12" t="s">
        <v>167</v>
      </c>
      <c r="H142" s="25" t="s">
        <v>187</v>
      </c>
      <c r="I142" s="12" t="s">
        <v>196</v>
      </c>
      <c r="J142" s="10" t="s">
        <v>197</v>
      </c>
      <c r="K142" s="10" t="s">
        <v>40</v>
      </c>
      <c r="L142" s="10" t="s">
        <v>4</v>
      </c>
      <c r="M142" s="26" t="s">
        <v>200</v>
      </c>
      <c r="N142" s="11"/>
      <c r="O142" s="10"/>
      <c r="P142" s="10" t="s">
        <v>192</v>
      </c>
      <c r="Q142" s="2"/>
      <c r="R142" s="24" t="s">
        <v>193</v>
      </c>
      <c r="S142" s="24" t="s">
        <v>193</v>
      </c>
      <c r="T142" s="24" t="s">
        <v>193</v>
      </c>
      <c r="U142" s="24"/>
      <c r="V142" s="2"/>
      <c r="W142" s="15"/>
      <c r="X142" s="15"/>
      <c r="Y142" s="15"/>
      <c r="Z142" s="15"/>
      <c r="AA142" s="1"/>
      <c r="AB142" s="15"/>
      <c r="AC142" s="15"/>
      <c r="AD142" s="15"/>
      <c r="AE142" s="15"/>
      <c r="AF142" s="2"/>
      <c r="AG142" s="10"/>
      <c r="AH142" s="10"/>
      <c r="AI142" s="10"/>
      <c r="AJ142" s="10"/>
      <c r="AK142" s="10"/>
      <c r="AL142" s="10"/>
      <c r="AM142" s="10"/>
      <c r="AN142" s="10"/>
    </row>
    <row r="143" ht="30.0" customHeight="1">
      <c r="A143" s="9" t="str">
        <f t="shared" si="1"/>
        <v>N/I</v>
      </c>
      <c r="B143" s="9" t="str">
        <f t="shared" si="2"/>
        <v>N/I</v>
      </c>
      <c r="C143" s="9" t="str">
        <f t="shared" si="3"/>
        <v>N/I</v>
      </c>
      <c r="D143" s="10" t="s">
        <v>184</v>
      </c>
      <c r="E143" s="11" t="s">
        <v>185</v>
      </c>
      <c r="F143" s="11" t="s">
        <v>194</v>
      </c>
      <c r="G143" s="12" t="s">
        <v>79</v>
      </c>
      <c r="H143" s="25" t="s">
        <v>187</v>
      </c>
      <c r="I143" s="12" t="s">
        <v>196</v>
      </c>
      <c r="J143" s="10" t="s">
        <v>197</v>
      </c>
      <c r="K143" s="10" t="s">
        <v>40</v>
      </c>
      <c r="L143" s="10" t="s">
        <v>4</v>
      </c>
      <c r="M143" s="26" t="s">
        <v>200</v>
      </c>
      <c r="N143" s="11"/>
      <c r="O143" s="10"/>
      <c r="P143" s="10" t="s">
        <v>192</v>
      </c>
      <c r="Q143" s="2"/>
      <c r="R143" s="24" t="s">
        <v>193</v>
      </c>
      <c r="S143" s="24" t="s">
        <v>193</v>
      </c>
      <c r="T143" s="24" t="s">
        <v>193</v>
      </c>
      <c r="U143" s="24"/>
      <c r="V143" s="2"/>
      <c r="W143" s="15"/>
      <c r="X143" s="15"/>
      <c r="Y143" s="15"/>
      <c r="Z143" s="15"/>
      <c r="AA143" s="1"/>
      <c r="AB143" s="15"/>
      <c r="AC143" s="15"/>
      <c r="AD143" s="15"/>
      <c r="AE143" s="15"/>
      <c r="AF143" s="2"/>
      <c r="AG143" s="10"/>
      <c r="AH143" s="10"/>
      <c r="AI143" s="10"/>
      <c r="AJ143" s="10"/>
      <c r="AK143" s="10"/>
      <c r="AL143" s="10"/>
      <c r="AM143" s="10"/>
      <c r="AN143" s="10"/>
    </row>
    <row r="144" ht="30.0" customHeight="1">
      <c r="A144" s="9" t="str">
        <f t="shared" si="1"/>
        <v>N/I</v>
      </c>
      <c r="B144" s="9" t="str">
        <f t="shared" si="2"/>
        <v>N/I</v>
      </c>
      <c r="C144" s="9" t="str">
        <f t="shared" si="3"/>
        <v>N/I</v>
      </c>
      <c r="D144" s="10" t="s">
        <v>184</v>
      </c>
      <c r="E144" s="11" t="s">
        <v>185</v>
      </c>
      <c r="F144" s="11" t="s">
        <v>194</v>
      </c>
      <c r="G144" s="12" t="s">
        <v>79</v>
      </c>
      <c r="H144" s="25" t="s">
        <v>187</v>
      </c>
      <c r="I144" s="12" t="s">
        <v>196</v>
      </c>
      <c r="J144" s="10" t="s">
        <v>197</v>
      </c>
      <c r="K144" s="10" t="s">
        <v>40</v>
      </c>
      <c r="L144" s="10" t="s">
        <v>4</v>
      </c>
      <c r="M144" s="26" t="s">
        <v>200</v>
      </c>
      <c r="N144" s="11"/>
      <c r="O144" s="10"/>
      <c r="P144" s="10" t="s">
        <v>192</v>
      </c>
      <c r="Q144" s="2"/>
      <c r="R144" s="24" t="s">
        <v>193</v>
      </c>
      <c r="S144" s="24" t="s">
        <v>193</v>
      </c>
      <c r="T144" s="24" t="s">
        <v>193</v>
      </c>
      <c r="U144" s="24"/>
      <c r="V144" s="2"/>
      <c r="W144" s="15"/>
      <c r="X144" s="15"/>
      <c r="Y144" s="15"/>
      <c r="Z144" s="15"/>
      <c r="AA144" s="1"/>
      <c r="AB144" s="15"/>
      <c r="AC144" s="15"/>
      <c r="AD144" s="15"/>
      <c r="AE144" s="15"/>
      <c r="AF144" s="2"/>
      <c r="AG144" s="10"/>
      <c r="AH144" s="10"/>
      <c r="AI144" s="10"/>
      <c r="AJ144" s="10"/>
      <c r="AK144" s="10"/>
      <c r="AL144" s="10"/>
      <c r="AM144" s="10"/>
      <c r="AN144" s="10"/>
    </row>
    <row r="145" ht="30.0" customHeight="1">
      <c r="A145" s="9" t="str">
        <f t="shared" si="1"/>
        <v>N/I</v>
      </c>
      <c r="B145" s="9" t="str">
        <f t="shared" si="2"/>
        <v>N/I</v>
      </c>
      <c r="C145" s="9" t="str">
        <f t="shared" si="3"/>
        <v>N/I</v>
      </c>
      <c r="D145" s="10" t="s">
        <v>184</v>
      </c>
      <c r="E145" s="11" t="s">
        <v>185</v>
      </c>
      <c r="F145" s="11" t="s">
        <v>194</v>
      </c>
      <c r="G145" s="12" t="s">
        <v>79</v>
      </c>
      <c r="H145" s="25" t="s">
        <v>187</v>
      </c>
      <c r="I145" s="12" t="s">
        <v>196</v>
      </c>
      <c r="J145" s="10" t="s">
        <v>197</v>
      </c>
      <c r="K145" s="10" t="s">
        <v>40</v>
      </c>
      <c r="L145" s="10" t="s">
        <v>4</v>
      </c>
      <c r="M145" s="26" t="s">
        <v>200</v>
      </c>
      <c r="N145" s="11"/>
      <c r="O145" s="10"/>
      <c r="P145" s="10" t="s">
        <v>192</v>
      </c>
      <c r="Q145" s="2"/>
      <c r="R145" s="24" t="s">
        <v>193</v>
      </c>
      <c r="S145" s="24" t="s">
        <v>193</v>
      </c>
      <c r="T145" s="24" t="s">
        <v>193</v>
      </c>
      <c r="U145" s="24"/>
      <c r="V145" s="2"/>
      <c r="W145" s="15"/>
      <c r="X145" s="15"/>
      <c r="Y145" s="15"/>
      <c r="Z145" s="15"/>
      <c r="AA145" s="1"/>
      <c r="AB145" s="15"/>
      <c r="AC145" s="15"/>
      <c r="AD145" s="15"/>
      <c r="AE145" s="15"/>
      <c r="AF145" s="2"/>
      <c r="AG145" s="10"/>
      <c r="AH145" s="10"/>
      <c r="AI145" s="10"/>
      <c r="AJ145" s="10"/>
      <c r="AK145" s="10"/>
      <c r="AL145" s="10"/>
      <c r="AM145" s="10"/>
      <c r="AN145" s="10"/>
    </row>
    <row r="146" ht="30.0" customHeight="1">
      <c r="A146" s="9" t="str">
        <f t="shared" si="1"/>
        <v>N/I</v>
      </c>
      <c r="B146" s="9" t="str">
        <f t="shared" si="2"/>
        <v>N/I</v>
      </c>
      <c r="C146" s="9" t="str">
        <f t="shared" si="3"/>
        <v>N/I</v>
      </c>
      <c r="D146" s="10" t="s">
        <v>184</v>
      </c>
      <c r="E146" s="11" t="s">
        <v>185</v>
      </c>
      <c r="F146" s="11" t="s">
        <v>194</v>
      </c>
      <c r="G146" s="12" t="s">
        <v>79</v>
      </c>
      <c r="H146" s="25" t="s">
        <v>187</v>
      </c>
      <c r="I146" s="12" t="s">
        <v>196</v>
      </c>
      <c r="J146" s="10" t="s">
        <v>197</v>
      </c>
      <c r="K146" s="10" t="s">
        <v>40</v>
      </c>
      <c r="L146" s="10" t="s">
        <v>4</v>
      </c>
      <c r="M146" s="26" t="s">
        <v>200</v>
      </c>
      <c r="N146" s="11"/>
      <c r="O146" s="10"/>
      <c r="P146" s="10" t="s">
        <v>192</v>
      </c>
      <c r="Q146" s="2"/>
      <c r="R146" s="24" t="s">
        <v>193</v>
      </c>
      <c r="S146" s="24" t="s">
        <v>193</v>
      </c>
      <c r="T146" s="24" t="s">
        <v>193</v>
      </c>
      <c r="U146" s="24"/>
      <c r="V146" s="2"/>
      <c r="W146" s="15"/>
      <c r="X146" s="15"/>
      <c r="Y146" s="15"/>
      <c r="Z146" s="15"/>
      <c r="AA146" s="1"/>
      <c r="AB146" s="15"/>
      <c r="AC146" s="15"/>
      <c r="AD146" s="15"/>
      <c r="AE146" s="15"/>
      <c r="AF146" s="2"/>
      <c r="AG146" s="10"/>
      <c r="AH146" s="10"/>
      <c r="AI146" s="10"/>
      <c r="AJ146" s="10"/>
      <c r="AK146" s="10"/>
      <c r="AL146" s="10"/>
      <c r="AM146" s="10"/>
      <c r="AN146" s="10"/>
    </row>
    <row r="147" ht="30.0" customHeight="1">
      <c r="A147" s="9" t="str">
        <f t="shared" si="1"/>
        <v>N/I</v>
      </c>
      <c r="B147" s="9" t="str">
        <f t="shared" si="2"/>
        <v>N/I</v>
      </c>
      <c r="C147" s="9" t="str">
        <f t="shared" si="3"/>
        <v>N/I</v>
      </c>
      <c r="D147" s="10" t="s">
        <v>184</v>
      </c>
      <c r="E147" s="11" t="s">
        <v>185</v>
      </c>
      <c r="F147" s="11" t="s">
        <v>194</v>
      </c>
      <c r="G147" s="12" t="s">
        <v>201</v>
      </c>
      <c r="H147" s="25" t="s">
        <v>187</v>
      </c>
      <c r="I147" s="12" t="s">
        <v>196</v>
      </c>
      <c r="J147" s="10" t="s">
        <v>197</v>
      </c>
      <c r="K147" s="10" t="s">
        <v>40</v>
      </c>
      <c r="L147" s="10" t="s">
        <v>4</v>
      </c>
      <c r="M147" s="26" t="s">
        <v>200</v>
      </c>
      <c r="N147" s="11"/>
      <c r="O147" s="10"/>
      <c r="P147" s="10" t="s">
        <v>192</v>
      </c>
      <c r="Q147" s="2"/>
      <c r="R147" s="24" t="s">
        <v>193</v>
      </c>
      <c r="S147" s="24" t="s">
        <v>193</v>
      </c>
      <c r="T147" s="24" t="s">
        <v>193</v>
      </c>
      <c r="U147" s="24"/>
      <c r="V147" s="2"/>
      <c r="W147" s="15"/>
      <c r="X147" s="15"/>
      <c r="Y147" s="15"/>
      <c r="Z147" s="15"/>
      <c r="AA147" s="1"/>
      <c r="AB147" s="15"/>
      <c r="AC147" s="15"/>
      <c r="AD147" s="15"/>
      <c r="AE147" s="15"/>
      <c r="AF147" s="2"/>
      <c r="AG147" s="10"/>
      <c r="AH147" s="10"/>
      <c r="AI147" s="10"/>
      <c r="AJ147" s="10"/>
      <c r="AK147" s="10"/>
      <c r="AL147" s="10"/>
      <c r="AM147" s="10"/>
      <c r="AN147" s="10"/>
    </row>
    <row r="148" ht="30.0" customHeight="1">
      <c r="A148" s="9" t="str">
        <f t="shared" si="1"/>
        <v>Ativo</v>
      </c>
      <c r="B148" s="9" t="str">
        <f t="shared" si="2"/>
        <v>N/I</v>
      </c>
      <c r="C148" s="9" t="str">
        <f t="shared" si="3"/>
        <v>N/I</v>
      </c>
      <c r="D148" s="10" t="s">
        <v>184</v>
      </c>
      <c r="E148" s="11" t="s">
        <v>185</v>
      </c>
      <c r="F148" s="11" t="s">
        <v>202</v>
      </c>
      <c r="G148" s="12" t="s">
        <v>68</v>
      </c>
      <c r="H148" s="25" t="s">
        <v>203</v>
      </c>
      <c r="I148" s="12" t="s">
        <v>204</v>
      </c>
      <c r="J148" s="10" t="s">
        <v>189</v>
      </c>
      <c r="K148" s="10" t="s">
        <v>190</v>
      </c>
      <c r="L148" s="10" t="s">
        <v>4</v>
      </c>
      <c r="M148" s="22">
        <v>45926.0</v>
      </c>
      <c r="N148" s="11" t="s">
        <v>205</v>
      </c>
      <c r="O148" s="10"/>
      <c r="P148" s="10" t="s">
        <v>192</v>
      </c>
      <c r="Q148" s="2"/>
      <c r="R148" s="10">
        <v>44.0</v>
      </c>
      <c r="S148" s="14">
        <v>45926.0</v>
      </c>
      <c r="T148" s="14">
        <v>47264.0</v>
      </c>
      <c r="U148" s="10">
        <f>T148-TODAY()</f>
        <v>1173</v>
      </c>
      <c r="V148" s="2"/>
      <c r="W148" s="15"/>
      <c r="X148" s="15"/>
      <c r="Y148" s="15"/>
      <c r="Z148" s="15"/>
      <c r="AA148" s="1"/>
      <c r="AB148" s="15"/>
      <c r="AC148" s="15"/>
      <c r="AD148" s="15"/>
      <c r="AE148" s="15"/>
      <c r="AF148" s="2"/>
      <c r="AG148" s="10" t="s">
        <v>45</v>
      </c>
      <c r="AH148" s="10" t="s">
        <v>45</v>
      </c>
      <c r="AI148" s="10" t="s">
        <v>45</v>
      </c>
      <c r="AJ148" s="10" t="s">
        <v>45</v>
      </c>
      <c r="AK148" s="10" t="s">
        <v>45</v>
      </c>
      <c r="AL148" s="10" t="s">
        <v>45</v>
      </c>
      <c r="AM148" s="10" t="s">
        <v>45</v>
      </c>
      <c r="AN148" s="10" t="s">
        <v>45</v>
      </c>
    </row>
    <row r="149" ht="30.0" customHeight="1">
      <c r="A149" s="9" t="str">
        <f t="shared" si="1"/>
        <v>N/I</v>
      </c>
      <c r="B149" s="9" t="str">
        <f t="shared" si="2"/>
        <v>N/I</v>
      </c>
      <c r="C149" s="9" t="str">
        <f t="shared" si="3"/>
        <v>N/I</v>
      </c>
      <c r="D149" s="10" t="s">
        <v>184</v>
      </c>
      <c r="E149" s="11" t="s">
        <v>185</v>
      </c>
      <c r="F149" s="11" t="s">
        <v>202</v>
      </c>
      <c r="G149" s="12" t="s">
        <v>58</v>
      </c>
      <c r="H149" s="25" t="s">
        <v>187</v>
      </c>
      <c r="I149" s="12" t="s">
        <v>204</v>
      </c>
      <c r="J149" s="10" t="s">
        <v>189</v>
      </c>
      <c r="K149" s="10" t="s">
        <v>190</v>
      </c>
      <c r="L149" s="10" t="s">
        <v>4</v>
      </c>
      <c r="M149" s="26" t="s">
        <v>191</v>
      </c>
      <c r="N149" s="11"/>
      <c r="O149" s="10"/>
      <c r="P149" s="10" t="s">
        <v>192</v>
      </c>
      <c r="Q149" s="2"/>
      <c r="R149" s="24" t="s">
        <v>193</v>
      </c>
      <c r="S149" s="24" t="s">
        <v>193</v>
      </c>
      <c r="T149" s="24" t="s">
        <v>193</v>
      </c>
      <c r="U149" s="24"/>
      <c r="V149" s="2"/>
      <c r="W149" s="15"/>
      <c r="X149" s="15"/>
      <c r="Y149" s="15"/>
      <c r="Z149" s="15"/>
      <c r="AA149" s="1"/>
      <c r="AB149" s="15"/>
      <c r="AC149" s="15"/>
      <c r="AD149" s="15"/>
      <c r="AE149" s="15"/>
      <c r="AF149" s="2"/>
      <c r="AG149" s="10"/>
      <c r="AH149" s="10"/>
      <c r="AI149" s="10"/>
      <c r="AJ149" s="10"/>
      <c r="AK149" s="10"/>
      <c r="AL149" s="10"/>
      <c r="AM149" s="10"/>
      <c r="AN149" s="10"/>
    </row>
    <row r="150" ht="30.0" customHeight="1">
      <c r="A150" s="9" t="str">
        <f t="shared" si="1"/>
        <v>N/I</v>
      </c>
      <c r="B150" s="9" t="str">
        <f t="shared" si="2"/>
        <v>N/I</v>
      </c>
      <c r="C150" s="9" t="str">
        <f t="shared" si="3"/>
        <v>N/I</v>
      </c>
      <c r="D150" s="10" t="s">
        <v>184</v>
      </c>
      <c r="E150" s="11" t="s">
        <v>185</v>
      </c>
      <c r="F150" s="11" t="s">
        <v>206</v>
      </c>
      <c r="G150" s="12" t="s">
        <v>68</v>
      </c>
      <c r="H150" s="25" t="s">
        <v>187</v>
      </c>
      <c r="I150" s="12" t="s">
        <v>207</v>
      </c>
      <c r="J150" s="10" t="s">
        <v>208</v>
      </c>
      <c r="K150" s="10" t="s">
        <v>209</v>
      </c>
      <c r="L150" s="10" t="s">
        <v>4</v>
      </c>
      <c r="M150" s="24" t="s">
        <v>193</v>
      </c>
      <c r="N150" s="11"/>
      <c r="O150" s="10"/>
      <c r="P150" s="10" t="s">
        <v>192</v>
      </c>
      <c r="Q150" s="2"/>
      <c r="R150" s="24" t="s">
        <v>193</v>
      </c>
      <c r="S150" s="24" t="s">
        <v>193</v>
      </c>
      <c r="T150" s="24" t="s">
        <v>193</v>
      </c>
      <c r="U150" s="24"/>
      <c r="V150" s="2"/>
      <c r="W150" s="15"/>
      <c r="X150" s="15"/>
      <c r="Y150" s="15"/>
      <c r="Z150" s="15"/>
      <c r="AA150" s="1"/>
      <c r="AB150" s="15"/>
      <c r="AC150" s="15"/>
      <c r="AD150" s="15"/>
      <c r="AE150" s="15"/>
      <c r="AF150" s="2"/>
      <c r="AG150" s="10"/>
      <c r="AH150" s="10"/>
      <c r="AI150" s="10"/>
      <c r="AJ150" s="10"/>
      <c r="AK150" s="10"/>
      <c r="AL150" s="10"/>
      <c r="AM150" s="10"/>
      <c r="AN150" s="10"/>
    </row>
    <row r="151" ht="30.0" customHeight="1">
      <c r="A151" s="9" t="str">
        <f t="shared" si="1"/>
        <v>N/I</v>
      </c>
      <c r="B151" s="9" t="str">
        <f t="shared" si="2"/>
        <v>N/I</v>
      </c>
      <c r="C151" s="9" t="str">
        <f t="shared" si="3"/>
        <v>N/I</v>
      </c>
      <c r="D151" s="10" t="s">
        <v>184</v>
      </c>
      <c r="E151" s="11" t="s">
        <v>185</v>
      </c>
      <c r="F151" s="11" t="s">
        <v>206</v>
      </c>
      <c r="G151" s="12" t="s">
        <v>58</v>
      </c>
      <c r="H151" s="25" t="s">
        <v>187</v>
      </c>
      <c r="I151" s="12" t="s">
        <v>207</v>
      </c>
      <c r="J151" s="10" t="s">
        <v>208</v>
      </c>
      <c r="K151" s="10" t="s">
        <v>209</v>
      </c>
      <c r="L151" s="10" t="s">
        <v>4</v>
      </c>
      <c r="M151" s="24" t="s">
        <v>193</v>
      </c>
      <c r="N151" s="11"/>
      <c r="O151" s="10"/>
      <c r="P151" s="10" t="s">
        <v>192</v>
      </c>
      <c r="Q151" s="2"/>
      <c r="R151" s="24" t="s">
        <v>193</v>
      </c>
      <c r="S151" s="24" t="s">
        <v>193</v>
      </c>
      <c r="T151" s="24" t="s">
        <v>193</v>
      </c>
      <c r="U151" s="24"/>
      <c r="V151" s="2"/>
      <c r="W151" s="15"/>
      <c r="X151" s="15"/>
      <c r="Y151" s="15"/>
      <c r="Z151" s="15"/>
      <c r="AA151" s="1"/>
      <c r="AB151" s="15"/>
      <c r="AC151" s="15"/>
      <c r="AD151" s="15"/>
      <c r="AE151" s="15"/>
      <c r="AF151" s="2"/>
      <c r="AG151" s="10"/>
      <c r="AH151" s="10"/>
      <c r="AI151" s="10"/>
      <c r="AJ151" s="10"/>
      <c r="AK151" s="10"/>
      <c r="AL151" s="10"/>
      <c r="AM151" s="10"/>
      <c r="AN151" s="10"/>
    </row>
    <row r="152" ht="30.0" customHeight="1">
      <c r="A152" s="9" t="str">
        <f t="shared" si="1"/>
        <v>N/I</v>
      </c>
      <c r="B152" s="9" t="str">
        <f t="shared" si="2"/>
        <v>N/I</v>
      </c>
      <c r="C152" s="9" t="str">
        <f t="shared" si="3"/>
        <v>N/I</v>
      </c>
      <c r="D152" s="10" t="s">
        <v>184</v>
      </c>
      <c r="E152" s="11" t="s">
        <v>185</v>
      </c>
      <c r="F152" s="11" t="s">
        <v>210</v>
      </c>
      <c r="G152" s="12" t="s">
        <v>68</v>
      </c>
      <c r="H152" s="25" t="s">
        <v>187</v>
      </c>
      <c r="I152" s="12" t="s">
        <v>211</v>
      </c>
      <c r="J152" s="10" t="s">
        <v>189</v>
      </c>
      <c r="K152" s="10" t="s">
        <v>190</v>
      </c>
      <c r="L152" s="10" t="s">
        <v>4</v>
      </c>
      <c r="M152" s="24" t="s">
        <v>193</v>
      </c>
      <c r="N152" s="11"/>
      <c r="O152" s="10"/>
      <c r="P152" s="10" t="s">
        <v>192</v>
      </c>
      <c r="Q152" s="2"/>
      <c r="R152" s="24" t="s">
        <v>193</v>
      </c>
      <c r="S152" s="24" t="s">
        <v>193</v>
      </c>
      <c r="T152" s="24" t="s">
        <v>193</v>
      </c>
      <c r="U152" s="24"/>
      <c r="V152" s="2"/>
      <c r="W152" s="15"/>
      <c r="X152" s="15"/>
      <c r="Y152" s="15"/>
      <c r="Z152" s="15"/>
      <c r="AA152" s="1"/>
      <c r="AB152" s="15"/>
      <c r="AC152" s="15"/>
      <c r="AD152" s="15"/>
      <c r="AE152" s="15"/>
      <c r="AF152" s="2"/>
      <c r="AG152" s="10"/>
      <c r="AH152" s="10"/>
      <c r="AI152" s="10"/>
      <c r="AJ152" s="10"/>
      <c r="AK152" s="10"/>
      <c r="AL152" s="10"/>
      <c r="AM152" s="10"/>
      <c r="AN152" s="10"/>
    </row>
    <row r="153" ht="30.0" customHeight="1">
      <c r="A153" s="9" t="str">
        <f t="shared" si="1"/>
        <v>N/I</v>
      </c>
      <c r="B153" s="9" t="str">
        <f t="shared" si="2"/>
        <v>N/I</v>
      </c>
      <c r="C153" s="9" t="str">
        <f t="shared" si="3"/>
        <v>N/I</v>
      </c>
      <c r="D153" s="10" t="s">
        <v>184</v>
      </c>
      <c r="E153" s="11" t="s">
        <v>185</v>
      </c>
      <c r="F153" s="11" t="s">
        <v>210</v>
      </c>
      <c r="G153" s="12" t="s">
        <v>58</v>
      </c>
      <c r="H153" s="25" t="s">
        <v>187</v>
      </c>
      <c r="I153" s="12" t="s">
        <v>211</v>
      </c>
      <c r="J153" s="10" t="s">
        <v>189</v>
      </c>
      <c r="K153" s="10" t="s">
        <v>190</v>
      </c>
      <c r="L153" s="10" t="s">
        <v>4</v>
      </c>
      <c r="M153" s="24" t="s">
        <v>193</v>
      </c>
      <c r="N153" s="11"/>
      <c r="O153" s="10"/>
      <c r="P153" s="10" t="s">
        <v>192</v>
      </c>
      <c r="Q153" s="2"/>
      <c r="R153" s="24" t="s">
        <v>193</v>
      </c>
      <c r="S153" s="24" t="s">
        <v>193</v>
      </c>
      <c r="T153" s="24" t="s">
        <v>193</v>
      </c>
      <c r="U153" s="24"/>
      <c r="V153" s="2"/>
      <c r="W153" s="15"/>
      <c r="X153" s="15"/>
      <c r="Y153" s="15"/>
      <c r="Z153" s="15"/>
      <c r="AA153" s="1"/>
      <c r="AB153" s="15"/>
      <c r="AC153" s="15"/>
      <c r="AD153" s="15"/>
      <c r="AE153" s="15"/>
      <c r="AF153" s="2"/>
      <c r="AG153" s="10"/>
      <c r="AH153" s="10"/>
      <c r="AI153" s="10"/>
      <c r="AJ153" s="10"/>
      <c r="AK153" s="10"/>
      <c r="AL153" s="10"/>
      <c r="AM153" s="10"/>
      <c r="AN153" s="10"/>
    </row>
    <row r="154" ht="30.0" customHeight="1">
      <c r="A154" s="9" t="str">
        <f t="shared" si="1"/>
        <v>N/I</v>
      </c>
      <c r="B154" s="9" t="str">
        <f t="shared" si="2"/>
        <v>N/I</v>
      </c>
      <c r="C154" s="9" t="str">
        <f t="shared" si="3"/>
        <v>N/I</v>
      </c>
      <c r="D154" s="10" t="s">
        <v>184</v>
      </c>
      <c r="E154" s="11" t="s">
        <v>185</v>
      </c>
      <c r="F154" s="11" t="s">
        <v>212</v>
      </c>
      <c r="G154" s="12" t="s">
        <v>68</v>
      </c>
      <c r="H154" s="25" t="s">
        <v>187</v>
      </c>
      <c r="I154" s="12" t="s">
        <v>213</v>
      </c>
      <c r="J154" s="10" t="s">
        <v>208</v>
      </c>
      <c r="K154" s="10" t="s">
        <v>209</v>
      </c>
      <c r="L154" s="10" t="s">
        <v>4</v>
      </c>
      <c r="M154" s="24" t="s">
        <v>193</v>
      </c>
      <c r="N154" s="11"/>
      <c r="O154" s="10"/>
      <c r="P154" s="10" t="s">
        <v>192</v>
      </c>
      <c r="Q154" s="2"/>
      <c r="R154" s="24" t="s">
        <v>193</v>
      </c>
      <c r="S154" s="24" t="s">
        <v>193</v>
      </c>
      <c r="T154" s="24" t="s">
        <v>193</v>
      </c>
      <c r="U154" s="24"/>
      <c r="V154" s="2"/>
      <c r="W154" s="15"/>
      <c r="X154" s="15"/>
      <c r="Y154" s="15"/>
      <c r="Z154" s="15"/>
      <c r="AA154" s="1"/>
      <c r="AB154" s="15"/>
      <c r="AC154" s="15"/>
      <c r="AD154" s="15"/>
      <c r="AE154" s="15"/>
      <c r="AF154" s="2"/>
      <c r="AG154" s="10"/>
      <c r="AH154" s="10"/>
      <c r="AI154" s="10"/>
      <c r="AJ154" s="10"/>
      <c r="AK154" s="10"/>
      <c r="AL154" s="10"/>
      <c r="AM154" s="10"/>
      <c r="AN154" s="10"/>
    </row>
    <row r="155" ht="30.0" customHeight="1">
      <c r="A155" s="9" t="str">
        <f t="shared" si="1"/>
        <v>N/I</v>
      </c>
      <c r="B155" s="9" t="str">
        <f t="shared" si="2"/>
        <v>N/I</v>
      </c>
      <c r="C155" s="9" t="str">
        <f t="shared" si="3"/>
        <v>N/I</v>
      </c>
      <c r="D155" s="10" t="s">
        <v>184</v>
      </c>
      <c r="E155" s="11" t="s">
        <v>185</v>
      </c>
      <c r="F155" s="11" t="s">
        <v>212</v>
      </c>
      <c r="G155" s="12" t="s">
        <v>68</v>
      </c>
      <c r="H155" s="25" t="s">
        <v>187</v>
      </c>
      <c r="I155" s="12" t="s">
        <v>213</v>
      </c>
      <c r="J155" s="10" t="s">
        <v>208</v>
      </c>
      <c r="K155" s="10" t="s">
        <v>209</v>
      </c>
      <c r="L155" s="10" t="s">
        <v>4</v>
      </c>
      <c r="M155" s="24" t="s">
        <v>193</v>
      </c>
      <c r="N155" s="11"/>
      <c r="O155" s="10"/>
      <c r="P155" s="10" t="s">
        <v>192</v>
      </c>
      <c r="Q155" s="2"/>
      <c r="R155" s="24" t="s">
        <v>193</v>
      </c>
      <c r="S155" s="24" t="s">
        <v>193</v>
      </c>
      <c r="T155" s="24" t="s">
        <v>193</v>
      </c>
      <c r="U155" s="24"/>
      <c r="V155" s="2"/>
      <c r="W155" s="15"/>
      <c r="X155" s="15"/>
      <c r="Y155" s="15"/>
      <c r="Z155" s="15"/>
      <c r="AA155" s="1"/>
      <c r="AB155" s="15"/>
      <c r="AC155" s="15"/>
      <c r="AD155" s="15"/>
      <c r="AE155" s="15"/>
      <c r="AF155" s="2"/>
      <c r="AG155" s="10"/>
      <c r="AH155" s="10"/>
      <c r="AI155" s="10"/>
      <c r="AJ155" s="10"/>
      <c r="AK155" s="10"/>
      <c r="AL155" s="10"/>
      <c r="AM155" s="10"/>
      <c r="AN155" s="10"/>
    </row>
    <row r="156" ht="30.0" customHeight="1">
      <c r="A156" s="9" t="str">
        <f t="shared" si="1"/>
        <v>N/I</v>
      </c>
      <c r="B156" s="9" t="str">
        <f t="shared" si="2"/>
        <v>N/I</v>
      </c>
      <c r="C156" s="9" t="str">
        <f t="shared" si="3"/>
        <v>N/I</v>
      </c>
      <c r="D156" s="10" t="s">
        <v>184</v>
      </c>
      <c r="E156" s="11" t="s">
        <v>185</v>
      </c>
      <c r="F156" s="11" t="s">
        <v>212</v>
      </c>
      <c r="G156" s="12" t="s">
        <v>58</v>
      </c>
      <c r="H156" s="25" t="s">
        <v>187</v>
      </c>
      <c r="I156" s="12" t="s">
        <v>213</v>
      </c>
      <c r="J156" s="10" t="s">
        <v>208</v>
      </c>
      <c r="K156" s="10" t="s">
        <v>209</v>
      </c>
      <c r="L156" s="10" t="s">
        <v>4</v>
      </c>
      <c r="M156" s="24" t="s">
        <v>193</v>
      </c>
      <c r="N156" s="11"/>
      <c r="O156" s="10"/>
      <c r="P156" s="10" t="s">
        <v>192</v>
      </c>
      <c r="Q156" s="2"/>
      <c r="R156" s="24" t="s">
        <v>193</v>
      </c>
      <c r="S156" s="24" t="s">
        <v>193</v>
      </c>
      <c r="T156" s="24" t="s">
        <v>193</v>
      </c>
      <c r="U156" s="24"/>
      <c r="V156" s="2"/>
      <c r="W156" s="15"/>
      <c r="X156" s="15"/>
      <c r="Y156" s="15"/>
      <c r="Z156" s="15"/>
      <c r="AA156" s="1"/>
      <c r="AB156" s="15"/>
      <c r="AC156" s="15"/>
      <c r="AD156" s="15"/>
      <c r="AE156" s="15"/>
      <c r="AF156" s="2"/>
      <c r="AG156" s="10"/>
      <c r="AH156" s="10"/>
      <c r="AI156" s="10"/>
      <c r="AJ156" s="10"/>
      <c r="AK156" s="10"/>
      <c r="AL156" s="10"/>
      <c r="AM156" s="10"/>
      <c r="AN156" s="10"/>
    </row>
    <row r="157" ht="30.0" customHeight="1">
      <c r="A157" s="9" t="str">
        <f t="shared" si="1"/>
        <v>N/I</v>
      </c>
      <c r="B157" s="9" t="str">
        <f t="shared" si="2"/>
        <v>N/I</v>
      </c>
      <c r="C157" s="9" t="str">
        <f t="shared" si="3"/>
        <v>N/I</v>
      </c>
      <c r="D157" s="10" t="s">
        <v>184</v>
      </c>
      <c r="E157" s="11" t="s">
        <v>185</v>
      </c>
      <c r="F157" s="11" t="s">
        <v>212</v>
      </c>
      <c r="G157" s="12" t="s">
        <v>58</v>
      </c>
      <c r="H157" s="25" t="s">
        <v>187</v>
      </c>
      <c r="I157" s="12" t="s">
        <v>213</v>
      </c>
      <c r="J157" s="10" t="s">
        <v>208</v>
      </c>
      <c r="K157" s="10" t="s">
        <v>209</v>
      </c>
      <c r="L157" s="10" t="s">
        <v>4</v>
      </c>
      <c r="M157" s="24" t="s">
        <v>193</v>
      </c>
      <c r="N157" s="11"/>
      <c r="O157" s="10"/>
      <c r="P157" s="10" t="s">
        <v>192</v>
      </c>
      <c r="Q157" s="2"/>
      <c r="R157" s="24" t="s">
        <v>193</v>
      </c>
      <c r="S157" s="24" t="s">
        <v>193</v>
      </c>
      <c r="T157" s="24" t="s">
        <v>193</v>
      </c>
      <c r="U157" s="24"/>
      <c r="V157" s="2"/>
      <c r="W157" s="15"/>
      <c r="X157" s="15"/>
      <c r="Y157" s="15"/>
      <c r="Z157" s="15"/>
      <c r="AA157" s="1"/>
      <c r="AB157" s="15"/>
      <c r="AC157" s="15"/>
      <c r="AD157" s="15"/>
      <c r="AE157" s="15"/>
      <c r="AF157" s="2"/>
      <c r="AG157" s="10"/>
      <c r="AH157" s="10"/>
      <c r="AI157" s="10"/>
      <c r="AJ157" s="10"/>
      <c r="AK157" s="10"/>
      <c r="AL157" s="10"/>
      <c r="AM157" s="10"/>
      <c r="AN157" s="10"/>
    </row>
    <row r="158" ht="30.0" customHeight="1">
      <c r="A158" s="9" t="str">
        <f t="shared" si="1"/>
        <v>N/I</v>
      </c>
      <c r="B158" s="9" t="str">
        <f t="shared" si="2"/>
        <v>N/I</v>
      </c>
      <c r="C158" s="9" t="str">
        <f t="shared" si="3"/>
        <v>N/I</v>
      </c>
      <c r="D158" s="10" t="s">
        <v>184</v>
      </c>
      <c r="E158" s="11" t="s">
        <v>185</v>
      </c>
      <c r="F158" s="11" t="s">
        <v>214</v>
      </c>
      <c r="G158" s="12" t="s">
        <v>68</v>
      </c>
      <c r="H158" s="25" t="s">
        <v>187</v>
      </c>
      <c r="I158" s="12" t="s">
        <v>215</v>
      </c>
      <c r="J158" s="10" t="s">
        <v>216</v>
      </c>
      <c r="K158" s="10" t="s">
        <v>40</v>
      </c>
      <c r="L158" s="10" t="s">
        <v>4</v>
      </c>
      <c r="M158" s="24" t="s">
        <v>193</v>
      </c>
      <c r="N158" s="11"/>
      <c r="O158" s="10"/>
      <c r="P158" s="10" t="s">
        <v>192</v>
      </c>
      <c r="Q158" s="2"/>
      <c r="R158" s="24" t="s">
        <v>193</v>
      </c>
      <c r="S158" s="24" t="s">
        <v>193</v>
      </c>
      <c r="T158" s="24" t="s">
        <v>193</v>
      </c>
      <c r="U158" s="24"/>
      <c r="V158" s="2"/>
      <c r="W158" s="15"/>
      <c r="X158" s="15"/>
      <c r="Y158" s="15"/>
      <c r="Z158" s="15"/>
      <c r="AA158" s="1"/>
      <c r="AB158" s="15"/>
      <c r="AC158" s="15"/>
      <c r="AD158" s="15"/>
      <c r="AE158" s="15"/>
      <c r="AF158" s="2"/>
      <c r="AG158" s="10"/>
      <c r="AH158" s="10"/>
      <c r="AI158" s="10"/>
      <c r="AJ158" s="10"/>
      <c r="AK158" s="10"/>
      <c r="AL158" s="10"/>
      <c r="AM158" s="10"/>
      <c r="AN158" s="10"/>
    </row>
    <row r="159" ht="30.0" customHeight="1">
      <c r="A159" s="9" t="str">
        <f t="shared" si="1"/>
        <v>N/I</v>
      </c>
      <c r="B159" s="9" t="str">
        <f t="shared" si="2"/>
        <v>N/I</v>
      </c>
      <c r="C159" s="9" t="str">
        <f t="shared" si="3"/>
        <v>N/I</v>
      </c>
      <c r="D159" s="10" t="s">
        <v>184</v>
      </c>
      <c r="E159" s="11" t="s">
        <v>185</v>
      </c>
      <c r="F159" s="11" t="s">
        <v>214</v>
      </c>
      <c r="G159" s="12" t="s">
        <v>68</v>
      </c>
      <c r="H159" s="25" t="s">
        <v>187</v>
      </c>
      <c r="I159" s="12" t="s">
        <v>215</v>
      </c>
      <c r="J159" s="10" t="s">
        <v>216</v>
      </c>
      <c r="K159" s="10" t="s">
        <v>40</v>
      </c>
      <c r="L159" s="10" t="s">
        <v>4</v>
      </c>
      <c r="M159" s="24" t="s">
        <v>193</v>
      </c>
      <c r="N159" s="11"/>
      <c r="O159" s="10"/>
      <c r="P159" s="10" t="s">
        <v>192</v>
      </c>
      <c r="Q159" s="2"/>
      <c r="R159" s="24" t="s">
        <v>193</v>
      </c>
      <c r="S159" s="24" t="s">
        <v>193</v>
      </c>
      <c r="T159" s="24" t="s">
        <v>193</v>
      </c>
      <c r="U159" s="24"/>
      <c r="V159" s="2"/>
      <c r="W159" s="15"/>
      <c r="X159" s="15"/>
      <c r="Y159" s="15"/>
      <c r="Z159" s="15"/>
      <c r="AA159" s="1"/>
      <c r="AB159" s="15"/>
      <c r="AC159" s="15"/>
      <c r="AD159" s="15"/>
      <c r="AE159" s="15"/>
      <c r="AF159" s="2"/>
      <c r="AG159" s="10"/>
      <c r="AH159" s="10"/>
      <c r="AI159" s="10"/>
      <c r="AJ159" s="10"/>
      <c r="AK159" s="10"/>
      <c r="AL159" s="10"/>
      <c r="AM159" s="10"/>
      <c r="AN159" s="10"/>
    </row>
    <row r="160" ht="30.0" customHeight="1">
      <c r="A160" s="9" t="str">
        <f t="shared" si="1"/>
        <v>N/I</v>
      </c>
      <c r="B160" s="9" t="str">
        <f t="shared" si="2"/>
        <v>N/I</v>
      </c>
      <c r="C160" s="9" t="str">
        <f t="shared" si="3"/>
        <v>N/I</v>
      </c>
      <c r="D160" s="10" t="s">
        <v>184</v>
      </c>
      <c r="E160" s="11" t="s">
        <v>185</v>
      </c>
      <c r="F160" s="11" t="s">
        <v>214</v>
      </c>
      <c r="G160" s="12" t="s">
        <v>68</v>
      </c>
      <c r="H160" s="25" t="s">
        <v>187</v>
      </c>
      <c r="I160" s="12" t="s">
        <v>215</v>
      </c>
      <c r="J160" s="10" t="s">
        <v>216</v>
      </c>
      <c r="K160" s="10" t="s">
        <v>40</v>
      </c>
      <c r="L160" s="10" t="s">
        <v>4</v>
      </c>
      <c r="M160" s="24" t="s">
        <v>193</v>
      </c>
      <c r="N160" s="11"/>
      <c r="O160" s="10"/>
      <c r="P160" s="10" t="s">
        <v>192</v>
      </c>
      <c r="Q160" s="2"/>
      <c r="R160" s="24" t="s">
        <v>193</v>
      </c>
      <c r="S160" s="24" t="s">
        <v>193</v>
      </c>
      <c r="T160" s="24" t="s">
        <v>193</v>
      </c>
      <c r="U160" s="24"/>
      <c r="V160" s="2"/>
      <c r="W160" s="15"/>
      <c r="X160" s="15"/>
      <c r="Y160" s="15"/>
      <c r="Z160" s="15"/>
      <c r="AA160" s="1"/>
      <c r="AB160" s="15"/>
      <c r="AC160" s="15"/>
      <c r="AD160" s="15"/>
      <c r="AE160" s="15"/>
      <c r="AF160" s="2"/>
      <c r="AG160" s="10"/>
      <c r="AH160" s="10"/>
      <c r="AI160" s="10"/>
      <c r="AJ160" s="10"/>
      <c r="AK160" s="10"/>
      <c r="AL160" s="10"/>
      <c r="AM160" s="10"/>
      <c r="AN160" s="10"/>
    </row>
    <row r="161" ht="30.0" customHeight="1">
      <c r="A161" s="9" t="str">
        <f t="shared" si="1"/>
        <v>N/I</v>
      </c>
      <c r="B161" s="9" t="str">
        <f t="shared" si="2"/>
        <v>N/I</v>
      </c>
      <c r="C161" s="9" t="str">
        <f t="shared" si="3"/>
        <v>N/I</v>
      </c>
      <c r="D161" s="10" t="s">
        <v>184</v>
      </c>
      <c r="E161" s="11" t="s">
        <v>185</v>
      </c>
      <c r="F161" s="11" t="s">
        <v>214</v>
      </c>
      <c r="G161" s="12" t="s">
        <v>52</v>
      </c>
      <c r="H161" s="25" t="s">
        <v>187</v>
      </c>
      <c r="I161" s="12" t="s">
        <v>215</v>
      </c>
      <c r="J161" s="10" t="s">
        <v>216</v>
      </c>
      <c r="K161" s="10" t="s">
        <v>40</v>
      </c>
      <c r="L161" s="10" t="s">
        <v>4</v>
      </c>
      <c r="M161" s="24" t="s">
        <v>193</v>
      </c>
      <c r="N161" s="11"/>
      <c r="O161" s="10"/>
      <c r="P161" s="10" t="s">
        <v>192</v>
      </c>
      <c r="Q161" s="2"/>
      <c r="R161" s="24" t="s">
        <v>193</v>
      </c>
      <c r="S161" s="24" t="s">
        <v>193</v>
      </c>
      <c r="T161" s="24" t="s">
        <v>193</v>
      </c>
      <c r="U161" s="24"/>
      <c r="V161" s="2"/>
      <c r="W161" s="15"/>
      <c r="X161" s="15"/>
      <c r="Y161" s="15"/>
      <c r="Z161" s="15"/>
      <c r="AA161" s="1"/>
      <c r="AB161" s="15"/>
      <c r="AC161" s="15"/>
      <c r="AD161" s="15"/>
      <c r="AE161" s="15"/>
      <c r="AF161" s="2"/>
      <c r="AG161" s="10"/>
      <c r="AH161" s="10"/>
      <c r="AI161" s="10"/>
      <c r="AJ161" s="10"/>
      <c r="AK161" s="10"/>
      <c r="AL161" s="10"/>
      <c r="AM161" s="10"/>
      <c r="AN161" s="10"/>
    </row>
    <row r="162" ht="30.0" customHeight="1">
      <c r="A162" s="9" t="str">
        <f t="shared" si="1"/>
        <v>N/I</v>
      </c>
      <c r="B162" s="9" t="str">
        <f t="shared" si="2"/>
        <v>N/I</v>
      </c>
      <c r="C162" s="9" t="str">
        <f t="shared" si="3"/>
        <v>N/I</v>
      </c>
      <c r="D162" s="10" t="s">
        <v>184</v>
      </c>
      <c r="E162" s="11" t="s">
        <v>185</v>
      </c>
      <c r="F162" s="11" t="s">
        <v>214</v>
      </c>
      <c r="G162" s="12" t="s">
        <v>58</v>
      </c>
      <c r="H162" s="25" t="s">
        <v>187</v>
      </c>
      <c r="I162" s="12" t="s">
        <v>215</v>
      </c>
      <c r="J162" s="10" t="s">
        <v>216</v>
      </c>
      <c r="K162" s="10" t="s">
        <v>40</v>
      </c>
      <c r="L162" s="10" t="s">
        <v>4</v>
      </c>
      <c r="M162" s="24" t="s">
        <v>193</v>
      </c>
      <c r="N162" s="11"/>
      <c r="O162" s="10"/>
      <c r="P162" s="10" t="s">
        <v>192</v>
      </c>
      <c r="Q162" s="2"/>
      <c r="R162" s="24" t="s">
        <v>193</v>
      </c>
      <c r="S162" s="24" t="s">
        <v>193</v>
      </c>
      <c r="T162" s="24" t="s">
        <v>193</v>
      </c>
      <c r="U162" s="24"/>
      <c r="V162" s="2"/>
      <c r="W162" s="15"/>
      <c r="X162" s="15"/>
      <c r="Y162" s="15"/>
      <c r="Z162" s="15"/>
      <c r="AA162" s="1"/>
      <c r="AB162" s="15"/>
      <c r="AC162" s="15"/>
      <c r="AD162" s="15"/>
      <c r="AE162" s="15"/>
      <c r="AF162" s="2"/>
      <c r="AG162" s="10"/>
      <c r="AH162" s="10"/>
      <c r="AI162" s="10"/>
      <c r="AJ162" s="10"/>
      <c r="AK162" s="10"/>
      <c r="AL162" s="10"/>
      <c r="AM162" s="10"/>
      <c r="AN162" s="10"/>
    </row>
    <row r="163" ht="30.0" customHeight="1">
      <c r="A163" s="9" t="str">
        <f t="shared" si="1"/>
        <v>N/I</v>
      </c>
      <c r="B163" s="9" t="str">
        <f t="shared" si="2"/>
        <v>N/I</v>
      </c>
      <c r="C163" s="9" t="str">
        <f t="shared" si="3"/>
        <v>N/I</v>
      </c>
      <c r="D163" s="10" t="s">
        <v>184</v>
      </c>
      <c r="E163" s="11" t="s">
        <v>185</v>
      </c>
      <c r="F163" s="11" t="s">
        <v>214</v>
      </c>
      <c r="G163" s="12" t="s">
        <v>58</v>
      </c>
      <c r="H163" s="25" t="s">
        <v>187</v>
      </c>
      <c r="I163" s="12" t="s">
        <v>215</v>
      </c>
      <c r="J163" s="10" t="s">
        <v>216</v>
      </c>
      <c r="K163" s="10" t="s">
        <v>40</v>
      </c>
      <c r="L163" s="10" t="s">
        <v>4</v>
      </c>
      <c r="M163" s="24" t="s">
        <v>193</v>
      </c>
      <c r="N163" s="11"/>
      <c r="O163" s="10"/>
      <c r="P163" s="10" t="s">
        <v>192</v>
      </c>
      <c r="Q163" s="2"/>
      <c r="R163" s="24" t="s">
        <v>193</v>
      </c>
      <c r="S163" s="24" t="s">
        <v>193</v>
      </c>
      <c r="T163" s="24" t="s">
        <v>193</v>
      </c>
      <c r="U163" s="24"/>
      <c r="V163" s="2"/>
      <c r="W163" s="15"/>
      <c r="X163" s="15"/>
      <c r="Y163" s="15"/>
      <c r="Z163" s="15"/>
      <c r="AA163" s="1"/>
      <c r="AB163" s="15"/>
      <c r="AC163" s="15"/>
      <c r="AD163" s="15"/>
      <c r="AE163" s="15"/>
      <c r="AF163" s="2"/>
      <c r="AG163" s="10"/>
      <c r="AH163" s="10"/>
      <c r="AI163" s="10"/>
      <c r="AJ163" s="10"/>
      <c r="AK163" s="10"/>
      <c r="AL163" s="10"/>
      <c r="AM163" s="10"/>
      <c r="AN163" s="10"/>
    </row>
    <row r="164" ht="30.0" customHeight="1">
      <c r="A164" s="9" t="str">
        <f t="shared" si="1"/>
        <v>N/I</v>
      </c>
      <c r="B164" s="9" t="str">
        <f t="shared" si="2"/>
        <v>N/I</v>
      </c>
      <c r="C164" s="9" t="str">
        <f t="shared" si="3"/>
        <v>N/I</v>
      </c>
      <c r="D164" s="10" t="s">
        <v>184</v>
      </c>
      <c r="E164" s="11" t="s">
        <v>185</v>
      </c>
      <c r="F164" s="11" t="s">
        <v>214</v>
      </c>
      <c r="G164" s="12" t="s">
        <v>58</v>
      </c>
      <c r="H164" s="25" t="s">
        <v>187</v>
      </c>
      <c r="I164" s="12" t="s">
        <v>215</v>
      </c>
      <c r="J164" s="10" t="s">
        <v>216</v>
      </c>
      <c r="K164" s="10" t="s">
        <v>40</v>
      </c>
      <c r="L164" s="10" t="s">
        <v>4</v>
      </c>
      <c r="M164" s="24" t="s">
        <v>193</v>
      </c>
      <c r="N164" s="11"/>
      <c r="O164" s="10"/>
      <c r="P164" s="10" t="s">
        <v>192</v>
      </c>
      <c r="Q164" s="2"/>
      <c r="R164" s="24" t="s">
        <v>193</v>
      </c>
      <c r="S164" s="24" t="s">
        <v>193</v>
      </c>
      <c r="T164" s="24" t="s">
        <v>193</v>
      </c>
      <c r="U164" s="24"/>
      <c r="V164" s="2"/>
      <c r="W164" s="15"/>
      <c r="X164" s="15"/>
      <c r="Y164" s="15"/>
      <c r="Z164" s="15"/>
      <c r="AA164" s="1"/>
      <c r="AB164" s="15"/>
      <c r="AC164" s="15"/>
      <c r="AD164" s="15"/>
      <c r="AE164" s="15"/>
      <c r="AF164" s="2"/>
      <c r="AG164" s="10"/>
      <c r="AH164" s="10"/>
      <c r="AI164" s="10"/>
      <c r="AJ164" s="10"/>
      <c r="AK164" s="10"/>
      <c r="AL164" s="10"/>
      <c r="AM164" s="10"/>
      <c r="AN164" s="10"/>
    </row>
    <row r="165" ht="30.0" customHeight="1">
      <c r="A165" s="9" t="str">
        <f t="shared" si="1"/>
        <v>Inativo</v>
      </c>
      <c r="B165" s="9" t="str">
        <f t="shared" si="2"/>
        <v>N/I</v>
      </c>
      <c r="C165" s="9" t="str">
        <f t="shared" si="3"/>
        <v>N/I</v>
      </c>
      <c r="D165" s="10" t="s">
        <v>217</v>
      </c>
      <c r="E165" s="11" t="s">
        <v>218</v>
      </c>
      <c r="F165" s="11" t="s">
        <v>219</v>
      </c>
      <c r="G165" s="12" t="s">
        <v>94</v>
      </c>
      <c r="H165" s="23" t="s">
        <v>220</v>
      </c>
      <c r="I165" s="12" t="s">
        <v>221</v>
      </c>
      <c r="J165" s="10" t="s">
        <v>222</v>
      </c>
      <c r="K165" s="10" t="s">
        <v>40</v>
      </c>
      <c r="L165" s="10" t="s">
        <v>4</v>
      </c>
      <c r="M165" s="14">
        <v>44191.0</v>
      </c>
      <c r="N165" s="11" t="s">
        <v>223</v>
      </c>
      <c r="O165" s="10" t="s">
        <v>224</v>
      </c>
      <c r="P165" s="10" t="s">
        <v>225</v>
      </c>
      <c r="Q165" s="2"/>
      <c r="R165" s="10">
        <v>12.0</v>
      </c>
      <c r="S165" s="14">
        <v>44191.0</v>
      </c>
      <c r="T165" s="14">
        <v>44556.0</v>
      </c>
      <c r="U165" s="10">
        <f t="shared" ref="U165:U172" si="8">T165-TODAY()</f>
        <v>-1535</v>
      </c>
      <c r="V165" s="2"/>
      <c r="W165" s="15"/>
      <c r="X165" s="15"/>
      <c r="Y165" s="15"/>
      <c r="Z165" s="15"/>
      <c r="AA165" s="1"/>
      <c r="AB165" s="15"/>
      <c r="AC165" s="15"/>
      <c r="AD165" s="15"/>
      <c r="AE165" s="15"/>
      <c r="AF165" s="2"/>
      <c r="AG165" s="16" t="s">
        <v>45</v>
      </c>
      <c r="AH165" s="12" t="s">
        <v>46</v>
      </c>
      <c r="AI165" s="10" t="s">
        <v>226</v>
      </c>
      <c r="AJ165" s="10" t="s">
        <v>227</v>
      </c>
      <c r="AK165" s="16" t="s">
        <v>45</v>
      </c>
      <c r="AL165" s="10" t="s">
        <v>49</v>
      </c>
      <c r="AM165" s="16" t="s">
        <v>45</v>
      </c>
      <c r="AN165" s="10" t="s">
        <v>50</v>
      </c>
    </row>
    <row r="166" ht="30.0" customHeight="1">
      <c r="A166" s="9" t="str">
        <f t="shared" si="1"/>
        <v>Inativo</v>
      </c>
      <c r="B166" s="9" t="str">
        <f t="shared" si="2"/>
        <v>N/I</v>
      </c>
      <c r="C166" s="9" t="str">
        <f t="shared" si="3"/>
        <v>N/I</v>
      </c>
      <c r="D166" s="10" t="s">
        <v>217</v>
      </c>
      <c r="E166" s="11" t="s">
        <v>218</v>
      </c>
      <c r="F166" s="11" t="s">
        <v>219</v>
      </c>
      <c r="G166" s="12" t="s">
        <v>94</v>
      </c>
      <c r="H166" s="23" t="s">
        <v>228</v>
      </c>
      <c r="I166" s="12" t="s">
        <v>221</v>
      </c>
      <c r="J166" s="10" t="s">
        <v>222</v>
      </c>
      <c r="K166" s="10" t="s">
        <v>40</v>
      </c>
      <c r="L166" s="10" t="s">
        <v>4</v>
      </c>
      <c r="M166" s="14">
        <v>44191.0</v>
      </c>
      <c r="N166" s="11" t="s">
        <v>223</v>
      </c>
      <c r="O166" s="10" t="s">
        <v>224</v>
      </c>
      <c r="P166" s="10" t="s">
        <v>225</v>
      </c>
      <c r="Q166" s="2"/>
      <c r="R166" s="10">
        <v>12.0</v>
      </c>
      <c r="S166" s="14">
        <v>44191.0</v>
      </c>
      <c r="T166" s="14">
        <v>44556.0</v>
      </c>
      <c r="U166" s="10">
        <f t="shared" si="8"/>
        <v>-1535</v>
      </c>
      <c r="V166" s="2"/>
      <c r="W166" s="15"/>
      <c r="X166" s="15"/>
      <c r="Y166" s="15"/>
      <c r="Z166" s="15"/>
      <c r="AA166" s="1"/>
      <c r="AB166" s="15"/>
      <c r="AC166" s="15"/>
      <c r="AD166" s="15"/>
      <c r="AE166" s="15"/>
      <c r="AF166" s="2"/>
      <c r="AG166" s="16" t="s">
        <v>45</v>
      </c>
      <c r="AH166" s="12" t="s">
        <v>46</v>
      </c>
      <c r="AI166" s="10" t="s">
        <v>226</v>
      </c>
      <c r="AJ166" s="10" t="s">
        <v>227</v>
      </c>
      <c r="AK166" s="16" t="s">
        <v>45</v>
      </c>
      <c r="AL166" s="10" t="s">
        <v>49</v>
      </c>
      <c r="AM166" s="16" t="s">
        <v>45</v>
      </c>
      <c r="AN166" s="10" t="s">
        <v>50</v>
      </c>
    </row>
    <row r="167" ht="30.0" customHeight="1">
      <c r="A167" s="9" t="str">
        <f t="shared" si="1"/>
        <v>Inativo</v>
      </c>
      <c r="B167" s="9" t="str">
        <f t="shared" si="2"/>
        <v>N/I</v>
      </c>
      <c r="C167" s="9" t="str">
        <f t="shared" si="3"/>
        <v>N/I</v>
      </c>
      <c r="D167" s="10" t="s">
        <v>217</v>
      </c>
      <c r="E167" s="11" t="s">
        <v>218</v>
      </c>
      <c r="F167" s="11" t="s">
        <v>219</v>
      </c>
      <c r="G167" s="12" t="s">
        <v>55</v>
      </c>
      <c r="H167" s="23" t="s">
        <v>229</v>
      </c>
      <c r="I167" s="12" t="s">
        <v>221</v>
      </c>
      <c r="J167" s="10" t="s">
        <v>222</v>
      </c>
      <c r="K167" s="10" t="s">
        <v>40</v>
      </c>
      <c r="L167" s="10" t="s">
        <v>4</v>
      </c>
      <c r="M167" s="14">
        <v>44195.0</v>
      </c>
      <c r="N167" s="11" t="s">
        <v>223</v>
      </c>
      <c r="O167" s="10" t="s">
        <v>224</v>
      </c>
      <c r="P167" s="10" t="s">
        <v>225</v>
      </c>
      <c r="Q167" s="2"/>
      <c r="R167" s="10">
        <v>12.0</v>
      </c>
      <c r="S167" s="14">
        <v>44191.0</v>
      </c>
      <c r="T167" s="14">
        <v>44556.0</v>
      </c>
      <c r="U167" s="10">
        <f t="shared" si="8"/>
        <v>-1535</v>
      </c>
      <c r="V167" s="2"/>
      <c r="W167" s="15"/>
      <c r="X167" s="15"/>
      <c r="Y167" s="15"/>
      <c r="Z167" s="15"/>
      <c r="AA167" s="1"/>
      <c r="AB167" s="15"/>
      <c r="AC167" s="15"/>
      <c r="AD167" s="15"/>
      <c r="AE167" s="15"/>
      <c r="AF167" s="2"/>
      <c r="AG167" s="16" t="s">
        <v>45</v>
      </c>
      <c r="AH167" s="12" t="s">
        <v>46</v>
      </c>
      <c r="AI167" s="10" t="s">
        <v>226</v>
      </c>
      <c r="AJ167" s="10" t="s">
        <v>227</v>
      </c>
      <c r="AK167" s="16" t="s">
        <v>45</v>
      </c>
      <c r="AL167" s="10" t="s">
        <v>49</v>
      </c>
      <c r="AM167" s="16" t="s">
        <v>45</v>
      </c>
      <c r="AN167" s="10" t="s">
        <v>50</v>
      </c>
    </row>
    <row r="168" ht="30.0" customHeight="1">
      <c r="A168" s="9" t="str">
        <f t="shared" si="1"/>
        <v>Inativo</v>
      </c>
      <c r="B168" s="9" t="str">
        <f t="shared" si="2"/>
        <v>N/I</v>
      </c>
      <c r="C168" s="9" t="str">
        <f t="shared" si="3"/>
        <v>N/I</v>
      </c>
      <c r="D168" s="10" t="s">
        <v>217</v>
      </c>
      <c r="E168" s="11" t="s">
        <v>218</v>
      </c>
      <c r="F168" s="11" t="s">
        <v>219</v>
      </c>
      <c r="G168" s="12" t="s">
        <v>94</v>
      </c>
      <c r="H168" s="23" t="s">
        <v>230</v>
      </c>
      <c r="I168" s="12" t="s">
        <v>221</v>
      </c>
      <c r="J168" s="10" t="s">
        <v>222</v>
      </c>
      <c r="K168" s="10" t="s">
        <v>40</v>
      </c>
      <c r="L168" s="10" t="s">
        <v>4</v>
      </c>
      <c r="M168" s="14">
        <v>44279.0</v>
      </c>
      <c r="N168" s="11" t="s">
        <v>223</v>
      </c>
      <c r="O168" s="10" t="s">
        <v>224</v>
      </c>
      <c r="P168" s="10" t="s">
        <v>225</v>
      </c>
      <c r="Q168" s="2"/>
      <c r="R168" s="10">
        <v>12.0</v>
      </c>
      <c r="S168" s="14">
        <v>44195.0</v>
      </c>
      <c r="T168" s="14">
        <v>44560.0</v>
      </c>
      <c r="U168" s="10">
        <f t="shared" si="8"/>
        <v>-1531</v>
      </c>
      <c r="V168" s="2"/>
      <c r="W168" s="15"/>
      <c r="X168" s="15"/>
      <c r="Y168" s="15"/>
      <c r="Z168" s="15"/>
      <c r="AA168" s="1"/>
      <c r="AB168" s="15"/>
      <c r="AC168" s="15"/>
      <c r="AD168" s="15"/>
      <c r="AE168" s="15"/>
      <c r="AF168" s="2"/>
      <c r="AG168" s="16" t="s">
        <v>45</v>
      </c>
      <c r="AH168" s="12" t="s">
        <v>46</v>
      </c>
      <c r="AI168" s="10" t="s">
        <v>226</v>
      </c>
      <c r="AJ168" s="10" t="s">
        <v>227</v>
      </c>
      <c r="AK168" s="16" t="s">
        <v>45</v>
      </c>
      <c r="AL168" s="10" t="s">
        <v>49</v>
      </c>
      <c r="AM168" s="16" t="s">
        <v>45</v>
      </c>
      <c r="AN168" s="10" t="s">
        <v>50</v>
      </c>
    </row>
    <row r="169" ht="30.0" customHeight="1">
      <c r="A169" s="9" t="str">
        <f t="shared" si="1"/>
        <v>Inativo</v>
      </c>
      <c r="B169" s="9" t="str">
        <f t="shared" si="2"/>
        <v>N/I</v>
      </c>
      <c r="C169" s="9" t="str">
        <f t="shared" si="3"/>
        <v>N/I</v>
      </c>
      <c r="D169" s="10" t="s">
        <v>217</v>
      </c>
      <c r="E169" s="11" t="s">
        <v>218</v>
      </c>
      <c r="F169" s="11" t="s">
        <v>231</v>
      </c>
      <c r="G169" s="12" t="s">
        <v>55</v>
      </c>
      <c r="H169" s="13" t="s">
        <v>232</v>
      </c>
      <c r="I169" s="12" t="s">
        <v>233</v>
      </c>
      <c r="J169" s="10" t="s">
        <v>234</v>
      </c>
      <c r="K169" s="10" t="s">
        <v>40</v>
      </c>
      <c r="L169" s="10" t="s">
        <v>4</v>
      </c>
      <c r="M169" s="14">
        <v>45132.0</v>
      </c>
      <c r="N169" s="11" t="s">
        <v>235</v>
      </c>
      <c r="O169" s="10" t="s">
        <v>236</v>
      </c>
      <c r="P169" s="10" t="s">
        <v>237</v>
      </c>
      <c r="Q169" s="2"/>
      <c r="R169" s="10">
        <v>12.0</v>
      </c>
      <c r="S169" s="14">
        <v>44279.0</v>
      </c>
      <c r="T169" s="14">
        <v>44644.0</v>
      </c>
      <c r="U169" s="10">
        <f t="shared" si="8"/>
        <v>-1447</v>
      </c>
      <c r="V169" s="2"/>
      <c r="W169" s="15"/>
      <c r="X169" s="15"/>
      <c r="Y169" s="15"/>
      <c r="Z169" s="15"/>
      <c r="AA169" s="1"/>
      <c r="AB169" s="15"/>
      <c r="AC169" s="15"/>
      <c r="AD169" s="15"/>
      <c r="AE169" s="15"/>
      <c r="AF169" s="2"/>
      <c r="AG169" s="16" t="s">
        <v>45</v>
      </c>
      <c r="AH169" s="12" t="s">
        <v>46</v>
      </c>
      <c r="AI169" s="10" t="s">
        <v>226</v>
      </c>
      <c r="AJ169" s="10" t="s">
        <v>227</v>
      </c>
      <c r="AK169" s="16" t="s">
        <v>45</v>
      </c>
      <c r="AL169" s="10" t="s">
        <v>49</v>
      </c>
      <c r="AM169" s="16" t="s">
        <v>45</v>
      </c>
      <c r="AN169" s="10" t="s">
        <v>50</v>
      </c>
    </row>
    <row r="170" ht="30.0" customHeight="1">
      <c r="A170" s="9" t="str">
        <f t="shared" si="1"/>
        <v>Inativo</v>
      </c>
      <c r="B170" s="9" t="str">
        <f t="shared" si="2"/>
        <v>N/I</v>
      </c>
      <c r="C170" s="9" t="str">
        <f t="shared" si="3"/>
        <v>N/I</v>
      </c>
      <c r="D170" s="10" t="s">
        <v>217</v>
      </c>
      <c r="E170" s="11" t="s">
        <v>218</v>
      </c>
      <c r="F170" s="11" t="s">
        <v>231</v>
      </c>
      <c r="G170" s="12" t="s">
        <v>94</v>
      </c>
      <c r="H170" s="13" t="s">
        <v>238</v>
      </c>
      <c r="I170" s="12" t="s">
        <v>233</v>
      </c>
      <c r="J170" s="10" t="s">
        <v>234</v>
      </c>
      <c r="K170" s="10" t="s">
        <v>40</v>
      </c>
      <c r="L170" s="10" t="s">
        <v>4</v>
      </c>
      <c r="M170" s="14">
        <v>45322.0</v>
      </c>
      <c r="N170" s="11" t="s">
        <v>239</v>
      </c>
      <c r="O170" s="10" t="s">
        <v>236</v>
      </c>
      <c r="P170" s="10" t="s">
        <v>240</v>
      </c>
      <c r="Q170" s="2"/>
      <c r="R170" s="10">
        <v>12.0</v>
      </c>
      <c r="S170" s="14">
        <v>45132.0</v>
      </c>
      <c r="T170" s="14">
        <v>45498.0</v>
      </c>
      <c r="U170" s="10">
        <f t="shared" si="8"/>
        <v>-593</v>
      </c>
      <c r="V170" s="2"/>
      <c r="W170" s="15"/>
      <c r="X170" s="15"/>
      <c r="Y170" s="15"/>
      <c r="Z170" s="15"/>
      <c r="AA170" s="1"/>
      <c r="AB170" s="15"/>
      <c r="AC170" s="15"/>
      <c r="AD170" s="15"/>
      <c r="AE170" s="15"/>
      <c r="AF170" s="2"/>
      <c r="AG170" s="16" t="s">
        <v>45</v>
      </c>
      <c r="AH170" s="12" t="s">
        <v>46</v>
      </c>
      <c r="AI170" s="10" t="s">
        <v>226</v>
      </c>
      <c r="AJ170" s="10" t="s">
        <v>227</v>
      </c>
      <c r="AK170" s="16" t="s">
        <v>45</v>
      </c>
      <c r="AL170" s="10" t="s">
        <v>49</v>
      </c>
      <c r="AM170" s="16" t="s">
        <v>45</v>
      </c>
      <c r="AN170" s="10" t="s">
        <v>50</v>
      </c>
    </row>
    <row r="171" ht="30.0" customHeight="1">
      <c r="A171" s="9" t="str">
        <f t="shared" si="1"/>
        <v>Inativo</v>
      </c>
      <c r="B171" s="9" t="str">
        <f t="shared" si="2"/>
        <v>N/I</v>
      </c>
      <c r="C171" s="9" t="str">
        <f t="shared" si="3"/>
        <v>N/I</v>
      </c>
      <c r="D171" s="10" t="s">
        <v>217</v>
      </c>
      <c r="E171" s="11" t="s">
        <v>218</v>
      </c>
      <c r="F171" s="11" t="s">
        <v>231</v>
      </c>
      <c r="G171" s="12" t="s">
        <v>94</v>
      </c>
      <c r="H171" s="13" t="s">
        <v>241</v>
      </c>
      <c r="I171" s="12" t="s">
        <v>233</v>
      </c>
      <c r="J171" s="10" t="s">
        <v>234</v>
      </c>
      <c r="K171" s="10" t="s">
        <v>40</v>
      </c>
      <c r="L171" s="10" t="s">
        <v>4</v>
      </c>
      <c r="M171" s="14">
        <v>45322.0</v>
      </c>
      <c r="N171" s="11" t="s">
        <v>239</v>
      </c>
      <c r="O171" s="10" t="s">
        <v>236</v>
      </c>
      <c r="P171" s="10" t="s">
        <v>240</v>
      </c>
      <c r="Q171" s="2"/>
      <c r="R171" s="10">
        <v>12.0</v>
      </c>
      <c r="S171" s="14">
        <v>45322.0</v>
      </c>
      <c r="T171" s="14">
        <v>45688.0</v>
      </c>
      <c r="U171" s="10">
        <f t="shared" si="8"/>
        <v>-403</v>
      </c>
      <c r="V171" s="2"/>
      <c r="W171" s="15"/>
      <c r="X171" s="15"/>
      <c r="Y171" s="15"/>
      <c r="Z171" s="15"/>
      <c r="AA171" s="1"/>
      <c r="AB171" s="15"/>
      <c r="AC171" s="15"/>
      <c r="AD171" s="15"/>
      <c r="AE171" s="15"/>
      <c r="AF171" s="2"/>
      <c r="AG171" s="16" t="s">
        <v>45</v>
      </c>
      <c r="AH171" s="12" t="s">
        <v>46</v>
      </c>
      <c r="AI171" s="10" t="s">
        <v>226</v>
      </c>
      <c r="AJ171" s="10" t="s">
        <v>227</v>
      </c>
      <c r="AK171" s="16" t="s">
        <v>45</v>
      </c>
      <c r="AL171" s="10" t="s">
        <v>49</v>
      </c>
      <c r="AM171" s="16" t="s">
        <v>45</v>
      </c>
      <c r="AN171" s="10" t="s">
        <v>50</v>
      </c>
    </row>
    <row r="172" ht="30.0" customHeight="1">
      <c r="A172" s="9" t="str">
        <f t="shared" si="1"/>
        <v>Inativo</v>
      </c>
      <c r="B172" s="9" t="str">
        <f t="shared" si="2"/>
        <v>N/I</v>
      </c>
      <c r="C172" s="9" t="str">
        <f t="shared" si="3"/>
        <v>N/I</v>
      </c>
      <c r="D172" s="10" t="s">
        <v>242</v>
      </c>
      <c r="E172" s="11" t="s">
        <v>243</v>
      </c>
      <c r="F172" s="11" t="s">
        <v>244</v>
      </c>
      <c r="G172" s="12" t="s">
        <v>94</v>
      </c>
      <c r="H172" s="27" t="s">
        <v>245</v>
      </c>
      <c r="I172" s="12" t="s">
        <v>246</v>
      </c>
      <c r="J172" s="10" t="s">
        <v>247</v>
      </c>
      <c r="K172" s="10" t="s">
        <v>190</v>
      </c>
      <c r="L172" s="10" t="s">
        <v>4</v>
      </c>
      <c r="M172" s="14">
        <v>44589.0</v>
      </c>
      <c r="N172" s="11" t="s">
        <v>248</v>
      </c>
      <c r="O172" s="10" t="s">
        <v>249</v>
      </c>
      <c r="P172" s="10" t="s">
        <v>250</v>
      </c>
      <c r="Q172" s="2"/>
      <c r="R172" s="10">
        <v>12.0</v>
      </c>
      <c r="S172" s="14">
        <v>45322.0</v>
      </c>
      <c r="T172" s="14">
        <v>45688.0</v>
      </c>
      <c r="U172" s="10">
        <f t="shared" si="8"/>
        <v>-403</v>
      </c>
      <c r="V172" s="2"/>
      <c r="W172" s="15"/>
      <c r="X172" s="15"/>
      <c r="Y172" s="15"/>
      <c r="Z172" s="15"/>
      <c r="AA172" s="1"/>
      <c r="AB172" s="15"/>
      <c r="AC172" s="15"/>
      <c r="AD172" s="15"/>
      <c r="AE172" s="15"/>
      <c r="AF172" s="2"/>
      <c r="AG172" s="16" t="s">
        <v>45</v>
      </c>
      <c r="AH172" s="16" t="s">
        <v>45</v>
      </c>
      <c r="AI172" s="16" t="s">
        <v>45</v>
      </c>
      <c r="AJ172" s="16" t="s">
        <v>45</v>
      </c>
      <c r="AK172" s="16" t="s">
        <v>45</v>
      </c>
      <c r="AL172" s="16" t="s">
        <v>45</v>
      </c>
      <c r="AM172" s="16" t="s">
        <v>45</v>
      </c>
      <c r="AN172" s="16" t="s">
        <v>45</v>
      </c>
    </row>
    <row r="173" ht="30.0" customHeight="1">
      <c r="A173" s="9" t="str">
        <f t="shared" si="1"/>
        <v>N/I</v>
      </c>
      <c r="B173" s="9" t="str">
        <f t="shared" si="2"/>
        <v>N/I</v>
      </c>
      <c r="C173" s="9" t="str">
        <f t="shared" si="3"/>
        <v>N/I</v>
      </c>
      <c r="D173" s="10" t="s">
        <v>251</v>
      </c>
      <c r="E173" s="11" t="s">
        <v>252</v>
      </c>
      <c r="F173" s="11" t="s">
        <v>253</v>
      </c>
      <c r="G173" s="12" t="s">
        <v>254</v>
      </c>
      <c r="H173" s="25" t="s">
        <v>187</v>
      </c>
      <c r="I173" s="12" t="s">
        <v>255</v>
      </c>
      <c r="J173" s="10" t="s">
        <v>132</v>
      </c>
      <c r="K173" s="10" t="s">
        <v>41</v>
      </c>
      <c r="L173" s="10" t="s">
        <v>4</v>
      </c>
      <c r="M173" s="26" t="s">
        <v>256</v>
      </c>
      <c r="N173" s="11"/>
      <c r="O173" s="10" t="s">
        <v>257</v>
      </c>
      <c r="P173" s="10" t="s">
        <v>258</v>
      </c>
      <c r="Q173" s="2"/>
      <c r="R173" s="24" t="s">
        <v>193</v>
      </c>
      <c r="S173" s="24" t="s">
        <v>193</v>
      </c>
      <c r="T173" s="24" t="s">
        <v>193</v>
      </c>
      <c r="U173" s="28"/>
      <c r="V173" s="2"/>
      <c r="W173" s="15"/>
      <c r="X173" s="15"/>
      <c r="Y173" s="15"/>
      <c r="Z173" s="15"/>
      <c r="AA173" s="1"/>
      <c r="AB173" s="15"/>
      <c r="AC173" s="15"/>
      <c r="AD173" s="15"/>
      <c r="AE173" s="15"/>
      <c r="AF173" s="2"/>
      <c r="AG173" s="16" t="s">
        <v>45</v>
      </c>
      <c r="AH173" s="16" t="s">
        <v>45</v>
      </c>
      <c r="AI173" s="16" t="s">
        <v>45</v>
      </c>
      <c r="AJ173" s="16" t="s">
        <v>45</v>
      </c>
      <c r="AK173" s="16" t="s">
        <v>45</v>
      </c>
      <c r="AL173" s="16" t="s">
        <v>45</v>
      </c>
      <c r="AM173" s="16" t="s">
        <v>45</v>
      </c>
      <c r="AN173" s="10" t="s">
        <v>50</v>
      </c>
    </row>
    <row r="174" ht="30.0" customHeight="1">
      <c r="A174" s="9" t="str">
        <f t="shared" si="1"/>
        <v>N/I</v>
      </c>
      <c r="B174" s="9" t="str">
        <f t="shared" si="2"/>
        <v>N/I</v>
      </c>
      <c r="C174" s="9" t="str">
        <f t="shared" si="3"/>
        <v>N/I</v>
      </c>
      <c r="D174" s="10" t="s">
        <v>251</v>
      </c>
      <c r="E174" s="11" t="s">
        <v>252</v>
      </c>
      <c r="F174" s="11" t="s">
        <v>253</v>
      </c>
      <c r="G174" s="12" t="s">
        <v>68</v>
      </c>
      <c r="H174" s="25" t="s">
        <v>187</v>
      </c>
      <c r="I174" s="12" t="s">
        <v>255</v>
      </c>
      <c r="J174" s="10" t="s">
        <v>132</v>
      </c>
      <c r="K174" s="10" t="s">
        <v>41</v>
      </c>
      <c r="L174" s="10" t="s">
        <v>4</v>
      </c>
      <c r="M174" s="26" t="s">
        <v>256</v>
      </c>
      <c r="N174" s="11"/>
      <c r="O174" s="10" t="s">
        <v>257</v>
      </c>
      <c r="P174" s="10" t="s">
        <v>258</v>
      </c>
      <c r="Q174" s="2"/>
      <c r="R174" s="24" t="s">
        <v>193</v>
      </c>
      <c r="S174" s="24" t="s">
        <v>193</v>
      </c>
      <c r="T174" s="24" t="s">
        <v>193</v>
      </c>
      <c r="U174" s="28"/>
      <c r="V174" s="2"/>
      <c r="W174" s="15"/>
      <c r="X174" s="15"/>
      <c r="Y174" s="15"/>
      <c r="Z174" s="15"/>
      <c r="AA174" s="1"/>
      <c r="AB174" s="15"/>
      <c r="AC174" s="15"/>
      <c r="AD174" s="15"/>
      <c r="AE174" s="15"/>
      <c r="AF174" s="2"/>
      <c r="AG174" s="16" t="s">
        <v>45</v>
      </c>
      <c r="AH174" s="16" t="s">
        <v>45</v>
      </c>
      <c r="AI174" s="16" t="s">
        <v>45</v>
      </c>
      <c r="AJ174" s="16" t="s">
        <v>45</v>
      </c>
      <c r="AK174" s="16" t="s">
        <v>45</v>
      </c>
      <c r="AL174" s="16" t="s">
        <v>45</v>
      </c>
      <c r="AM174" s="16" t="s">
        <v>45</v>
      </c>
      <c r="AN174" s="10" t="s">
        <v>50</v>
      </c>
    </row>
    <row r="175" ht="30.0" customHeight="1">
      <c r="A175" s="9" t="str">
        <f t="shared" si="1"/>
        <v>N/I</v>
      </c>
      <c r="B175" s="9" t="str">
        <f t="shared" si="2"/>
        <v>N/I</v>
      </c>
      <c r="C175" s="9" t="str">
        <f t="shared" si="3"/>
        <v>N/I</v>
      </c>
      <c r="D175" s="10" t="s">
        <v>251</v>
      </c>
      <c r="E175" s="11" t="s">
        <v>252</v>
      </c>
      <c r="F175" s="11" t="s">
        <v>253</v>
      </c>
      <c r="G175" s="12" t="s">
        <v>37</v>
      </c>
      <c r="H175" s="25" t="s">
        <v>187</v>
      </c>
      <c r="I175" s="12" t="s">
        <v>255</v>
      </c>
      <c r="J175" s="10" t="s">
        <v>132</v>
      </c>
      <c r="K175" s="10" t="s">
        <v>41</v>
      </c>
      <c r="L175" s="10" t="s">
        <v>4</v>
      </c>
      <c r="M175" s="26" t="s">
        <v>256</v>
      </c>
      <c r="N175" s="11"/>
      <c r="O175" s="10" t="s">
        <v>257</v>
      </c>
      <c r="P175" s="10" t="s">
        <v>258</v>
      </c>
      <c r="Q175" s="2"/>
      <c r="R175" s="24" t="s">
        <v>193</v>
      </c>
      <c r="S175" s="24" t="s">
        <v>193</v>
      </c>
      <c r="T175" s="24" t="s">
        <v>193</v>
      </c>
      <c r="U175" s="28"/>
      <c r="V175" s="2"/>
      <c r="W175" s="15"/>
      <c r="X175" s="15"/>
      <c r="Y175" s="15"/>
      <c r="Z175" s="15"/>
      <c r="AA175" s="1"/>
      <c r="AB175" s="15"/>
      <c r="AC175" s="15"/>
      <c r="AD175" s="15"/>
      <c r="AE175" s="15"/>
      <c r="AF175" s="2"/>
      <c r="AG175" s="16" t="s">
        <v>45</v>
      </c>
      <c r="AH175" s="16" t="s">
        <v>45</v>
      </c>
      <c r="AI175" s="16" t="s">
        <v>45</v>
      </c>
      <c r="AJ175" s="16" t="s">
        <v>45</v>
      </c>
      <c r="AK175" s="16" t="s">
        <v>45</v>
      </c>
      <c r="AL175" s="16" t="s">
        <v>45</v>
      </c>
      <c r="AM175" s="16" t="s">
        <v>45</v>
      </c>
      <c r="AN175" s="10" t="s">
        <v>50</v>
      </c>
    </row>
    <row r="176" ht="30.0" customHeight="1">
      <c r="A176" s="9" t="str">
        <f t="shared" si="1"/>
        <v>N/I</v>
      </c>
      <c r="B176" s="9" t="str">
        <f t="shared" si="2"/>
        <v>N/I</v>
      </c>
      <c r="C176" s="9" t="str">
        <f t="shared" si="3"/>
        <v>N/I</v>
      </c>
      <c r="D176" s="10" t="s">
        <v>251</v>
      </c>
      <c r="E176" s="11" t="s">
        <v>252</v>
      </c>
      <c r="F176" s="11" t="s">
        <v>253</v>
      </c>
      <c r="G176" s="12" t="s">
        <v>37</v>
      </c>
      <c r="H176" s="25" t="s">
        <v>187</v>
      </c>
      <c r="I176" s="12" t="s">
        <v>255</v>
      </c>
      <c r="J176" s="10" t="s">
        <v>132</v>
      </c>
      <c r="K176" s="10" t="s">
        <v>41</v>
      </c>
      <c r="L176" s="10" t="s">
        <v>4</v>
      </c>
      <c r="M176" s="26" t="s">
        <v>256</v>
      </c>
      <c r="N176" s="11"/>
      <c r="O176" s="10" t="s">
        <v>257</v>
      </c>
      <c r="P176" s="10" t="s">
        <v>258</v>
      </c>
      <c r="Q176" s="2"/>
      <c r="R176" s="24" t="s">
        <v>193</v>
      </c>
      <c r="S176" s="24" t="s">
        <v>193</v>
      </c>
      <c r="T176" s="24" t="s">
        <v>193</v>
      </c>
      <c r="U176" s="28"/>
      <c r="V176" s="2"/>
      <c r="W176" s="15"/>
      <c r="X176" s="15"/>
      <c r="Y176" s="15"/>
      <c r="Z176" s="15"/>
      <c r="AA176" s="1"/>
      <c r="AB176" s="15"/>
      <c r="AC176" s="15"/>
      <c r="AD176" s="15"/>
      <c r="AE176" s="15"/>
      <c r="AF176" s="2"/>
      <c r="AG176" s="16" t="s">
        <v>45</v>
      </c>
      <c r="AH176" s="16" t="s">
        <v>45</v>
      </c>
      <c r="AI176" s="16" t="s">
        <v>45</v>
      </c>
      <c r="AJ176" s="16" t="s">
        <v>45</v>
      </c>
      <c r="AK176" s="16" t="s">
        <v>45</v>
      </c>
      <c r="AL176" s="16" t="s">
        <v>45</v>
      </c>
      <c r="AM176" s="16" t="s">
        <v>45</v>
      </c>
      <c r="AN176" s="10" t="s">
        <v>50</v>
      </c>
    </row>
    <row r="177" ht="30.0" customHeight="1">
      <c r="A177" s="9" t="str">
        <f t="shared" si="1"/>
        <v>N/I</v>
      </c>
      <c r="B177" s="9" t="str">
        <f t="shared" si="2"/>
        <v>N/I</v>
      </c>
      <c r="C177" s="9" t="str">
        <f t="shared" si="3"/>
        <v>N/I</v>
      </c>
      <c r="D177" s="10" t="s">
        <v>251</v>
      </c>
      <c r="E177" s="11" t="s">
        <v>252</v>
      </c>
      <c r="F177" s="11" t="s">
        <v>253</v>
      </c>
      <c r="G177" s="12" t="s">
        <v>37</v>
      </c>
      <c r="H177" s="25" t="s">
        <v>187</v>
      </c>
      <c r="I177" s="12" t="s">
        <v>255</v>
      </c>
      <c r="J177" s="10" t="s">
        <v>132</v>
      </c>
      <c r="K177" s="10" t="s">
        <v>41</v>
      </c>
      <c r="L177" s="10" t="s">
        <v>4</v>
      </c>
      <c r="M177" s="26" t="s">
        <v>256</v>
      </c>
      <c r="N177" s="11"/>
      <c r="O177" s="10" t="s">
        <v>257</v>
      </c>
      <c r="P177" s="10" t="s">
        <v>258</v>
      </c>
      <c r="Q177" s="2"/>
      <c r="R177" s="24" t="s">
        <v>193</v>
      </c>
      <c r="S177" s="24" t="s">
        <v>193</v>
      </c>
      <c r="T177" s="24" t="s">
        <v>193</v>
      </c>
      <c r="U177" s="28"/>
      <c r="V177" s="2"/>
      <c r="W177" s="15"/>
      <c r="X177" s="15"/>
      <c r="Y177" s="15"/>
      <c r="Z177" s="15"/>
      <c r="AA177" s="1"/>
      <c r="AB177" s="15"/>
      <c r="AC177" s="15"/>
      <c r="AD177" s="15"/>
      <c r="AE177" s="15"/>
      <c r="AF177" s="2"/>
      <c r="AG177" s="16" t="s">
        <v>45</v>
      </c>
      <c r="AH177" s="16" t="s">
        <v>45</v>
      </c>
      <c r="AI177" s="16" t="s">
        <v>45</v>
      </c>
      <c r="AJ177" s="16" t="s">
        <v>45</v>
      </c>
      <c r="AK177" s="16" t="s">
        <v>45</v>
      </c>
      <c r="AL177" s="16" t="s">
        <v>45</v>
      </c>
      <c r="AM177" s="16" t="s">
        <v>45</v>
      </c>
      <c r="AN177" s="10" t="s">
        <v>50</v>
      </c>
    </row>
    <row r="178" ht="30.0" customHeight="1">
      <c r="A178" s="9" t="str">
        <f t="shared" si="1"/>
        <v>N/I</v>
      </c>
      <c r="B178" s="9" t="str">
        <f t="shared" si="2"/>
        <v>N/I</v>
      </c>
      <c r="C178" s="9" t="str">
        <f t="shared" si="3"/>
        <v>N/I</v>
      </c>
      <c r="D178" s="10" t="s">
        <v>251</v>
      </c>
      <c r="E178" s="11" t="s">
        <v>259</v>
      </c>
      <c r="F178" s="11" t="s">
        <v>260</v>
      </c>
      <c r="G178" s="12" t="s">
        <v>254</v>
      </c>
      <c r="H178" s="27">
        <v>10877.0</v>
      </c>
      <c r="I178" s="12" t="s">
        <v>261</v>
      </c>
      <c r="J178" s="10" t="s">
        <v>262</v>
      </c>
      <c r="K178" s="10" t="s">
        <v>263</v>
      </c>
      <c r="L178" s="10" t="s">
        <v>264</v>
      </c>
      <c r="M178" s="14">
        <v>42814.0</v>
      </c>
      <c r="N178" s="11" t="s">
        <v>265</v>
      </c>
      <c r="O178" s="10" t="s">
        <v>266</v>
      </c>
      <c r="P178" s="10" t="s">
        <v>267</v>
      </c>
      <c r="Q178" s="2"/>
      <c r="R178" s="15"/>
      <c r="S178" s="15"/>
      <c r="T178" s="15"/>
      <c r="U178" s="15"/>
      <c r="V178" s="2"/>
      <c r="W178" s="29"/>
      <c r="X178" s="29"/>
      <c r="Y178" s="29"/>
      <c r="Z178" s="29"/>
      <c r="AA178" s="1"/>
      <c r="AB178" s="15"/>
      <c r="AC178" s="15"/>
      <c r="AD178" s="15"/>
      <c r="AE178" s="15"/>
      <c r="AF178" s="2"/>
      <c r="AG178" s="29"/>
      <c r="AH178" s="29"/>
      <c r="AI178" s="29"/>
      <c r="AJ178" s="29"/>
      <c r="AK178" s="29"/>
      <c r="AL178" s="29"/>
      <c r="AM178" s="29"/>
      <c r="AN178" s="29"/>
    </row>
    <row r="179" ht="30.0" customHeight="1">
      <c r="A179" s="9" t="str">
        <f t="shared" si="1"/>
        <v>Ativo</v>
      </c>
      <c r="B179" s="9" t="str">
        <f t="shared" si="2"/>
        <v>N/I</v>
      </c>
      <c r="C179" s="9" t="str">
        <f t="shared" si="3"/>
        <v>N/I</v>
      </c>
      <c r="D179" s="10" t="s">
        <v>251</v>
      </c>
      <c r="E179" s="11" t="s">
        <v>268</v>
      </c>
      <c r="F179" s="11" t="s">
        <v>269</v>
      </c>
      <c r="G179" s="12" t="s">
        <v>254</v>
      </c>
      <c r="H179" s="27" t="s">
        <v>270</v>
      </c>
      <c r="I179" s="12" t="s">
        <v>271</v>
      </c>
      <c r="J179" s="10" t="s">
        <v>89</v>
      </c>
      <c r="K179" s="10" t="s">
        <v>41</v>
      </c>
      <c r="L179" s="10" t="s">
        <v>4</v>
      </c>
      <c r="M179" s="14">
        <v>45861.0</v>
      </c>
      <c r="N179" s="11" t="s">
        <v>272</v>
      </c>
      <c r="O179" s="10" t="s">
        <v>273</v>
      </c>
      <c r="P179" s="10" t="s">
        <v>274</v>
      </c>
      <c r="Q179" s="2"/>
      <c r="R179" s="10">
        <v>12.0</v>
      </c>
      <c r="S179" s="14">
        <v>45861.0</v>
      </c>
      <c r="T179" s="14">
        <v>46226.0</v>
      </c>
      <c r="U179" s="10">
        <f>T179-TODAY()</f>
        <v>135</v>
      </c>
      <c r="V179" s="2"/>
      <c r="W179" s="15"/>
      <c r="X179" s="15"/>
      <c r="Y179" s="15"/>
      <c r="Z179" s="15"/>
      <c r="AA179" s="1"/>
      <c r="AB179" s="15"/>
      <c r="AC179" s="15"/>
      <c r="AD179" s="15"/>
      <c r="AE179" s="15"/>
      <c r="AF179" s="2"/>
      <c r="AG179" s="30" t="s">
        <v>45</v>
      </c>
      <c r="AH179" s="12" t="s">
        <v>46</v>
      </c>
      <c r="AI179" s="30" t="s">
        <v>275</v>
      </c>
      <c r="AJ179" s="30" t="s">
        <v>276</v>
      </c>
      <c r="AK179" s="30" t="s">
        <v>45</v>
      </c>
      <c r="AL179" s="30" t="s">
        <v>49</v>
      </c>
      <c r="AM179" s="30" t="s">
        <v>277</v>
      </c>
      <c r="AN179" s="30" t="s">
        <v>45</v>
      </c>
    </row>
    <row r="180" ht="30.0" customHeight="1">
      <c r="A180" s="9" t="str">
        <f t="shared" si="1"/>
        <v>N/I</v>
      </c>
      <c r="B180" s="9" t="str">
        <f t="shared" si="2"/>
        <v>N/I</v>
      </c>
      <c r="C180" s="9" t="str">
        <f t="shared" si="3"/>
        <v>Inativo</v>
      </c>
      <c r="D180" s="10" t="s">
        <v>278</v>
      </c>
      <c r="E180" s="11" t="s">
        <v>279</v>
      </c>
      <c r="F180" s="11" t="s">
        <v>280</v>
      </c>
      <c r="G180" s="12" t="s">
        <v>37</v>
      </c>
      <c r="H180" s="31" t="s">
        <v>281</v>
      </c>
      <c r="I180" s="12" t="s">
        <v>282</v>
      </c>
      <c r="J180" s="10" t="s">
        <v>283</v>
      </c>
      <c r="K180" s="10" t="s">
        <v>263</v>
      </c>
      <c r="L180" s="10" t="s">
        <v>6</v>
      </c>
      <c r="M180" s="22">
        <v>44414.0</v>
      </c>
      <c r="N180" s="32" t="s">
        <v>284</v>
      </c>
      <c r="O180" s="10" t="s">
        <v>285</v>
      </c>
      <c r="P180" s="10" t="s">
        <v>286</v>
      </c>
      <c r="Q180" s="2"/>
      <c r="R180" s="15"/>
      <c r="S180" s="15"/>
      <c r="T180" s="15"/>
      <c r="U180" s="15"/>
      <c r="V180" s="2"/>
      <c r="W180" s="15"/>
      <c r="X180" s="15"/>
      <c r="Y180" s="15"/>
      <c r="Z180" s="15"/>
      <c r="AA180" s="1"/>
      <c r="AB180" s="10">
        <v>5.0</v>
      </c>
      <c r="AC180" s="14">
        <v>45881.0</v>
      </c>
      <c r="AD180" s="14">
        <v>46029.0</v>
      </c>
      <c r="AE180" s="10">
        <f t="shared" ref="AE180:AE192" si="9">AD180-TODAY()</f>
        <v>-62</v>
      </c>
      <c r="AF180" s="2"/>
      <c r="AG180" s="16" t="s">
        <v>45</v>
      </c>
      <c r="AH180" s="16" t="s">
        <v>45</v>
      </c>
      <c r="AI180" s="16" t="s">
        <v>45</v>
      </c>
      <c r="AJ180" s="16" t="s">
        <v>45</v>
      </c>
      <c r="AK180" s="16" t="s">
        <v>45</v>
      </c>
      <c r="AL180" s="16" t="s">
        <v>45</v>
      </c>
      <c r="AM180" s="16" t="s">
        <v>45</v>
      </c>
      <c r="AN180" s="16" t="s">
        <v>45</v>
      </c>
    </row>
    <row r="181" ht="30.0" customHeight="1">
      <c r="A181" s="9" t="str">
        <f t="shared" si="1"/>
        <v>N/I</v>
      </c>
      <c r="B181" s="9" t="str">
        <f t="shared" si="2"/>
        <v>N/I</v>
      </c>
      <c r="C181" s="9" t="str">
        <f t="shared" si="3"/>
        <v>Inativo</v>
      </c>
      <c r="D181" s="10" t="s">
        <v>278</v>
      </c>
      <c r="E181" s="11" t="s">
        <v>279</v>
      </c>
      <c r="F181" s="11" t="s">
        <v>280</v>
      </c>
      <c r="G181" s="12" t="s">
        <v>37</v>
      </c>
      <c r="H181" s="31" t="s">
        <v>287</v>
      </c>
      <c r="I181" s="12" t="s">
        <v>282</v>
      </c>
      <c r="J181" s="10" t="s">
        <v>283</v>
      </c>
      <c r="K181" s="10" t="s">
        <v>263</v>
      </c>
      <c r="L181" s="10" t="s">
        <v>6</v>
      </c>
      <c r="M181" s="22">
        <v>44414.0</v>
      </c>
      <c r="N181" s="32" t="s">
        <v>288</v>
      </c>
      <c r="O181" s="10" t="s">
        <v>289</v>
      </c>
      <c r="P181" s="10" t="s">
        <v>286</v>
      </c>
      <c r="Q181" s="2"/>
      <c r="R181" s="15"/>
      <c r="S181" s="15"/>
      <c r="T181" s="15"/>
      <c r="U181" s="15"/>
      <c r="V181" s="2"/>
      <c r="W181" s="15"/>
      <c r="X181" s="15"/>
      <c r="Y181" s="15"/>
      <c r="Z181" s="15"/>
      <c r="AA181" s="1"/>
      <c r="AB181" s="10">
        <v>5.0</v>
      </c>
      <c r="AC181" s="14">
        <v>45881.0</v>
      </c>
      <c r="AD181" s="14">
        <v>46029.0</v>
      </c>
      <c r="AE181" s="10">
        <f t="shared" si="9"/>
        <v>-62</v>
      </c>
      <c r="AF181" s="2"/>
      <c r="AG181" s="10" t="s">
        <v>290</v>
      </c>
      <c r="AH181" s="12" t="s">
        <v>46</v>
      </c>
      <c r="AI181" s="10" t="s">
        <v>291</v>
      </c>
      <c r="AJ181" s="10" t="s">
        <v>292</v>
      </c>
      <c r="AK181" s="16" t="s">
        <v>45</v>
      </c>
      <c r="AL181" s="10" t="s">
        <v>49</v>
      </c>
      <c r="AM181" s="16" t="s">
        <v>45</v>
      </c>
      <c r="AN181" s="10" t="s">
        <v>50</v>
      </c>
    </row>
    <row r="182" ht="30.0" customHeight="1">
      <c r="A182" s="9" t="str">
        <f t="shared" si="1"/>
        <v>N/I</v>
      </c>
      <c r="B182" s="9" t="str">
        <f t="shared" si="2"/>
        <v>N/I</v>
      </c>
      <c r="C182" s="9" t="str">
        <f t="shared" si="3"/>
        <v>Inativo</v>
      </c>
      <c r="D182" s="10" t="s">
        <v>278</v>
      </c>
      <c r="E182" s="11" t="s">
        <v>279</v>
      </c>
      <c r="F182" s="11" t="s">
        <v>280</v>
      </c>
      <c r="G182" s="12" t="s">
        <v>37</v>
      </c>
      <c r="H182" s="31" t="s">
        <v>293</v>
      </c>
      <c r="I182" s="12" t="s">
        <v>282</v>
      </c>
      <c r="J182" s="10" t="s">
        <v>283</v>
      </c>
      <c r="K182" s="10" t="s">
        <v>263</v>
      </c>
      <c r="L182" s="10" t="s">
        <v>6</v>
      </c>
      <c r="M182" s="22">
        <v>44414.0</v>
      </c>
      <c r="N182" s="32" t="s">
        <v>288</v>
      </c>
      <c r="O182" s="10" t="s">
        <v>289</v>
      </c>
      <c r="P182" s="10" t="s">
        <v>286</v>
      </c>
      <c r="Q182" s="2"/>
      <c r="R182" s="15"/>
      <c r="S182" s="15"/>
      <c r="T182" s="15"/>
      <c r="U182" s="15"/>
      <c r="V182" s="2"/>
      <c r="W182" s="15"/>
      <c r="X182" s="15"/>
      <c r="Y182" s="15"/>
      <c r="Z182" s="15"/>
      <c r="AA182" s="1"/>
      <c r="AB182" s="10">
        <v>5.0</v>
      </c>
      <c r="AC182" s="14">
        <v>45881.0</v>
      </c>
      <c r="AD182" s="14">
        <v>46029.0</v>
      </c>
      <c r="AE182" s="10">
        <f t="shared" si="9"/>
        <v>-62</v>
      </c>
      <c r="AF182" s="2"/>
      <c r="AG182" s="10" t="s">
        <v>290</v>
      </c>
      <c r="AH182" s="12" t="s">
        <v>46</v>
      </c>
      <c r="AI182" s="10" t="s">
        <v>291</v>
      </c>
      <c r="AJ182" s="10" t="s">
        <v>292</v>
      </c>
      <c r="AK182" s="16" t="s">
        <v>45</v>
      </c>
      <c r="AL182" s="10" t="s">
        <v>49</v>
      </c>
      <c r="AM182" s="16" t="s">
        <v>45</v>
      </c>
      <c r="AN182" s="10" t="s">
        <v>50</v>
      </c>
    </row>
    <row r="183" ht="30.0" customHeight="1">
      <c r="A183" s="9" t="str">
        <f t="shared" si="1"/>
        <v>N/I</v>
      </c>
      <c r="B183" s="9" t="str">
        <f t="shared" si="2"/>
        <v>N/I</v>
      </c>
      <c r="C183" s="9" t="str">
        <f t="shared" si="3"/>
        <v>Inativo</v>
      </c>
      <c r="D183" s="10" t="s">
        <v>278</v>
      </c>
      <c r="E183" s="11" t="s">
        <v>279</v>
      </c>
      <c r="F183" s="11" t="s">
        <v>280</v>
      </c>
      <c r="G183" s="12" t="s">
        <v>37</v>
      </c>
      <c r="H183" s="31" t="s">
        <v>294</v>
      </c>
      <c r="I183" s="12" t="s">
        <v>282</v>
      </c>
      <c r="J183" s="10" t="s">
        <v>283</v>
      </c>
      <c r="K183" s="10" t="s">
        <v>263</v>
      </c>
      <c r="L183" s="10" t="s">
        <v>6</v>
      </c>
      <c r="M183" s="22">
        <v>44414.0</v>
      </c>
      <c r="N183" s="32" t="s">
        <v>295</v>
      </c>
      <c r="O183" s="10" t="s">
        <v>296</v>
      </c>
      <c r="P183" s="10" t="s">
        <v>286</v>
      </c>
      <c r="Q183" s="2"/>
      <c r="R183" s="15"/>
      <c r="S183" s="15"/>
      <c r="T183" s="15"/>
      <c r="U183" s="15"/>
      <c r="V183" s="2"/>
      <c r="W183" s="15"/>
      <c r="X183" s="15"/>
      <c r="Y183" s="15"/>
      <c r="Z183" s="15"/>
      <c r="AA183" s="1"/>
      <c r="AB183" s="10">
        <v>5.0</v>
      </c>
      <c r="AC183" s="14">
        <v>45881.0</v>
      </c>
      <c r="AD183" s="14">
        <v>46029.0</v>
      </c>
      <c r="AE183" s="10">
        <f t="shared" si="9"/>
        <v>-62</v>
      </c>
      <c r="AF183" s="2"/>
      <c r="AG183" s="10" t="s">
        <v>290</v>
      </c>
      <c r="AH183" s="12" t="s">
        <v>46</v>
      </c>
      <c r="AI183" s="10" t="s">
        <v>291</v>
      </c>
      <c r="AJ183" s="10" t="s">
        <v>292</v>
      </c>
      <c r="AK183" s="16" t="s">
        <v>45</v>
      </c>
      <c r="AL183" s="10" t="s">
        <v>49</v>
      </c>
      <c r="AM183" s="16" t="s">
        <v>45</v>
      </c>
      <c r="AN183" s="10" t="s">
        <v>50</v>
      </c>
    </row>
    <row r="184" ht="30.0" customHeight="1">
      <c r="A184" s="9" t="str">
        <f t="shared" si="1"/>
        <v>N/I</v>
      </c>
      <c r="B184" s="9" t="str">
        <f t="shared" si="2"/>
        <v>N/I</v>
      </c>
      <c r="C184" s="9" t="str">
        <f t="shared" si="3"/>
        <v>Inativo</v>
      </c>
      <c r="D184" s="10" t="s">
        <v>278</v>
      </c>
      <c r="E184" s="11" t="s">
        <v>279</v>
      </c>
      <c r="F184" s="11" t="s">
        <v>280</v>
      </c>
      <c r="G184" s="12" t="s">
        <v>37</v>
      </c>
      <c r="H184" s="31" t="s">
        <v>297</v>
      </c>
      <c r="I184" s="12" t="s">
        <v>282</v>
      </c>
      <c r="J184" s="10" t="s">
        <v>283</v>
      </c>
      <c r="K184" s="10" t="s">
        <v>263</v>
      </c>
      <c r="L184" s="10" t="s">
        <v>6</v>
      </c>
      <c r="M184" s="22">
        <v>44417.0</v>
      </c>
      <c r="N184" s="32" t="s">
        <v>295</v>
      </c>
      <c r="O184" s="10" t="s">
        <v>296</v>
      </c>
      <c r="P184" s="10" t="s">
        <v>286</v>
      </c>
      <c r="Q184" s="2"/>
      <c r="R184" s="15"/>
      <c r="S184" s="15"/>
      <c r="T184" s="15"/>
      <c r="U184" s="15"/>
      <c r="V184" s="2"/>
      <c r="W184" s="15"/>
      <c r="X184" s="15"/>
      <c r="Y184" s="15"/>
      <c r="Z184" s="15"/>
      <c r="AA184" s="1"/>
      <c r="AB184" s="10">
        <v>5.0</v>
      </c>
      <c r="AC184" s="14">
        <v>45881.0</v>
      </c>
      <c r="AD184" s="14">
        <v>46029.0</v>
      </c>
      <c r="AE184" s="10">
        <f t="shared" si="9"/>
        <v>-62</v>
      </c>
      <c r="AF184" s="2"/>
      <c r="AG184" s="10" t="s">
        <v>290</v>
      </c>
      <c r="AH184" s="12" t="s">
        <v>46</v>
      </c>
      <c r="AI184" s="10" t="s">
        <v>291</v>
      </c>
      <c r="AJ184" s="10" t="s">
        <v>292</v>
      </c>
      <c r="AK184" s="16" t="s">
        <v>45</v>
      </c>
      <c r="AL184" s="10" t="s">
        <v>49</v>
      </c>
      <c r="AM184" s="16" t="s">
        <v>45</v>
      </c>
      <c r="AN184" s="10" t="s">
        <v>50</v>
      </c>
    </row>
    <row r="185" ht="30.0" customHeight="1">
      <c r="A185" s="9" t="str">
        <f t="shared" si="1"/>
        <v>N/I</v>
      </c>
      <c r="B185" s="9" t="str">
        <f t="shared" si="2"/>
        <v>N/I</v>
      </c>
      <c r="C185" s="9" t="str">
        <f t="shared" si="3"/>
        <v>Inativo</v>
      </c>
      <c r="D185" s="10" t="s">
        <v>278</v>
      </c>
      <c r="E185" s="11" t="s">
        <v>279</v>
      </c>
      <c r="F185" s="11" t="s">
        <v>280</v>
      </c>
      <c r="G185" s="12" t="s">
        <v>37</v>
      </c>
      <c r="H185" s="31" t="s">
        <v>298</v>
      </c>
      <c r="I185" s="12" t="s">
        <v>282</v>
      </c>
      <c r="J185" s="10" t="s">
        <v>283</v>
      </c>
      <c r="K185" s="10" t="s">
        <v>263</v>
      </c>
      <c r="L185" s="10" t="s">
        <v>6</v>
      </c>
      <c r="M185" s="22">
        <v>44417.0</v>
      </c>
      <c r="N185" s="32" t="s">
        <v>295</v>
      </c>
      <c r="O185" s="10" t="s">
        <v>296</v>
      </c>
      <c r="P185" s="10" t="s">
        <v>286</v>
      </c>
      <c r="Q185" s="2"/>
      <c r="R185" s="15"/>
      <c r="S185" s="15"/>
      <c r="T185" s="15"/>
      <c r="U185" s="15"/>
      <c r="V185" s="2"/>
      <c r="W185" s="15"/>
      <c r="X185" s="15"/>
      <c r="Y185" s="15"/>
      <c r="Z185" s="15"/>
      <c r="AA185" s="1"/>
      <c r="AB185" s="10">
        <v>5.0</v>
      </c>
      <c r="AC185" s="14">
        <v>45881.0</v>
      </c>
      <c r="AD185" s="14">
        <v>46029.0</v>
      </c>
      <c r="AE185" s="10">
        <f t="shared" si="9"/>
        <v>-62</v>
      </c>
      <c r="AF185" s="2"/>
      <c r="AG185" s="10" t="s">
        <v>290</v>
      </c>
      <c r="AH185" s="12" t="s">
        <v>46</v>
      </c>
      <c r="AI185" s="10" t="s">
        <v>291</v>
      </c>
      <c r="AJ185" s="10" t="s">
        <v>292</v>
      </c>
      <c r="AK185" s="16" t="s">
        <v>45</v>
      </c>
      <c r="AL185" s="10" t="s">
        <v>49</v>
      </c>
      <c r="AM185" s="16" t="s">
        <v>45</v>
      </c>
      <c r="AN185" s="10" t="s">
        <v>50</v>
      </c>
    </row>
    <row r="186" ht="30.0" customHeight="1">
      <c r="A186" s="9" t="str">
        <f t="shared" si="1"/>
        <v>N/I</v>
      </c>
      <c r="B186" s="9" t="str">
        <f t="shared" si="2"/>
        <v>N/I</v>
      </c>
      <c r="C186" s="9" t="str">
        <f t="shared" si="3"/>
        <v>Inativo</v>
      </c>
      <c r="D186" s="10" t="s">
        <v>278</v>
      </c>
      <c r="E186" s="11" t="s">
        <v>279</v>
      </c>
      <c r="F186" s="11" t="s">
        <v>280</v>
      </c>
      <c r="G186" s="12" t="s">
        <v>37</v>
      </c>
      <c r="H186" s="31" t="s">
        <v>299</v>
      </c>
      <c r="I186" s="12" t="s">
        <v>282</v>
      </c>
      <c r="J186" s="10" t="s">
        <v>283</v>
      </c>
      <c r="K186" s="10" t="s">
        <v>263</v>
      </c>
      <c r="L186" s="10" t="s">
        <v>6</v>
      </c>
      <c r="M186" s="22">
        <v>44417.0</v>
      </c>
      <c r="N186" s="32" t="s">
        <v>300</v>
      </c>
      <c r="O186" s="10" t="s">
        <v>296</v>
      </c>
      <c r="P186" s="10" t="s">
        <v>286</v>
      </c>
      <c r="Q186" s="2"/>
      <c r="R186" s="15"/>
      <c r="S186" s="15"/>
      <c r="T186" s="15"/>
      <c r="U186" s="15"/>
      <c r="V186" s="2"/>
      <c r="W186" s="15"/>
      <c r="X186" s="15"/>
      <c r="Y186" s="15"/>
      <c r="Z186" s="15"/>
      <c r="AA186" s="1"/>
      <c r="AB186" s="10">
        <v>5.0</v>
      </c>
      <c r="AC186" s="14">
        <v>45881.0</v>
      </c>
      <c r="AD186" s="14">
        <v>46029.0</v>
      </c>
      <c r="AE186" s="10">
        <f t="shared" si="9"/>
        <v>-62</v>
      </c>
      <c r="AF186" s="2"/>
      <c r="AG186" s="10" t="s">
        <v>290</v>
      </c>
      <c r="AH186" s="12" t="s">
        <v>46</v>
      </c>
      <c r="AI186" s="10" t="s">
        <v>291</v>
      </c>
      <c r="AJ186" s="10" t="s">
        <v>292</v>
      </c>
      <c r="AK186" s="16" t="s">
        <v>45</v>
      </c>
      <c r="AL186" s="10" t="s">
        <v>49</v>
      </c>
      <c r="AM186" s="16" t="s">
        <v>45</v>
      </c>
      <c r="AN186" s="10" t="s">
        <v>50</v>
      </c>
    </row>
    <row r="187" ht="30.0" customHeight="1">
      <c r="A187" s="9" t="str">
        <f t="shared" si="1"/>
        <v>N/I</v>
      </c>
      <c r="B187" s="9" t="str">
        <f t="shared" si="2"/>
        <v>N/I</v>
      </c>
      <c r="C187" s="9" t="str">
        <f t="shared" si="3"/>
        <v>Inativo</v>
      </c>
      <c r="D187" s="10" t="s">
        <v>278</v>
      </c>
      <c r="E187" s="11" t="s">
        <v>279</v>
      </c>
      <c r="F187" s="11" t="s">
        <v>280</v>
      </c>
      <c r="G187" s="12" t="s">
        <v>37</v>
      </c>
      <c r="H187" s="31" t="s">
        <v>301</v>
      </c>
      <c r="I187" s="12" t="s">
        <v>282</v>
      </c>
      <c r="J187" s="10" t="s">
        <v>283</v>
      </c>
      <c r="K187" s="10" t="s">
        <v>263</v>
      </c>
      <c r="L187" s="10" t="s">
        <v>6</v>
      </c>
      <c r="M187" s="22">
        <v>44417.0</v>
      </c>
      <c r="N187" s="32" t="s">
        <v>295</v>
      </c>
      <c r="O187" s="10" t="s">
        <v>296</v>
      </c>
      <c r="P187" s="10" t="s">
        <v>286</v>
      </c>
      <c r="Q187" s="2"/>
      <c r="R187" s="15"/>
      <c r="S187" s="15"/>
      <c r="T187" s="15"/>
      <c r="U187" s="15"/>
      <c r="V187" s="2"/>
      <c r="W187" s="15"/>
      <c r="X187" s="15"/>
      <c r="Y187" s="15"/>
      <c r="Z187" s="15"/>
      <c r="AA187" s="1"/>
      <c r="AB187" s="10">
        <v>5.0</v>
      </c>
      <c r="AC187" s="14">
        <v>45881.0</v>
      </c>
      <c r="AD187" s="14">
        <v>46029.0</v>
      </c>
      <c r="AE187" s="10">
        <f t="shared" si="9"/>
        <v>-62</v>
      </c>
      <c r="AF187" s="2"/>
      <c r="AG187" s="10" t="s">
        <v>290</v>
      </c>
      <c r="AH187" s="12" t="s">
        <v>46</v>
      </c>
      <c r="AI187" s="10" t="s">
        <v>291</v>
      </c>
      <c r="AJ187" s="10" t="s">
        <v>292</v>
      </c>
      <c r="AK187" s="16" t="s">
        <v>45</v>
      </c>
      <c r="AL187" s="10" t="s">
        <v>49</v>
      </c>
      <c r="AM187" s="16" t="s">
        <v>45</v>
      </c>
      <c r="AN187" s="10" t="s">
        <v>50</v>
      </c>
    </row>
    <row r="188" ht="30.0" customHeight="1">
      <c r="A188" s="9" t="str">
        <f t="shared" si="1"/>
        <v>N/I</v>
      </c>
      <c r="B188" s="9" t="str">
        <f t="shared" si="2"/>
        <v>N/I</v>
      </c>
      <c r="C188" s="9" t="str">
        <f t="shared" si="3"/>
        <v>Inativo</v>
      </c>
      <c r="D188" s="10" t="s">
        <v>278</v>
      </c>
      <c r="E188" s="11" t="s">
        <v>279</v>
      </c>
      <c r="F188" s="11" t="s">
        <v>280</v>
      </c>
      <c r="G188" s="12" t="s">
        <v>37</v>
      </c>
      <c r="H188" s="31" t="s">
        <v>302</v>
      </c>
      <c r="I188" s="12" t="s">
        <v>282</v>
      </c>
      <c r="J188" s="10" t="s">
        <v>283</v>
      </c>
      <c r="K188" s="10" t="s">
        <v>263</v>
      </c>
      <c r="L188" s="10" t="s">
        <v>6</v>
      </c>
      <c r="M188" s="22">
        <v>44417.0</v>
      </c>
      <c r="N188" s="32" t="s">
        <v>295</v>
      </c>
      <c r="O188" s="10" t="s">
        <v>296</v>
      </c>
      <c r="P188" s="10" t="s">
        <v>286</v>
      </c>
      <c r="Q188" s="2"/>
      <c r="R188" s="15"/>
      <c r="S188" s="15"/>
      <c r="T188" s="15"/>
      <c r="U188" s="15"/>
      <c r="V188" s="2"/>
      <c r="W188" s="15"/>
      <c r="X188" s="15"/>
      <c r="Y188" s="15"/>
      <c r="Z188" s="15"/>
      <c r="AA188" s="1"/>
      <c r="AB188" s="10">
        <v>5.0</v>
      </c>
      <c r="AC188" s="14">
        <v>45881.0</v>
      </c>
      <c r="AD188" s="14">
        <v>46029.0</v>
      </c>
      <c r="AE188" s="10">
        <f t="shared" si="9"/>
        <v>-62</v>
      </c>
      <c r="AF188" s="2"/>
      <c r="AG188" s="10" t="s">
        <v>290</v>
      </c>
      <c r="AH188" s="12" t="s">
        <v>46</v>
      </c>
      <c r="AI188" s="10" t="s">
        <v>291</v>
      </c>
      <c r="AJ188" s="10" t="s">
        <v>292</v>
      </c>
      <c r="AK188" s="16" t="s">
        <v>45</v>
      </c>
      <c r="AL188" s="10" t="s">
        <v>49</v>
      </c>
      <c r="AM188" s="16" t="s">
        <v>45</v>
      </c>
      <c r="AN188" s="10" t="s">
        <v>50</v>
      </c>
    </row>
    <row r="189" ht="30.0" customHeight="1">
      <c r="A189" s="9" t="str">
        <f t="shared" si="1"/>
        <v>N/I</v>
      </c>
      <c r="B189" s="9" t="str">
        <f t="shared" si="2"/>
        <v>N/I</v>
      </c>
      <c r="C189" s="9" t="str">
        <f t="shared" si="3"/>
        <v>Inativo</v>
      </c>
      <c r="D189" s="10" t="s">
        <v>278</v>
      </c>
      <c r="E189" s="11" t="s">
        <v>279</v>
      </c>
      <c r="F189" s="11" t="s">
        <v>280</v>
      </c>
      <c r="G189" s="12" t="s">
        <v>37</v>
      </c>
      <c r="H189" s="31" t="s">
        <v>303</v>
      </c>
      <c r="I189" s="12" t="s">
        <v>282</v>
      </c>
      <c r="J189" s="10" t="s">
        <v>283</v>
      </c>
      <c r="K189" s="10" t="s">
        <v>263</v>
      </c>
      <c r="L189" s="10" t="s">
        <v>6</v>
      </c>
      <c r="M189" s="22">
        <v>44417.0</v>
      </c>
      <c r="N189" s="32" t="s">
        <v>295</v>
      </c>
      <c r="O189" s="10" t="s">
        <v>296</v>
      </c>
      <c r="P189" s="10" t="s">
        <v>286</v>
      </c>
      <c r="Q189" s="2"/>
      <c r="R189" s="15"/>
      <c r="S189" s="15"/>
      <c r="T189" s="15"/>
      <c r="U189" s="15"/>
      <c r="V189" s="2"/>
      <c r="W189" s="15"/>
      <c r="X189" s="15"/>
      <c r="Y189" s="15"/>
      <c r="Z189" s="15"/>
      <c r="AA189" s="1"/>
      <c r="AB189" s="10">
        <v>5.0</v>
      </c>
      <c r="AC189" s="14">
        <v>45881.0</v>
      </c>
      <c r="AD189" s="14">
        <v>46029.0</v>
      </c>
      <c r="AE189" s="10">
        <f t="shared" si="9"/>
        <v>-62</v>
      </c>
      <c r="AF189" s="2"/>
      <c r="AG189" s="10" t="s">
        <v>290</v>
      </c>
      <c r="AH189" s="12" t="s">
        <v>46</v>
      </c>
      <c r="AI189" s="10" t="s">
        <v>291</v>
      </c>
      <c r="AJ189" s="10" t="s">
        <v>292</v>
      </c>
      <c r="AK189" s="16" t="s">
        <v>45</v>
      </c>
      <c r="AL189" s="10" t="s">
        <v>49</v>
      </c>
      <c r="AM189" s="16" t="s">
        <v>45</v>
      </c>
      <c r="AN189" s="10" t="s">
        <v>50</v>
      </c>
    </row>
    <row r="190" ht="30.0" customHeight="1">
      <c r="A190" s="9" t="str">
        <f t="shared" si="1"/>
        <v>N/I</v>
      </c>
      <c r="B190" s="9" t="str">
        <f t="shared" si="2"/>
        <v>N/I</v>
      </c>
      <c r="C190" s="9" t="str">
        <f t="shared" si="3"/>
        <v>Inativo</v>
      </c>
      <c r="D190" s="10" t="s">
        <v>278</v>
      </c>
      <c r="E190" s="11" t="s">
        <v>279</v>
      </c>
      <c r="F190" s="11" t="s">
        <v>280</v>
      </c>
      <c r="G190" s="12" t="s">
        <v>94</v>
      </c>
      <c r="H190" s="31" t="s">
        <v>304</v>
      </c>
      <c r="I190" s="12" t="s">
        <v>282</v>
      </c>
      <c r="J190" s="10" t="s">
        <v>283</v>
      </c>
      <c r="K190" s="10" t="s">
        <v>263</v>
      </c>
      <c r="L190" s="10" t="s">
        <v>6</v>
      </c>
      <c r="M190" s="22">
        <v>44418.0</v>
      </c>
      <c r="N190" s="32" t="s">
        <v>305</v>
      </c>
      <c r="O190" s="10" t="s">
        <v>296</v>
      </c>
      <c r="P190" s="10" t="s">
        <v>286</v>
      </c>
      <c r="Q190" s="2"/>
      <c r="R190" s="15"/>
      <c r="S190" s="15"/>
      <c r="T190" s="15"/>
      <c r="U190" s="15"/>
      <c r="V190" s="2"/>
      <c r="W190" s="15"/>
      <c r="X190" s="15"/>
      <c r="Y190" s="15"/>
      <c r="Z190" s="15"/>
      <c r="AA190" s="1"/>
      <c r="AB190" s="10">
        <v>5.0</v>
      </c>
      <c r="AC190" s="14">
        <v>45881.0</v>
      </c>
      <c r="AD190" s="14">
        <v>46029.0</v>
      </c>
      <c r="AE190" s="10">
        <f t="shared" si="9"/>
        <v>-62</v>
      </c>
      <c r="AF190" s="2"/>
      <c r="AG190" s="10" t="s">
        <v>290</v>
      </c>
      <c r="AH190" s="12" t="s">
        <v>46</v>
      </c>
      <c r="AI190" s="10" t="s">
        <v>291</v>
      </c>
      <c r="AJ190" s="10" t="s">
        <v>292</v>
      </c>
      <c r="AK190" s="16" t="s">
        <v>45</v>
      </c>
      <c r="AL190" s="10" t="s">
        <v>49</v>
      </c>
      <c r="AM190" s="16" t="s">
        <v>45</v>
      </c>
      <c r="AN190" s="10" t="s">
        <v>50</v>
      </c>
    </row>
    <row r="191" ht="30.0" customHeight="1">
      <c r="A191" s="9" t="str">
        <f t="shared" si="1"/>
        <v>N/I</v>
      </c>
      <c r="B191" s="9" t="str">
        <f t="shared" si="2"/>
        <v>N/I</v>
      </c>
      <c r="C191" s="9" t="str">
        <f t="shared" si="3"/>
        <v>Inativo</v>
      </c>
      <c r="D191" s="10" t="s">
        <v>278</v>
      </c>
      <c r="E191" s="11" t="s">
        <v>279</v>
      </c>
      <c r="F191" s="11" t="s">
        <v>280</v>
      </c>
      <c r="G191" s="12" t="s">
        <v>94</v>
      </c>
      <c r="H191" s="31" t="s">
        <v>306</v>
      </c>
      <c r="I191" s="12" t="s">
        <v>282</v>
      </c>
      <c r="J191" s="10" t="s">
        <v>283</v>
      </c>
      <c r="K191" s="10" t="s">
        <v>263</v>
      </c>
      <c r="L191" s="10" t="s">
        <v>6</v>
      </c>
      <c r="M191" s="22">
        <v>44845.0</v>
      </c>
      <c r="N191" s="32" t="s">
        <v>305</v>
      </c>
      <c r="O191" s="10" t="s">
        <v>296</v>
      </c>
      <c r="P191" s="10" t="s">
        <v>286</v>
      </c>
      <c r="Q191" s="2"/>
      <c r="R191" s="15"/>
      <c r="S191" s="15"/>
      <c r="T191" s="15"/>
      <c r="U191" s="15"/>
      <c r="V191" s="2"/>
      <c r="W191" s="15"/>
      <c r="X191" s="15"/>
      <c r="Y191" s="15"/>
      <c r="Z191" s="15"/>
      <c r="AA191" s="1"/>
      <c r="AB191" s="10">
        <v>5.0</v>
      </c>
      <c r="AC191" s="14">
        <v>45881.0</v>
      </c>
      <c r="AD191" s="14">
        <v>46029.0</v>
      </c>
      <c r="AE191" s="10">
        <f t="shared" si="9"/>
        <v>-62</v>
      </c>
      <c r="AF191" s="2"/>
      <c r="AG191" s="10" t="s">
        <v>290</v>
      </c>
      <c r="AH191" s="12" t="s">
        <v>46</v>
      </c>
      <c r="AI191" s="10" t="s">
        <v>291</v>
      </c>
      <c r="AJ191" s="10" t="s">
        <v>292</v>
      </c>
      <c r="AK191" s="16" t="s">
        <v>45</v>
      </c>
      <c r="AL191" s="10" t="s">
        <v>49</v>
      </c>
      <c r="AM191" s="16" t="s">
        <v>45</v>
      </c>
      <c r="AN191" s="10" t="s">
        <v>50</v>
      </c>
    </row>
    <row r="192" ht="30.0" customHeight="1">
      <c r="A192" s="9" t="str">
        <f t="shared" si="1"/>
        <v>N/I</v>
      </c>
      <c r="B192" s="9" t="str">
        <f t="shared" si="2"/>
        <v>N/I</v>
      </c>
      <c r="C192" s="9" t="str">
        <f t="shared" si="3"/>
        <v>Inativo</v>
      </c>
      <c r="D192" s="10" t="s">
        <v>278</v>
      </c>
      <c r="E192" s="11" t="s">
        <v>279</v>
      </c>
      <c r="F192" s="11" t="s">
        <v>280</v>
      </c>
      <c r="G192" s="12" t="s">
        <v>307</v>
      </c>
      <c r="H192" s="31" t="s">
        <v>308</v>
      </c>
      <c r="I192" s="12" t="s">
        <v>282</v>
      </c>
      <c r="J192" s="10" t="s">
        <v>283</v>
      </c>
      <c r="K192" s="10" t="s">
        <v>263</v>
      </c>
      <c r="L192" s="10" t="s">
        <v>6</v>
      </c>
      <c r="M192" s="22">
        <v>44298.0</v>
      </c>
      <c r="N192" s="32" t="s">
        <v>309</v>
      </c>
      <c r="O192" s="10" t="s">
        <v>310</v>
      </c>
      <c r="P192" s="10" t="s">
        <v>286</v>
      </c>
      <c r="Q192" s="2"/>
      <c r="R192" s="15"/>
      <c r="S192" s="15"/>
      <c r="T192" s="15"/>
      <c r="U192" s="15"/>
      <c r="V192" s="2"/>
      <c r="W192" s="15"/>
      <c r="X192" s="15"/>
      <c r="Y192" s="15"/>
      <c r="Z192" s="15"/>
      <c r="AA192" s="1"/>
      <c r="AB192" s="10">
        <v>5.0</v>
      </c>
      <c r="AC192" s="14">
        <v>45881.0</v>
      </c>
      <c r="AD192" s="14">
        <v>45875.0</v>
      </c>
      <c r="AE192" s="10">
        <f t="shared" si="9"/>
        <v>-216</v>
      </c>
      <c r="AF192" s="2"/>
      <c r="AG192" s="10" t="s">
        <v>290</v>
      </c>
      <c r="AH192" s="12" t="s">
        <v>46</v>
      </c>
      <c r="AI192" s="10" t="s">
        <v>291</v>
      </c>
      <c r="AJ192" s="10" t="s">
        <v>292</v>
      </c>
      <c r="AK192" s="16" t="s">
        <v>45</v>
      </c>
      <c r="AL192" s="10" t="s">
        <v>49</v>
      </c>
      <c r="AM192" s="16" t="s">
        <v>45</v>
      </c>
      <c r="AN192" s="10" t="s">
        <v>50</v>
      </c>
    </row>
    <row r="193" ht="30.0" customHeight="1">
      <c r="A193" s="9" t="str">
        <f t="shared" si="1"/>
        <v>Inativo</v>
      </c>
      <c r="B193" s="9" t="str">
        <f t="shared" si="2"/>
        <v>N/I</v>
      </c>
      <c r="C193" s="9" t="str">
        <f t="shared" si="3"/>
        <v>N/I</v>
      </c>
      <c r="D193" s="10" t="s">
        <v>311</v>
      </c>
      <c r="E193" s="11" t="s">
        <v>312</v>
      </c>
      <c r="F193" s="11" t="s">
        <v>313</v>
      </c>
      <c r="G193" s="12" t="s">
        <v>94</v>
      </c>
      <c r="H193" s="13" t="s">
        <v>314</v>
      </c>
      <c r="I193" s="12" t="s">
        <v>70</v>
      </c>
      <c r="J193" s="10" t="s">
        <v>63</v>
      </c>
      <c r="K193" s="10" t="s">
        <v>41</v>
      </c>
      <c r="L193" s="10" t="s">
        <v>4</v>
      </c>
      <c r="M193" s="14">
        <v>44929.0</v>
      </c>
      <c r="N193" s="11" t="s">
        <v>315</v>
      </c>
      <c r="O193" s="10" t="s">
        <v>316</v>
      </c>
      <c r="P193" s="10" t="s">
        <v>317</v>
      </c>
      <c r="Q193" s="2"/>
      <c r="R193" s="10">
        <v>36.0</v>
      </c>
      <c r="S193" s="14">
        <v>44929.0</v>
      </c>
      <c r="T193" s="14">
        <v>46024.0</v>
      </c>
      <c r="U193" s="10">
        <f>T193-TODAY()</f>
        <v>-67</v>
      </c>
      <c r="V193" s="2"/>
      <c r="W193" s="15"/>
      <c r="X193" s="15"/>
      <c r="Y193" s="15"/>
      <c r="Z193" s="15"/>
      <c r="AA193" s="1"/>
      <c r="AB193" s="15"/>
      <c r="AC193" s="15"/>
      <c r="AD193" s="15"/>
      <c r="AE193" s="15"/>
      <c r="AF193" s="2"/>
      <c r="AG193" s="16" t="s">
        <v>45</v>
      </c>
      <c r="AH193" s="10" t="s">
        <v>318</v>
      </c>
      <c r="AI193" s="10" t="s">
        <v>319</v>
      </c>
      <c r="AJ193" s="10" t="s">
        <v>227</v>
      </c>
      <c r="AK193" s="16" t="s">
        <v>45</v>
      </c>
      <c r="AL193" s="10" t="s">
        <v>49</v>
      </c>
      <c r="AM193" s="16" t="s">
        <v>45</v>
      </c>
      <c r="AN193" s="10" t="s">
        <v>320</v>
      </c>
    </row>
    <row r="194" ht="30.0" customHeight="1">
      <c r="A194" s="9" t="str">
        <f t="shared" si="1"/>
        <v>N/I</v>
      </c>
      <c r="B194" s="9" t="str">
        <f t="shared" si="2"/>
        <v>N/I</v>
      </c>
      <c r="C194" s="9" t="str">
        <f t="shared" si="3"/>
        <v>Ativo</v>
      </c>
      <c r="D194" s="10" t="s">
        <v>321</v>
      </c>
      <c r="E194" s="11" t="s">
        <v>322</v>
      </c>
      <c r="F194" s="11"/>
      <c r="G194" s="12" t="s">
        <v>55</v>
      </c>
      <c r="H194" s="13" t="s">
        <v>323</v>
      </c>
      <c r="I194" s="12" t="s">
        <v>324</v>
      </c>
      <c r="J194" s="10" t="s">
        <v>197</v>
      </c>
      <c r="K194" s="10" t="s">
        <v>40</v>
      </c>
      <c r="L194" s="10" t="s">
        <v>6</v>
      </c>
      <c r="M194" s="14">
        <v>45120.0</v>
      </c>
      <c r="N194" s="11" t="s">
        <v>325</v>
      </c>
      <c r="O194" s="10" t="s">
        <v>326</v>
      </c>
      <c r="P194" s="10" t="s">
        <v>327</v>
      </c>
      <c r="Q194" s="2"/>
      <c r="R194" s="15"/>
      <c r="S194" s="15"/>
      <c r="T194" s="15"/>
      <c r="U194" s="15"/>
      <c r="V194" s="2"/>
      <c r="W194" s="15"/>
      <c r="X194" s="15"/>
      <c r="Y194" s="15"/>
      <c r="Z194" s="15"/>
      <c r="AA194" s="1"/>
      <c r="AB194" s="10">
        <v>36.0</v>
      </c>
      <c r="AC194" s="14">
        <v>45120.0</v>
      </c>
      <c r="AD194" s="14">
        <v>46216.0</v>
      </c>
      <c r="AE194" s="10">
        <f t="shared" ref="AE194:AE208" si="10">AD194-TODAY()</f>
        <v>125</v>
      </c>
      <c r="AF194" s="2"/>
      <c r="AG194" s="16" t="s">
        <v>45</v>
      </c>
      <c r="AH194" s="10" t="s">
        <v>318</v>
      </c>
      <c r="AI194" s="10" t="s">
        <v>319</v>
      </c>
      <c r="AJ194" s="10" t="s">
        <v>227</v>
      </c>
      <c r="AK194" s="16" t="s">
        <v>45</v>
      </c>
      <c r="AL194" s="16" t="s">
        <v>45</v>
      </c>
      <c r="AM194" s="16" t="s">
        <v>45</v>
      </c>
      <c r="AN194" s="10" t="s">
        <v>50</v>
      </c>
    </row>
    <row r="195" ht="30.0" customHeight="1">
      <c r="A195" s="9" t="str">
        <f t="shared" si="1"/>
        <v>N/I</v>
      </c>
      <c r="B195" s="9" t="str">
        <f t="shared" si="2"/>
        <v>N/I</v>
      </c>
      <c r="C195" s="9" t="str">
        <f t="shared" si="3"/>
        <v>Inativo</v>
      </c>
      <c r="D195" s="10" t="s">
        <v>328</v>
      </c>
      <c r="E195" s="11" t="s">
        <v>329</v>
      </c>
      <c r="F195" s="11" t="s">
        <v>330</v>
      </c>
      <c r="G195" s="12" t="s">
        <v>55</v>
      </c>
      <c r="H195" s="16" t="s">
        <v>331</v>
      </c>
      <c r="I195" s="12" t="s">
        <v>332</v>
      </c>
      <c r="J195" s="10" t="s">
        <v>197</v>
      </c>
      <c r="K195" s="10" t="s">
        <v>40</v>
      </c>
      <c r="L195" s="10" t="s">
        <v>6</v>
      </c>
      <c r="M195" s="14">
        <v>43783.0</v>
      </c>
      <c r="N195" s="11" t="s">
        <v>333</v>
      </c>
      <c r="O195" s="10" t="s">
        <v>334</v>
      </c>
      <c r="P195" s="10" t="s">
        <v>335</v>
      </c>
      <c r="Q195" s="2"/>
      <c r="R195" s="15"/>
      <c r="S195" s="15"/>
      <c r="T195" s="15"/>
      <c r="U195" s="15"/>
      <c r="V195" s="2"/>
      <c r="W195" s="15"/>
      <c r="X195" s="15"/>
      <c r="Y195" s="15"/>
      <c r="Z195" s="15"/>
      <c r="AA195" s="1"/>
      <c r="AB195" s="10">
        <v>36.0</v>
      </c>
      <c r="AC195" s="14">
        <v>43783.0</v>
      </c>
      <c r="AD195" s="14">
        <v>44878.0</v>
      </c>
      <c r="AE195" s="10">
        <f t="shared" si="10"/>
        <v>-1213</v>
      </c>
      <c r="AF195" s="2"/>
      <c r="AG195" s="16" t="s">
        <v>45</v>
      </c>
      <c r="AH195" s="16" t="s">
        <v>45</v>
      </c>
      <c r="AI195" s="16" t="s">
        <v>45</v>
      </c>
      <c r="AJ195" s="16" t="s">
        <v>45</v>
      </c>
      <c r="AK195" s="16" t="s">
        <v>45</v>
      </c>
      <c r="AL195" s="10" t="s">
        <v>49</v>
      </c>
      <c r="AM195" s="16" t="s">
        <v>45</v>
      </c>
      <c r="AN195" s="10" t="s">
        <v>336</v>
      </c>
    </row>
    <row r="196" ht="30.0" customHeight="1">
      <c r="A196" s="9" t="str">
        <f t="shared" si="1"/>
        <v>N/I</v>
      </c>
      <c r="B196" s="9" t="str">
        <f t="shared" si="2"/>
        <v>N/I</v>
      </c>
      <c r="C196" s="9" t="str">
        <f t="shared" si="3"/>
        <v>Inativo</v>
      </c>
      <c r="D196" s="10" t="s">
        <v>328</v>
      </c>
      <c r="E196" s="11" t="s">
        <v>329</v>
      </c>
      <c r="F196" s="11" t="s">
        <v>330</v>
      </c>
      <c r="G196" s="12" t="s">
        <v>55</v>
      </c>
      <c r="H196" s="16" t="s">
        <v>337</v>
      </c>
      <c r="I196" s="12" t="s">
        <v>332</v>
      </c>
      <c r="J196" s="10" t="s">
        <v>197</v>
      </c>
      <c r="K196" s="10" t="s">
        <v>40</v>
      </c>
      <c r="L196" s="10" t="s">
        <v>6</v>
      </c>
      <c r="M196" s="14">
        <v>43788.0</v>
      </c>
      <c r="N196" s="11" t="s">
        <v>333</v>
      </c>
      <c r="O196" s="10" t="s">
        <v>334</v>
      </c>
      <c r="P196" s="10" t="s">
        <v>335</v>
      </c>
      <c r="Q196" s="2"/>
      <c r="R196" s="15"/>
      <c r="S196" s="15"/>
      <c r="T196" s="15"/>
      <c r="U196" s="15"/>
      <c r="V196" s="2"/>
      <c r="W196" s="15"/>
      <c r="X196" s="15"/>
      <c r="Y196" s="15"/>
      <c r="Z196" s="15"/>
      <c r="AA196" s="1"/>
      <c r="AB196" s="10">
        <v>36.0</v>
      </c>
      <c r="AC196" s="14">
        <v>43783.0</v>
      </c>
      <c r="AD196" s="14">
        <v>44878.0</v>
      </c>
      <c r="AE196" s="10">
        <f t="shared" si="10"/>
        <v>-1213</v>
      </c>
      <c r="AF196" s="2"/>
      <c r="AG196" s="16" t="s">
        <v>45</v>
      </c>
      <c r="AH196" s="16" t="s">
        <v>45</v>
      </c>
      <c r="AI196" s="16" t="s">
        <v>45</v>
      </c>
      <c r="AJ196" s="16" t="s">
        <v>45</v>
      </c>
      <c r="AK196" s="16" t="s">
        <v>45</v>
      </c>
      <c r="AL196" s="10" t="s">
        <v>49</v>
      </c>
      <c r="AM196" s="16" t="s">
        <v>45</v>
      </c>
      <c r="AN196" s="10" t="s">
        <v>336</v>
      </c>
    </row>
    <row r="197" ht="30.0" customHeight="1">
      <c r="A197" s="9" t="str">
        <f t="shared" si="1"/>
        <v>N/I</v>
      </c>
      <c r="B197" s="9" t="str">
        <f t="shared" si="2"/>
        <v>N/I</v>
      </c>
      <c r="C197" s="9" t="str">
        <f t="shared" si="3"/>
        <v>Inativo</v>
      </c>
      <c r="D197" s="10" t="s">
        <v>328</v>
      </c>
      <c r="E197" s="11" t="s">
        <v>329</v>
      </c>
      <c r="F197" s="11" t="s">
        <v>338</v>
      </c>
      <c r="G197" s="12" t="s">
        <v>94</v>
      </c>
      <c r="H197" s="16" t="s">
        <v>339</v>
      </c>
      <c r="I197" s="12" t="s">
        <v>332</v>
      </c>
      <c r="J197" s="10" t="s">
        <v>197</v>
      </c>
      <c r="K197" s="10" t="s">
        <v>40</v>
      </c>
      <c r="L197" s="10" t="s">
        <v>6</v>
      </c>
      <c r="M197" s="14">
        <v>44887.0</v>
      </c>
      <c r="N197" s="11" t="s">
        <v>333</v>
      </c>
      <c r="O197" s="10" t="s">
        <v>340</v>
      </c>
      <c r="P197" s="10" t="s">
        <v>341</v>
      </c>
      <c r="Q197" s="2"/>
      <c r="R197" s="15"/>
      <c r="S197" s="15"/>
      <c r="T197" s="15"/>
      <c r="U197" s="15"/>
      <c r="V197" s="2"/>
      <c r="W197" s="15"/>
      <c r="X197" s="15"/>
      <c r="Y197" s="15"/>
      <c r="Z197" s="15"/>
      <c r="AA197" s="1"/>
      <c r="AB197" s="10">
        <v>36.0</v>
      </c>
      <c r="AC197" s="14">
        <v>43844.0</v>
      </c>
      <c r="AD197" s="14">
        <v>44939.0</v>
      </c>
      <c r="AE197" s="10">
        <f t="shared" si="10"/>
        <v>-1152</v>
      </c>
      <c r="AF197" s="2"/>
      <c r="AG197" s="16" t="s">
        <v>45</v>
      </c>
      <c r="AH197" s="10" t="s">
        <v>318</v>
      </c>
      <c r="AI197" s="10" t="s">
        <v>319</v>
      </c>
      <c r="AJ197" s="10" t="s">
        <v>342</v>
      </c>
      <c r="AK197" s="16" t="s">
        <v>45</v>
      </c>
      <c r="AL197" s="10" t="s">
        <v>49</v>
      </c>
      <c r="AM197" s="10" t="s">
        <v>291</v>
      </c>
      <c r="AN197" s="10" t="s">
        <v>336</v>
      </c>
    </row>
    <row r="198" ht="30.0" customHeight="1">
      <c r="A198" s="9" t="str">
        <f t="shared" si="1"/>
        <v>N/I</v>
      </c>
      <c r="B198" s="9" t="str">
        <f t="shared" si="2"/>
        <v>N/I</v>
      </c>
      <c r="C198" s="9" t="str">
        <f t="shared" si="3"/>
        <v>Inativo</v>
      </c>
      <c r="D198" s="10" t="s">
        <v>328</v>
      </c>
      <c r="E198" s="11" t="s">
        <v>329</v>
      </c>
      <c r="F198" s="11" t="s">
        <v>343</v>
      </c>
      <c r="G198" s="12" t="s">
        <v>55</v>
      </c>
      <c r="H198" s="13" t="s">
        <v>344</v>
      </c>
      <c r="I198" s="12" t="s">
        <v>332</v>
      </c>
      <c r="J198" s="10" t="s">
        <v>197</v>
      </c>
      <c r="K198" s="10" t="s">
        <v>40</v>
      </c>
      <c r="L198" s="10" t="s">
        <v>6</v>
      </c>
      <c r="M198" s="14">
        <v>45103.0</v>
      </c>
      <c r="N198" s="11" t="s">
        <v>345</v>
      </c>
      <c r="O198" s="10" t="s">
        <v>346</v>
      </c>
      <c r="P198" s="10" t="s">
        <v>347</v>
      </c>
      <c r="Q198" s="2"/>
      <c r="R198" s="15"/>
      <c r="S198" s="15"/>
      <c r="T198" s="15"/>
      <c r="U198" s="15"/>
      <c r="V198" s="2"/>
      <c r="W198" s="15"/>
      <c r="X198" s="15"/>
      <c r="Y198" s="15"/>
      <c r="Z198" s="15"/>
      <c r="AA198" s="1"/>
      <c r="AB198" s="10">
        <v>36.0</v>
      </c>
      <c r="AC198" s="14">
        <v>44887.0</v>
      </c>
      <c r="AD198" s="14">
        <v>45982.0</v>
      </c>
      <c r="AE198" s="10">
        <f t="shared" si="10"/>
        <v>-109</v>
      </c>
      <c r="AF198" s="2"/>
      <c r="AG198" s="16" t="s">
        <v>45</v>
      </c>
      <c r="AH198" s="10" t="s">
        <v>318</v>
      </c>
      <c r="AI198" s="10" t="s">
        <v>319</v>
      </c>
      <c r="AJ198" s="10" t="s">
        <v>342</v>
      </c>
      <c r="AK198" s="16" t="s">
        <v>45</v>
      </c>
      <c r="AL198" s="10" t="s">
        <v>49</v>
      </c>
      <c r="AM198" s="10" t="s">
        <v>291</v>
      </c>
      <c r="AN198" s="10" t="s">
        <v>336</v>
      </c>
    </row>
    <row r="199" ht="30.0" customHeight="1">
      <c r="A199" s="9" t="str">
        <f t="shared" si="1"/>
        <v>N/I</v>
      </c>
      <c r="B199" s="9" t="str">
        <f t="shared" si="2"/>
        <v>N/I</v>
      </c>
      <c r="C199" s="9" t="str">
        <f t="shared" si="3"/>
        <v>Ativo</v>
      </c>
      <c r="D199" s="10" t="s">
        <v>328</v>
      </c>
      <c r="E199" s="11" t="s">
        <v>329</v>
      </c>
      <c r="F199" s="11" t="s">
        <v>348</v>
      </c>
      <c r="G199" s="12" t="s">
        <v>94</v>
      </c>
      <c r="H199" s="13" t="s">
        <v>349</v>
      </c>
      <c r="I199" s="12" t="s">
        <v>332</v>
      </c>
      <c r="J199" s="10" t="s">
        <v>197</v>
      </c>
      <c r="K199" s="10" t="s">
        <v>40</v>
      </c>
      <c r="L199" s="10" t="s">
        <v>6</v>
      </c>
      <c r="M199" s="14">
        <v>45505.0</v>
      </c>
      <c r="N199" s="11" t="s">
        <v>333</v>
      </c>
      <c r="O199" s="10" t="s">
        <v>350</v>
      </c>
      <c r="P199" s="10" t="s">
        <v>351</v>
      </c>
      <c r="Q199" s="2"/>
      <c r="R199" s="15"/>
      <c r="S199" s="15"/>
      <c r="T199" s="15"/>
      <c r="U199" s="15"/>
      <c r="V199" s="2"/>
      <c r="W199" s="15"/>
      <c r="X199" s="15"/>
      <c r="Y199" s="15"/>
      <c r="Z199" s="15"/>
      <c r="AA199" s="1"/>
      <c r="AB199" s="10">
        <v>36.0</v>
      </c>
      <c r="AC199" s="14">
        <v>45229.0</v>
      </c>
      <c r="AD199" s="14">
        <v>46324.0</v>
      </c>
      <c r="AE199" s="10">
        <f t="shared" si="10"/>
        <v>233</v>
      </c>
      <c r="AF199" s="2"/>
      <c r="AG199" s="16" t="s">
        <v>45</v>
      </c>
      <c r="AH199" s="16" t="s">
        <v>45</v>
      </c>
      <c r="AI199" s="16" t="s">
        <v>45</v>
      </c>
      <c r="AJ199" s="16" t="s">
        <v>45</v>
      </c>
      <c r="AK199" s="16" t="s">
        <v>45</v>
      </c>
      <c r="AL199" s="16" t="s">
        <v>45</v>
      </c>
      <c r="AM199" s="16" t="s">
        <v>45</v>
      </c>
      <c r="AN199" s="10" t="s">
        <v>50</v>
      </c>
    </row>
    <row r="200" ht="30.0" customHeight="1">
      <c r="A200" s="9" t="str">
        <f t="shared" si="1"/>
        <v>N/I</v>
      </c>
      <c r="B200" s="9" t="str">
        <f t="shared" si="2"/>
        <v>N/I</v>
      </c>
      <c r="C200" s="9" t="str">
        <f t="shared" si="3"/>
        <v>Ativo</v>
      </c>
      <c r="D200" s="10" t="s">
        <v>328</v>
      </c>
      <c r="E200" s="11" t="s">
        <v>329</v>
      </c>
      <c r="F200" s="11" t="s">
        <v>330</v>
      </c>
      <c r="G200" s="12" t="s">
        <v>68</v>
      </c>
      <c r="H200" s="27" t="s">
        <v>352</v>
      </c>
      <c r="I200" s="12" t="s">
        <v>332</v>
      </c>
      <c r="J200" s="10" t="s">
        <v>197</v>
      </c>
      <c r="K200" s="10" t="s">
        <v>40</v>
      </c>
      <c r="L200" s="10" t="s">
        <v>6</v>
      </c>
      <c r="M200" s="14">
        <v>45750.0</v>
      </c>
      <c r="N200" s="11" t="s">
        <v>333</v>
      </c>
      <c r="O200" s="10" t="s">
        <v>334</v>
      </c>
      <c r="P200" s="10" t="s">
        <v>353</v>
      </c>
      <c r="Q200" s="2"/>
      <c r="R200" s="15"/>
      <c r="S200" s="15"/>
      <c r="T200" s="15"/>
      <c r="U200" s="15"/>
      <c r="V200" s="2"/>
      <c r="W200" s="15"/>
      <c r="X200" s="15"/>
      <c r="Y200" s="15"/>
      <c r="Z200" s="15"/>
      <c r="AA200" s="1"/>
      <c r="AB200" s="10">
        <v>36.0</v>
      </c>
      <c r="AC200" s="14">
        <v>45505.0</v>
      </c>
      <c r="AD200" s="14">
        <v>46599.0</v>
      </c>
      <c r="AE200" s="10">
        <f t="shared" si="10"/>
        <v>508</v>
      </c>
      <c r="AF200" s="2"/>
      <c r="AG200" s="10" t="s">
        <v>354</v>
      </c>
      <c r="AH200" s="12" t="s">
        <v>355</v>
      </c>
      <c r="AI200" s="10" t="s">
        <v>356</v>
      </c>
      <c r="AJ200" s="10" t="s">
        <v>227</v>
      </c>
      <c r="AK200" s="16" t="s">
        <v>45</v>
      </c>
      <c r="AL200" s="10" t="s">
        <v>49</v>
      </c>
      <c r="AM200" s="16" t="s">
        <v>45</v>
      </c>
      <c r="AN200" s="10" t="s">
        <v>50</v>
      </c>
    </row>
    <row r="201" ht="30.0" customHeight="1">
      <c r="A201" s="9" t="str">
        <f t="shared" si="1"/>
        <v>N/I</v>
      </c>
      <c r="B201" s="9" t="str">
        <f t="shared" si="2"/>
        <v>N/I</v>
      </c>
      <c r="C201" s="9" t="str">
        <f t="shared" si="3"/>
        <v>Ativo</v>
      </c>
      <c r="D201" s="10" t="s">
        <v>328</v>
      </c>
      <c r="E201" s="11" t="s">
        <v>329</v>
      </c>
      <c r="F201" s="11" t="s">
        <v>330</v>
      </c>
      <c r="G201" s="12" t="s">
        <v>68</v>
      </c>
      <c r="H201" s="27" t="s">
        <v>357</v>
      </c>
      <c r="I201" s="12" t="s">
        <v>332</v>
      </c>
      <c r="J201" s="10" t="s">
        <v>197</v>
      </c>
      <c r="K201" s="10" t="s">
        <v>40</v>
      </c>
      <c r="L201" s="10" t="s">
        <v>6</v>
      </c>
      <c r="M201" s="14">
        <v>45750.0</v>
      </c>
      <c r="N201" s="11" t="s">
        <v>333</v>
      </c>
      <c r="O201" s="10" t="s">
        <v>334</v>
      </c>
      <c r="P201" s="10" t="s">
        <v>353</v>
      </c>
      <c r="Q201" s="2"/>
      <c r="R201" s="15"/>
      <c r="S201" s="15"/>
      <c r="T201" s="15"/>
      <c r="U201" s="15"/>
      <c r="V201" s="2"/>
      <c r="W201" s="15"/>
      <c r="X201" s="15"/>
      <c r="Y201" s="15"/>
      <c r="Z201" s="15"/>
      <c r="AA201" s="1"/>
      <c r="AB201" s="10">
        <v>36.0</v>
      </c>
      <c r="AC201" s="14">
        <v>45750.0</v>
      </c>
      <c r="AD201" s="22">
        <v>46845.0</v>
      </c>
      <c r="AE201" s="10">
        <f t="shared" si="10"/>
        <v>754</v>
      </c>
      <c r="AF201" s="2"/>
      <c r="AG201" s="10" t="s">
        <v>354</v>
      </c>
      <c r="AH201" s="12" t="s">
        <v>355</v>
      </c>
      <c r="AI201" s="10" t="s">
        <v>356</v>
      </c>
      <c r="AJ201" s="10" t="s">
        <v>227</v>
      </c>
      <c r="AK201" s="16" t="s">
        <v>45</v>
      </c>
      <c r="AL201" s="10" t="s">
        <v>49</v>
      </c>
      <c r="AM201" s="16" t="s">
        <v>45</v>
      </c>
      <c r="AN201" s="10" t="s">
        <v>50</v>
      </c>
    </row>
    <row r="202" ht="30.0" customHeight="1">
      <c r="A202" s="9" t="str">
        <f t="shared" si="1"/>
        <v>N/I</v>
      </c>
      <c r="B202" s="9" t="str">
        <f t="shared" si="2"/>
        <v>N/I</v>
      </c>
      <c r="C202" s="9" t="str">
        <f t="shared" si="3"/>
        <v>Ativo</v>
      </c>
      <c r="D202" s="10" t="s">
        <v>328</v>
      </c>
      <c r="E202" s="11" t="s">
        <v>329</v>
      </c>
      <c r="F202" s="11" t="s">
        <v>358</v>
      </c>
      <c r="G202" s="12" t="s">
        <v>55</v>
      </c>
      <c r="H202" s="27" t="s">
        <v>359</v>
      </c>
      <c r="I202" s="12" t="s">
        <v>332</v>
      </c>
      <c r="J202" s="10" t="s">
        <v>197</v>
      </c>
      <c r="K202" s="10" t="s">
        <v>40</v>
      </c>
      <c r="L202" s="10" t="s">
        <v>6</v>
      </c>
      <c r="M202" s="14">
        <v>45825.0</v>
      </c>
      <c r="N202" s="11" t="s">
        <v>360</v>
      </c>
      <c r="O202" s="10" t="s">
        <v>361</v>
      </c>
      <c r="P202" s="10" t="s">
        <v>362</v>
      </c>
      <c r="Q202" s="2"/>
      <c r="R202" s="15"/>
      <c r="S202" s="15"/>
      <c r="T202" s="15"/>
      <c r="U202" s="15"/>
      <c r="V202" s="2"/>
      <c r="W202" s="15"/>
      <c r="X202" s="15"/>
      <c r="Y202" s="15"/>
      <c r="Z202" s="15"/>
      <c r="AA202" s="1"/>
      <c r="AB202" s="10">
        <v>36.0</v>
      </c>
      <c r="AC202" s="14">
        <v>45750.0</v>
      </c>
      <c r="AD202" s="22">
        <v>46851.0</v>
      </c>
      <c r="AE202" s="10">
        <f t="shared" si="10"/>
        <v>760</v>
      </c>
      <c r="AF202" s="2"/>
      <c r="AG202" s="10" t="s">
        <v>354</v>
      </c>
      <c r="AH202" s="12" t="s">
        <v>355</v>
      </c>
      <c r="AI202" s="10" t="s">
        <v>356</v>
      </c>
      <c r="AJ202" s="10" t="s">
        <v>227</v>
      </c>
      <c r="AK202" s="16" t="s">
        <v>45</v>
      </c>
      <c r="AL202" s="10" t="s">
        <v>49</v>
      </c>
      <c r="AM202" s="16" t="s">
        <v>45</v>
      </c>
      <c r="AN202" s="10" t="s">
        <v>50</v>
      </c>
    </row>
    <row r="203" ht="30.0" customHeight="1">
      <c r="A203" s="9" t="str">
        <f t="shared" si="1"/>
        <v>N/I</v>
      </c>
      <c r="B203" s="9" t="str">
        <f t="shared" si="2"/>
        <v>N/I</v>
      </c>
      <c r="C203" s="9" t="str">
        <f t="shared" si="3"/>
        <v>Inativo</v>
      </c>
      <c r="D203" s="10" t="s">
        <v>328</v>
      </c>
      <c r="E203" s="11" t="s">
        <v>329</v>
      </c>
      <c r="F203" s="11" t="s">
        <v>363</v>
      </c>
      <c r="G203" s="12" t="s">
        <v>55</v>
      </c>
      <c r="H203" s="16" t="s">
        <v>364</v>
      </c>
      <c r="I203" s="12" t="s">
        <v>365</v>
      </c>
      <c r="J203" s="10" t="s">
        <v>216</v>
      </c>
      <c r="K203" s="10" t="s">
        <v>40</v>
      </c>
      <c r="L203" s="10" t="s">
        <v>6</v>
      </c>
      <c r="M203" s="14">
        <v>43844.0</v>
      </c>
      <c r="N203" s="11" t="s">
        <v>366</v>
      </c>
      <c r="O203" s="10" t="s">
        <v>367</v>
      </c>
      <c r="P203" s="10" t="s">
        <v>335</v>
      </c>
      <c r="Q203" s="2"/>
      <c r="R203" s="15"/>
      <c r="S203" s="15"/>
      <c r="T203" s="15"/>
      <c r="U203" s="15"/>
      <c r="V203" s="2"/>
      <c r="W203" s="15"/>
      <c r="X203" s="15"/>
      <c r="Y203" s="15"/>
      <c r="Z203" s="15"/>
      <c r="AA203" s="1"/>
      <c r="AB203" s="10">
        <v>36.0</v>
      </c>
      <c r="AC203" s="14">
        <v>43837.0</v>
      </c>
      <c r="AD203" s="14">
        <v>44932.0</v>
      </c>
      <c r="AE203" s="10">
        <f t="shared" si="10"/>
        <v>-1159</v>
      </c>
      <c r="AF203" s="2"/>
      <c r="AG203" s="16" t="s">
        <v>45</v>
      </c>
      <c r="AH203" s="16" t="s">
        <v>45</v>
      </c>
      <c r="AI203" s="16" t="s">
        <v>45</v>
      </c>
      <c r="AJ203" s="16" t="s">
        <v>45</v>
      </c>
      <c r="AK203" s="16" t="s">
        <v>45</v>
      </c>
      <c r="AL203" s="10" t="s">
        <v>49</v>
      </c>
      <c r="AM203" s="16" t="s">
        <v>45</v>
      </c>
      <c r="AN203" s="10" t="s">
        <v>336</v>
      </c>
    </row>
    <row r="204" ht="30.0" customHeight="1">
      <c r="A204" s="9" t="str">
        <f t="shared" si="1"/>
        <v>N/I</v>
      </c>
      <c r="B204" s="9" t="str">
        <f t="shared" si="2"/>
        <v>N/I</v>
      </c>
      <c r="C204" s="9" t="str">
        <f t="shared" si="3"/>
        <v>Ativo</v>
      </c>
      <c r="D204" s="10" t="s">
        <v>328</v>
      </c>
      <c r="E204" s="11" t="s">
        <v>329</v>
      </c>
      <c r="F204" s="11" t="s">
        <v>368</v>
      </c>
      <c r="G204" s="12" t="s">
        <v>55</v>
      </c>
      <c r="H204" s="13" t="s">
        <v>369</v>
      </c>
      <c r="I204" s="12" t="s">
        <v>370</v>
      </c>
      <c r="J204" s="10" t="s">
        <v>89</v>
      </c>
      <c r="K204" s="10" t="s">
        <v>41</v>
      </c>
      <c r="L204" s="10" t="s">
        <v>6</v>
      </c>
      <c r="M204" s="14">
        <v>45216.0</v>
      </c>
      <c r="N204" s="11" t="s">
        <v>371</v>
      </c>
      <c r="O204" s="10" t="s">
        <v>372</v>
      </c>
      <c r="P204" s="10" t="s">
        <v>373</v>
      </c>
      <c r="Q204" s="2"/>
      <c r="R204" s="15"/>
      <c r="S204" s="15"/>
      <c r="T204" s="15"/>
      <c r="U204" s="15"/>
      <c r="V204" s="2"/>
      <c r="W204" s="15"/>
      <c r="X204" s="15"/>
      <c r="Y204" s="15"/>
      <c r="Z204" s="15"/>
      <c r="AA204" s="1"/>
      <c r="AB204" s="10">
        <v>36.0</v>
      </c>
      <c r="AC204" s="14">
        <v>45166.0</v>
      </c>
      <c r="AD204" s="14">
        <v>46261.0</v>
      </c>
      <c r="AE204" s="10">
        <f t="shared" si="10"/>
        <v>170</v>
      </c>
      <c r="AF204" s="2"/>
      <c r="AG204" s="16" t="s">
        <v>45</v>
      </c>
      <c r="AH204" s="10" t="s">
        <v>318</v>
      </c>
      <c r="AI204" s="10" t="s">
        <v>319</v>
      </c>
      <c r="AJ204" s="10" t="s">
        <v>342</v>
      </c>
      <c r="AK204" s="16" t="s">
        <v>45</v>
      </c>
      <c r="AL204" s="10" t="s">
        <v>49</v>
      </c>
      <c r="AM204" s="10" t="s">
        <v>291</v>
      </c>
      <c r="AN204" s="10" t="s">
        <v>336</v>
      </c>
    </row>
    <row r="205" ht="30.0" customHeight="1">
      <c r="A205" s="9" t="str">
        <f t="shared" si="1"/>
        <v>N/I</v>
      </c>
      <c r="B205" s="9" t="str">
        <f t="shared" si="2"/>
        <v>N/I</v>
      </c>
      <c r="C205" s="9" t="str">
        <f t="shared" si="3"/>
        <v>Inativo</v>
      </c>
      <c r="D205" s="10" t="s">
        <v>328</v>
      </c>
      <c r="E205" s="11" t="s">
        <v>329</v>
      </c>
      <c r="F205" s="11" t="s">
        <v>129</v>
      </c>
      <c r="G205" s="12" t="s">
        <v>55</v>
      </c>
      <c r="H205" s="16" t="s">
        <v>374</v>
      </c>
      <c r="I205" s="12" t="s">
        <v>131</v>
      </c>
      <c r="J205" s="10" t="s">
        <v>132</v>
      </c>
      <c r="K205" s="10" t="s">
        <v>41</v>
      </c>
      <c r="L205" s="10" t="s">
        <v>6</v>
      </c>
      <c r="M205" s="14">
        <v>43837.0</v>
      </c>
      <c r="N205" s="11" t="s">
        <v>133</v>
      </c>
      <c r="O205" s="10" t="s">
        <v>134</v>
      </c>
      <c r="P205" s="10" t="s">
        <v>335</v>
      </c>
      <c r="Q205" s="2"/>
      <c r="R205" s="15"/>
      <c r="S205" s="15"/>
      <c r="T205" s="15"/>
      <c r="U205" s="15"/>
      <c r="V205" s="2"/>
      <c r="W205" s="15"/>
      <c r="X205" s="15"/>
      <c r="Y205" s="15"/>
      <c r="Z205" s="15"/>
      <c r="AA205" s="1"/>
      <c r="AB205" s="10">
        <v>36.0</v>
      </c>
      <c r="AC205" s="14">
        <v>43788.0</v>
      </c>
      <c r="AD205" s="14">
        <v>44883.0</v>
      </c>
      <c r="AE205" s="10">
        <f t="shared" si="10"/>
        <v>-1208</v>
      </c>
      <c r="AF205" s="2"/>
      <c r="AG205" s="16" t="s">
        <v>45</v>
      </c>
      <c r="AH205" s="16" t="s">
        <v>45</v>
      </c>
      <c r="AI205" s="16" t="s">
        <v>45</v>
      </c>
      <c r="AJ205" s="16" t="s">
        <v>45</v>
      </c>
      <c r="AK205" s="16" t="s">
        <v>45</v>
      </c>
      <c r="AL205" s="10" t="s">
        <v>49</v>
      </c>
      <c r="AM205" s="16" t="s">
        <v>45</v>
      </c>
      <c r="AN205" s="10" t="s">
        <v>336</v>
      </c>
    </row>
    <row r="206" ht="30.0" customHeight="1">
      <c r="A206" s="9" t="str">
        <f t="shared" si="1"/>
        <v>N/I</v>
      </c>
      <c r="B206" s="9" t="str">
        <f t="shared" si="2"/>
        <v>N/I</v>
      </c>
      <c r="C206" s="9" t="str">
        <f t="shared" si="3"/>
        <v>Ativo</v>
      </c>
      <c r="D206" s="10" t="s">
        <v>328</v>
      </c>
      <c r="E206" s="11" t="s">
        <v>329</v>
      </c>
      <c r="F206" s="11" t="s">
        <v>375</v>
      </c>
      <c r="G206" s="12" t="s">
        <v>94</v>
      </c>
      <c r="H206" s="13" t="s">
        <v>376</v>
      </c>
      <c r="I206" s="12" t="s">
        <v>131</v>
      </c>
      <c r="J206" s="10" t="s">
        <v>132</v>
      </c>
      <c r="K206" s="10" t="s">
        <v>41</v>
      </c>
      <c r="L206" s="10" t="s">
        <v>6</v>
      </c>
      <c r="M206" s="14">
        <v>45229.0</v>
      </c>
      <c r="N206" s="11" t="s">
        <v>133</v>
      </c>
      <c r="O206" s="10" t="s">
        <v>134</v>
      </c>
      <c r="P206" s="10" t="s">
        <v>373</v>
      </c>
      <c r="Q206" s="2"/>
      <c r="R206" s="15"/>
      <c r="S206" s="15"/>
      <c r="T206" s="15"/>
      <c r="U206" s="15"/>
      <c r="V206" s="2"/>
      <c r="W206" s="15"/>
      <c r="X206" s="15"/>
      <c r="Y206" s="15"/>
      <c r="Z206" s="15"/>
      <c r="AA206" s="1"/>
      <c r="AB206" s="10">
        <v>36.0</v>
      </c>
      <c r="AC206" s="14">
        <v>45216.0</v>
      </c>
      <c r="AD206" s="14">
        <v>46311.0</v>
      </c>
      <c r="AE206" s="10">
        <f t="shared" si="10"/>
        <v>220</v>
      </c>
      <c r="AF206" s="2"/>
      <c r="AG206" s="16" t="s">
        <v>45</v>
      </c>
      <c r="AH206" s="10" t="s">
        <v>318</v>
      </c>
      <c r="AI206" s="10" t="s">
        <v>319</v>
      </c>
      <c r="AJ206" s="10" t="s">
        <v>342</v>
      </c>
      <c r="AK206" s="16" t="s">
        <v>45</v>
      </c>
      <c r="AL206" s="10" t="s">
        <v>49</v>
      </c>
      <c r="AM206" s="10" t="s">
        <v>291</v>
      </c>
      <c r="AN206" s="10" t="s">
        <v>336</v>
      </c>
    </row>
    <row r="207" ht="30.0" customHeight="1">
      <c r="A207" s="9" t="str">
        <f t="shared" si="1"/>
        <v>N/I</v>
      </c>
      <c r="B207" s="9" t="str">
        <f t="shared" si="2"/>
        <v>N/I</v>
      </c>
      <c r="C207" s="9" t="str">
        <f t="shared" si="3"/>
        <v>Ativo</v>
      </c>
      <c r="D207" s="10" t="s">
        <v>328</v>
      </c>
      <c r="E207" s="11" t="s">
        <v>329</v>
      </c>
      <c r="F207" s="11"/>
      <c r="G207" s="12" t="s">
        <v>68</v>
      </c>
      <c r="H207" s="27" t="s">
        <v>377</v>
      </c>
      <c r="I207" s="12" t="s">
        <v>131</v>
      </c>
      <c r="J207" s="10" t="s">
        <v>132</v>
      </c>
      <c r="K207" s="10" t="s">
        <v>41</v>
      </c>
      <c r="L207" s="10" t="s">
        <v>6</v>
      </c>
      <c r="M207" s="14">
        <v>45756.0</v>
      </c>
      <c r="N207" s="11" t="s">
        <v>133</v>
      </c>
      <c r="O207" s="10" t="s">
        <v>134</v>
      </c>
      <c r="P207" s="10" t="s">
        <v>353</v>
      </c>
      <c r="Q207" s="2"/>
      <c r="R207" s="15"/>
      <c r="S207" s="15"/>
      <c r="T207" s="15"/>
      <c r="U207" s="15"/>
      <c r="V207" s="2"/>
      <c r="W207" s="15"/>
      <c r="X207" s="15"/>
      <c r="Y207" s="15"/>
      <c r="Z207" s="15"/>
      <c r="AA207" s="1"/>
      <c r="AB207" s="10">
        <v>36.0</v>
      </c>
      <c r="AC207" s="14">
        <v>45750.0</v>
      </c>
      <c r="AD207" s="22">
        <v>46845.0</v>
      </c>
      <c r="AE207" s="10">
        <f t="shared" si="10"/>
        <v>754</v>
      </c>
      <c r="AF207" s="2"/>
      <c r="AG207" s="10" t="s">
        <v>354</v>
      </c>
      <c r="AH207" s="12" t="s">
        <v>355</v>
      </c>
      <c r="AI207" s="10" t="s">
        <v>356</v>
      </c>
      <c r="AJ207" s="10" t="s">
        <v>227</v>
      </c>
      <c r="AK207" s="16" t="s">
        <v>45</v>
      </c>
      <c r="AL207" s="10" t="s">
        <v>49</v>
      </c>
      <c r="AM207" s="16" t="s">
        <v>45</v>
      </c>
      <c r="AN207" s="10" t="s">
        <v>50</v>
      </c>
    </row>
    <row r="208" ht="30.0" customHeight="1">
      <c r="A208" s="9" t="str">
        <f t="shared" si="1"/>
        <v>N/I</v>
      </c>
      <c r="B208" s="9" t="str">
        <f t="shared" si="2"/>
        <v>N/I</v>
      </c>
      <c r="C208" s="9" t="str">
        <f t="shared" si="3"/>
        <v>Ativo</v>
      </c>
      <c r="D208" s="10" t="s">
        <v>328</v>
      </c>
      <c r="E208" s="11" t="s">
        <v>329</v>
      </c>
      <c r="F208" s="11" t="s">
        <v>378</v>
      </c>
      <c r="G208" s="12" t="s">
        <v>55</v>
      </c>
      <c r="H208" s="13" t="s">
        <v>379</v>
      </c>
      <c r="I208" s="12" t="s">
        <v>380</v>
      </c>
      <c r="J208" s="10" t="s">
        <v>197</v>
      </c>
      <c r="K208" s="10" t="s">
        <v>40</v>
      </c>
      <c r="L208" s="10" t="s">
        <v>6</v>
      </c>
      <c r="M208" s="14">
        <v>45166.0</v>
      </c>
      <c r="N208" s="11" t="s">
        <v>198</v>
      </c>
      <c r="O208" s="10" t="s">
        <v>199</v>
      </c>
      <c r="P208" s="10" t="s">
        <v>373</v>
      </c>
      <c r="Q208" s="2"/>
      <c r="R208" s="15"/>
      <c r="S208" s="15"/>
      <c r="T208" s="15"/>
      <c r="U208" s="15"/>
      <c r="V208" s="2"/>
      <c r="W208" s="15"/>
      <c r="X208" s="15"/>
      <c r="Y208" s="15"/>
      <c r="Z208" s="15"/>
      <c r="AA208" s="1"/>
      <c r="AB208" s="10">
        <v>36.0</v>
      </c>
      <c r="AC208" s="14">
        <v>45103.0</v>
      </c>
      <c r="AD208" s="14">
        <v>46198.0</v>
      </c>
      <c r="AE208" s="10">
        <f t="shared" si="10"/>
        <v>107</v>
      </c>
      <c r="AF208" s="2"/>
      <c r="AG208" s="16" t="s">
        <v>45</v>
      </c>
      <c r="AH208" s="10" t="s">
        <v>318</v>
      </c>
      <c r="AI208" s="10" t="s">
        <v>319</v>
      </c>
      <c r="AJ208" s="10" t="s">
        <v>342</v>
      </c>
      <c r="AK208" s="16" t="s">
        <v>45</v>
      </c>
      <c r="AL208" s="10" t="s">
        <v>49</v>
      </c>
      <c r="AM208" s="10" t="s">
        <v>291</v>
      </c>
      <c r="AN208" s="10" t="s">
        <v>336</v>
      </c>
    </row>
    <row r="209" ht="30.0" customHeight="1">
      <c r="A209" s="9" t="str">
        <f t="shared" si="1"/>
        <v>Inativo</v>
      </c>
      <c r="B209" s="9" t="str">
        <f t="shared" si="2"/>
        <v>N/I</v>
      </c>
      <c r="C209" s="9" t="str">
        <f t="shared" si="3"/>
        <v>N/I</v>
      </c>
      <c r="D209" s="10" t="s">
        <v>381</v>
      </c>
      <c r="E209" s="11" t="s">
        <v>382</v>
      </c>
      <c r="F209" s="11"/>
      <c r="G209" s="12" t="s">
        <v>94</v>
      </c>
      <c r="H209" s="13" t="s">
        <v>383</v>
      </c>
      <c r="I209" s="12" t="s">
        <v>380</v>
      </c>
      <c r="J209" s="10" t="s">
        <v>197</v>
      </c>
      <c r="K209" s="10" t="s">
        <v>40</v>
      </c>
      <c r="L209" s="10" t="s">
        <v>4</v>
      </c>
      <c r="M209" s="14">
        <v>44119.0</v>
      </c>
      <c r="N209" s="11" t="s">
        <v>384</v>
      </c>
      <c r="O209" s="10" t="s">
        <v>385</v>
      </c>
      <c r="P209" s="10" t="s">
        <v>386</v>
      </c>
      <c r="Q209" s="2"/>
      <c r="R209" s="10">
        <v>36.0</v>
      </c>
      <c r="S209" s="14">
        <v>44119.0</v>
      </c>
      <c r="T209" s="14">
        <v>45214.0</v>
      </c>
      <c r="U209" s="10">
        <f t="shared" ref="U209:U219" si="11">T209-TODAY()</f>
        <v>-877</v>
      </c>
      <c r="V209" s="2"/>
      <c r="W209" s="15"/>
      <c r="X209" s="15"/>
      <c r="Y209" s="15"/>
      <c r="Z209" s="15"/>
      <c r="AA209" s="1"/>
      <c r="AB209" s="15"/>
      <c r="AC209" s="15"/>
      <c r="AD209" s="15"/>
      <c r="AE209" s="15"/>
      <c r="AF209" s="2"/>
      <c r="AG209" s="16" t="s">
        <v>45</v>
      </c>
      <c r="AH209" s="10" t="s">
        <v>318</v>
      </c>
      <c r="AI209" s="10" t="s">
        <v>319</v>
      </c>
      <c r="AJ209" s="10" t="s">
        <v>387</v>
      </c>
      <c r="AK209" s="16" t="s">
        <v>45</v>
      </c>
      <c r="AL209" s="10" t="s">
        <v>49</v>
      </c>
      <c r="AM209" s="16" t="s">
        <v>45</v>
      </c>
      <c r="AN209" s="10" t="s">
        <v>50</v>
      </c>
    </row>
    <row r="210" ht="30.0" customHeight="1">
      <c r="A210" s="9" t="str">
        <f t="shared" si="1"/>
        <v>Inativo</v>
      </c>
      <c r="B210" s="9" t="str">
        <f t="shared" si="2"/>
        <v>N/I</v>
      </c>
      <c r="C210" s="9" t="str">
        <f t="shared" si="3"/>
        <v>N/I</v>
      </c>
      <c r="D210" s="10" t="s">
        <v>381</v>
      </c>
      <c r="E210" s="11" t="s">
        <v>382</v>
      </c>
      <c r="F210" s="11"/>
      <c r="G210" s="12" t="s">
        <v>79</v>
      </c>
      <c r="H210" s="13" t="s">
        <v>388</v>
      </c>
      <c r="I210" s="12" t="s">
        <v>380</v>
      </c>
      <c r="J210" s="10" t="s">
        <v>197</v>
      </c>
      <c r="K210" s="10" t="s">
        <v>40</v>
      </c>
      <c r="L210" s="10" t="s">
        <v>4</v>
      </c>
      <c r="M210" s="14">
        <v>45257.0</v>
      </c>
      <c r="N210" s="11" t="s">
        <v>384</v>
      </c>
      <c r="O210" s="10" t="s">
        <v>385</v>
      </c>
      <c r="P210" s="10" t="s">
        <v>389</v>
      </c>
      <c r="Q210" s="2"/>
      <c r="R210" s="10">
        <v>12.0</v>
      </c>
      <c r="S210" s="14">
        <v>45257.0</v>
      </c>
      <c r="T210" s="14">
        <v>45622.0</v>
      </c>
      <c r="U210" s="10">
        <f t="shared" si="11"/>
        <v>-469</v>
      </c>
      <c r="V210" s="2"/>
      <c r="W210" s="15"/>
      <c r="X210" s="15"/>
      <c r="Y210" s="15"/>
      <c r="Z210" s="15"/>
      <c r="AA210" s="1"/>
      <c r="AB210" s="15"/>
      <c r="AC210" s="15"/>
      <c r="AD210" s="15"/>
      <c r="AE210" s="15"/>
      <c r="AF210" s="2"/>
      <c r="AG210" s="16" t="s">
        <v>45</v>
      </c>
      <c r="AH210" s="12" t="s">
        <v>46</v>
      </c>
      <c r="AI210" s="10" t="s">
        <v>226</v>
      </c>
      <c r="AJ210" s="10" t="s">
        <v>390</v>
      </c>
      <c r="AK210" s="16" t="s">
        <v>45</v>
      </c>
      <c r="AL210" s="10" t="s">
        <v>49</v>
      </c>
      <c r="AM210" s="16" t="s">
        <v>45</v>
      </c>
      <c r="AN210" s="10" t="s">
        <v>320</v>
      </c>
    </row>
    <row r="211" ht="30.0" customHeight="1">
      <c r="A211" s="9" t="str">
        <f t="shared" si="1"/>
        <v>Ativo</v>
      </c>
      <c r="B211" s="9" t="str">
        <f t="shared" si="2"/>
        <v>N/I</v>
      </c>
      <c r="C211" s="9" t="str">
        <f t="shared" si="3"/>
        <v>N/I</v>
      </c>
      <c r="D211" s="10" t="s">
        <v>391</v>
      </c>
      <c r="E211" s="11" t="s">
        <v>392</v>
      </c>
      <c r="F211" s="11"/>
      <c r="G211" s="12" t="s">
        <v>52</v>
      </c>
      <c r="H211" s="27" t="s">
        <v>393</v>
      </c>
      <c r="I211" s="12" t="s">
        <v>324</v>
      </c>
      <c r="J211" s="10" t="s">
        <v>197</v>
      </c>
      <c r="K211" s="10" t="s">
        <v>40</v>
      </c>
      <c r="L211" s="10" t="s">
        <v>4</v>
      </c>
      <c r="M211" s="14">
        <v>45797.0</v>
      </c>
      <c r="N211" s="11" t="s">
        <v>394</v>
      </c>
      <c r="O211" s="10" t="s">
        <v>319</v>
      </c>
      <c r="P211" s="10" t="s">
        <v>395</v>
      </c>
      <c r="Q211" s="2"/>
      <c r="R211" s="10">
        <v>12.0</v>
      </c>
      <c r="S211" s="14">
        <v>45797.0</v>
      </c>
      <c r="T211" s="14">
        <v>46167.0</v>
      </c>
      <c r="U211" s="10">
        <f t="shared" si="11"/>
        <v>76</v>
      </c>
      <c r="V211" s="2"/>
      <c r="W211" s="15"/>
      <c r="X211" s="15"/>
      <c r="Y211" s="15"/>
      <c r="Z211" s="15"/>
      <c r="AA211" s="1"/>
      <c r="AB211" s="15"/>
      <c r="AC211" s="15"/>
      <c r="AD211" s="15"/>
      <c r="AE211" s="15"/>
      <c r="AF211" s="2"/>
      <c r="AG211" s="10" t="s">
        <v>354</v>
      </c>
      <c r="AH211" s="12" t="s">
        <v>355</v>
      </c>
      <c r="AI211" s="16" t="s">
        <v>45</v>
      </c>
      <c r="AJ211" s="10" t="s">
        <v>356</v>
      </c>
      <c r="AK211" s="16" t="s">
        <v>45</v>
      </c>
      <c r="AL211" s="10" t="s">
        <v>49</v>
      </c>
      <c r="AM211" s="16" t="s">
        <v>45</v>
      </c>
      <c r="AN211" s="10" t="s">
        <v>50</v>
      </c>
    </row>
    <row r="212" ht="30.0" customHeight="1">
      <c r="A212" s="9" t="str">
        <f t="shared" si="1"/>
        <v>Ativo</v>
      </c>
      <c r="B212" s="9" t="str">
        <f t="shared" si="2"/>
        <v>N/I</v>
      </c>
      <c r="C212" s="9" t="str">
        <f t="shared" si="3"/>
        <v>N/I</v>
      </c>
      <c r="D212" s="10" t="s">
        <v>396</v>
      </c>
      <c r="E212" s="11" t="s">
        <v>397</v>
      </c>
      <c r="F212" s="11" t="s">
        <v>398</v>
      </c>
      <c r="G212" s="12" t="s">
        <v>52</v>
      </c>
      <c r="H212" s="13" t="s">
        <v>399</v>
      </c>
      <c r="I212" s="12" t="s">
        <v>332</v>
      </c>
      <c r="J212" s="10" t="s">
        <v>197</v>
      </c>
      <c r="K212" s="10" t="s">
        <v>40</v>
      </c>
      <c r="L212" s="10" t="s">
        <v>4</v>
      </c>
      <c r="M212" s="14">
        <v>45510.0</v>
      </c>
      <c r="N212" s="11" t="s">
        <v>400</v>
      </c>
      <c r="O212" s="10" t="s">
        <v>401</v>
      </c>
      <c r="P212" s="10" t="s">
        <v>402</v>
      </c>
      <c r="Q212" s="2"/>
      <c r="R212" s="10">
        <v>36.0</v>
      </c>
      <c r="S212" s="14">
        <v>45511.0</v>
      </c>
      <c r="T212" s="14">
        <v>46606.0</v>
      </c>
      <c r="U212" s="10">
        <f t="shared" si="11"/>
        <v>515</v>
      </c>
      <c r="V212" s="2"/>
      <c r="W212" s="15"/>
      <c r="X212" s="15"/>
      <c r="Y212" s="15"/>
      <c r="Z212" s="15"/>
      <c r="AA212" s="1"/>
      <c r="AB212" s="15"/>
      <c r="AC212" s="15"/>
      <c r="AD212" s="15"/>
      <c r="AE212" s="15"/>
      <c r="AF212" s="2"/>
      <c r="AG212" s="16" t="s">
        <v>45</v>
      </c>
      <c r="AH212" s="12" t="s">
        <v>355</v>
      </c>
      <c r="AI212" s="10" t="s">
        <v>226</v>
      </c>
      <c r="AJ212" s="10" t="s">
        <v>356</v>
      </c>
      <c r="AK212" s="16" t="s">
        <v>45</v>
      </c>
      <c r="AL212" s="10" t="s">
        <v>49</v>
      </c>
      <c r="AM212" s="16" t="s">
        <v>45</v>
      </c>
      <c r="AN212" s="10" t="s">
        <v>50</v>
      </c>
    </row>
    <row r="213" ht="30.0" customHeight="1">
      <c r="A213" s="9" t="str">
        <f t="shared" si="1"/>
        <v>Ativo</v>
      </c>
      <c r="B213" s="9" t="str">
        <f t="shared" si="2"/>
        <v>N/I</v>
      </c>
      <c r="C213" s="9" t="str">
        <f t="shared" si="3"/>
        <v>N/I</v>
      </c>
      <c r="D213" s="10" t="s">
        <v>396</v>
      </c>
      <c r="E213" s="11" t="s">
        <v>397</v>
      </c>
      <c r="F213" s="11" t="s">
        <v>398</v>
      </c>
      <c r="G213" s="12" t="s">
        <v>52</v>
      </c>
      <c r="H213" s="13" t="s">
        <v>403</v>
      </c>
      <c r="I213" s="12" t="s">
        <v>332</v>
      </c>
      <c r="J213" s="10" t="s">
        <v>197</v>
      </c>
      <c r="K213" s="10" t="s">
        <v>40</v>
      </c>
      <c r="L213" s="10" t="s">
        <v>4</v>
      </c>
      <c r="M213" s="14">
        <v>45510.0</v>
      </c>
      <c r="N213" s="11" t="s">
        <v>400</v>
      </c>
      <c r="O213" s="10" t="s">
        <v>401</v>
      </c>
      <c r="P213" s="10" t="s">
        <v>402</v>
      </c>
      <c r="Q213" s="2"/>
      <c r="R213" s="10">
        <v>36.0</v>
      </c>
      <c r="S213" s="14">
        <v>45511.0</v>
      </c>
      <c r="T213" s="14">
        <v>46606.0</v>
      </c>
      <c r="U213" s="10">
        <f t="shared" si="11"/>
        <v>515</v>
      </c>
      <c r="V213" s="2"/>
      <c r="W213" s="15"/>
      <c r="X213" s="15"/>
      <c r="Y213" s="15"/>
      <c r="Z213" s="15"/>
      <c r="AA213" s="1"/>
      <c r="AB213" s="15"/>
      <c r="AC213" s="15"/>
      <c r="AD213" s="15"/>
      <c r="AE213" s="15"/>
      <c r="AF213" s="2"/>
      <c r="AG213" s="16" t="s">
        <v>45</v>
      </c>
      <c r="AH213" s="12" t="s">
        <v>355</v>
      </c>
      <c r="AI213" s="10" t="s">
        <v>226</v>
      </c>
      <c r="AJ213" s="10" t="s">
        <v>356</v>
      </c>
      <c r="AK213" s="16" t="s">
        <v>45</v>
      </c>
      <c r="AL213" s="10" t="s">
        <v>49</v>
      </c>
      <c r="AM213" s="16" t="s">
        <v>45</v>
      </c>
      <c r="AN213" s="10" t="s">
        <v>50</v>
      </c>
    </row>
    <row r="214" ht="30.0" customHeight="1">
      <c r="A214" s="9" t="str">
        <f t="shared" si="1"/>
        <v>Ativo</v>
      </c>
      <c r="B214" s="9" t="str">
        <f t="shared" si="2"/>
        <v>N/I</v>
      </c>
      <c r="C214" s="9" t="str">
        <f t="shared" si="3"/>
        <v>N/I</v>
      </c>
      <c r="D214" s="10" t="s">
        <v>396</v>
      </c>
      <c r="E214" s="11" t="s">
        <v>397</v>
      </c>
      <c r="F214" s="11" t="s">
        <v>398</v>
      </c>
      <c r="G214" s="12" t="s">
        <v>52</v>
      </c>
      <c r="H214" s="13" t="s">
        <v>404</v>
      </c>
      <c r="I214" s="12" t="s">
        <v>332</v>
      </c>
      <c r="J214" s="10" t="s">
        <v>197</v>
      </c>
      <c r="K214" s="10" t="s">
        <v>40</v>
      </c>
      <c r="L214" s="10" t="s">
        <v>4</v>
      </c>
      <c r="M214" s="14">
        <v>45510.0</v>
      </c>
      <c r="N214" s="11" t="s">
        <v>400</v>
      </c>
      <c r="O214" s="10" t="s">
        <v>401</v>
      </c>
      <c r="P214" s="10" t="s">
        <v>402</v>
      </c>
      <c r="Q214" s="2"/>
      <c r="R214" s="10">
        <v>36.0</v>
      </c>
      <c r="S214" s="14">
        <v>45511.0</v>
      </c>
      <c r="T214" s="14">
        <v>46606.0</v>
      </c>
      <c r="U214" s="10">
        <f t="shared" si="11"/>
        <v>515</v>
      </c>
      <c r="V214" s="2"/>
      <c r="W214" s="15"/>
      <c r="X214" s="15"/>
      <c r="Y214" s="15"/>
      <c r="Z214" s="15"/>
      <c r="AA214" s="1"/>
      <c r="AB214" s="15"/>
      <c r="AC214" s="15"/>
      <c r="AD214" s="15"/>
      <c r="AE214" s="15"/>
      <c r="AF214" s="2"/>
      <c r="AG214" s="16" t="s">
        <v>45</v>
      </c>
      <c r="AH214" s="12" t="s">
        <v>355</v>
      </c>
      <c r="AI214" s="10" t="s">
        <v>226</v>
      </c>
      <c r="AJ214" s="10" t="s">
        <v>356</v>
      </c>
      <c r="AK214" s="16" t="s">
        <v>45</v>
      </c>
      <c r="AL214" s="10" t="s">
        <v>49</v>
      </c>
      <c r="AM214" s="16" t="s">
        <v>45</v>
      </c>
      <c r="AN214" s="10" t="s">
        <v>50</v>
      </c>
    </row>
    <row r="215" ht="30.0" customHeight="1">
      <c r="A215" s="9" t="str">
        <f t="shared" si="1"/>
        <v>Ativo</v>
      </c>
      <c r="B215" s="9" t="str">
        <f t="shared" si="2"/>
        <v>N/I</v>
      </c>
      <c r="C215" s="9" t="str">
        <f t="shared" si="3"/>
        <v>N/I</v>
      </c>
      <c r="D215" s="10" t="s">
        <v>396</v>
      </c>
      <c r="E215" s="11" t="s">
        <v>397</v>
      </c>
      <c r="F215" s="11" t="s">
        <v>398</v>
      </c>
      <c r="G215" s="12" t="s">
        <v>52</v>
      </c>
      <c r="H215" s="13" t="s">
        <v>405</v>
      </c>
      <c r="I215" s="12" t="s">
        <v>332</v>
      </c>
      <c r="J215" s="10" t="s">
        <v>197</v>
      </c>
      <c r="K215" s="10" t="s">
        <v>40</v>
      </c>
      <c r="L215" s="10" t="s">
        <v>4</v>
      </c>
      <c r="M215" s="14">
        <v>45649.0</v>
      </c>
      <c r="N215" s="11" t="s">
        <v>406</v>
      </c>
      <c r="O215" s="10" t="s">
        <v>407</v>
      </c>
      <c r="P215" s="10" t="s">
        <v>408</v>
      </c>
      <c r="Q215" s="2"/>
      <c r="R215" s="10">
        <v>36.0</v>
      </c>
      <c r="S215" s="22">
        <v>45652.0</v>
      </c>
      <c r="T215" s="14">
        <v>46747.0</v>
      </c>
      <c r="U215" s="10">
        <f t="shared" si="11"/>
        <v>656</v>
      </c>
      <c r="V215" s="2"/>
      <c r="W215" s="15"/>
      <c r="X215" s="15"/>
      <c r="Y215" s="15"/>
      <c r="Z215" s="15"/>
      <c r="AA215" s="1"/>
      <c r="AB215" s="15"/>
      <c r="AC215" s="15"/>
      <c r="AD215" s="15"/>
      <c r="AE215" s="15"/>
      <c r="AF215" s="2"/>
      <c r="AG215" s="16" t="s">
        <v>45</v>
      </c>
      <c r="AH215" s="12" t="s">
        <v>355</v>
      </c>
      <c r="AI215" s="10" t="s">
        <v>226</v>
      </c>
      <c r="AJ215" s="10" t="s">
        <v>356</v>
      </c>
      <c r="AK215" s="16" t="s">
        <v>45</v>
      </c>
      <c r="AL215" s="10" t="s">
        <v>49</v>
      </c>
      <c r="AM215" s="16" t="s">
        <v>45</v>
      </c>
      <c r="AN215" s="10" t="s">
        <v>50</v>
      </c>
    </row>
    <row r="216" ht="30.0" customHeight="1">
      <c r="A216" s="9" t="str">
        <f t="shared" si="1"/>
        <v>Ativo</v>
      </c>
      <c r="B216" s="9" t="str">
        <f t="shared" si="2"/>
        <v>N/I</v>
      </c>
      <c r="C216" s="9" t="str">
        <f t="shared" si="3"/>
        <v>N/I</v>
      </c>
      <c r="D216" s="10" t="s">
        <v>396</v>
      </c>
      <c r="E216" s="11" t="s">
        <v>397</v>
      </c>
      <c r="F216" s="11" t="s">
        <v>398</v>
      </c>
      <c r="G216" s="12" t="s">
        <v>52</v>
      </c>
      <c r="H216" s="13" t="s">
        <v>409</v>
      </c>
      <c r="I216" s="12" t="s">
        <v>332</v>
      </c>
      <c r="J216" s="10" t="s">
        <v>197</v>
      </c>
      <c r="K216" s="10" t="s">
        <v>40</v>
      </c>
      <c r="L216" s="10" t="s">
        <v>4</v>
      </c>
      <c r="M216" s="14">
        <v>45653.0</v>
      </c>
      <c r="N216" s="11" t="s">
        <v>406</v>
      </c>
      <c r="O216" s="10" t="s">
        <v>407</v>
      </c>
      <c r="P216" s="10" t="s">
        <v>408</v>
      </c>
      <c r="Q216" s="2"/>
      <c r="R216" s="10">
        <v>36.0</v>
      </c>
      <c r="S216" s="22">
        <v>45656.0</v>
      </c>
      <c r="T216" s="14">
        <v>46751.0</v>
      </c>
      <c r="U216" s="10">
        <f t="shared" si="11"/>
        <v>660</v>
      </c>
      <c r="V216" s="2"/>
      <c r="W216" s="15"/>
      <c r="X216" s="15"/>
      <c r="Y216" s="15"/>
      <c r="Z216" s="15"/>
      <c r="AA216" s="1"/>
      <c r="AB216" s="15"/>
      <c r="AC216" s="15"/>
      <c r="AD216" s="15"/>
      <c r="AE216" s="15"/>
      <c r="AF216" s="2"/>
      <c r="AG216" s="16" t="s">
        <v>45</v>
      </c>
      <c r="AH216" s="12" t="s">
        <v>355</v>
      </c>
      <c r="AI216" s="10" t="s">
        <v>226</v>
      </c>
      <c r="AJ216" s="10" t="s">
        <v>356</v>
      </c>
      <c r="AK216" s="16" t="s">
        <v>45</v>
      </c>
      <c r="AL216" s="10" t="s">
        <v>49</v>
      </c>
      <c r="AM216" s="16" t="s">
        <v>45</v>
      </c>
      <c r="AN216" s="10" t="s">
        <v>50</v>
      </c>
    </row>
    <row r="217" ht="30.0" customHeight="1">
      <c r="A217" s="9" t="str">
        <f t="shared" si="1"/>
        <v>Ativo</v>
      </c>
      <c r="B217" s="9" t="str">
        <f t="shared" si="2"/>
        <v>N/I</v>
      </c>
      <c r="C217" s="9" t="str">
        <f t="shared" si="3"/>
        <v>N/I</v>
      </c>
      <c r="D217" s="10" t="s">
        <v>396</v>
      </c>
      <c r="E217" s="11" t="s">
        <v>397</v>
      </c>
      <c r="F217" s="11" t="s">
        <v>398</v>
      </c>
      <c r="G217" s="12" t="s">
        <v>52</v>
      </c>
      <c r="H217" s="13" t="s">
        <v>410</v>
      </c>
      <c r="I217" s="12" t="s">
        <v>332</v>
      </c>
      <c r="J217" s="10" t="s">
        <v>197</v>
      </c>
      <c r="K217" s="10" t="s">
        <v>40</v>
      </c>
      <c r="L217" s="10" t="s">
        <v>4</v>
      </c>
      <c r="M217" s="14">
        <v>45656.0</v>
      </c>
      <c r="N217" s="11" t="s">
        <v>406</v>
      </c>
      <c r="O217" s="10" t="s">
        <v>407</v>
      </c>
      <c r="P217" s="10" t="s">
        <v>408</v>
      </c>
      <c r="Q217" s="2"/>
      <c r="R217" s="10">
        <v>36.0</v>
      </c>
      <c r="S217" s="22">
        <v>45656.0</v>
      </c>
      <c r="T217" s="14">
        <v>46751.0</v>
      </c>
      <c r="U217" s="10">
        <f t="shared" si="11"/>
        <v>660</v>
      </c>
      <c r="V217" s="2"/>
      <c r="W217" s="15"/>
      <c r="X217" s="15"/>
      <c r="Y217" s="15"/>
      <c r="Z217" s="15"/>
      <c r="AA217" s="1"/>
      <c r="AB217" s="15"/>
      <c r="AC217" s="15"/>
      <c r="AD217" s="15"/>
      <c r="AE217" s="15"/>
      <c r="AF217" s="2"/>
      <c r="AG217" s="16" t="s">
        <v>45</v>
      </c>
      <c r="AH217" s="12" t="s">
        <v>355</v>
      </c>
      <c r="AI217" s="10" t="s">
        <v>226</v>
      </c>
      <c r="AJ217" s="10" t="s">
        <v>356</v>
      </c>
      <c r="AK217" s="16" t="s">
        <v>45</v>
      </c>
      <c r="AL217" s="10" t="s">
        <v>49</v>
      </c>
      <c r="AM217" s="16" t="s">
        <v>45</v>
      </c>
      <c r="AN217" s="10" t="s">
        <v>50</v>
      </c>
    </row>
    <row r="218" ht="30.0" customHeight="1">
      <c r="A218" s="9" t="str">
        <f t="shared" si="1"/>
        <v>Ativo</v>
      </c>
      <c r="B218" s="9" t="str">
        <f t="shared" si="2"/>
        <v>N/I</v>
      </c>
      <c r="C218" s="9" t="str">
        <f t="shared" si="3"/>
        <v>N/I</v>
      </c>
      <c r="D218" s="10" t="s">
        <v>396</v>
      </c>
      <c r="E218" s="11" t="s">
        <v>397</v>
      </c>
      <c r="F218" s="11" t="s">
        <v>398</v>
      </c>
      <c r="G218" s="12" t="s">
        <v>52</v>
      </c>
      <c r="H218" s="13" t="s">
        <v>411</v>
      </c>
      <c r="I218" s="12" t="s">
        <v>332</v>
      </c>
      <c r="J218" s="10" t="s">
        <v>197</v>
      </c>
      <c r="K218" s="10" t="s">
        <v>40</v>
      </c>
      <c r="L218" s="10" t="s">
        <v>4</v>
      </c>
      <c r="M218" s="14">
        <v>45728.0</v>
      </c>
      <c r="N218" s="11" t="s">
        <v>406</v>
      </c>
      <c r="O218" s="10" t="s">
        <v>401</v>
      </c>
      <c r="P218" s="10" t="s">
        <v>412</v>
      </c>
      <c r="Q218" s="2"/>
      <c r="R218" s="10">
        <v>36.0</v>
      </c>
      <c r="S218" s="14">
        <v>45728.0</v>
      </c>
      <c r="T218" s="14">
        <v>46824.0</v>
      </c>
      <c r="U218" s="10">
        <f t="shared" si="11"/>
        <v>733</v>
      </c>
      <c r="V218" s="2"/>
      <c r="W218" s="15"/>
      <c r="X218" s="15"/>
      <c r="Y218" s="15"/>
      <c r="Z218" s="15"/>
      <c r="AA218" s="1"/>
      <c r="AB218" s="15"/>
      <c r="AC218" s="15"/>
      <c r="AD218" s="15"/>
      <c r="AE218" s="15"/>
      <c r="AF218" s="2"/>
      <c r="AG218" s="10" t="s">
        <v>354</v>
      </c>
      <c r="AH218" s="12" t="s">
        <v>355</v>
      </c>
      <c r="AI218" s="16" t="s">
        <v>45</v>
      </c>
      <c r="AJ218" s="10" t="s">
        <v>227</v>
      </c>
      <c r="AK218" s="16" t="s">
        <v>45</v>
      </c>
      <c r="AL218" s="10" t="s">
        <v>49</v>
      </c>
      <c r="AM218" s="16" t="s">
        <v>45</v>
      </c>
      <c r="AN218" s="10" t="s">
        <v>50</v>
      </c>
    </row>
    <row r="219" ht="30.0" customHeight="1">
      <c r="A219" s="9" t="str">
        <f t="shared" si="1"/>
        <v>Ativo</v>
      </c>
      <c r="B219" s="9" t="str">
        <f t="shared" si="2"/>
        <v>N/I</v>
      </c>
      <c r="C219" s="9" t="str">
        <f t="shared" si="3"/>
        <v>N/I</v>
      </c>
      <c r="D219" s="10" t="s">
        <v>396</v>
      </c>
      <c r="E219" s="11" t="s">
        <v>397</v>
      </c>
      <c r="F219" s="11" t="s">
        <v>398</v>
      </c>
      <c r="G219" s="12" t="s">
        <v>52</v>
      </c>
      <c r="H219" s="13" t="s">
        <v>413</v>
      </c>
      <c r="I219" s="12" t="s">
        <v>332</v>
      </c>
      <c r="J219" s="10" t="s">
        <v>197</v>
      </c>
      <c r="K219" s="10" t="s">
        <v>40</v>
      </c>
      <c r="L219" s="10" t="s">
        <v>4</v>
      </c>
      <c r="M219" s="14">
        <v>45729.0</v>
      </c>
      <c r="N219" s="11" t="s">
        <v>406</v>
      </c>
      <c r="O219" s="10" t="s">
        <v>401</v>
      </c>
      <c r="P219" s="10" t="s">
        <v>412</v>
      </c>
      <c r="Q219" s="2"/>
      <c r="R219" s="10">
        <v>36.0</v>
      </c>
      <c r="S219" s="14">
        <v>45729.0</v>
      </c>
      <c r="T219" s="14">
        <v>46825.0</v>
      </c>
      <c r="U219" s="10">
        <f t="shared" si="11"/>
        <v>734</v>
      </c>
      <c r="V219" s="2"/>
      <c r="W219" s="15"/>
      <c r="X219" s="15"/>
      <c r="Y219" s="15"/>
      <c r="Z219" s="15"/>
      <c r="AA219" s="1"/>
      <c r="AB219" s="15"/>
      <c r="AC219" s="15"/>
      <c r="AD219" s="15"/>
      <c r="AE219" s="15"/>
      <c r="AF219" s="2"/>
      <c r="AG219" s="10" t="s">
        <v>354</v>
      </c>
      <c r="AH219" s="12" t="s">
        <v>355</v>
      </c>
      <c r="AI219" s="16" t="s">
        <v>45</v>
      </c>
      <c r="AJ219" s="10" t="s">
        <v>227</v>
      </c>
      <c r="AK219" s="16" t="s">
        <v>45</v>
      </c>
      <c r="AL219" s="10" t="s">
        <v>49</v>
      </c>
      <c r="AM219" s="16" t="s">
        <v>45</v>
      </c>
      <c r="AN219" s="10" t="s">
        <v>50</v>
      </c>
    </row>
    <row r="220" ht="30.0" customHeight="1">
      <c r="A220" s="9" t="str">
        <f t="shared" si="1"/>
        <v>N/I</v>
      </c>
      <c r="B220" s="9" t="str">
        <f t="shared" si="2"/>
        <v>Ativo</v>
      </c>
      <c r="C220" s="9" t="str">
        <f t="shared" si="3"/>
        <v>N/I</v>
      </c>
      <c r="D220" s="10" t="s">
        <v>414</v>
      </c>
      <c r="E220" s="11" t="s">
        <v>415</v>
      </c>
      <c r="F220" s="11" t="s">
        <v>416</v>
      </c>
      <c r="G220" s="12" t="s">
        <v>94</v>
      </c>
      <c r="H220" s="33" t="s">
        <v>417</v>
      </c>
      <c r="I220" s="12" t="s">
        <v>246</v>
      </c>
      <c r="J220" s="10" t="s">
        <v>247</v>
      </c>
      <c r="K220" s="10" t="s">
        <v>190</v>
      </c>
      <c r="L220" s="10" t="s">
        <v>264</v>
      </c>
      <c r="M220" s="14">
        <v>43271.0</v>
      </c>
      <c r="N220" s="32" t="s">
        <v>418</v>
      </c>
      <c r="O220" s="10" t="s">
        <v>419</v>
      </c>
      <c r="P220" s="12" t="s">
        <v>420</v>
      </c>
      <c r="Q220" s="2"/>
      <c r="R220" s="15"/>
      <c r="S220" s="15"/>
      <c r="T220" s="15"/>
      <c r="U220" s="15"/>
      <c r="V220" s="2"/>
      <c r="W220" s="10">
        <v>12.0</v>
      </c>
      <c r="X220" s="14">
        <v>45525.0</v>
      </c>
      <c r="Y220" s="14">
        <v>46254.0</v>
      </c>
      <c r="Z220" s="10">
        <f t="shared" ref="Z220:Z234" si="12">Y220-TODAY()</f>
        <v>163</v>
      </c>
      <c r="AA220" s="1"/>
      <c r="AB220" s="15"/>
      <c r="AC220" s="15"/>
      <c r="AD220" s="15"/>
      <c r="AE220" s="15"/>
      <c r="AF220" s="2"/>
      <c r="AG220" s="16" t="s">
        <v>45</v>
      </c>
      <c r="AH220" s="16" t="s">
        <v>45</v>
      </c>
      <c r="AI220" s="16" t="s">
        <v>45</v>
      </c>
      <c r="AJ220" s="16" t="s">
        <v>45</v>
      </c>
      <c r="AK220" s="16" t="s">
        <v>45</v>
      </c>
      <c r="AL220" s="10" t="s">
        <v>49</v>
      </c>
      <c r="AM220" s="16" t="s">
        <v>45</v>
      </c>
      <c r="AN220" s="10" t="s">
        <v>50</v>
      </c>
    </row>
    <row r="221" ht="30.0" customHeight="1">
      <c r="A221" s="9" t="str">
        <f t="shared" si="1"/>
        <v>N/I</v>
      </c>
      <c r="B221" s="9" t="str">
        <f t="shared" si="2"/>
        <v>Ativo</v>
      </c>
      <c r="C221" s="9" t="str">
        <f t="shared" si="3"/>
        <v>N/I</v>
      </c>
      <c r="D221" s="10" t="s">
        <v>414</v>
      </c>
      <c r="E221" s="11" t="s">
        <v>415</v>
      </c>
      <c r="F221" s="11" t="s">
        <v>416</v>
      </c>
      <c r="G221" s="12" t="s">
        <v>94</v>
      </c>
      <c r="H221" s="33" t="s">
        <v>421</v>
      </c>
      <c r="I221" s="12" t="s">
        <v>246</v>
      </c>
      <c r="J221" s="10" t="s">
        <v>247</v>
      </c>
      <c r="K221" s="10" t="s">
        <v>190</v>
      </c>
      <c r="L221" s="10" t="s">
        <v>264</v>
      </c>
      <c r="M221" s="14">
        <v>43271.0</v>
      </c>
      <c r="N221" s="32" t="s">
        <v>418</v>
      </c>
      <c r="O221" s="10" t="s">
        <v>419</v>
      </c>
      <c r="P221" s="12" t="s">
        <v>420</v>
      </c>
      <c r="Q221" s="2"/>
      <c r="R221" s="15"/>
      <c r="S221" s="15"/>
      <c r="T221" s="15"/>
      <c r="U221" s="15"/>
      <c r="V221" s="2"/>
      <c r="W221" s="10">
        <v>12.0</v>
      </c>
      <c r="X221" s="14">
        <v>45525.0</v>
      </c>
      <c r="Y221" s="14">
        <v>46254.0</v>
      </c>
      <c r="Z221" s="10">
        <f t="shared" si="12"/>
        <v>163</v>
      </c>
      <c r="AA221" s="1"/>
      <c r="AB221" s="15"/>
      <c r="AC221" s="15"/>
      <c r="AD221" s="15"/>
      <c r="AE221" s="15"/>
      <c r="AF221" s="2"/>
      <c r="AG221" s="16" t="s">
        <v>45</v>
      </c>
      <c r="AH221" s="16" t="s">
        <v>45</v>
      </c>
      <c r="AI221" s="16" t="s">
        <v>45</v>
      </c>
      <c r="AJ221" s="16" t="s">
        <v>45</v>
      </c>
      <c r="AK221" s="16" t="s">
        <v>45</v>
      </c>
      <c r="AL221" s="10" t="s">
        <v>49</v>
      </c>
      <c r="AM221" s="16" t="s">
        <v>45</v>
      </c>
      <c r="AN221" s="10" t="s">
        <v>50</v>
      </c>
    </row>
    <row r="222" ht="30.0" customHeight="1">
      <c r="A222" s="9" t="str">
        <f t="shared" si="1"/>
        <v>N/I</v>
      </c>
      <c r="B222" s="9" t="str">
        <f t="shared" si="2"/>
        <v>Ativo</v>
      </c>
      <c r="C222" s="9" t="str">
        <f t="shared" si="3"/>
        <v>N/I</v>
      </c>
      <c r="D222" s="10" t="s">
        <v>414</v>
      </c>
      <c r="E222" s="11" t="s">
        <v>415</v>
      </c>
      <c r="F222" s="11" t="s">
        <v>416</v>
      </c>
      <c r="G222" s="12" t="s">
        <v>94</v>
      </c>
      <c r="H222" s="33" t="s">
        <v>422</v>
      </c>
      <c r="I222" s="12" t="s">
        <v>246</v>
      </c>
      <c r="J222" s="10" t="s">
        <v>247</v>
      </c>
      <c r="K222" s="10" t="s">
        <v>190</v>
      </c>
      <c r="L222" s="10" t="s">
        <v>264</v>
      </c>
      <c r="M222" s="14">
        <v>43271.0</v>
      </c>
      <c r="N222" s="32" t="s">
        <v>418</v>
      </c>
      <c r="O222" s="10" t="s">
        <v>419</v>
      </c>
      <c r="P222" s="12" t="s">
        <v>420</v>
      </c>
      <c r="Q222" s="2"/>
      <c r="R222" s="15"/>
      <c r="S222" s="15"/>
      <c r="T222" s="15"/>
      <c r="U222" s="15"/>
      <c r="V222" s="2"/>
      <c r="W222" s="10">
        <v>12.0</v>
      </c>
      <c r="X222" s="14">
        <v>45525.0</v>
      </c>
      <c r="Y222" s="14">
        <v>46254.0</v>
      </c>
      <c r="Z222" s="10">
        <f t="shared" si="12"/>
        <v>163</v>
      </c>
      <c r="AA222" s="1"/>
      <c r="AB222" s="15"/>
      <c r="AC222" s="15"/>
      <c r="AD222" s="15"/>
      <c r="AE222" s="15"/>
      <c r="AF222" s="2"/>
      <c r="AG222" s="16" t="s">
        <v>45</v>
      </c>
      <c r="AH222" s="16" t="s">
        <v>45</v>
      </c>
      <c r="AI222" s="16" t="s">
        <v>45</v>
      </c>
      <c r="AJ222" s="16" t="s">
        <v>45</v>
      </c>
      <c r="AK222" s="16" t="s">
        <v>45</v>
      </c>
      <c r="AL222" s="10" t="s">
        <v>49</v>
      </c>
      <c r="AM222" s="16" t="s">
        <v>45</v>
      </c>
      <c r="AN222" s="10" t="s">
        <v>50</v>
      </c>
    </row>
    <row r="223" ht="30.0" customHeight="1">
      <c r="A223" s="9" t="str">
        <f t="shared" si="1"/>
        <v>N/I</v>
      </c>
      <c r="B223" s="9" t="str">
        <f t="shared" si="2"/>
        <v>Ativo</v>
      </c>
      <c r="C223" s="9" t="str">
        <f t="shared" si="3"/>
        <v>N/I</v>
      </c>
      <c r="D223" s="10" t="s">
        <v>414</v>
      </c>
      <c r="E223" s="11" t="s">
        <v>415</v>
      </c>
      <c r="F223" s="11" t="s">
        <v>416</v>
      </c>
      <c r="G223" s="12" t="s">
        <v>94</v>
      </c>
      <c r="H223" s="34" t="s">
        <v>423</v>
      </c>
      <c r="I223" s="12" t="s">
        <v>246</v>
      </c>
      <c r="J223" s="10" t="s">
        <v>247</v>
      </c>
      <c r="K223" s="10" t="s">
        <v>190</v>
      </c>
      <c r="L223" s="10" t="s">
        <v>264</v>
      </c>
      <c r="M223" s="14">
        <v>43971.0</v>
      </c>
      <c r="N223" s="32" t="s">
        <v>418</v>
      </c>
      <c r="O223" s="10" t="s">
        <v>419</v>
      </c>
      <c r="P223" s="12" t="s">
        <v>420</v>
      </c>
      <c r="Q223" s="2"/>
      <c r="R223" s="15"/>
      <c r="S223" s="15"/>
      <c r="T223" s="15"/>
      <c r="U223" s="15"/>
      <c r="V223" s="2"/>
      <c r="W223" s="10">
        <v>12.0</v>
      </c>
      <c r="X223" s="14">
        <v>45525.0</v>
      </c>
      <c r="Y223" s="14">
        <v>46254.0</v>
      </c>
      <c r="Z223" s="10">
        <f t="shared" si="12"/>
        <v>163</v>
      </c>
      <c r="AA223" s="1"/>
      <c r="AB223" s="15"/>
      <c r="AC223" s="15"/>
      <c r="AD223" s="15"/>
      <c r="AE223" s="15"/>
      <c r="AF223" s="2"/>
      <c r="AG223" s="16" t="s">
        <v>45</v>
      </c>
      <c r="AH223" s="16" t="s">
        <v>45</v>
      </c>
      <c r="AI223" s="16" t="s">
        <v>45</v>
      </c>
      <c r="AJ223" s="16" t="s">
        <v>45</v>
      </c>
      <c r="AK223" s="16" t="s">
        <v>45</v>
      </c>
      <c r="AL223" s="10" t="s">
        <v>49</v>
      </c>
      <c r="AM223" s="16" t="s">
        <v>45</v>
      </c>
      <c r="AN223" s="10" t="s">
        <v>50</v>
      </c>
    </row>
    <row r="224" ht="30.0" customHeight="1">
      <c r="A224" s="9" t="str">
        <f t="shared" si="1"/>
        <v>N/I</v>
      </c>
      <c r="B224" s="9" t="str">
        <f t="shared" si="2"/>
        <v>Ativo</v>
      </c>
      <c r="C224" s="9" t="str">
        <f t="shared" si="3"/>
        <v>N/I</v>
      </c>
      <c r="D224" s="10" t="s">
        <v>414</v>
      </c>
      <c r="E224" s="11" t="s">
        <v>415</v>
      </c>
      <c r="F224" s="11" t="s">
        <v>416</v>
      </c>
      <c r="G224" s="12" t="s">
        <v>94</v>
      </c>
      <c r="H224" s="34" t="s">
        <v>424</v>
      </c>
      <c r="I224" s="12" t="s">
        <v>246</v>
      </c>
      <c r="J224" s="10" t="s">
        <v>247</v>
      </c>
      <c r="K224" s="10" t="s">
        <v>190</v>
      </c>
      <c r="L224" s="10" t="s">
        <v>264</v>
      </c>
      <c r="M224" s="14">
        <v>43971.0</v>
      </c>
      <c r="N224" s="32" t="s">
        <v>418</v>
      </c>
      <c r="O224" s="10" t="s">
        <v>419</v>
      </c>
      <c r="P224" s="12" t="s">
        <v>420</v>
      </c>
      <c r="Q224" s="2"/>
      <c r="R224" s="15"/>
      <c r="S224" s="15"/>
      <c r="T224" s="15"/>
      <c r="U224" s="15"/>
      <c r="V224" s="2"/>
      <c r="W224" s="10">
        <v>12.0</v>
      </c>
      <c r="X224" s="14">
        <v>45525.0</v>
      </c>
      <c r="Y224" s="14">
        <v>46254.0</v>
      </c>
      <c r="Z224" s="10">
        <f t="shared" si="12"/>
        <v>163</v>
      </c>
      <c r="AA224" s="1"/>
      <c r="AB224" s="15"/>
      <c r="AC224" s="15"/>
      <c r="AD224" s="15"/>
      <c r="AE224" s="15"/>
      <c r="AF224" s="2"/>
      <c r="AG224" s="16" t="s">
        <v>45</v>
      </c>
      <c r="AH224" s="16" t="s">
        <v>45</v>
      </c>
      <c r="AI224" s="16" t="s">
        <v>45</v>
      </c>
      <c r="AJ224" s="16" t="s">
        <v>45</v>
      </c>
      <c r="AK224" s="16" t="s">
        <v>45</v>
      </c>
      <c r="AL224" s="10" t="s">
        <v>49</v>
      </c>
      <c r="AM224" s="16" t="s">
        <v>45</v>
      </c>
      <c r="AN224" s="10" t="s">
        <v>50</v>
      </c>
    </row>
    <row r="225" ht="30.0" customHeight="1">
      <c r="A225" s="9" t="str">
        <f t="shared" si="1"/>
        <v>N/I</v>
      </c>
      <c r="B225" s="9" t="str">
        <f t="shared" si="2"/>
        <v>Ativo</v>
      </c>
      <c r="C225" s="9" t="str">
        <f t="shared" si="3"/>
        <v>N/I</v>
      </c>
      <c r="D225" s="10" t="s">
        <v>414</v>
      </c>
      <c r="E225" s="11" t="s">
        <v>415</v>
      </c>
      <c r="F225" s="11" t="s">
        <v>416</v>
      </c>
      <c r="G225" s="12" t="s">
        <v>94</v>
      </c>
      <c r="H225" s="34" t="s">
        <v>425</v>
      </c>
      <c r="I225" s="12" t="s">
        <v>246</v>
      </c>
      <c r="J225" s="10" t="s">
        <v>247</v>
      </c>
      <c r="K225" s="10" t="s">
        <v>190</v>
      </c>
      <c r="L225" s="10" t="s">
        <v>264</v>
      </c>
      <c r="M225" s="14">
        <v>43971.0</v>
      </c>
      <c r="N225" s="32" t="s">
        <v>418</v>
      </c>
      <c r="O225" s="10" t="s">
        <v>419</v>
      </c>
      <c r="P225" s="12" t="s">
        <v>420</v>
      </c>
      <c r="Q225" s="2"/>
      <c r="R225" s="15"/>
      <c r="S225" s="15"/>
      <c r="T225" s="15"/>
      <c r="U225" s="15"/>
      <c r="V225" s="2"/>
      <c r="W225" s="10">
        <v>12.0</v>
      </c>
      <c r="X225" s="14">
        <v>45525.0</v>
      </c>
      <c r="Y225" s="14">
        <v>46254.0</v>
      </c>
      <c r="Z225" s="10">
        <f t="shared" si="12"/>
        <v>163</v>
      </c>
      <c r="AA225" s="1"/>
      <c r="AB225" s="15"/>
      <c r="AC225" s="15"/>
      <c r="AD225" s="15"/>
      <c r="AE225" s="15"/>
      <c r="AF225" s="2"/>
      <c r="AG225" s="16" t="s">
        <v>45</v>
      </c>
      <c r="AH225" s="16" t="s">
        <v>45</v>
      </c>
      <c r="AI225" s="16" t="s">
        <v>45</v>
      </c>
      <c r="AJ225" s="16" t="s">
        <v>45</v>
      </c>
      <c r="AK225" s="16" t="s">
        <v>45</v>
      </c>
      <c r="AL225" s="10" t="s">
        <v>49</v>
      </c>
      <c r="AM225" s="16" t="s">
        <v>45</v>
      </c>
      <c r="AN225" s="10" t="s">
        <v>50</v>
      </c>
    </row>
    <row r="226" ht="30.0" customHeight="1">
      <c r="A226" s="9" t="str">
        <f t="shared" si="1"/>
        <v>N/I</v>
      </c>
      <c r="B226" s="9" t="str">
        <f t="shared" si="2"/>
        <v>Ativo</v>
      </c>
      <c r="C226" s="9" t="str">
        <f t="shared" si="3"/>
        <v>N/I</v>
      </c>
      <c r="D226" s="10" t="s">
        <v>414</v>
      </c>
      <c r="E226" s="11" t="s">
        <v>415</v>
      </c>
      <c r="F226" s="11" t="s">
        <v>416</v>
      </c>
      <c r="G226" s="12" t="s">
        <v>94</v>
      </c>
      <c r="H226" s="34" t="s">
        <v>426</v>
      </c>
      <c r="I226" s="12" t="s">
        <v>246</v>
      </c>
      <c r="J226" s="10" t="s">
        <v>247</v>
      </c>
      <c r="K226" s="10" t="s">
        <v>190</v>
      </c>
      <c r="L226" s="10" t="s">
        <v>264</v>
      </c>
      <c r="M226" s="14">
        <v>43971.0</v>
      </c>
      <c r="N226" s="32" t="s">
        <v>418</v>
      </c>
      <c r="O226" s="10" t="s">
        <v>419</v>
      </c>
      <c r="P226" s="12" t="s">
        <v>420</v>
      </c>
      <c r="Q226" s="2"/>
      <c r="R226" s="15"/>
      <c r="S226" s="15"/>
      <c r="T226" s="15"/>
      <c r="U226" s="15"/>
      <c r="V226" s="2"/>
      <c r="W226" s="10">
        <v>12.0</v>
      </c>
      <c r="X226" s="14">
        <v>45525.0</v>
      </c>
      <c r="Y226" s="14">
        <v>46254.0</v>
      </c>
      <c r="Z226" s="10">
        <f t="shared" si="12"/>
        <v>163</v>
      </c>
      <c r="AA226" s="1"/>
      <c r="AB226" s="15"/>
      <c r="AC226" s="15"/>
      <c r="AD226" s="15"/>
      <c r="AE226" s="15"/>
      <c r="AF226" s="2"/>
      <c r="AG226" s="16" t="s">
        <v>45</v>
      </c>
      <c r="AH226" s="16" t="s">
        <v>45</v>
      </c>
      <c r="AI226" s="16" t="s">
        <v>45</v>
      </c>
      <c r="AJ226" s="16" t="s">
        <v>45</v>
      </c>
      <c r="AK226" s="16" t="s">
        <v>45</v>
      </c>
      <c r="AL226" s="10" t="s">
        <v>49</v>
      </c>
      <c r="AM226" s="16" t="s">
        <v>45</v>
      </c>
      <c r="AN226" s="10" t="s">
        <v>50</v>
      </c>
    </row>
    <row r="227" ht="30.0" customHeight="1">
      <c r="A227" s="9" t="str">
        <f t="shared" si="1"/>
        <v>N/I</v>
      </c>
      <c r="B227" s="9" t="str">
        <f t="shared" si="2"/>
        <v>Ativo</v>
      </c>
      <c r="C227" s="9" t="str">
        <f t="shared" si="3"/>
        <v>N/I</v>
      </c>
      <c r="D227" s="10" t="s">
        <v>414</v>
      </c>
      <c r="E227" s="11" t="s">
        <v>415</v>
      </c>
      <c r="F227" s="11" t="s">
        <v>416</v>
      </c>
      <c r="G227" s="12" t="s">
        <v>94</v>
      </c>
      <c r="H227" s="34" t="s">
        <v>427</v>
      </c>
      <c r="I227" s="12" t="s">
        <v>246</v>
      </c>
      <c r="J227" s="10" t="s">
        <v>247</v>
      </c>
      <c r="K227" s="10" t="s">
        <v>190</v>
      </c>
      <c r="L227" s="10" t="s">
        <v>264</v>
      </c>
      <c r="M227" s="14">
        <v>43971.0</v>
      </c>
      <c r="N227" s="32" t="s">
        <v>418</v>
      </c>
      <c r="O227" s="10" t="s">
        <v>419</v>
      </c>
      <c r="P227" s="12" t="s">
        <v>420</v>
      </c>
      <c r="Q227" s="2"/>
      <c r="R227" s="15"/>
      <c r="S227" s="15"/>
      <c r="T227" s="15"/>
      <c r="U227" s="15"/>
      <c r="V227" s="2"/>
      <c r="W227" s="10">
        <v>12.0</v>
      </c>
      <c r="X227" s="14">
        <v>45525.0</v>
      </c>
      <c r="Y227" s="14">
        <v>46254.0</v>
      </c>
      <c r="Z227" s="10">
        <f t="shared" si="12"/>
        <v>163</v>
      </c>
      <c r="AA227" s="1"/>
      <c r="AB227" s="15"/>
      <c r="AC227" s="15"/>
      <c r="AD227" s="15"/>
      <c r="AE227" s="15"/>
      <c r="AF227" s="2"/>
      <c r="AG227" s="16" t="s">
        <v>45</v>
      </c>
      <c r="AH227" s="16" t="s">
        <v>45</v>
      </c>
      <c r="AI227" s="16" t="s">
        <v>45</v>
      </c>
      <c r="AJ227" s="16" t="s">
        <v>45</v>
      </c>
      <c r="AK227" s="16" t="s">
        <v>45</v>
      </c>
      <c r="AL227" s="10" t="s">
        <v>49</v>
      </c>
      <c r="AM227" s="16" t="s">
        <v>45</v>
      </c>
      <c r="AN227" s="10" t="s">
        <v>50</v>
      </c>
    </row>
    <row r="228" ht="30.0" customHeight="1">
      <c r="A228" s="9" t="str">
        <f t="shared" si="1"/>
        <v>N/I</v>
      </c>
      <c r="B228" s="9" t="str">
        <f t="shared" si="2"/>
        <v>Ativo</v>
      </c>
      <c r="C228" s="9" t="str">
        <f t="shared" si="3"/>
        <v>N/I</v>
      </c>
      <c r="D228" s="10" t="s">
        <v>414</v>
      </c>
      <c r="E228" s="11" t="s">
        <v>415</v>
      </c>
      <c r="F228" s="11" t="s">
        <v>416</v>
      </c>
      <c r="G228" s="12" t="s">
        <v>94</v>
      </c>
      <c r="H228" s="34" t="s">
        <v>428</v>
      </c>
      <c r="I228" s="12" t="s">
        <v>246</v>
      </c>
      <c r="J228" s="10" t="s">
        <v>247</v>
      </c>
      <c r="K228" s="10" t="s">
        <v>190</v>
      </c>
      <c r="L228" s="10" t="s">
        <v>264</v>
      </c>
      <c r="M228" s="14">
        <v>43971.0</v>
      </c>
      <c r="N228" s="32" t="s">
        <v>418</v>
      </c>
      <c r="O228" s="10" t="s">
        <v>419</v>
      </c>
      <c r="P228" s="12" t="s">
        <v>420</v>
      </c>
      <c r="Q228" s="2"/>
      <c r="R228" s="15"/>
      <c r="S228" s="15"/>
      <c r="T228" s="15"/>
      <c r="U228" s="15"/>
      <c r="V228" s="2"/>
      <c r="W228" s="10">
        <v>12.0</v>
      </c>
      <c r="X228" s="14">
        <v>45525.0</v>
      </c>
      <c r="Y228" s="14">
        <v>46254.0</v>
      </c>
      <c r="Z228" s="10">
        <f t="shared" si="12"/>
        <v>163</v>
      </c>
      <c r="AA228" s="1"/>
      <c r="AB228" s="15"/>
      <c r="AC228" s="15"/>
      <c r="AD228" s="15"/>
      <c r="AE228" s="15"/>
      <c r="AF228" s="2"/>
      <c r="AG228" s="16" t="s">
        <v>45</v>
      </c>
      <c r="AH228" s="16" t="s">
        <v>45</v>
      </c>
      <c r="AI228" s="16" t="s">
        <v>45</v>
      </c>
      <c r="AJ228" s="16" t="s">
        <v>45</v>
      </c>
      <c r="AK228" s="16" t="s">
        <v>45</v>
      </c>
      <c r="AL228" s="10" t="s">
        <v>49</v>
      </c>
      <c r="AM228" s="16" t="s">
        <v>45</v>
      </c>
      <c r="AN228" s="10" t="s">
        <v>50</v>
      </c>
    </row>
    <row r="229" ht="30.0" customHeight="1">
      <c r="A229" s="9" t="str">
        <f t="shared" si="1"/>
        <v>N/I</v>
      </c>
      <c r="B229" s="9" t="str">
        <f t="shared" si="2"/>
        <v>Ativo</v>
      </c>
      <c r="C229" s="9" t="str">
        <f t="shared" si="3"/>
        <v>N/I</v>
      </c>
      <c r="D229" s="10" t="s">
        <v>414</v>
      </c>
      <c r="E229" s="11" t="s">
        <v>415</v>
      </c>
      <c r="F229" s="11" t="s">
        <v>416</v>
      </c>
      <c r="G229" s="12" t="s">
        <v>94</v>
      </c>
      <c r="H229" s="34" t="s">
        <v>429</v>
      </c>
      <c r="I229" s="12" t="s">
        <v>246</v>
      </c>
      <c r="J229" s="10" t="s">
        <v>247</v>
      </c>
      <c r="K229" s="10" t="s">
        <v>190</v>
      </c>
      <c r="L229" s="10" t="s">
        <v>264</v>
      </c>
      <c r="M229" s="14">
        <v>43971.0</v>
      </c>
      <c r="N229" s="32" t="s">
        <v>418</v>
      </c>
      <c r="O229" s="10" t="s">
        <v>419</v>
      </c>
      <c r="P229" s="12" t="s">
        <v>420</v>
      </c>
      <c r="Q229" s="2"/>
      <c r="R229" s="15"/>
      <c r="S229" s="15"/>
      <c r="T229" s="15"/>
      <c r="U229" s="15"/>
      <c r="V229" s="2"/>
      <c r="W229" s="10">
        <v>12.0</v>
      </c>
      <c r="X229" s="14">
        <v>45525.0</v>
      </c>
      <c r="Y229" s="14">
        <v>46254.0</v>
      </c>
      <c r="Z229" s="10">
        <f t="shared" si="12"/>
        <v>163</v>
      </c>
      <c r="AA229" s="1"/>
      <c r="AB229" s="15"/>
      <c r="AC229" s="15"/>
      <c r="AD229" s="15"/>
      <c r="AE229" s="15"/>
      <c r="AF229" s="2"/>
      <c r="AG229" s="16" t="s">
        <v>45</v>
      </c>
      <c r="AH229" s="16" t="s">
        <v>45</v>
      </c>
      <c r="AI229" s="16" t="s">
        <v>45</v>
      </c>
      <c r="AJ229" s="16" t="s">
        <v>45</v>
      </c>
      <c r="AK229" s="16" t="s">
        <v>45</v>
      </c>
      <c r="AL229" s="10" t="s">
        <v>49</v>
      </c>
      <c r="AM229" s="16" t="s">
        <v>45</v>
      </c>
      <c r="AN229" s="10" t="s">
        <v>50</v>
      </c>
    </row>
    <row r="230" ht="30.0" customHeight="1">
      <c r="A230" s="9" t="str">
        <f t="shared" si="1"/>
        <v>N/I</v>
      </c>
      <c r="B230" s="9" t="str">
        <f t="shared" si="2"/>
        <v>Ativo</v>
      </c>
      <c r="C230" s="9" t="str">
        <f t="shared" si="3"/>
        <v>N/I</v>
      </c>
      <c r="D230" s="10" t="s">
        <v>414</v>
      </c>
      <c r="E230" s="11" t="s">
        <v>415</v>
      </c>
      <c r="F230" s="11" t="s">
        <v>416</v>
      </c>
      <c r="G230" s="12" t="s">
        <v>94</v>
      </c>
      <c r="H230" s="34" t="s">
        <v>430</v>
      </c>
      <c r="I230" s="12" t="s">
        <v>246</v>
      </c>
      <c r="J230" s="10" t="s">
        <v>247</v>
      </c>
      <c r="K230" s="10" t="s">
        <v>190</v>
      </c>
      <c r="L230" s="10" t="s">
        <v>264</v>
      </c>
      <c r="M230" s="14">
        <v>43971.0</v>
      </c>
      <c r="N230" s="32" t="s">
        <v>418</v>
      </c>
      <c r="O230" s="10" t="s">
        <v>419</v>
      </c>
      <c r="P230" s="12" t="s">
        <v>420</v>
      </c>
      <c r="Q230" s="2"/>
      <c r="R230" s="15"/>
      <c r="S230" s="15"/>
      <c r="T230" s="15"/>
      <c r="U230" s="15"/>
      <c r="V230" s="2"/>
      <c r="W230" s="10">
        <v>12.0</v>
      </c>
      <c r="X230" s="14">
        <v>45525.0</v>
      </c>
      <c r="Y230" s="14">
        <v>46254.0</v>
      </c>
      <c r="Z230" s="10">
        <f t="shared" si="12"/>
        <v>163</v>
      </c>
      <c r="AA230" s="1"/>
      <c r="AB230" s="15"/>
      <c r="AC230" s="15"/>
      <c r="AD230" s="15"/>
      <c r="AE230" s="15"/>
      <c r="AF230" s="2"/>
      <c r="AG230" s="16" t="s">
        <v>45</v>
      </c>
      <c r="AH230" s="16" t="s">
        <v>45</v>
      </c>
      <c r="AI230" s="16" t="s">
        <v>45</v>
      </c>
      <c r="AJ230" s="16" t="s">
        <v>45</v>
      </c>
      <c r="AK230" s="16" t="s">
        <v>45</v>
      </c>
      <c r="AL230" s="10" t="s">
        <v>49</v>
      </c>
      <c r="AM230" s="16" t="s">
        <v>45</v>
      </c>
      <c r="AN230" s="10" t="s">
        <v>50</v>
      </c>
    </row>
    <row r="231" ht="30.0" customHeight="1">
      <c r="A231" s="9" t="str">
        <f t="shared" si="1"/>
        <v>N/I</v>
      </c>
      <c r="B231" s="9" t="str">
        <f t="shared" si="2"/>
        <v>Ativo</v>
      </c>
      <c r="C231" s="9" t="str">
        <f t="shared" si="3"/>
        <v>N/I</v>
      </c>
      <c r="D231" s="10" t="s">
        <v>414</v>
      </c>
      <c r="E231" s="11" t="s">
        <v>415</v>
      </c>
      <c r="F231" s="11" t="s">
        <v>416</v>
      </c>
      <c r="G231" s="12" t="s">
        <v>94</v>
      </c>
      <c r="H231" s="34" t="s">
        <v>431</v>
      </c>
      <c r="I231" s="12" t="s">
        <v>246</v>
      </c>
      <c r="J231" s="10" t="s">
        <v>247</v>
      </c>
      <c r="K231" s="10" t="s">
        <v>190</v>
      </c>
      <c r="L231" s="10" t="s">
        <v>264</v>
      </c>
      <c r="M231" s="14">
        <v>43971.0</v>
      </c>
      <c r="N231" s="32" t="s">
        <v>418</v>
      </c>
      <c r="O231" s="10" t="s">
        <v>419</v>
      </c>
      <c r="P231" s="12" t="s">
        <v>420</v>
      </c>
      <c r="Q231" s="2"/>
      <c r="R231" s="15"/>
      <c r="S231" s="15"/>
      <c r="T231" s="15"/>
      <c r="U231" s="15"/>
      <c r="V231" s="2"/>
      <c r="W231" s="10">
        <v>12.0</v>
      </c>
      <c r="X231" s="14">
        <v>45525.0</v>
      </c>
      <c r="Y231" s="14">
        <v>46254.0</v>
      </c>
      <c r="Z231" s="10">
        <f t="shared" si="12"/>
        <v>163</v>
      </c>
      <c r="AA231" s="1"/>
      <c r="AB231" s="15"/>
      <c r="AC231" s="15"/>
      <c r="AD231" s="15"/>
      <c r="AE231" s="15"/>
      <c r="AF231" s="2"/>
      <c r="AG231" s="16" t="s">
        <v>45</v>
      </c>
      <c r="AH231" s="16" t="s">
        <v>45</v>
      </c>
      <c r="AI231" s="16" t="s">
        <v>45</v>
      </c>
      <c r="AJ231" s="16" t="s">
        <v>45</v>
      </c>
      <c r="AK231" s="16" t="s">
        <v>45</v>
      </c>
      <c r="AL231" s="10" t="s">
        <v>49</v>
      </c>
      <c r="AM231" s="16" t="s">
        <v>45</v>
      </c>
      <c r="AN231" s="10" t="s">
        <v>50</v>
      </c>
    </row>
    <row r="232" ht="30.0" customHeight="1">
      <c r="A232" s="9" t="str">
        <f t="shared" si="1"/>
        <v>N/I</v>
      </c>
      <c r="B232" s="9" t="str">
        <f t="shared" si="2"/>
        <v>Ativo</v>
      </c>
      <c r="C232" s="9" t="str">
        <f t="shared" si="3"/>
        <v>N/I</v>
      </c>
      <c r="D232" s="10" t="s">
        <v>414</v>
      </c>
      <c r="E232" s="11" t="s">
        <v>415</v>
      </c>
      <c r="F232" s="11" t="s">
        <v>416</v>
      </c>
      <c r="G232" s="12" t="s">
        <v>94</v>
      </c>
      <c r="H232" s="34" t="s">
        <v>432</v>
      </c>
      <c r="I232" s="12" t="s">
        <v>246</v>
      </c>
      <c r="J232" s="10" t="s">
        <v>247</v>
      </c>
      <c r="K232" s="10" t="s">
        <v>190</v>
      </c>
      <c r="L232" s="10" t="s">
        <v>264</v>
      </c>
      <c r="M232" s="14">
        <v>43971.0</v>
      </c>
      <c r="N232" s="32" t="s">
        <v>418</v>
      </c>
      <c r="O232" s="10" t="s">
        <v>419</v>
      </c>
      <c r="P232" s="12" t="s">
        <v>420</v>
      </c>
      <c r="Q232" s="2"/>
      <c r="R232" s="15"/>
      <c r="S232" s="15"/>
      <c r="T232" s="15"/>
      <c r="U232" s="15"/>
      <c r="V232" s="2"/>
      <c r="W232" s="10">
        <v>12.0</v>
      </c>
      <c r="X232" s="14">
        <v>45525.0</v>
      </c>
      <c r="Y232" s="14">
        <v>46254.0</v>
      </c>
      <c r="Z232" s="10">
        <f t="shared" si="12"/>
        <v>163</v>
      </c>
      <c r="AA232" s="1"/>
      <c r="AB232" s="15"/>
      <c r="AC232" s="15"/>
      <c r="AD232" s="15"/>
      <c r="AE232" s="15"/>
      <c r="AF232" s="2"/>
      <c r="AG232" s="16" t="s">
        <v>45</v>
      </c>
      <c r="AH232" s="16" t="s">
        <v>45</v>
      </c>
      <c r="AI232" s="16" t="s">
        <v>45</v>
      </c>
      <c r="AJ232" s="16" t="s">
        <v>45</v>
      </c>
      <c r="AK232" s="16" t="s">
        <v>45</v>
      </c>
      <c r="AL232" s="10" t="s">
        <v>49</v>
      </c>
      <c r="AM232" s="16" t="s">
        <v>45</v>
      </c>
      <c r="AN232" s="10" t="s">
        <v>50</v>
      </c>
    </row>
    <row r="233" ht="30.0" customHeight="1">
      <c r="A233" s="9" t="str">
        <f t="shared" si="1"/>
        <v>N/I</v>
      </c>
      <c r="B233" s="9" t="str">
        <f t="shared" si="2"/>
        <v>Ativo</v>
      </c>
      <c r="C233" s="9" t="str">
        <f t="shared" si="3"/>
        <v>N/I</v>
      </c>
      <c r="D233" s="10" t="s">
        <v>414</v>
      </c>
      <c r="E233" s="11" t="s">
        <v>415</v>
      </c>
      <c r="F233" s="11" t="s">
        <v>416</v>
      </c>
      <c r="G233" s="12" t="s">
        <v>94</v>
      </c>
      <c r="H233" s="34" t="s">
        <v>433</v>
      </c>
      <c r="I233" s="12" t="s">
        <v>246</v>
      </c>
      <c r="J233" s="10" t="s">
        <v>247</v>
      </c>
      <c r="K233" s="10" t="s">
        <v>190</v>
      </c>
      <c r="L233" s="10" t="s">
        <v>264</v>
      </c>
      <c r="M233" s="14">
        <v>43971.0</v>
      </c>
      <c r="N233" s="32" t="s">
        <v>418</v>
      </c>
      <c r="O233" s="10" t="s">
        <v>419</v>
      </c>
      <c r="P233" s="12" t="s">
        <v>420</v>
      </c>
      <c r="Q233" s="2"/>
      <c r="R233" s="15"/>
      <c r="S233" s="15"/>
      <c r="T233" s="15"/>
      <c r="U233" s="15"/>
      <c r="V233" s="2"/>
      <c r="W233" s="10">
        <v>12.0</v>
      </c>
      <c r="X233" s="14">
        <v>45525.0</v>
      </c>
      <c r="Y233" s="14">
        <v>46254.0</v>
      </c>
      <c r="Z233" s="10">
        <f t="shared" si="12"/>
        <v>163</v>
      </c>
      <c r="AA233" s="1"/>
      <c r="AB233" s="15"/>
      <c r="AC233" s="15"/>
      <c r="AD233" s="15"/>
      <c r="AE233" s="15"/>
      <c r="AF233" s="2"/>
      <c r="AG233" s="16" t="s">
        <v>45</v>
      </c>
      <c r="AH233" s="16" t="s">
        <v>45</v>
      </c>
      <c r="AI233" s="16" t="s">
        <v>45</v>
      </c>
      <c r="AJ233" s="16" t="s">
        <v>45</v>
      </c>
      <c r="AK233" s="16" t="s">
        <v>45</v>
      </c>
      <c r="AL233" s="10" t="s">
        <v>49</v>
      </c>
      <c r="AM233" s="16" t="s">
        <v>45</v>
      </c>
      <c r="AN233" s="10" t="s">
        <v>50</v>
      </c>
    </row>
    <row r="234" ht="30.0" customHeight="1">
      <c r="A234" s="9" t="str">
        <f t="shared" si="1"/>
        <v>N/I</v>
      </c>
      <c r="B234" s="9" t="str">
        <f t="shared" si="2"/>
        <v>Ativo</v>
      </c>
      <c r="C234" s="9" t="str">
        <f t="shared" si="3"/>
        <v>N/I</v>
      </c>
      <c r="D234" s="10" t="s">
        <v>414</v>
      </c>
      <c r="E234" s="11" t="s">
        <v>415</v>
      </c>
      <c r="F234" s="11" t="s">
        <v>416</v>
      </c>
      <c r="G234" s="12" t="s">
        <v>94</v>
      </c>
      <c r="H234" s="34" t="s">
        <v>434</v>
      </c>
      <c r="I234" s="12" t="s">
        <v>246</v>
      </c>
      <c r="J234" s="10" t="s">
        <v>247</v>
      </c>
      <c r="K234" s="10" t="s">
        <v>190</v>
      </c>
      <c r="L234" s="10" t="s">
        <v>264</v>
      </c>
      <c r="M234" s="14">
        <v>43971.0</v>
      </c>
      <c r="N234" s="32" t="s">
        <v>418</v>
      </c>
      <c r="O234" s="10" t="s">
        <v>419</v>
      </c>
      <c r="P234" s="12" t="s">
        <v>420</v>
      </c>
      <c r="Q234" s="2"/>
      <c r="R234" s="15"/>
      <c r="S234" s="15"/>
      <c r="T234" s="15"/>
      <c r="U234" s="15"/>
      <c r="V234" s="2"/>
      <c r="W234" s="10">
        <v>12.0</v>
      </c>
      <c r="X234" s="14">
        <v>45525.0</v>
      </c>
      <c r="Y234" s="14">
        <v>46254.0</v>
      </c>
      <c r="Z234" s="10">
        <f t="shared" si="12"/>
        <v>163</v>
      </c>
      <c r="AA234" s="1"/>
      <c r="AB234" s="15"/>
      <c r="AC234" s="15"/>
      <c r="AD234" s="15"/>
      <c r="AE234" s="15"/>
      <c r="AF234" s="2"/>
      <c r="AG234" s="16" t="s">
        <v>45</v>
      </c>
      <c r="AH234" s="16" t="s">
        <v>45</v>
      </c>
      <c r="AI234" s="16" t="s">
        <v>45</v>
      </c>
      <c r="AJ234" s="16" t="s">
        <v>45</v>
      </c>
      <c r="AK234" s="16" t="s">
        <v>45</v>
      </c>
      <c r="AL234" s="10" t="s">
        <v>49</v>
      </c>
      <c r="AM234" s="16" t="s">
        <v>45</v>
      </c>
      <c r="AN234" s="10" t="s">
        <v>50</v>
      </c>
    </row>
    <row r="235" ht="30.0" customHeight="1">
      <c r="A235" s="9" t="str">
        <f t="shared" si="1"/>
        <v>Ativo</v>
      </c>
      <c r="B235" s="9" t="str">
        <f t="shared" si="2"/>
        <v>N/I</v>
      </c>
      <c r="C235" s="9" t="str">
        <f t="shared" si="3"/>
        <v>N/I</v>
      </c>
      <c r="D235" s="10" t="s">
        <v>414</v>
      </c>
      <c r="E235" s="11" t="s">
        <v>415</v>
      </c>
      <c r="F235" s="11" t="s">
        <v>435</v>
      </c>
      <c r="G235" s="12" t="s">
        <v>94</v>
      </c>
      <c r="H235" s="13" t="s">
        <v>436</v>
      </c>
      <c r="I235" s="12" t="s">
        <v>246</v>
      </c>
      <c r="J235" s="10" t="s">
        <v>247</v>
      </c>
      <c r="K235" s="10" t="s">
        <v>190</v>
      </c>
      <c r="L235" s="10" t="s">
        <v>4</v>
      </c>
      <c r="M235" s="14">
        <v>45371.0</v>
      </c>
      <c r="N235" s="11" t="s">
        <v>437</v>
      </c>
      <c r="O235" s="10" t="s">
        <v>438</v>
      </c>
      <c r="P235" s="10" t="s">
        <v>439</v>
      </c>
      <c r="Q235" s="2"/>
      <c r="R235" s="10">
        <v>36.0</v>
      </c>
      <c r="S235" s="14">
        <v>45371.0</v>
      </c>
      <c r="T235" s="14">
        <v>46465.0</v>
      </c>
      <c r="U235" s="10">
        <f t="shared" ref="U235:U261" si="13">T235-TODAY()</f>
        <v>374</v>
      </c>
      <c r="V235" s="2"/>
      <c r="W235" s="15"/>
      <c r="X235" s="15"/>
      <c r="Y235" s="15"/>
      <c r="Z235" s="15"/>
      <c r="AA235" s="1"/>
      <c r="AB235" s="15"/>
      <c r="AC235" s="15"/>
      <c r="AD235" s="15"/>
      <c r="AE235" s="15"/>
      <c r="AF235" s="2"/>
      <c r="AG235" s="10" t="s">
        <v>440</v>
      </c>
      <c r="AH235" s="12" t="s">
        <v>46</v>
      </c>
      <c r="AI235" s="10" t="s">
        <v>441</v>
      </c>
      <c r="AJ235" s="10" t="s">
        <v>442</v>
      </c>
      <c r="AK235" s="16" t="s">
        <v>45</v>
      </c>
      <c r="AL235" s="10" t="s">
        <v>49</v>
      </c>
      <c r="AM235" s="16" t="s">
        <v>45</v>
      </c>
      <c r="AN235" s="10" t="s">
        <v>50</v>
      </c>
    </row>
    <row r="236" ht="30.0" customHeight="1">
      <c r="A236" s="9" t="str">
        <f t="shared" si="1"/>
        <v>Ativo</v>
      </c>
      <c r="B236" s="9" t="str">
        <f t="shared" si="2"/>
        <v>N/I</v>
      </c>
      <c r="C236" s="9" t="str">
        <f t="shared" si="3"/>
        <v>N/I</v>
      </c>
      <c r="D236" s="10" t="s">
        <v>414</v>
      </c>
      <c r="E236" s="11" t="s">
        <v>415</v>
      </c>
      <c r="F236" s="11" t="s">
        <v>443</v>
      </c>
      <c r="G236" s="12" t="s">
        <v>94</v>
      </c>
      <c r="H236" s="13" t="s">
        <v>444</v>
      </c>
      <c r="I236" s="12" t="s">
        <v>246</v>
      </c>
      <c r="J236" s="10" t="s">
        <v>247</v>
      </c>
      <c r="K236" s="10" t="s">
        <v>190</v>
      </c>
      <c r="L236" s="10" t="s">
        <v>4</v>
      </c>
      <c r="M236" s="14">
        <v>45371.0</v>
      </c>
      <c r="N236" s="11" t="s">
        <v>437</v>
      </c>
      <c r="O236" s="10" t="s">
        <v>438</v>
      </c>
      <c r="P236" s="10" t="s">
        <v>439</v>
      </c>
      <c r="Q236" s="2"/>
      <c r="R236" s="10">
        <v>36.0</v>
      </c>
      <c r="T236" s="14">
        <v>46465.0</v>
      </c>
      <c r="U236" s="10">
        <f t="shared" si="13"/>
        <v>374</v>
      </c>
      <c r="V236" s="2"/>
      <c r="W236" s="15"/>
      <c r="X236" s="15"/>
      <c r="Y236" s="15"/>
      <c r="Z236" s="15"/>
      <c r="AA236" s="1"/>
      <c r="AB236" s="15"/>
      <c r="AC236" s="15"/>
      <c r="AD236" s="15"/>
      <c r="AE236" s="15"/>
      <c r="AF236" s="2"/>
      <c r="AG236" s="10" t="s">
        <v>440</v>
      </c>
      <c r="AH236" s="12" t="s">
        <v>46</v>
      </c>
      <c r="AI236" s="10" t="s">
        <v>441</v>
      </c>
      <c r="AJ236" s="10" t="s">
        <v>442</v>
      </c>
      <c r="AK236" s="16" t="s">
        <v>45</v>
      </c>
      <c r="AL236" s="10" t="s">
        <v>49</v>
      </c>
      <c r="AM236" s="16" t="s">
        <v>45</v>
      </c>
      <c r="AN236" s="10" t="s">
        <v>50</v>
      </c>
    </row>
    <row r="237" ht="30.0" customHeight="1">
      <c r="A237" s="9" t="str">
        <f t="shared" si="1"/>
        <v>Inativo</v>
      </c>
      <c r="B237" s="9" t="str">
        <f t="shared" si="2"/>
        <v>N/I</v>
      </c>
      <c r="C237" s="9" t="str">
        <f t="shared" si="3"/>
        <v>N/I</v>
      </c>
      <c r="D237" s="10" t="s">
        <v>445</v>
      </c>
      <c r="E237" s="11" t="s">
        <v>446</v>
      </c>
      <c r="F237" s="11" t="s">
        <v>447</v>
      </c>
      <c r="G237" s="12" t="s">
        <v>448</v>
      </c>
      <c r="H237" s="27">
        <v>170108.0</v>
      </c>
      <c r="I237" s="12" t="s">
        <v>380</v>
      </c>
      <c r="J237" s="10" t="s">
        <v>197</v>
      </c>
      <c r="K237" s="10" t="s">
        <v>40</v>
      </c>
      <c r="L237" s="10" t="s">
        <v>4</v>
      </c>
      <c r="M237" s="14">
        <v>43553.0</v>
      </c>
      <c r="N237" s="11" t="s">
        <v>449</v>
      </c>
      <c r="O237" s="10" t="s">
        <v>450</v>
      </c>
      <c r="P237" s="10" t="s">
        <v>451</v>
      </c>
      <c r="Q237" s="2"/>
      <c r="R237" s="10">
        <v>36.0</v>
      </c>
      <c r="T237" s="14">
        <v>44652.0</v>
      </c>
      <c r="U237" s="10">
        <f t="shared" si="13"/>
        <v>-1439</v>
      </c>
      <c r="V237" s="2"/>
      <c r="W237" s="15"/>
      <c r="X237" s="15"/>
      <c r="Y237" s="15"/>
      <c r="Z237" s="15"/>
      <c r="AA237" s="1"/>
      <c r="AB237" s="15"/>
      <c r="AC237" s="15"/>
      <c r="AD237" s="15"/>
      <c r="AE237" s="15"/>
      <c r="AF237" s="2"/>
      <c r="AG237" s="16" t="s">
        <v>45</v>
      </c>
      <c r="AH237" s="16" t="s">
        <v>45</v>
      </c>
      <c r="AI237" s="16" t="s">
        <v>45</v>
      </c>
      <c r="AJ237" s="16" t="s">
        <v>45</v>
      </c>
      <c r="AK237" s="16" t="s">
        <v>45</v>
      </c>
      <c r="AL237" s="16" t="s">
        <v>45</v>
      </c>
      <c r="AM237" s="16" t="s">
        <v>45</v>
      </c>
      <c r="AN237" s="16" t="s">
        <v>45</v>
      </c>
    </row>
    <row r="238" ht="30.0" customHeight="1">
      <c r="A238" s="9" t="str">
        <f t="shared" si="1"/>
        <v>Inativo</v>
      </c>
      <c r="B238" s="9" t="str">
        <f t="shared" si="2"/>
        <v>N/I</v>
      </c>
      <c r="C238" s="9" t="str">
        <f t="shared" si="3"/>
        <v>N/I</v>
      </c>
      <c r="D238" s="10" t="s">
        <v>452</v>
      </c>
      <c r="E238" s="11" t="s">
        <v>453</v>
      </c>
      <c r="F238" s="11"/>
      <c r="G238" s="12" t="s">
        <v>94</v>
      </c>
      <c r="H238" s="34" t="s">
        <v>454</v>
      </c>
      <c r="I238" s="12" t="s">
        <v>213</v>
      </c>
      <c r="J238" s="10" t="s">
        <v>208</v>
      </c>
      <c r="K238" s="10" t="s">
        <v>209</v>
      </c>
      <c r="L238" s="10" t="s">
        <v>4</v>
      </c>
      <c r="M238" s="14">
        <v>45028.0</v>
      </c>
      <c r="N238" s="11" t="s">
        <v>455</v>
      </c>
      <c r="O238" s="10" t="s">
        <v>456</v>
      </c>
      <c r="P238" s="10" t="s">
        <v>457</v>
      </c>
      <c r="Q238" s="2"/>
      <c r="R238" s="10">
        <v>12.0</v>
      </c>
      <c r="S238" s="35" t="s">
        <v>458</v>
      </c>
      <c r="T238" s="14">
        <v>45394.0</v>
      </c>
      <c r="U238" s="10">
        <f t="shared" si="13"/>
        <v>-697</v>
      </c>
      <c r="V238" s="2"/>
      <c r="W238" s="15"/>
      <c r="X238" s="15"/>
      <c r="Y238" s="15"/>
      <c r="Z238" s="15"/>
      <c r="AA238" s="1"/>
      <c r="AB238" s="15"/>
      <c r="AC238" s="15"/>
      <c r="AD238" s="15"/>
      <c r="AE238" s="15"/>
      <c r="AF238" s="2"/>
      <c r="AG238" s="16" t="s">
        <v>45</v>
      </c>
      <c r="AH238" s="16" t="s">
        <v>45</v>
      </c>
      <c r="AI238" s="16" t="s">
        <v>45</v>
      </c>
      <c r="AJ238" s="16" t="s">
        <v>45</v>
      </c>
      <c r="AK238" s="16" t="s">
        <v>45</v>
      </c>
      <c r="AL238" s="10" t="s">
        <v>49</v>
      </c>
      <c r="AM238" s="16" t="s">
        <v>45</v>
      </c>
      <c r="AN238" s="16" t="s">
        <v>45</v>
      </c>
    </row>
    <row r="239" ht="30.0" customHeight="1">
      <c r="A239" s="9" t="str">
        <f t="shared" si="1"/>
        <v>Inativo</v>
      </c>
      <c r="B239" s="9" t="str">
        <f t="shared" si="2"/>
        <v>N/I</v>
      </c>
      <c r="C239" s="9" t="str">
        <f t="shared" si="3"/>
        <v>N/I</v>
      </c>
      <c r="D239" s="10" t="s">
        <v>459</v>
      </c>
      <c r="E239" s="11" t="s">
        <v>460</v>
      </c>
      <c r="F239" s="11" t="s">
        <v>461</v>
      </c>
      <c r="G239" s="12" t="s">
        <v>52</v>
      </c>
      <c r="H239" s="34" t="s">
        <v>462</v>
      </c>
      <c r="I239" s="12" t="s">
        <v>463</v>
      </c>
      <c r="J239" s="10" t="s">
        <v>222</v>
      </c>
      <c r="K239" s="10" t="s">
        <v>40</v>
      </c>
      <c r="L239" s="10" t="s">
        <v>4</v>
      </c>
      <c r="M239" s="14">
        <v>45240.0</v>
      </c>
      <c r="N239" s="32" t="s">
        <v>464</v>
      </c>
      <c r="O239" s="10" t="s">
        <v>465</v>
      </c>
      <c r="P239" s="10" t="s">
        <v>466</v>
      </c>
      <c r="Q239" s="2"/>
      <c r="R239" s="10">
        <v>24.0</v>
      </c>
      <c r="T239" s="14">
        <v>45970.0</v>
      </c>
      <c r="U239" s="10">
        <f t="shared" si="13"/>
        <v>-121</v>
      </c>
      <c r="V239" s="2"/>
      <c r="W239" s="15"/>
      <c r="X239" s="15"/>
      <c r="Y239" s="15"/>
      <c r="Z239" s="15"/>
      <c r="AA239" s="1"/>
      <c r="AB239" s="15"/>
      <c r="AC239" s="15"/>
      <c r="AD239" s="15"/>
      <c r="AE239" s="15"/>
      <c r="AF239" s="2"/>
      <c r="AG239" s="16" t="s">
        <v>45</v>
      </c>
      <c r="AH239" s="12" t="s">
        <v>46</v>
      </c>
      <c r="AI239" s="10" t="s">
        <v>441</v>
      </c>
      <c r="AJ239" s="10" t="s">
        <v>227</v>
      </c>
      <c r="AK239" s="16" t="s">
        <v>45</v>
      </c>
      <c r="AL239" s="10" t="s">
        <v>49</v>
      </c>
      <c r="AM239" s="16" t="s">
        <v>45</v>
      </c>
      <c r="AN239" s="10" t="s">
        <v>50</v>
      </c>
    </row>
    <row r="240" ht="30.0" customHeight="1">
      <c r="A240" s="9" t="str">
        <f t="shared" si="1"/>
        <v>Inativo</v>
      </c>
      <c r="B240" s="9" t="str">
        <f t="shared" si="2"/>
        <v>N/I</v>
      </c>
      <c r="C240" s="9" t="str">
        <f t="shared" si="3"/>
        <v>N/I</v>
      </c>
      <c r="D240" s="10" t="s">
        <v>459</v>
      </c>
      <c r="E240" s="11" t="s">
        <v>460</v>
      </c>
      <c r="F240" s="11" t="s">
        <v>461</v>
      </c>
      <c r="G240" s="12" t="s">
        <v>52</v>
      </c>
      <c r="H240" s="34" t="s">
        <v>467</v>
      </c>
      <c r="I240" s="12" t="s">
        <v>463</v>
      </c>
      <c r="J240" s="10" t="s">
        <v>222</v>
      </c>
      <c r="K240" s="10" t="s">
        <v>40</v>
      </c>
      <c r="L240" s="10" t="s">
        <v>4</v>
      </c>
      <c r="M240" s="14">
        <v>45240.0</v>
      </c>
      <c r="N240" s="32" t="s">
        <v>464</v>
      </c>
      <c r="O240" s="10" t="s">
        <v>465</v>
      </c>
      <c r="P240" s="10" t="s">
        <v>466</v>
      </c>
      <c r="Q240" s="2"/>
      <c r="R240" s="10">
        <v>24.0</v>
      </c>
      <c r="S240" s="35" t="s">
        <v>468</v>
      </c>
      <c r="T240" s="14">
        <v>45970.0</v>
      </c>
      <c r="U240" s="10">
        <f t="shared" si="13"/>
        <v>-121</v>
      </c>
      <c r="V240" s="2"/>
      <c r="W240" s="15"/>
      <c r="X240" s="15"/>
      <c r="Y240" s="15"/>
      <c r="Z240" s="15"/>
      <c r="AA240" s="1"/>
      <c r="AB240" s="15"/>
      <c r="AC240" s="15"/>
      <c r="AD240" s="15"/>
      <c r="AE240" s="15"/>
      <c r="AF240" s="2"/>
      <c r="AG240" s="16" t="s">
        <v>45</v>
      </c>
      <c r="AH240" s="12" t="s">
        <v>46</v>
      </c>
      <c r="AI240" s="10" t="s">
        <v>441</v>
      </c>
      <c r="AJ240" s="10" t="s">
        <v>227</v>
      </c>
      <c r="AK240" s="16" t="s">
        <v>45</v>
      </c>
      <c r="AL240" s="10" t="s">
        <v>49</v>
      </c>
      <c r="AM240" s="16" t="s">
        <v>45</v>
      </c>
      <c r="AN240" s="10" t="s">
        <v>50</v>
      </c>
    </row>
    <row r="241" ht="30.0" customHeight="1">
      <c r="A241" s="9" t="str">
        <f t="shared" si="1"/>
        <v>Inativo</v>
      </c>
      <c r="B241" s="9" t="str">
        <f t="shared" si="2"/>
        <v>N/I</v>
      </c>
      <c r="C241" s="9" t="str">
        <f t="shared" si="3"/>
        <v>N/I</v>
      </c>
      <c r="D241" s="10" t="s">
        <v>459</v>
      </c>
      <c r="E241" s="11" t="s">
        <v>460</v>
      </c>
      <c r="F241" s="11" t="s">
        <v>461</v>
      </c>
      <c r="G241" s="12" t="s">
        <v>52</v>
      </c>
      <c r="H241" s="34" t="s">
        <v>469</v>
      </c>
      <c r="I241" s="12" t="s">
        <v>463</v>
      </c>
      <c r="J241" s="10" t="s">
        <v>222</v>
      </c>
      <c r="K241" s="10" t="s">
        <v>40</v>
      </c>
      <c r="L241" s="10" t="s">
        <v>4</v>
      </c>
      <c r="M241" s="14">
        <v>45243.0</v>
      </c>
      <c r="N241" s="32" t="s">
        <v>464</v>
      </c>
      <c r="O241" s="10" t="s">
        <v>465</v>
      </c>
      <c r="P241" s="10" t="s">
        <v>466</v>
      </c>
      <c r="Q241" s="2"/>
      <c r="R241" s="10">
        <v>24.0</v>
      </c>
      <c r="T241" s="14">
        <v>45973.0</v>
      </c>
      <c r="U241" s="10">
        <f t="shared" si="13"/>
        <v>-118</v>
      </c>
      <c r="V241" s="2"/>
      <c r="W241" s="15"/>
      <c r="X241" s="15"/>
      <c r="Y241" s="15"/>
      <c r="Z241" s="15"/>
      <c r="AA241" s="1"/>
      <c r="AB241" s="15"/>
      <c r="AC241" s="15"/>
      <c r="AD241" s="15"/>
      <c r="AE241" s="15"/>
      <c r="AF241" s="2"/>
      <c r="AG241" s="16" t="s">
        <v>45</v>
      </c>
      <c r="AH241" s="12" t="s">
        <v>46</v>
      </c>
      <c r="AI241" s="10" t="s">
        <v>441</v>
      </c>
      <c r="AJ241" s="10" t="s">
        <v>227</v>
      </c>
      <c r="AK241" s="16" t="s">
        <v>45</v>
      </c>
      <c r="AL241" s="10" t="s">
        <v>49</v>
      </c>
      <c r="AM241" s="16" t="s">
        <v>45</v>
      </c>
      <c r="AN241" s="10" t="s">
        <v>50</v>
      </c>
    </row>
    <row r="242" ht="30.0" customHeight="1">
      <c r="A242" s="9" t="str">
        <f t="shared" si="1"/>
        <v>Inativo</v>
      </c>
      <c r="B242" s="9" t="str">
        <f t="shared" si="2"/>
        <v>N/I</v>
      </c>
      <c r="C242" s="9" t="str">
        <f t="shared" si="3"/>
        <v>N/I</v>
      </c>
      <c r="D242" s="10" t="s">
        <v>459</v>
      </c>
      <c r="E242" s="11" t="s">
        <v>460</v>
      </c>
      <c r="F242" s="11" t="s">
        <v>461</v>
      </c>
      <c r="G242" s="12" t="s">
        <v>52</v>
      </c>
      <c r="H242" s="34" t="s">
        <v>470</v>
      </c>
      <c r="I242" s="12" t="s">
        <v>463</v>
      </c>
      <c r="J242" s="10" t="s">
        <v>222</v>
      </c>
      <c r="K242" s="10" t="s">
        <v>40</v>
      </c>
      <c r="L242" s="10" t="s">
        <v>4</v>
      </c>
      <c r="M242" s="14">
        <v>45243.0</v>
      </c>
      <c r="N242" s="32" t="s">
        <v>464</v>
      </c>
      <c r="O242" s="10" t="s">
        <v>465</v>
      </c>
      <c r="P242" s="10" t="s">
        <v>466</v>
      </c>
      <c r="Q242" s="2"/>
      <c r="R242" s="10">
        <v>24.0</v>
      </c>
      <c r="T242" s="14">
        <v>45973.0</v>
      </c>
      <c r="U242" s="10">
        <f t="shared" si="13"/>
        <v>-118</v>
      </c>
      <c r="V242" s="2"/>
      <c r="W242" s="15"/>
      <c r="X242" s="15"/>
      <c r="Y242" s="15"/>
      <c r="Z242" s="15"/>
      <c r="AA242" s="1"/>
      <c r="AB242" s="15"/>
      <c r="AC242" s="15"/>
      <c r="AD242" s="15"/>
      <c r="AE242" s="15"/>
      <c r="AF242" s="2"/>
      <c r="AG242" s="16" t="s">
        <v>45</v>
      </c>
      <c r="AH242" s="12" t="s">
        <v>46</v>
      </c>
      <c r="AI242" s="10" t="s">
        <v>441</v>
      </c>
      <c r="AJ242" s="10" t="s">
        <v>227</v>
      </c>
      <c r="AK242" s="16" t="s">
        <v>45</v>
      </c>
      <c r="AL242" s="10" t="s">
        <v>49</v>
      </c>
      <c r="AM242" s="16" t="s">
        <v>45</v>
      </c>
      <c r="AN242" s="10" t="s">
        <v>50</v>
      </c>
    </row>
    <row r="243" ht="30.0" customHeight="1">
      <c r="A243" s="9" t="str">
        <f t="shared" si="1"/>
        <v>Inativo</v>
      </c>
      <c r="B243" s="9" t="str">
        <f t="shared" si="2"/>
        <v>N/I</v>
      </c>
      <c r="C243" s="9" t="str">
        <f t="shared" si="3"/>
        <v>N/I</v>
      </c>
      <c r="D243" s="10" t="s">
        <v>459</v>
      </c>
      <c r="E243" s="11" t="s">
        <v>460</v>
      </c>
      <c r="F243" s="11" t="s">
        <v>461</v>
      </c>
      <c r="G243" s="12" t="s">
        <v>52</v>
      </c>
      <c r="H243" s="34" t="s">
        <v>471</v>
      </c>
      <c r="I243" s="12" t="s">
        <v>463</v>
      </c>
      <c r="J243" s="10" t="s">
        <v>222</v>
      </c>
      <c r="K243" s="10" t="s">
        <v>40</v>
      </c>
      <c r="L243" s="10" t="s">
        <v>4</v>
      </c>
      <c r="M243" s="14">
        <v>45243.0</v>
      </c>
      <c r="N243" s="32" t="s">
        <v>464</v>
      </c>
      <c r="O243" s="10" t="s">
        <v>465</v>
      </c>
      <c r="P243" s="10" t="s">
        <v>466</v>
      </c>
      <c r="Q243" s="2"/>
      <c r="R243" s="10">
        <v>24.0</v>
      </c>
      <c r="S243" s="35" t="s">
        <v>472</v>
      </c>
      <c r="T243" s="14">
        <v>45973.0</v>
      </c>
      <c r="U243" s="10">
        <f t="shared" si="13"/>
        <v>-118</v>
      </c>
      <c r="V243" s="2"/>
      <c r="W243" s="15"/>
      <c r="X243" s="15"/>
      <c r="Y243" s="15"/>
      <c r="Z243" s="15"/>
      <c r="AA243" s="1"/>
      <c r="AB243" s="15"/>
      <c r="AC243" s="15"/>
      <c r="AD243" s="15"/>
      <c r="AE243" s="15"/>
      <c r="AF243" s="2"/>
      <c r="AG243" s="16" t="s">
        <v>45</v>
      </c>
      <c r="AH243" s="12" t="s">
        <v>46</v>
      </c>
      <c r="AI243" s="10" t="s">
        <v>441</v>
      </c>
      <c r="AJ243" s="10" t="s">
        <v>227</v>
      </c>
      <c r="AK243" s="16" t="s">
        <v>45</v>
      </c>
      <c r="AL243" s="10" t="s">
        <v>49</v>
      </c>
      <c r="AM243" s="16" t="s">
        <v>45</v>
      </c>
      <c r="AN243" s="10" t="s">
        <v>50</v>
      </c>
    </row>
    <row r="244" ht="30.0" customHeight="1">
      <c r="A244" s="9" t="str">
        <f t="shared" si="1"/>
        <v>Inativo</v>
      </c>
      <c r="B244" s="9" t="str">
        <f t="shared" si="2"/>
        <v>N/I</v>
      </c>
      <c r="C244" s="9" t="str">
        <f t="shared" si="3"/>
        <v>N/I</v>
      </c>
      <c r="D244" s="10" t="s">
        <v>459</v>
      </c>
      <c r="E244" s="11" t="s">
        <v>460</v>
      </c>
      <c r="F244" s="11" t="s">
        <v>461</v>
      </c>
      <c r="G244" s="12" t="s">
        <v>52</v>
      </c>
      <c r="H244" s="34" t="s">
        <v>473</v>
      </c>
      <c r="I244" s="12" t="s">
        <v>463</v>
      </c>
      <c r="J244" s="10" t="s">
        <v>222</v>
      </c>
      <c r="K244" s="10" t="s">
        <v>40</v>
      </c>
      <c r="L244" s="10" t="s">
        <v>4</v>
      </c>
      <c r="M244" s="14">
        <v>45243.0</v>
      </c>
      <c r="N244" s="32" t="s">
        <v>464</v>
      </c>
      <c r="O244" s="10" t="s">
        <v>465</v>
      </c>
      <c r="P244" s="10" t="s">
        <v>466</v>
      </c>
      <c r="Q244" s="2"/>
      <c r="R244" s="10">
        <v>24.0</v>
      </c>
      <c r="S244" s="14">
        <v>45243.0</v>
      </c>
      <c r="T244" s="14">
        <v>45973.0</v>
      </c>
      <c r="U244" s="10">
        <f t="shared" si="13"/>
        <v>-118</v>
      </c>
      <c r="V244" s="2"/>
      <c r="W244" s="15"/>
      <c r="X244" s="15"/>
      <c r="Y244" s="15"/>
      <c r="Z244" s="15"/>
      <c r="AA244" s="1"/>
      <c r="AB244" s="15"/>
      <c r="AC244" s="15"/>
      <c r="AD244" s="15"/>
      <c r="AE244" s="15"/>
      <c r="AF244" s="2"/>
      <c r="AG244" s="16" t="s">
        <v>45</v>
      </c>
      <c r="AH244" s="12" t="s">
        <v>46</v>
      </c>
      <c r="AI244" s="10" t="s">
        <v>441</v>
      </c>
      <c r="AJ244" s="10" t="s">
        <v>227</v>
      </c>
      <c r="AK244" s="16" t="s">
        <v>45</v>
      </c>
      <c r="AL244" s="10" t="s">
        <v>49</v>
      </c>
      <c r="AM244" s="16" t="s">
        <v>45</v>
      </c>
      <c r="AN244" s="10" t="s">
        <v>50</v>
      </c>
    </row>
    <row r="245" ht="30.0" customHeight="1">
      <c r="A245" s="9" t="str">
        <f t="shared" si="1"/>
        <v>Inativo</v>
      </c>
      <c r="B245" s="9" t="str">
        <f t="shared" si="2"/>
        <v>N/I</v>
      </c>
      <c r="C245" s="9" t="str">
        <f t="shared" si="3"/>
        <v>N/I</v>
      </c>
      <c r="D245" s="10" t="s">
        <v>459</v>
      </c>
      <c r="E245" s="11" t="s">
        <v>460</v>
      </c>
      <c r="F245" s="11" t="s">
        <v>461</v>
      </c>
      <c r="G245" s="12" t="s">
        <v>52</v>
      </c>
      <c r="H245" s="34" t="s">
        <v>474</v>
      </c>
      <c r="I245" s="12" t="s">
        <v>463</v>
      </c>
      <c r="J245" s="10" t="s">
        <v>222</v>
      </c>
      <c r="K245" s="10" t="s">
        <v>40</v>
      </c>
      <c r="L245" s="10" t="s">
        <v>4</v>
      </c>
      <c r="M245" s="14">
        <v>45244.0</v>
      </c>
      <c r="N245" s="32" t="s">
        <v>464</v>
      </c>
      <c r="O245" s="10" t="s">
        <v>465</v>
      </c>
      <c r="P245" s="10" t="s">
        <v>466</v>
      </c>
      <c r="Q245" s="2"/>
      <c r="R245" s="10">
        <v>24.0</v>
      </c>
      <c r="S245" s="14">
        <v>45244.0</v>
      </c>
      <c r="T245" s="14">
        <v>45974.0</v>
      </c>
      <c r="U245" s="10">
        <f t="shared" si="13"/>
        <v>-117</v>
      </c>
      <c r="V245" s="2"/>
      <c r="W245" s="15"/>
      <c r="X245" s="15"/>
      <c r="Y245" s="15"/>
      <c r="Z245" s="15"/>
      <c r="AA245" s="1"/>
      <c r="AB245" s="15"/>
      <c r="AC245" s="15"/>
      <c r="AD245" s="15"/>
      <c r="AE245" s="15"/>
      <c r="AF245" s="2"/>
      <c r="AG245" s="16" t="s">
        <v>45</v>
      </c>
      <c r="AH245" s="12" t="s">
        <v>46</v>
      </c>
      <c r="AI245" s="10" t="s">
        <v>441</v>
      </c>
      <c r="AJ245" s="10" t="s">
        <v>227</v>
      </c>
      <c r="AK245" s="16" t="s">
        <v>45</v>
      </c>
      <c r="AL245" s="10" t="s">
        <v>49</v>
      </c>
      <c r="AM245" s="16" t="s">
        <v>45</v>
      </c>
      <c r="AN245" s="10" t="s">
        <v>50</v>
      </c>
    </row>
    <row r="246" ht="30.0" customHeight="1">
      <c r="A246" s="9" t="str">
        <f t="shared" si="1"/>
        <v>Inativo</v>
      </c>
      <c r="B246" s="9" t="str">
        <f t="shared" si="2"/>
        <v>N/I</v>
      </c>
      <c r="C246" s="9" t="str">
        <f t="shared" si="3"/>
        <v>N/I</v>
      </c>
      <c r="D246" s="10" t="s">
        <v>459</v>
      </c>
      <c r="E246" s="11" t="s">
        <v>460</v>
      </c>
      <c r="F246" s="11" t="s">
        <v>461</v>
      </c>
      <c r="G246" s="12" t="s">
        <v>52</v>
      </c>
      <c r="H246" s="34" t="s">
        <v>475</v>
      </c>
      <c r="I246" s="12" t="s">
        <v>463</v>
      </c>
      <c r="J246" s="10" t="s">
        <v>222</v>
      </c>
      <c r="K246" s="10" t="s">
        <v>40</v>
      </c>
      <c r="L246" s="10" t="s">
        <v>4</v>
      </c>
      <c r="M246" s="14">
        <v>45244.0</v>
      </c>
      <c r="N246" s="32" t="s">
        <v>464</v>
      </c>
      <c r="O246" s="10" t="s">
        <v>465</v>
      </c>
      <c r="P246" s="10" t="s">
        <v>466</v>
      </c>
      <c r="Q246" s="2"/>
      <c r="R246" s="10">
        <v>24.0</v>
      </c>
      <c r="S246" s="14">
        <v>45244.0</v>
      </c>
      <c r="T246" s="14">
        <v>45974.0</v>
      </c>
      <c r="U246" s="10">
        <f t="shared" si="13"/>
        <v>-117</v>
      </c>
      <c r="V246" s="2"/>
      <c r="W246" s="15"/>
      <c r="X246" s="15"/>
      <c r="Y246" s="15"/>
      <c r="Z246" s="15"/>
      <c r="AA246" s="1"/>
      <c r="AB246" s="15"/>
      <c r="AC246" s="15"/>
      <c r="AD246" s="15"/>
      <c r="AE246" s="15"/>
      <c r="AF246" s="2"/>
      <c r="AG246" s="16" t="s">
        <v>45</v>
      </c>
      <c r="AH246" s="12" t="s">
        <v>46</v>
      </c>
      <c r="AI246" s="10" t="s">
        <v>441</v>
      </c>
      <c r="AJ246" s="10" t="s">
        <v>227</v>
      </c>
      <c r="AK246" s="16" t="s">
        <v>45</v>
      </c>
      <c r="AL246" s="10" t="s">
        <v>49</v>
      </c>
      <c r="AM246" s="16" t="s">
        <v>45</v>
      </c>
      <c r="AN246" s="10" t="s">
        <v>50</v>
      </c>
    </row>
    <row r="247" ht="29.25" customHeight="1">
      <c r="A247" s="9" t="str">
        <f t="shared" si="1"/>
        <v>Inativo</v>
      </c>
      <c r="B247" s="9" t="str">
        <f t="shared" si="2"/>
        <v>Ativo</v>
      </c>
      <c r="C247" s="9" t="str">
        <f t="shared" si="3"/>
        <v>N/I</v>
      </c>
      <c r="D247" s="10" t="s">
        <v>459</v>
      </c>
      <c r="E247" s="11" t="s">
        <v>460</v>
      </c>
      <c r="F247" s="11" t="s">
        <v>461</v>
      </c>
      <c r="G247" s="12" t="s">
        <v>79</v>
      </c>
      <c r="H247" s="36" t="s">
        <v>476</v>
      </c>
      <c r="I247" s="37" t="s">
        <v>463</v>
      </c>
      <c r="J247" s="30" t="s">
        <v>222</v>
      </c>
      <c r="K247" s="30" t="s">
        <v>40</v>
      </c>
      <c r="L247" s="30" t="s">
        <v>4</v>
      </c>
      <c r="M247" s="38">
        <v>45499.0</v>
      </c>
      <c r="N247" s="39" t="s">
        <v>464</v>
      </c>
      <c r="O247" s="30" t="s">
        <v>477</v>
      </c>
      <c r="P247" s="30" t="s">
        <v>478</v>
      </c>
      <c r="Q247" s="40"/>
      <c r="R247" s="30">
        <v>12.0</v>
      </c>
      <c r="S247" s="38">
        <v>45499.0</v>
      </c>
      <c r="T247" s="38">
        <v>45863.0</v>
      </c>
      <c r="U247" s="30">
        <f t="shared" si="13"/>
        <v>-228</v>
      </c>
      <c r="V247" s="2"/>
      <c r="W247" s="12" t="s">
        <v>479</v>
      </c>
      <c r="X247" s="14">
        <v>45864.0</v>
      </c>
      <c r="Y247" s="14">
        <v>46229.0</v>
      </c>
      <c r="Z247" s="10">
        <f>Y247-TODAY()</f>
        <v>138</v>
      </c>
      <c r="AA247" s="1"/>
      <c r="AB247" s="15"/>
      <c r="AC247" s="15"/>
      <c r="AD247" s="15"/>
      <c r="AE247" s="15"/>
      <c r="AF247" s="2"/>
      <c r="AG247" s="16" t="s">
        <v>45</v>
      </c>
      <c r="AH247" s="16" t="s">
        <v>45</v>
      </c>
      <c r="AI247" s="16" t="s">
        <v>45</v>
      </c>
      <c r="AJ247" s="16" t="s">
        <v>45</v>
      </c>
      <c r="AK247" s="16" t="s">
        <v>45</v>
      </c>
      <c r="AL247" s="10" t="s">
        <v>49</v>
      </c>
      <c r="AM247" s="16" t="s">
        <v>45</v>
      </c>
      <c r="AN247" s="10" t="s">
        <v>50</v>
      </c>
    </row>
    <row r="248" ht="30.0" customHeight="1">
      <c r="A248" s="9" t="str">
        <f t="shared" si="1"/>
        <v>Inativo</v>
      </c>
      <c r="B248" s="9" t="str">
        <f t="shared" si="2"/>
        <v>N/I</v>
      </c>
      <c r="C248" s="9" t="str">
        <f t="shared" si="3"/>
        <v>N/I</v>
      </c>
      <c r="D248" s="10" t="s">
        <v>459</v>
      </c>
      <c r="E248" s="11" t="s">
        <v>460</v>
      </c>
      <c r="F248" s="11" t="s">
        <v>461</v>
      </c>
      <c r="G248" s="12" t="s">
        <v>52</v>
      </c>
      <c r="H248" s="33" t="s">
        <v>480</v>
      </c>
      <c r="I248" s="12" t="s">
        <v>463</v>
      </c>
      <c r="J248" s="10" t="s">
        <v>222</v>
      </c>
      <c r="K248" s="10" t="s">
        <v>40</v>
      </c>
      <c r="L248" s="10" t="s">
        <v>4</v>
      </c>
      <c r="M248" s="14">
        <v>45498.0</v>
      </c>
      <c r="N248" s="32" t="s">
        <v>464</v>
      </c>
      <c r="O248" s="10" t="s">
        <v>477</v>
      </c>
      <c r="P248" s="10" t="s">
        <v>481</v>
      </c>
      <c r="Q248" s="2"/>
      <c r="R248" s="10">
        <v>12.0</v>
      </c>
      <c r="S248" s="14">
        <v>45498.0</v>
      </c>
      <c r="T248" s="14">
        <v>45862.0</v>
      </c>
      <c r="U248" s="10">
        <f t="shared" si="13"/>
        <v>-229</v>
      </c>
      <c r="V248" s="2"/>
      <c r="W248" s="15"/>
      <c r="X248" s="15"/>
      <c r="Y248" s="15"/>
      <c r="Z248" s="15"/>
      <c r="AA248" s="1"/>
      <c r="AB248" s="15"/>
      <c r="AC248" s="15"/>
      <c r="AD248" s="15"/>
      <c r="AE248" s="15"/>
      <c r="AF248" s="2"/>
      <c r="AG248" s="16" t="s">
        <v>45</v>
      </c>
      <c r="AH248" s="16" t="s">
        <v>45</v>
      </c>
      <c r="AI248" s="16" t="s">
        <v>45</v>
      </c>
      <c r="AJ248" s="16" t="s">
        <v>45</v>
      </c>
      <c r="AK248" s="16" t="s">
        <v>45</v>
      </c>
      <c r="AL248" s="16" t="s">
        <v>45</v>
      </c>
      <c r="AM248" s="16" t="s">
        <v>45</v>
      </c>
      <c r="AN248" s="16" t="s">
        <v>45</v>
      </c>
    </row>
    <row r="249" ht="30.0" customHeight="1">
      <c r="A249" s="9" t="str">
        <f t="shared" si="1"/>
        <v>Inativo</v>
      </c>
      <c r="B249" s="9" t="str">
        <f t="shared" si="2"/>
        <v>N/I</v>
      </c>
      <c r="C249" s="9" t="str">
        <f t="shared" si="3"/>
        <v>N/I</v>
      </c>
      <c r="D249" s="10" t="s">
        <v>459</v>
      </c>
      <c r="E249" s="11" t="s">
        <v>460</v>
      </c>
      <c r="F249" s="11" t="s">
        <v>461</v>
      </c>
      <c r="G249" s="12" t="s">
        <v>52</v>
      </c>
      <c r="H249" s="33" t="s">
        <v>482</v>
      </c>
      <c r="I249" s="12" t="s">
        <v>463</v>
      </c>
      <c r="J249" s="10" t="s">
        <v>222</v>
      </c>
      <c r="K249" s="10" t="s">
        <v>40</v>
      </c>
      <c r="L249" s="10" t="s">
        <v>4</v>
      </c>
      <c r="M249" s="14">
        <v>45498.0</v>
      </c>
      <c r="N249" s="32" t="s">
        <v>464</v>
      </c>
      <c r="O249" s="10" t="s">
        <v>477</v>
      </c>
      <c r="P249" s="10" t="s">
        <v>481</v>
      </c>
      <c r="Q249" s="2"/>
      <c r="R249" s="10">
        <v>12.0</v>
      </c>
      <c r="S249" s="14">
        <v>45498.0</v>
      </c>
      <c r="T249" s="14">
        <v>45862.0</v>
      </c>
      <c r="U249" s="10">
        <f t="shared" si="13"/>
        <v>-229</v>
      </c>
      <c r="V249" s="2"/>
      <c r="W249" s="15"/>
      <c r="X249" s="15"/>
      <c r="Y249" s="15"/>
      <c r="Z249" s="15"/>
      <c r="AA249" s="1"/>
      <c r="AB249" s="15"/>
      <c r="AC249" s="15"/>
      <c r="AD249" s="15"/>
      <c r="AE249" s="15"/>
      <c r="AF249" s="2"/>
      <c r="AG249" s="16" t="s">
        <v>45</v>
      </c>
      <c r="AH249" s="16" t="s">
        <v>45</v>
      </c>
      <c r="AI249" s="16" t="s">
        <v>45</v>
      </c>
      <c r="AJ249" s="16" t="s">
        <v>45</v>
      </c>
      <c r="AK249" s="16" t="s">
        <v>45</v>
      </c>
      <c r="AL249" s="16" t="s">
        <v>45</v>
      </c>
      <c r="AM249" s="16" t="s">
        <v>45</v>
      </c>
      <c r="AN249" s="16" t="s">
        <v>45</v>
      </c>
    </row>
    <row r="250" ht="30.0" customHeight="1">
      <c r="A250" s="9" t="str">
        <f t="shared" si="1"/>
        <v>Inativo</v>
      </c>
      <c r="B250" s="9" t="str">
        <f t="shared" si="2"/>
        <v>N/I</v>
      </c>
      <c r="C250" s="9" t="str">
        <f t="shared" si="3"/>
        <v>N/I</v>
      </c>
      <c r="D250" s="10" t="s">
        <v>459</v>
      </c>
      <c r="E250" s="11" t="s">
        <v>460</v>
      </c>
      <c r="F250" s="11" t="s">
        <v>461</v>
      </c>
      <c r="G250" s="12" t="s">
        <v>52</v>
      </c>
      <c r="H250" s="41" t="s">
        <v>483</v>
      </c>
      <c r="I250" s="12" t="s">
        <v>463</v>
      </c>
      <c r="J250" s="10" t="s">
        <v>222</v>
      </c>
      <c r="K250" s="10" t="s">
        <v>40</v>
      </c>
      <c r="L250" s="10" t="s">
        <v>4</v>
      </c>
      <c r="M250" s="22">
        <v>45637.0</v>
      </c>
      <c r="N250" s="32" t="s">
        <v>464</v>
      </c>
      <c r="O250" s="10" t="s">
        <v>477</v>
      </c>
      <c r="P250" s="10" t="s">
        <v>484</v>
      </c>
      <c r="Q250" s="2"/>
      <c r="R250" s="10">
        <v>12.0</v>
      </c>
      <c r="S250" s="14">
        <v>45637.0</v>
      </c>
      <c r="T250" s="14">
        <v>46001.0</v>
      </c>
      <c r="U250" s="10">
        <f t="shared" si="13"/>
        <v>-90</v>
      </c>
      <c r="V250" s="2"/>
      <c r="W250" s="15"/>
      <c r="X250" s="15"/>
      <c r="Y250" s="15"/>
      <c r="Z250" s="15"/>
      <c r="AA250" s="1"/>
      <c r="AB250" s="15"/>
      <c r="AC250" s="15"/>
      <c r="AD250" s="15"/>
      <c r="AE250" s="15"/>
      <c r="AF250" s="2"/>
      <c r="AG250" s="16" t="s">
        <v>45</v>
      </c>
      <c r="AH250" s="12" t="s">
        <v>355</v>
      </c>
      <c r="AI250" s="10" t="s">
        <v>485</v>
      </c>
      <c r="AJ250" s="10" t="s">
        <v>356</v>
      </c>
      <c r="AK250" s="16" t="s">
        <v>45</v>
      </c>
      <c r="AL250" s="10" t="s">
        <v>49</v>
      </c>
      <c r="AM250" s="16" t="s">
        <v>45</v>
      </c>
      <c r="AN250" s="10" t="s">
        <v>486</v>
      </c>
    </row>
    <row r="251" ht="30.0" customHeight="1">
      <c r="A251" s="9" t="str">
        <f t="shared" si="1"/>
        <v>Inativo</v>
      </c>
      <c r="B251" s="9" t="str">
        <f t="shared" si="2"/>
        <v>N/I</v>
      </c>
      <c r="C251" s="9" t="str">
        <f t="shared" si="3"/>
        <v>N/I</v>
      </c>
      <c r="D251" s="10" t="s">
        <v>459</v>
      </c>
      <c r="E251" s="11" t="s">
        <v>460</v>
      </c>
      <c r="F251" s="11" t="s">
        <v>461</v>
      </c>
      <c r="G251" s="12" t="s">
        <v>52</v>
      </c>
      <c r="H251" s="41" t="s">
        <v>487</v>
      </c>
      <c r="I251" s="12" t="s">
        <v>463</v>
      </c>
      <c r="J251" s="10" t="s">
        <v>222</v>
      </c>
      <c r="K251" s="10" t="s">
        <v>40</v>
      </c>
      <c r="L251" s="10" t="s">
        <v>4</v>
      </c>
      <c r="M251" s="22">
        <v>45637.0</v>
      </c>
      <c r="N251" s="32" t="s">
        <v>464</v>
      </c>
      <c r="O251" s="10" t="s">
        <v>477</v>
      </c>
      <c r="P251" s="10" t="s">
        <v>484</v>
      </c>
      <c r="Q251" s="2"/>
      <c r="R251" s="10">
        <v>12.0</v>
      </c>
      <c r="S251" s="14">
        <v>45637.0</v>
      </c>
      <c r="T251" s="14">
        <v>46001.0</v>
      </c>
      <c r="U251" s="10">
        <f t="shared" si="13"/>
        <v>-90</v>
      </c>
      <c r="V251" s="2"/>
      <c r="W251" s="15"/>
      <c r="X251" s="15"/>
      <c r="Y251" s="15"/>
      <c r="Z251" s="15"/>
      <c r="AA251" s="1"/>
      <c r="AB251" s="15"/>
      <c r="AC251" s="15"/>
      <c r="AD251" s="15"/>
      <c r="AE251" s="15"/>
      <c r="AF251" s="2"/>
      <c r="AG251" s="16" t="s">
        <v>45</v>
      </c>
      <c r="AH251" s="12" t="s">
        <v>355</v>
      </c>
      <c r="AI251" s="10" t="s">
        <v>485</v>
      </c>
      <c r="AJ251" s="10" t="s">
        <v>356</v>
      </c>
      <c r="AK251" s="16" t="s">
        <v>45</v>
      </c>
      <c r="AL251" s="10" t="s">
        <v>49</v>
      </c>
      <c r="AM251" s="16" t="s">
        <v>45</v>
      </c>
      <c r="AN251" s="10" t="s">
        <v>486</v>
      </c>
    </row>
    <row r="252" ht="30.0" customHeight="1">
      <c r="A252" s="9" t="str">
        <f t="shared" si="1"/>
        <v>Inativo</v>
      </c>
      <c r="B252" s="9" t="str">
        <f t="shared" si="2"/>
        <v>N/I</v>
      </c>
      <c r="C252" s="9" t="str">
        <f t="shared" si="3"/>
        <v>N/I</v>
      </c>
      <c r="D252" s="10" t="s">
        <v>459</v>
      </c>
      <c r="E252" s="11" t="s">
        <v>460</v>
      </c>
      <c r="F252" s="11" t="s">
        <v>461</v>
      </c>
      <c r="G252" s="12" t="s">
        <v>52</v>
      </c>
      <c r="H252" s="41" t="s">
        <v>488</v>
      </c>
      <c r="I252" s="12" t="s">
        <v>463</v>
      </c>
      <c r="J252" s="10" t="s">
        <v>222</v>
      </c>
      <c r="K252" s="10" t="s">
        <v>40</v>
      </c>
      <c r="L252" s="10" t="s">
        <v>4</v>
      </c>
      <c r="M252" s="22">
        <v>45638.0</v>
      </c>
      <c r="N252" s="32" t="s">
        <v>464</v>
      </c>
      <c r="O252" s="10" t="s">
        <v>477</v>
      </c>
      <c r="P252" s="10" t="s">
        <v>484</v>
      </c>
      <c r="Q252" s="2"/>
      <c r="R252" s="10">
        <v>12.0</v>
      </c>
      <c r="S252" s="14">
        <v>45638.0</v>
      </c>
      <c r="T252" s="14">
        <v>46002.0</v>
      </c>
      <c r="U252" s="10">
        <f t="shared" si="13"/>
        <v>-89</v>
      </c>
      <c r="V252" s="2"/>
      <c r="W252" s="15"/>
      <c r="X252" s="15"/>
      <c r="Y252" s="15"/>
      <c r="Z252" s="15"/>
      <c r="AA252" s="1"/>
      <c r="AB252" s="15"/>
      <c r="AC252" s="15"/>
      <c r="AD252" s="15"/>
      <c r="AE252" s="15"/>
      <c r="AF252" s="2"/>
      <c r="AG252" s="16" t="s">
        <v>45</v>
      </c>
      <c r="AH252" s="12" t="s">
        <v>355</v>
      </c>
      <c r="AI252" s="10" t="s">
        <v>485</v>
      </c>
      <c r="AJ252" s="10" t="s">
        <v>356</v>
      </c>
      <c r="AK252" s="16" t="s">
        <v>45</v>
      </c>
      <c r="AL252" s="10" t="s">
        <v>49</v>
      </c>
      <c r="AM252" s="16" t="s">
        <v>45</v>
      </c>
      <c r="AN252" s="10" t="s">
        <v>486</v>
      </c>
    </row>
    <row r="253" ht="30.0" customHeight="1">
      <c r="A253" s="9" t="str">
        <f t="shared" si="1"/>
        <v>Inativo</v>
      </c>
      <c r="B253" s="9" t="str">
        <f t="shared" si="2"/>
        <v>N/I</v>
      </c>
      <c r="C253" s="9" t="str">
        <f t="shared" si="3"/>
        <v>N/I</v>
      </c>
      <c r="D253" s="10" t="s">
        <v>459</v>
      </c>
      <c r="E253" s="11" t="s">
        <v>460</v>
      </c>
      <c r="F253" s="11" t="s">
        <v>461</v>
      </c>
      <c r="G253" s="12" t="s">
        <v>52</v>
      </c>
      <c r="H253" s="41" t="s">
        <v>489</v>
      </c>
      <c r="I253" s="12" t="s">
        <v>463</v>
      </c>
      <c r="J253" s="10" t="s">
        <v>222</v>
      </c>
      <c r="K253" s="10" t="s">
        <v>40</v>
      </c>
      <c r="L253" s="10" t="s">
        <v>4</v>
      </c>
      <c r="M253" s="22">
        <v>45638.0</v>
      </c>
      <c r="N253" s="32" t="s">
        <v>464</v>
      </c>
      <c r="O253" s="10" t="s">
        <v>477</v>
      </c>
      <c r="P253" s="10" t="s">
        <v>484</v>
      </c>
      <c r="Q253" s="2"/>
      <c r="R253" s="10">
        <v>12.0</v>
      </c>
      <c r="S253" s="14">
        <v>45638.0</v>
      </c>
      <c r="T253" s="14">
        <v>46002.0</v>
      </c>
      <c r="U253" s="10">
        <f t="shared" si="13"/>
        <v>-89</v>
      </c>
      <c r="V253" s="2"/>
      <c r="W253" s="15"/>
      <c r="X253" s="15"/>
      <c r="Y253" s="15"/>
      <c r="Z253" s="15"/>
      <c r="AA253" s="1"/>
      <c r="AB253" s="15"/>
      <c r="AC253" s="15"/>
      <c r="AD253" s="15"/>
      <c r="AE253" s="15"/>
      <c r="AF253" s="2"/>
      <c r="AG253" s="16" t="s">
        <v>45</v>
      </c>
      <c r="AH253" s="12" t="s">
        <v>355</v>
      </c>
      <c r="AI253" s="10" t="s">
        <v>485</v>
      </c>
      <c r="AJ253" s="10" t="s">
        <v>356</v>
      </c>
      <c r="AK253" s="16" t="s">
        <v>45</v>
      </c>
      <c r="AL253" s="10" t="s">
        <v>49</v>
      </c>
      <c r="AM253" s="16" t="s">
        <v>45</v>
      </c>
      <c r="AN253" s="10" t="s">
        <v>486</v>
      </c>
    </row>
    <row r="254" ht="30.0" customHeight="1">
      <c r="A254" s="9" t="str">
        <f t="shared" si="1"/>
        <v>Inativo</v>
      </c>
      <c r="B254" s="9" t="str">
        <f t="shared" si="2"/>
        <v>N/I</v>
      </c>
      <c r="C254" s="9" t="str">
        <f t="shared" si="3"/>
        <v>N/I</v>
      </c>
      <c r="D254" s="10" t="s">
        <v>459</v>
      </c>
      <c r="E254" s="11" t="s">
        <v>460</v>
      </c>
      <c r="F254" s="11" t="s">
        <v>461</v>
      </c>
      <c r="G254" s="12" t="s">
        <v>52</v>
      </c>
      <c r="H254" s="41" t="s">
        <v>490</v>
      </c>
      <c r="I254" s="12" t="s">
        <v>463</v>
      </c>
      <c r="J254" s="10" t="s">
        <v>222</v>
      </c>
      <c r="K254" s="10" t="s">
        <v>40</v>
      </c>
      <c r="L254" s="10" t="s">
        <v>4</v>
      </c>
      <c r="M254" s="22">
        <v>45638.0</v>
      </c>
      <c r="N254" s="32" t="s">
        <v>464</v>
      </c>
      <c r="O254" s="10" t="s">
        <v>477</v>
      </c>
      <c r="P254" s="10" t="s">
        <v>484</v>
      </c>
      <c r="Q254" s="2"/>
      <c r="R254" s="10">
        <v>12.0</v>
      </c>
      <c r="S254" s="14">
        <v>45638.0</v>
      </c>
      <c r="T254" s="14">
        <v>46002.0</v>
      </c>
      <c r="U254" s="10">
        <f t="shared" si="13"/>
        <v>-89</v>
      </c>
      <c r="V254" s="2"/>
      <c r="W254" s="15"/>
      <c r="X254" s="15"/>
      <c r="Y254" s="15"/>
      <c r="Z254" s="15"/>
      <c r="AA254" s="1"/>
      <c r="AB254" s="15"/>
      <c r="AC254" s="15"/>
      <c r="AD254" s="15"/>
      <c r="AE254" s="15"/>
      <c r="AF254" s="2"/>
      <c r="AG254" s="16" t="s">
        <v>45</v>
      </c>
      <c r="AH254" s="12" t="s">
        <v>355</v>
      </c>
      <c r="AI254" s="10" t="s">
        <v>485</v>
      </c>
      <c r="AJ254" s="10" t="s">
        <v>356</v>
      </c>
      <c r="AK254" s="16" t="s">
        <v>45</v>
      </c>
      <c r="AL254" s="10" t="s">
        <v>49</v>
      </c>
      <c r="AM254" s="16" t="s">
        <v>45</v>
      </c>
      <c r="AN254" s="10" t="s">
        <v>486</v>
      </c>
    </row>
    <row r="255" ht="30.0" customHeight="1">
      <c r="A255" s="9" t="str">
        <f t="shared" si="1"/>
        <v>Inativo</v>
      </c>
      <c r="B255" s="9" t="str">
        <f t="shared" si="2"/>
        <v>N/I</v>
      </c>
      <c r="C255" s="9" t="str">
        <f t="shared" si="3"/>
        <v>N/I</v>
      </c>
      <c r="D255" s="10" t="s">
        <v>459</v>
      </c>
      <c r="E255" s="11" t="s">
        <v>460</v>
      </c>
      <c r="F255" s="11" t="s">
        <v>461</v>
      </c>
      <c r="G255" s="12" t="s">
        <v>52</v>
      </c>
      <c r="H255" s="41" t="s">
        <v>491</v>
      </c>
      <c r="I255" s="12" t="s">
        <v>463</v>
      </c>
      <c r="J255" s="10" t="s">
        <v>222</v>
      </c>
      <c r="K255" s="10" t="s">
        <v>40</v>
      </c>
      <c r="L255" s="10" t="s">
        <v>4</v>
      </c>
      <c r="M255" s="22">
        <v>45639.0</v>
      </c>
      <c r="N255" s="32" t="s">
        <v>464</v>
      </c>
      <c r="O255" s="10" t="s">
        <v>477</v>
      </c>
      <c r="P255" s="10" t="s">
        <v>484</v>
      </c>
      <c r="Q255" s="2"/>
      <c r="R255" s="10">
        <v>12.0</v>
      </c>
      <c r="S255" s="14">
        <v>45639.0</v>
      </c>
      <c r="T255" s="14">
        <v>46003.0</v>
      </c>
      <c r="U255" s="10">
        <f t="shared" si="13"/>
        <v>-88</v>
      </c>
      <c r="V255" s="2"/>
      <c r="W255" s="15"/>
      <c r="X255" s="15"/>
      <c r="Y255" s="15"/>
      <c r="Z255" s="15"/>
      <c r="AA255" s="1"/>
      <c r="AB255" s="15"/>
      <c r="AC255" s="15"/>
      <c r="AD255" s="15"/>
      <c r="AE255" s="15"/>
      <c r="AF255" s="2"/>
      <c r="AG255" s="16" t="s">
        <v>45</v>
      </c>
      <c r="AH255" s="12" t="s">
        <v>355</v>
      </c>
      <c r="AI255" s="10" t="s">
        <v>485</v>
      </c>
      <c r="AJ255" s="10" t="s">
        <v>356</v>
      </c>
      <c r="AK255" s="16" t="s">
        <v>45</v>
      </c>
      <c r="AL255" s="10" t="s">
        <v>49</v>
      </c>
      <c r="AM255" s="16" t="s">
        <v>45</v>
      </c>
      <c r="AN255" s="10" t="s">
        <v>486</v>
      </c>
    </row>
    <row r="256" ht="30.0" customHeight="1">
      <c r="A256" s="9" t="str">
        <f t="shared" si="1"/>
        <v>Inativo</v>
      </c>
      <c r="B256" s="9" t="str">
        <f t="shared" si="2"/>
        <v>N/I</v>
      </c>
      <c r="C256" s="9" t="str">
        <f t="shared" si="3"/>
        <v>N/I</v>
      </c>
      <c r="D256" s="10" t="s">
        <v>459</v>
      </c>
      <c r="E256" s="11" t="s">
        <v>460</v>
      </c>
      <c r="F256" s="11" t="s">
        <v>461</v>
      </c>
      <c r="G256" s="12" t="s">
        <v>52</v>
      </c>
      <c r="H256" s="41" t="s">
        <v>492</v>
      </c>
      <c r="I256" s="12" t="s">
        <v>463</v>
      </c>
      <c r="J256" s="10" t="s">
        <v>222</v>
      </c>
      <c r="K256" s="10" t="s">
        <v>40</v>
      </c>
      <c r="L256" s="10" t="s">
        <v>4</v>
      </c>
      <c r="M256" s="22">
        <v>45639.0</v>
      </c>
      <c r="N256" s="32" t="s">
        <v>464</v>
      </c>
      <c r="O256" s="10" t="s">
        <v>477</v>
      </c>
      <c r="P256" s="10" t="s">
        <v>484</v>
      </c>
      <c r="Q256" s="2"/>
      <c r="R256" s="10">
        <v>12.0</v>
      </c>
      <c r="S256" s="14">
        <v>45639.0</v>
      </c>
      <c r="T256" s="14">
        <v>46003.0</v>
      </c>
      <c r="U256" s="10">
        <f t="shared" si="13"/>
        <v>-88</v>
      </c>
      <c r="V256" s="2"/>
      <c r="W256" s="15"/>
      <c r="X256" s="15"/>
      <c r="Y256" s="15"/>
      <c r="Z256" s="15"/>
      <c r="AA256" s="1"/>
      <c r="AB256" s="15"/>
      <c r="AC256" s="15"/>
      <c r="AD256" s="15"/>
      <c r="AE256" s="15"/>
      <c r="AF256" s="2"/>
      <c r="AG256" s="16" t="s">
        <v>45</v>
      </c>
      <c r="AH256" s="12" t="s">
        <v>355</v>
      </c>
      <c r="AI256" s="10" t="s">
        <v>485</v>
      </c>
      <c r="AJ256" s="10" t="s">
        <v>356</v>
      </c>
      <c r="AK256" s="16" t="s">
        <v>45</v>
      </c>
      <c r="AL256" s="10" t="s">
        <v>49</v>
      </c>
      <c r="AM256" s="16" t="s">
        <v>45</v>
      </c>
      <c r="AN256" s="10" t="s">
        <v>486</v>
      </c>
    </row>
    <row r="257" ht="30.0" customHeight="1">
      <c r="A257" s="9" t="str">
        <f t="shared" si="1"/>
        <v>Inativo</v>
      </c>
      <c r="B257" s="9" t="str">
        <f t="shared" si="2"/>
        <v>N/I</v>
      </c>
      <c r="C257" s="9" t="str">
        <f t="shared" si="3"/>
        <v>N/I</v>
      </c>
      <c r="D257" s="10" t="s">
        <v>459</v>
      </c>
      <c r="E257" s="11" t="s">
        <v>460</v>
      </c>
      <c r="F257" s="11" t="s">
        <v>461</v>
      </c>
      <c r="G257" s="12" t="s">
        <v>52</v>
      </c>
      <c r="H257" s="41" t="s">
        <v>493</v>
      </c>
      <c r="I257" s="12" t="s">
        <v>463</v>
      </c>
      <c r="J257" s="10" t="s">
        <v>222</v>
      </c>
      <c r="K257" s="10" t="s">
        <v>40</v>
      </c>
      <c r="L257" s="10" t="s">
        <v>4</v>
      </c>
      <c r="M257" s="22">
        <v>45639.0</v>
      </c>
      <c r="N257" s="32" t="s">
        <v>464</v>
      </c>
      <c r="O257" s="10" t="s">
        <v>477</v>
      </c>
      <c r="P257" s="10" t="s">
        <v>484</v>
      </c>
      <c r="Q257" s="2"/>
      <c r="R257" s="10">
        <v>12.0</v>
      </c>
      <c r="S257" s="14">
        <v>45639.0</v>
      </c>
      <c r="T257" s="14">
        <v>46003.0</v>
      </c>
      <c r="U257" s="10">
        <f t="shared" si="13"/>
        <v>-88</v>
      </c>
      <c r="V257" s="2"/>
      <c r="W257" s="15"/>
      <c r="X257" s="15"/>
      <c r="Y257" s="15"/>
      <c r="Z257" s="15"/>
      <c r="AA257" s="1"/>
      <c r="AB257" s="15"/>
      <c r="AC257" s="15"/>
      <c r="AD257" s="15"/>
      <c r="AE257" s="15"/>
      <c r="AF257" s="2"/>
      <c r="AG257" s="16" t="s">
        <v>45</v>
      </c>
      <c r="AH257" s="12" t="s">
        <v>355</v>
      </c>
      <c r="AI257" s="10" t="s">
        <v>485</v>
      </c>
      <c r="AJ257" s="10" t="s">
        <v>356</v>
      </c>
      <c r="AK257" s="16" t="s">
        <v>45</v>
      </c>
      <c r="AL257" s="10" t="s">
        <v>49</v>
      </c>
      <c r="AM257" s="16" t="s">
        <v>45</v>
      </c>
      <c r="AN257" s="10" t="s">
        <v>486</v>
      </c>
    </row>
    <row r="258" ht="30.0" customHeight="1">
      <c r="A258" s="9" t="str">
        <f t="shared" si="1"/>
        <v>Inativo</v>
      </c>
      <c r="B258" s="9" t="str">
        <f t="shared" si="2"/>
        <v>N/I</v>
      </c>
      <c r="C258" s="9" t="str">
        <f t="shared" si="3"/>
        <v>N/I</v>
      </c>
      <c r="D258" s="10" t="s">
        <v>459</v>
      </c>
      <c r="E258" s="11" t="s">
        <v>460</v>
      </c>
      <c r="F258" s="11" t="s">
        <v>461</v>
      </c>
      <c r="G258" s="12" t="s">
        <v>94</v>
      </c>
      <c r="H258" s="27" t="s">
        <v>494</v>
      </c>
      <c r="I258" s="12" t="s">
        <v>463</v>
      </c>
      <c r="J258" s="10" t="s">
        <v>222</v>
      </c>
      <c r="K258" s="10" t="s">
        <v>40</v>
      </c>
      <c r="L258" s="10" t="s">
        <v>4</v>
      </c>
      <c r="M258" s="22">
        <v>45643.0</v>
      </c>
      <c r="N258" s="32" t="s">
        <v>464</v>
      </c>
      <c r="O258" s="10" t="s">
        <v>477</v>
      </c>
      <c r="P258" s="10" t="s">
        <v>495</v>
      </c>
      <c r="Q258" s="2"/>
      <c r="R258" s="10">
        <v>12.0</v>
      </c>
      <c r="S258" s="14">
        <v>45643.0</v>
      </c>
      <c r="T258" s="14">
        <v>46007.0</v>
      </c>
      <c r="U258" s="10">
        <f t="shared" si="13"/>
        <v>-84</v>
      </c>
      <c r="V258" s="2"/>
      <c r="W258" s="15"/>
      <c r="X258" s="15"/>
      <c r="Y258" s="15"/>
      <c r="Z258" s="15"/>
      <c r="AA258" s="1"/>
      <c r="AB258" s="15"/>
      <c r="AC258" s="15"/>
      <c r="AD258" s="15"/>
      <c r="AE258" s="15"/>
      <c r="AF258" s="2"/>
      <c r="AG258" s="16" t="s">
        <v>45</v>
      </c>
      <c r="AH258" s="12" t="s">
        <v>355</v>
      </c>
      <c r="AI258" s="10" t="s">
        <v>485</v>
      </c>
      <c r="AJ258" s="10" t="s">
        <v>356</v>
      </c>
      <c r="AK258" s="16" t="s">
        <v>45</v>
      </c>
      <c r="AL258" s="10" t="s">
        <v>49</v>
      </c>
      <c r="AM258" s="16" t="s">
        <v>45</v>
      </c>
      <c r="AN258" s="10" t="s">
        <v>486</v>
      </c>
    </row>
    <row r="259" ht="30.0" customHeight="1">
      <c r="A259" s="9" t="str">
        <f t="shared" si="1"/>
        <v>Inativo</v>
      </c>
      <c r="B259" s="9" t="str">
        <f t="shared" si="2"/>
        <v>N/I</v>
      </c>
      <c r="C259" s="9" t="str">
        <f t="shared" si="3"/>
        <v>N/I</v>
      </c>
      <c r="D259" s="10" t="s">
        <v>459</v>
      </c>
      <c r="E259" s="11" t="s">
        <v>460</v>
      </c>
      <c r="F259" s="11" t="s">
        <v>461</v>
      </c>
      <c r="G259" s="12" t="s">
        <v>94</v>
      </c>
      <c r="H259" s="27" t="s">
        <v>496</v>
      </c>
      <c r="I259" s="12" t="s">
        <v>463</v>
      </c>
      <c r="J259" s="10" t="s">
        <v>222</v>
      </c>
      <c r="K259" s="10" t="s">
        <v>40</v>
      </c>
      <c r="L259" s="10" t="s">
        <v>4</v>
      </c>
      <c r="M259" s="22">
        <v>45643.0</v>
      </c>
      <c r="N259" s="32" t="s">
        <v>464</v>
      </c>
      <c r="O259" s="10" t="s">
        <v>477</v>
      </c>
      <c r="P259" s="10" t="s">
        <v>495</v>
      </c>
      <c r="Q259" s="2"/>
      <c r="R259" s="10">
        <v>12.0</v>
      </c>
      <c r="S259" s="14">
        <v>45643.0</v>
      </c>
      <c r="T259" s="14">
        <v>46007.0</v>
      </c>
      <c r="U259" s="10">
        <f t="shared" si="13"/>
        <v>-84</v>
      </c>
      <c r="V259" s="2"/>
      <c r="W259" s="15"/>
      <c r="X259" s="15"/>
      <c r="Y259" s="15"/>
      <c r="Z259" s="15"/>
      <c r="AA259" s="1"/>
      <c r="AB259" s="15"/>
      <c r="AC259" s="15"/>
      <c r="AD259" s="15"/>
      <c r="AE259" s="15"/>
      <c r="AF259" s="2"/>
      <c r="AG259" s="16" t="s">
        <v>45</v>
      </c>
      <c r="AH259" s="12" t="s">
        <v>355</v>
      </c>
      <c r="AI259" s="10" t="s">
        <v>485</v>
      </c>
      <c r="AJ259" s="10" t="s">
        <v>356</v>
      </c>
      <c r="AK259" s="16" t="s">
        <v>45</v>
      </c>
      <c r="AL259" s="10" t="s">
        <v>49</v>
      </c>
      <c r="AM259" s="16" t="s">
        <v>45</v>
      </c>
      <c r="AN259" s="10" t="s">
        <v>486</v>
      </c>
    </row>
    <row r="260" ht="30.0" customHeight="1">
      <c r="A260" s="9" t="str">
        <f t="shared" si="1"/>
        <v>Inativo</v>
      </c>
      <c r="B260" s="9" t="str">
        <f t="shared" si="2"/>
        <v>N/I</v>
      </c>
      <c r="C260" s="9" t="str">
        <f t="shared" si="3"/>
        <v>N/I</v>
      </c>
      <c r="D260" s="10" t="s">
        <v>459</v>
      </c>
      <c r="E260" s="11" t="s">
        <v>460</v>
      </c>
      <c r="F260" s="11" t="s">
        <v>461</v>
      </c>
      <c r="G260" s="12" t="s">
        <v>94</v>
      </c>
      <c r="H260" s="27" t="s">
        <v>497</v>
      </c>
      <c r="I260" s="12" t="s">
        <v>463</v>
      </c>
      <c r="J260" s="10" t="s">
        <v>222</v>
      </c>
      <c r="K260" s="10" t="s">
        <v>40</v>
      </c>
      <c r="L260" s="10" t="s">
        <v>4</v>
      </c>
      <c r="M260" s="22">
        <v>45645.0</v>
      </c>
      <c r="N260" s="32" t="s">
        <v>464</v>
      </c>
      <c r="O260" s="10" t="s">
        <v>477</v>
      </c>
      <c r="P260" s="10" t="s">
        <v>495</v>
      </c>
      <c r="Q260" s="2"/>
      <c r="R260" s="10">
        <v>12.0</v>
      </c>
      <c r="S260" s="14">
        <v>45645.0</v>
      </c>
      <c r="T260" s="14">
        <v>46009.0</v>
      </c>
      <c r="U260" s="10">
        <f t="shared" si="13"/>
        <v>-82</v>
      </c>
      <c r="V260" s="2"/>
      <c r="W260" s="15"/>
      <c r="X260" s="15"/>
      <c r="Y260" s="15"/>
      <c r="Z260" s="15"/>
      <c r="AA260" s="1"/>
      <c r="AB260" s="15"/>
      <c r="AC260" s="15"/>
      <c r="AD260" s="15"/>
      <c r="AE260" s="15"/>
      <c r="AF260" s="2"/>
      <c r="AG260" s="16" t="s">
        <v>45</v>
      </c>
      <c r="AH260" s="12" t="s">
        <v>355</v>
      </c>
      <c r="AI260" s="10" t="s">
        <v>485</v>
      </c>
      <c r="AJ260" s="10" t="s">
        <v>356</v>
      </c>
      <c r="AK260" s="16" t="s">
        <v>45</v>
      </c>
      <c r="AL260" s="10" t="s">
        <v>49</v>
      </c>
      <c r="AM260" s="16" t="s">
        <v>45</v>
      </c>
      <c r="AN260" s="10" t="s">
        <v>486</v>
      </c>
    </row>
    <row r="261" ht="30.0" customHeight="1">
      <c r="A261" s="9" t="str">
        <f t="shared" si="1"/>
        <v>Inativo</v>
      </c>
      <c r="B261" s="9" t="str">
        <f t="shared" si="2"/>
        <v>N/I</v>
      </c>
      <c r="C261" s="9" t="str">
        <f t="shared" si="3"/>
        <v>N/I</v>
      </c>
      <c r="D261" s="10" t="s">
        <v>459</v>
      </c>
      <c r="E261" s="11" t="s">
        <v>460</v>
      </c>
      <c r="F261" s="11" t="s">
        <v>461</v>
      </c>
      <c r="G261" s="12" t="s">
        <v>94</v>
      </c>
      <c r="H261" s="27" t="s">
        <v>498</v>
      </c>
      <c r="I261" s="12" t="s">
        <v>463</v>
      </c>
      <c r="J261" s="10" t="s">
        <v>222</v>
      </c>
      <c r="K261" s="10" t="s">
        <v>40</v>
      </c>
      <c r="L261" s="10" t="s">
        <v>4</v>
      </c>
      <c r="M261" s="22">
        <v>46010.0</v>
      </c>
      <c r="N261" s="32" t="s">
        <v>464</v>
      </c>
      <c r="O261" s="10" t="s">
        <v>477</v>
      </c>
      <c r="P261" s="10" t="s">
        <v>495</v>
      </c>
      <c r="Q261" s="2"/>
      <c r="R261" s="10">
        <v>12.0</v>
      </c>
      <c r="S261" s="14">
        <v>45645.0</v>
      </c>
      <c r="T261" s="14">
        <v>46009.0</v>
      </c>
      <c r="U261" s="10">
        <f t="shared" si="13"/>
        <v>-82</v>
      </c>
      <c r="V261" s="2"/>
      <c r="W261" s="15"/>
      <c r="X261" s="15"/>
      <c r="Y261" s="15"/>
      <c r="Z261" s="15"/>
      <c r="AA261" s="1"/>
      <c r="AB261" s="15"/>
      <c r="AC261" s="15"/>
      <c r="AD261" s="15"/>
      <c r="AE261" s="15"/>
      <c r="AF261" s="2"/>
      <c r="AG261" s="16" t="s">
        <v>45</v>
      </c>
      <c r="AH261" s="12" t="s">
        <v>355</v>
      </c>
      <c r="AI261" s="10" t="s">
        <v>485</v>
      </c>
      <c r="AJ261" s="10" t="s">
        <v>356</v>
      </c>
      <c r="AK261" s="16" t="s">
        <v>45</v>
      </c>
      <c r="AL261" s="10" t="s">
        <v>49</v>
      </c>
      <c r="AM261" s="16" t="s">
        <v>45</v>
      </c>
      <c r="AN261" s="10" t="s">
        <v>486</v>
      </c>
    </row>
    <row r="262" ht="30.0" customHeight="1">
      <c r="A262" s="9" t="str">
        <f t="shared" si="1"/>
        <v>N/I</v>
      </c>
      <c r="B262" s="9" t="str">
        <f t="shared" si="2"/>
        <v>N/I</v>
      </c>
      <c r="C262" s="9" t="str">
        <f t="shared" si="3"/>
        <v>Inativo</v>
      </c>
      <c r="D262" s="10" t="s">
        <v>499</v>
      </c>
      <c r="E262" s="11" t="s">
        <v>500</v>
      </c>
      <c r="F262" s="11" t="s">
        <v>501</v>
      </c>
      <c r="G262" s="12" t="s">
        <v>502</v>
      </c>
      <c r="H262" s="34" t="s">
        <v>503</v>
      </c>
      <c r="I262" s="12" t="s">
        <v>504</v>
      </c>
      <c r="J262" s="10" t="s">
        <v>216</v>
      </c>
      <c r="K262" s="10" t="s">
        <v>40</v>
      </c>
      <c r="L262" s="10" t="s">
        <v>6</v>
      </c>
      <c r="M262" s="14">
        <v>45280.0</v>
      </c>
      <c r="N262" s="11" t="s">
        <v>505</v>
      </c>
      <c r="O262" s="10" t="s">
        <v>506</v>
      </c>
      <c r="P262" s="10" t="s">
        <v>507</v>
      </c>
      <c r="Q262" s="2"/>
      <c r="R262" s="15"/>
      <c r="S262" s="15"/>
      <c r="T262" s="15"/>
      <c r="U262" s="15"/>
      <c r="V262" s="2"/>
      <c r="W262" s="15"/>
      <c r="X262" s="15"/>
      <c r="Y262" s="15"/>
      <c r="Z262" s="15"/>
      <c r="AA262" s="1"/>
      <c r="AB262" s="10">
        <v>12.0</v>
      </c>
      <c r="AC262" s="14">
        <v>45355.0</v>
      </c>
      <c r="AD262" s="14">
        <v>46084.0</v>
      </c>
      <c r="AE262" s="10">
        <f>AD262-TODAY()</f>
        <v>-7</v>
      </c>
      <c r="AF262" s="2"/>
      <c r="AG262" s="16" t="s">
        <v>45</v>
      </c>
      <c r="AH262" s="12" t="s">
        <v>46</v>
      </c>
      <c r="AI262" s="10" t="s">
        <v>226</v>
      </c>
      <c r="AJ262" s="10" t="s">
        <v>508</v>
      </c>
      <c r="AK262" s="16" t="s">
        <v>45</v>
      </c>
      <c r="AL262" s="16" t="s">
        <v>45</v>
      </c>
      <c r="AM262" s="16" t="s">
        <v>45</v>
      </c>
      <c r="AN262" s="10" t="s">
        <v>50</v>
      </c>
    </row>
    <row r="263" ht="30.0" customHeight="1">
      <c r="A263" s="9" t="str">
        <f t="shared" si="1"/>
        <v>Inativo</v>
      </c>
      <c r="B263" s="9" t="str">
        <f t="shared" si="2"/>
        <v>N/I</v>
      </c>
      <c r="C263" s="9" t="str">
        <f t="shared" si="3"/>
        <v>N/I</v>
      </c>
      <c r="D263" s="10" t="s">
        <v>499</v>
      </c>
      <c r="E263" s="11" t="s">
        <v>509</v>
      </c>
      <c r="F263" s="11" t="s">
        <v>510</v>
      </c>
      <c r="G263" s="12" t="s">
        <v>94</v>
      </c>
      <c r="H263" s="27" t="s">
        <v>511</v>
      </c>
      <c r="I263" s="12" t="s">
        <v>512</v>
      </c>
      <c r="J263" s="10" t="s">
        <v>216</v>
      </c>
      <c r="K263" s="10" t="s">
        <v>40</v>
      </c>
      <c r="L263" s="10" t="s">
        <v>4</v>
      </c>
      <c r="M263" s="14">
        <v>44670.0</v>
      </c>
      <c r="N263" s="11" t="s">
        <v>513</v>
      </c>
      <c r="O263" s="10" t="s">
        <v>514</v>
      </c>
      <c r="P263" s="10" t="s">
        <v>515</v>
      </c>
      <c r="Q263" s="2"/>
      <c r="R263" s="10">
        <v>12.0</v>
      </c>
      <c r="S263" s="14">
        <v>45274.0</v>
      </c>
      <c r="T263" s="14">
        <v>45640.0</v>
      </c>
      <c r="U263" s="10">
        <f>T263-TODAY()</f>
        <v>-451</v>
      </c>
      <c r="V263" s="2"/>
      <c r="W263" s="15"/>
      <c r="X263" s="15"/>
      <c r="Y263" s="15"/>
      <c r="Z263" s="15"/>
      <c r="AA263" s="1"/>
      <c r="AB263" s="15"/>
      <c r="AC263" s="15"/>
      <c r="AD263" s="15"/>
      <c r="AE263" s="15"/>
      <c r="AF263" s="2"/>
      <c r="AG263" s="16" t="s">
        <v>45</v>
      </c>
      <c r="AH263" s="16" t="s">
        <v>45</v>
      </c>
      <c r="AI263" s="16" t="s">
        <v>45</v>
      </c>
      <c r="AJ263" s="16" t="s">
        <v>45</v>
      </c>
      <c r="AK263" s="16" t="s">
        <v>45</v>
      </c>
      <c r="AL263" s="10" t="s">
        <v>49</v>
      </c>
      <c r="AM263" s="16" t="s">
        <v>45</v>
      </c>
      <c r="AN263" s="16" t="s">
        <v>45</v>
      </c>
    </row>
    <row r="264" ht="30.0" customHeight="1">
      <c r="A264" s="9" t="str">
        <f t="shared" si="1"/>
        <v>N/I</v>
      </c>
      <c r="B264" s="9" t="str">
        <f t="shared" si="2"/>
        <v>N/I</v>
      </c>
      <c r="C264" s="9" t="str">
        <f t="shared" si="3"/>
        <v>Inativo</v>
      </c>
      <c r="D264" s="10" t="s">
        <v>516</v>
      </c>
      <c r="E264" s="11" t="s">
        <v>517</v>
      </c>
      <c r="F264" s="11" t="s">
        <v>518</v>
      </c>
      <c r="G264" s="12" t="s">
        <v>519</v>
      </c>
      <c r="H264" s="27">
        <v>150016.0</v>
      </c>
      <c r="I264" s="12" t="s">
        <v>520</v>
      </c>
      <c r="J264" s="10" t="s">
        <v>521</v>
      </c>
      <c r="K264" s="10" t="s">
        <v>263</v>
      </c>
      <c r="L264" s="10" t="s">
        <v>6</v>
      </c>
      <c r="M264" s="14">
        <v>43004.0</v>
      </c>
      <c r="N264" s="11" t="s">
        <v>522</v>
      </c>
      <c r="O264" s="10" t="s">
        <v>523</v>
      </c>
      <c r="P264" s="10" t="s">
        <v>524</v>
      </c>
      <c r="Q264" s="2"/>
      <c r="R264" s="15"/>
      <c r="S264" s="15"/>
      <c r="T264" s="15"/>
      <c r="U264" s="15"/>
      <c r="V264" s="2"/>
      <c r="W264" s="15"/>
      <c r="X264" s="15"/>
      <c r="Y264" s="15"/>
      <c r="Z264" s="15"/>
      <c r="AA264" s="1"/>
      <c r="AB264" s="10">
        <v>12.0</v>
      </c>
      <c r="AC264" s="14">
        <v>46656.0</v>
      </c>
      <c r="AD264" s="14">
        <v>43369.0</v>
      </c>
      <c r="AE264" s="10">
        <f>AD264-TODAY()</f>
        <v>-2722</v>
      </c>
      <c r="AF264" s="2"/>
      <c r="AG264" s="16" t="s">
        <v>45</v>
      </c>
      <c r="AH264" s="16" t="s">
        <v>45</v>
      </c>
      <c r="AI264" s="16" t="s">
        <v>45</v>
      </c>
      <c r="AJ264" s="16" t="s">
        <v>45</v>
      </c>
      <c r="AK264" s="16" t="s">
        <v>45</v>
      </c>
      <c r="AL264" s="16" t="s">
        <v>45</v>
      </c>
      <c r="AM264" s="16" t="s">
        <v>45</v>
      </c>
      <c r="AN264" s="16" t="s">
        <v>45</v>
      </c>
    </row>
    <row r="265" ht="30.0" customHeight="1">
      <c r="A265" s="9" t="str">
        <f t="shared" si="1"/>
        <v>Inativo</v>
      </c>
      <c r="B265" s="9" t="str">
        <f t="shared" si="2"/>
        <v>N/I</v>
      </c>
      <c r="C265" s="9" t="str">
        <f t="shared" si="3"/>
        <v>N/I</v>
      </c>
      <c r="D265" s="10"/>
      <c r="E265" s="11" t="s">
        <v>525</v>
      </c>
      <c r="F265" s="11"/>
      <c r="G265" s="12" t="s">
        <v>448</v>
      </c>
      <c r="H265" s="27" t="s">
        <v>526</v>
      </c>
      <c r="I265" s="12" t="s">
        <v>463</v>
      </c>
      <c r="J265" s="10" t="s">
        <v>222</v>
      </c>
      <c r="K265" s="10" t="s">
        <v>40</v>
      </c>
      <c r="L265" s="10" t="s">
        <v>4</v>
      </c>
      <c r="M265" s="14">
        <v>45573.0</v>
      </c>
      <c r="N265" s="11" t="s">
        <v>527</v>
      </c>
      <c r="O265" s="10" t="s">
        <v>528</v>
      </c>
      <c r="P265" s="10" t="s">
        <v>529</v>
      </c>
      <c r="Q265" s="2"/>
      <c r="R265" s="10">
        <v>12.0</v>
      </c>
      <c r="S265" s="14">
        <v>45573.0</v>
      </c>
      <c r="T265" s="14">
        <v>45938.0</v>
      </c>
      <c r="U265" s="10">
        <f t="shared" ref="U265:U278" si="14">T265-TODAY()</f>
        <v>-153</v>
      </c>
      <c r="V265" s="2"/>
      <c r="W265" s="15"/>
      <c r="X265" s="15"/>
      <c r="Y265" s="15"/>
      <c r="Z265" s="15"/>
      <c r="AA265" s="1"/>
      <c r="AB265" s="15"/>
      <c r="AC265" s="15"/>
      <c r="AD265" s="15"/>
      <c r="AE265" s="15"/>
      <c r="AF265" s="2"/>
      <c r="AG265" s="16" t="s">
        <v>45</v>
      </c>
      <c r="AH265" s="12" t="s">
        <v>46</v>
      </c>
      <c r="AI265" s="10" t="s">
        <v>485</v>
      </c>
      <c r="AJ265" s="10" t="s">
        <v>356</v>
      </c>
      <c r="AK265" s="16" t="s">
        <v>45</v>
      </c>
      <c r="AL265" s="10" t="s">
        <v>49</v>
      </c>
      <c r="AM265" s="16" t="s">
        <v>45</v>
      </c>
      <c r="AN265" s="10" t="s">
        <v>320</v>
      </c>
    </row>
    <row r="266" ht="30.0" customHeight="1">
      <c r="A266" s="9" t="str">
        <f t="shared" si="1"/>
        <v>Ativo</v>
      </c>
      <c r="B266" s="9" t="str">
        <f t="shared" si="2"/>
        <v>N/I</v>
      </c>
      <c r="C266" s="9" t="str">
        <f t="shared" si="3"/>
        <v>N/I</v>
      </c>
      <c r="D266" s="10" t="s">
        <v>530</v>
      </c>
      <c r="E266" s="11" t="s">
        <v>531</v>
      </c>
      <c r="F266" s="11" t="s">
        <v>532</v>
      </c>
      <c r="G266" s="12" t="s">
        <v>58</v>
      </c>
      <c r="H266" s="42" t="s">
        <v>533</v>
      </c>
      <c r="I266" s="12" t="s">
        <v>534</v>
      </c>
      <c r="J266" s="10" t="s">
        <v>521</v>
      </c>
      <c r="K266" s="10" t="s">
        <v>263</v>
      </c>
      <c r="L266" s="10" t="s">
        <v>4</v>
      </c>
      <c r="M266" s="14">
        <v>45748.0</v>
      </c>
      <c r="N266" s="11" t="s">
        <v>535</v>
      </c>
      <c r="O266" s="10" t="s">
        <v>536</v>
      </c>
      <c r="P266" s="10" t="s">
        <v>537</v>
      </c>
      <c r="Q266" s="2"/>
      <c r="R266" s="10">
        <v>36.0</v>
      </c>
      <c r="S266" s="14">
        <v>45748.0</v>
      </c>
      <c r="T266" s="14">
        <v>46844.0</v>
      </c>
      <c r="U266" s="10">
        <f t="shared" si="14"/>
        <v>753</v>
      </c>
      <c r="V266" s="2"/>
      <c r="W266" s="15"/>
      <c r="X266" s="15"/>
      <c r="Y266" s="15"/>
      <c r="Z266" s="15"/>
      <c r="AA266" s="1"/>
      <c r="AB266" s="15"/>
      <c r="AC266" s="15"/>
      <c r="AD266" s="15"/>
      <c r="AE266" s="15"/>
      <c r="AF266" s="2"/>
      <c r="AG266" s="10" t="s">
        <v>354</v>
      </c>
      <c r="AH266" s="12" t="s">
        <v>46</v>
      </c>
      <c r="AI266" s="10" t="s">
        <v>485</v>
      </c>
      <c r="AJ266" s="10" t="s">
        <v>538</v>
      </c>
      <c r="AK266" s="16" t="s">
        <v>45</v>
      </c>
      <c r="AL266" s="16" t="s">
        <v>45</v>
      </c>
      <c r="AM266" s="16" t="s">
        <v>45</v>
      </c>
      <c r="AN266" s="10" t="s">
        <v>50</v>
      </c>
    </row>
    <row r="267" ht="30.0" customHeight="1">
      <c r="A267" s="9" t="str">
        <f t="shared" si="1"/>
        <v>Ativo</v>
      </c>
      <c r="B267" s="9" t="str">
        <f t="shared" si="2"/>
        <v>N/I</v>
      </c>
      <c r="C267" s="9" t="str">
        <f t="shared" si="3"/>
        <v>N/I</v>
      </c>
      <c r="D267" s="10" t="s">
        <v>530</v>
      </c>
      <c r="E267" s="11" t="s">
        <v>531</v>
      </c>
      <c r="F267" s="11" t="s">
        <v>539</v>
      </c>
      <c r="G267" s="12" t="s">
        <v>58</v>
      </c>
      <c r="H267" s="42" t="s">
        <v>540</v>
      </c>
      <c r="I267" s="12" t="s">
        <v>541</v>
      </c>
      <c r="J267" s="10" t="s">
        <v>283</v>
      </c>
      <c r="K267" s="10" t="s">
        <v>263</v>
      </c>
      <c r="L267" s="10" t="s">
        <v>4</v>
      </c>
      <c r="M267" s="14">
        <v>45504.0</v>
      </c>
      <c r="N267" s="11" t="s">
        <v>542</v>
      </c>
      <c r="O267" s="10" t="s">
        <v>543</v>
      </c>
      <c r="P267" s="10" t="s">
        <v>544</v>
      </c>
      <c r="Q267" s="2"/>
      <c r="R267" s="10">
        <v>36.0</v>
      </c>
      <c r="S267" s="14">
        <v>45504.0</v>
      </c>
      <c r="T267" s="14">
        <v>46599.0</v>
      </c>
      <c r="U267" s="10">
        <f t="shared" si="14"/>
        <v>508</v>
      </c>
      <c r="V267" s="2"/>
      <c r="W267" s="15"/>
      <c r="X267" s="15"/>
      <c r="Y267" s="15"/>
      <c r="Z267" s="15"/>
      <c r="AA267" s="1"/>
      <c r="AB267" s="15"/>
      <c r="AC267" s="15"/>
      <c r="AD267" s="15"/>
      <c r="AE267" s="15"/>
      <c r="AF267" s="2"/>
      <c r="AG267" s="10" t="s">
        <v>354</v>
      </c>
      <c r="AH267" s="12" t="s">
        <v>46</v>
      </c>
      <c r="AI267" s="10" t="s">
        <v>485</v>
      </c>
      <c r="AJ267" s="10" t="s">
        <v>538</v>
      </c>
      <c r="AK267" s="16" t="s">
        <v>45</v>
      </c>
      <c r="AL267" s="16" t="s">
        <v>45</v>
      </c>
      <c r="AM267" s="16" t="s">
        <v>45</v>
      </c>
      <c r="AN267" s="10" t="s">
        <v>320</v>
      </c>
    </row>
    <row r="268" ht="30.0" customHeight="1">
      <c r="A268" s="9" t="str">
        <f t="shared" si="1"/>
        <v>Ativo</v>
      </c>
      <c r="B268" s="9" t="str">
        <f t="shared" si="2"/>
        <v>N/I</v>
      </c>
      <c r="C268" s="9" t="str">
        <f t="shared" si="3"/>
        <v>N/I</v>
      </c>
      <c r="D268" s="10" t="s">
        <v>530</v>
      </c>
      <c r="E268" s="11" t="s">
        <v>531</v>
      </c>
      <c r="F268" s="11" t="s">
        <v>539</v>
      </c>
      <c r="G268" s="12" t="s">
        <v>58</v>
      </c>
      <c r="H268" s="42" t="s">
        <v>545</v>
      </c>
      <c r="I268" s="12" t="s">
        <v>541</v>
      </c>
      <c r="J268" s="10" t="s">
        <v>283</v>
      </c>
      <c r="K268" s="10" t="s">
        <v>263</v>
      </c>
      <c r="L268" s="10" t="s">
        <v>4</v>
      </c>
      <c r="M268" s="14">
        <v>45504.0</v>
      </c>
      <c r="N268" s="11" t="s">
        <v>542</v>
      </c>
      <c r="O268" s="10" t="s">
        <v>543</v>
      </c>
      <c r="P268" s="10" t="s">
        <v>544</v>
      </c>
      <c r="Q268" s="2"/>
      <c r="R268" s="10">
        <v>36.0</v>
      </c>
      <c r="S268" s="14">
        <v>45504.0</v>
      </c>
      <c r="T268" s="14">
        <v>46599.0</v>
      </c>
      <c r="U268" s="10">
        <f t="shared" si="14"/>
        <v>508</v>
      </c>
      <c r="V268" s="2"/>
      <c r="W268" s="15"/>
      <c r="X268" s="15"/>
      <c r="Y268" s="15"/>
      <c r="Z268" s="15"/>
      <c r="AA268" s="1"/>
      <c r="AB268" s="15"/>
      <c r="AC268" s="15"/>
      <c r="AD268" s="15"/>
      <c r="AE268" s="15"/>
      <c r="AF268" s="2"/>
      <c r="AG268" s="10" t="s">
        <v>354</v>
      </c>
      <c r="AH268" s="12" t="s">
        <v>46</v>
      </c>
      <c r="AI268" s="10" t="s">
        <v>485</v>
      </c>
      <c r="AJ268" s="10" t="s">
        <v>538</v>
      </c>
      <c r="AK268" s="16" t="s">
        <v>45</v>
      </c>
      <c r="AL268" s="16" t="s">
        <v>45</v>
      </c>
      <c r="AM268" s="16" t="s">
        <v>45</v>
      </c>
      <c r="AN268" s="10" t="s">
        <v>320</v>
      </c>
    </row>
    <row r="269" ht="30.0" customHeight="1">
      <c r="A269" s="9" t="str">
        <f t="shared" si="1"/>
        <v>Ativo</v>
      </c>
      <c r="B269" s="9" t="str">
        <f t="shared" si="2"/>
        <v>N/I</v>
      </c>
      <c r="C269" s="9" t="str">
        <f t="shared" si="3"/>
        <v>N/I</v>
      </c>
      <c r="D269" s="10" t="s">
        <v>530</v>
      </c>
      <c r="E269" s="11" t="s">
        <v>531</v>
      </c>
      <c r="F269" s="11" t="s">
        <v>539</v>
      </c>
      <c r="G269" s="12" t="s">
        <v>58</v>
      </c>
      <c r="H269" s="42" t="s">
        <v>546</v>
      </c>
      <c r="I269" s="12" t="s">
        <v>541</v>
      </c>
      <c r="J269" s="10" t="s">
        <v>283</v>
      </c>
      <c r="K269" s="10" t="s">
        <v>263</v>
      </c>
      <c r="L269" s="10" t="s">
        <v>4</v>
      </c>
      <c r="M269" s="14">
        <v>45504.0</v>
      </c>
      <c r="N269" s="11" t="s">
        <v>542</v>
      </c>
      <c r="O269" s="10" t="s">
        <v>543</v>
      </c>
      <c r="P269" s="10" t="s">
        <v>544</v>
      </c>
      <c r="Q269" s="2"/>
      <c r="R269" s="10">
        <v>36.0</v>
      </c>
      <c r="S269" s="14">
        <v>45504.0</v>
      </c>
      <c r="T269" s="14">
        <v>46599.0</v>
      </c>
      <c r="U269" s="10">
        <f t="shared" si="14"/>
        <v>508</v>
      </c>
      <c r="V269" s="2"/>
      <c r="W269" s="15"/>
      <c r="X269" s="15"/>
      <c r="Y269" s="15"/>
      <c r="Z269" s="15"/>
      <c r="AA269" s="1"/>
      <c r="AB269" s="15"/>
      <c r="AC269" s="15"/>
      <c r="AD269" s="15"/>
      <c r="AE269" s="15"/>
      <c r="AF269" s="2"/>
      <c r="AG269" s="10" t="s">
        <v>354</v>
      </c>
      <c r="AH269" s="12" t="s">
        <v>46</v>
      </c>
      <c r="AI269" s="10" t="s">
        <v>485</v>
      </c>
      <c r="AJ269" s="10" t="s">
        <v>538</v>
      </c>
      <c r="AK269" s="16" t="s">
        <v>45</v>
      </c>
      <c r="AL269" s="16" t="s">
        <v>45</v>
      </c>
      <c r="AM269" s="16" t="s">
        <v>45</v>
      </c>
      <c r="AN269" s="10" t="s">
        <v>320</v>
      </c>
    </row>
    <row r="270" ht="30.0" customHeight="1">
      <c r="A270" s="9" t="str">
        <f t="shared" si="1"/>
        <v>Ativo</v>
      </c>
      <c r="B270" s="9" t="str">
        <f t="shared" si="2"/>
        <v>N/I</v>
      </c>
      <c r="C270" s="9" t="str">
        <f t="shared" si="3"/>
        <v>N/I</v>
      </c>
      <c r="D270" s="10" t="s">
        <v>530</v>
      </c>
      <c r="E270" s="11" t="s">
        <v>531</v>
      </c>
      <c r="F270" s="11" t="s">
        <v>539</v>
      </c>
      <c r="G270" s="12" t="s">
        <v>58</v>
      </c>
      <c r="H270" s="42" t="s">
        <v>547</v>
      </c>
      <c r="I270" s="12" t="s">
        <v>541</v>
      </c>
      <c r="J270" s="10" t="s">
        <v>283</v>
      </c>
      <c r="K270" s="10" t="s">
        <v>263</v>
      </c>
      <c r="L270" s="10" t="s">
        <v>4</v>
      </c>
      <c r="M270" s="14">
        <v>45504.0</v>
      </c>
      <c r="N270" s="11" t="s">
        <v>542</v>
      </c>
      <c r="O270" s="10" t="s">
        <v>543</v>
      </c>
      <c r="P270" s="10" t="s">
        <v>544</v>
      </c>
      <c r="Q270" s="2"/>
      <c r="R270" s="10">
        <v>36.0</v>
      </c>
      <c r="S270" s="14">
        <v>45504.0</v>
      </c>
      <c r="T270" s="14">
        <v>46599.0</v>
      </c>
      <c r="U270" s="10">
        <f t="shared" si="14"/>
        <v>508</v>
      </c>
      <c r="V270" s="2"/>
      <c r="W270" s="15"/>
      <c r="X270" s="15"/>
      <c r="Y270" s="15"/>
      <c r="Z270" s="15"/>
      <c r="AA270" s="1"/>
      <c r="AB270" s="15"/>
      <c r="AC270" s="15"/>
      <c r="AD270" s="15"/>
      <c r="AE270" s="15"/>
      <c r="AF270" s="2"/>
      <c r="AG270" s="10" t="s">
        <v>354</v>
      </c>
      <c r="AH270" s="12" t="s">
        <v>46</v>
      </c>
      <c r="AI270" s="10" t="s">
        <v>485</v>
      </c>
      <c r="AJ270" s="10" t="s">
        <v>538</v>
      </c>
      <c r="AK270" s="16" t="s">
        <v>45</v>
      </c>
      <c r="AL270" s="16" t="s">
        <v>45</v>
      </c>
      <c r="AM270" s="16" t="s">
        <v>45</v>
      </c>
      <c r="AN270" s="10" t="s">
        <v>320</v>
      </c>
    </row>
    <row r="271" ht="30.0" customHeight="1">
      <c r="A271" s="9" t="str">
        <f t="shared" si="1"/>
        <v>Ativo</v>
      </c>
      <c r="B271" s="9" t="str">
        <f t="shared" si="2"/>
        <v>N/I</v>
      </c>
      <c r="C271" s="9" t="str">
        <f t="shared" si="3"/>
        <v>N/I</v>
      </c>
      <c r="D271" s="10" t="s">
        <v>530</v>
      </c>
      <c r="E271" s="11" t="s">
        <v>531</v>
      </c>
      <c r="F271" s="11" t="s">
        <v>539</v>
      </c>
      <c r="G271" s="12" t="s">
        <v>58</v>
      </c>
      <c r="H271" s="42" t="s">
        <v>548</v>
      </c>
      <c r="I271" s="12" t="s">
        <v>541</v>
      </c>
      <c r="J271" s="10" t="s">
        <v>283</v>
      </c>
      <c r="K271" s="10" t="s">
        <v>263</v>
      </c>
      <c r="L271" s="10" t="s">
        <v>4</v>
      </c>
      <c r="M271" s="14">
        <v>45504.0</v>
      </c>
      <c r="N271" s="11" t="s">
        <v>542</v>
      </c>
      <c r="O271" s="10" t="s">
        <v>543</v>
      </c>
      <c r="P271" s="10" t="s">
        <v>544</v>
      </c>
      <c r="Q271" s="2"/>
      <c r="R271" s="10">
        <v>36.0</v>
      </c>
      <c r="S271" s="14">
        <v>45504.0</v>
      </c>
      <c r="T271" s="14">
        <v>46599.0</v>
      </c>
      <c r="U271" s="10">
        <f t="shared" si="14"/>
        <v>508</v>
      </c>
      <c r="V271" s="2"/>
      <c r="W271" s="15"/>
      <c r="X271" s="15"/>
      <c r="Y271" s="15"/>
      <c r="Z271" s="15"/>
      <c r="AA271" s="1"/>
      <c r="AB271" s="15"/>
      <c r="AC271" s="15"/>
      <c r="AD271" s="15"/>
      <c r="AE271" s="15"/>
      <c r="AF271" s="2"/>
      <c r="AG271" s="10" t="s">
        <v>354</v>
      </c>
      <c r="AH271" s="12" t="s">
        <v>46</v>
      </c>
      <c r="AI271" s="10" t="s">
        <v>485</v>
      </c>
      <c r="AJ271" s="10" t="s">
        <v>538</v>
      </c>
      <c r="AK271" s="16" t="s">
        <v>45</v>
      </c>
      <c r="AL271" s="16" t="s">
        <v>45</v>
      </c>
      <c r="AM271" s="16" t="s">
        <v>45</v>
      </c>
      <c r="AN271" s="10" t="s">
        <v>320</v>
      </c>
    </row>
    <row r="272" ht="30.0" customHeight="1">
      <c r="A272" s="9" t="str">
        <f t="shared" si="1"/>
        <v>Ativo</v>
      </c>
      <c r="B272" s="9" t="str">
        <f t="shared" si="2"/>
        <v>N/I</v>
      </c>
      <c r="C272" s="9" t="str">
        <f t="shared" si="3"/>
        <v>N/I</v>
      </c>
      <c r="D272" s="10" t="s">
        <v>530</v>
      </c>
      <c r="E272" s="11" t="s">
        <v>531</v>
      </c>
      <c r="F272" s="11" t="s">
        <v>539</v>
      </c>
      <c r="G272" s="12" t="s">
        <v>58</v>
      </c>
      <c r="H272" s="42" t="s">
        <v>549</v>
      </c>
      <c r="I272" s="12" t="s">
        <v>541</v>
      </c>
      <c r="J272" s="10" t="s">
        <v>283</v>
      </c>
      <c r="K272" s="10" t="s">
        <v>263</v>
      </c>
      <c r="L272" s="10" t="s">
        <v>4</v>
      </c>
      <c r="M272" s="14">
        <v>45504.0</v>
      </c>
      <c r="N272" s="11" t="s">
        <v>542</v>
      </c>
      <c r="O272" s="10" t="s">
        <v>543</v>
      </c>
      <c r="P272" s="10" t="s">
        <v>544</v>
      </c>
      <c r="Q272" s="2"/>
      <c r="R272" s="10">
        <v>36.0</v>
      </c>
      <c r="S272" s="14">
        <v>45504.0</v>
      </c>
      <c r="T272" s="14">
        <v>46599.0</v>
      </c>
      <c r="U272" s="10">
        <f t="shared" si="14"/>
        <v>508</v>
      </c>
      <c r="V272" s="2"/>
      <c r="W272" s="15"/>
      <c r="X272" s="15"/>
      <c r="Y272" s="15"/>
      <c r="Z272" s="15"/>
      <c r="AA272" s="1"/>
      <c r="AB272" s="15"/>
      <c r="AC272" s="15"/>
      <c r="AD272" s="15"/>
      <c r="AE272" s="15"/>
      <c r="AF272" s="2"/>
      <c r="AG272" s="10" t="s">
        <v>354</v>
      </c>
      <c r="AH272" s="12" t="s">
        <v>46</v>
      </c>
      <c r="AI272" s="10" t="s">
        <v>485</v>
      </c>
      <c r="AJ272" s="10" t="s">
        <v>538</v>
      </c>
      <c r="AK272" s="16" t="s">
        <v>45</v>
      </c>
      <c r="AL272" s="16" t="s">
        <v>45</v>
      </c>
      <c r="AM272" s="16" t="s">
        <v>45</v>
      </c>
      <c r="AN272" s="10" t="s">
        <v>320</v>
      </c>
    </row>
    <row r="273" ht="30.0" customHeight="1">
      <c r="A273" s="9" t="str">
        <f t="shared" si="1"/>
        <v>Ativo</v>
      </c>
      <c r="B273" s="9" t="str">
        <f t="shared" si="2"/>
        <v>N/I</v>
      </c>
      <c r="C273" s="9" t="str">
        <f t="shared" si="3"/>
        <v>N/I</v>
      </c>
      <c r="D273" s="10" t="s">
        <v>530</v>
      </c>
      <c r="E273" s="11" t="s">
        <v>531</v>
      </c>
      <c r="F273" s="11" t="s">
        <v>539</v>
      </c>
      <c r="G273" s="12" t="s">
        <v>94</v>
      </c>
      <c r="H273" s="42" t="s">
        <v>550</v>
      </c>
      <c r="I273" s="12" t="s">
        <v>541</v>
      </c>
      <c r="J273" s="10" t="s">
        <v>283</v>
      </c>
      <c r="K273" s="10" t="s">
        <v>263</v>
      </c>
      <c r="L273" s="10" t="s">
        <v>4</v>
      </c>
      <c r="M273" s="14">
        <v>45513.0</v>
      </c>
      <c r="N273" s="11" t="s">
        <v>542</v>
      </c>
      <c r="O273" s="10" t="s">
        <v>543</v>
      </c>
      <c r="P273" s="10" t="s">
        <v>544</v>
      </c>
      <c r="Q273" s="2"/>
      <c r="R273" s="10">
        <v>36.0</v>
      </c>
      <c r="S273" s="14">
        <v>45513.0</v>
      </c>
      <c r="T273" s="14">
        <v>46608.0</v>
      </c>
      <c r="U273" s="10">
        <f t="shared" si="14"/>
        <v>517</v>
      </c>
      <c r="V273" s="2"/>
      <c r="W273" s="15"/>
      <c r="X273" s="15"/>
      <c r="Y273" s="15"/>
      <c r="Z273" s="15"/>
      <c r="AA273" s="1"/>
      <c r="AB273" s="15"/>
      <c r="AC273" s="15"/>
      <c r="AD273" s="15"/>
      <c r="AE273" s="15"/>
      <c r="AF273" s="2"/>
      <c r="AG273" s="10" t="s">
        <v>354</v>
      </c>
      <c r="AH273" s="12" t="s">
        <v>46</v>
      </c>
      <c r="AI273" s="10" t="s">
        <v>485</v>
      </c>
      <c r="AJ273" s="10" t="s">
        <v>538</v>
      </c>
      <c r="AK273" s="16" t="s">
        <v>45</v>
      </c>
      <c r="AL273" s="16" t="s">
        <v>45</v>
      </c>
      <c r="AM273" s="16" t="s">
        <v>45</v>
      </c>
      <c r="AN273" s="10" t="s">
        <v>320</v>
      </c>
    </row>
    <row r="274" ht="30.0" customHeight="1">
      <c r="A274" s="9" t="str">
        <f t="shared" si="1"/>
        <v>Ativo</v>
      </c>
      <c r="B274" s="9" t="str">
        <f t="shared" si="2"/>
        <v>N/I</v>
      </c>
      <c r="C274" s="9" t="str">
        <f t="shared" si="3"/>
        <v>N/I</v>
      </c>
      <c r="D274" s="10" t="s">
        <v>530</v>
      </c>
      <c r="E274" s="11" t="s">
        <v>531</v>
      </c>
      <c r="F274" s="11" t="s">
        <v>539</v>
      </c>
      <c r="G274" s="12" t="s">
        <v>94</v>
      </c>
      <c r="H274" s="42" t="s">
        <v>551</v>
      </c>
      <c r="I274" s="12" t="s">
        <v>541</v>
      </c>
      <c r="J274" s="10" t="s">
        <v>283</v>
      </c>
      <c r="K274" s="10" t="s">
        <v>263</v>
      </c>
      <c r="L274" s="10" t="s">
        <v>4</v>
      </c>
      <c r="M274" s="14">
        <v>45513.0</v>
      </c>
      <c r="N274" s="11" t="s">
        <v>542</v>
      </c>
      <c r="O274" s="10" t="s">
        <v>543</v>
      </c>
      <c r="P274" s="10" t="s">
        <v>544</v>
      </c>
      <c r="Q274" s="2"/>
      <c r="R274" s="10">
        <v>36.0</v>
      </c>
      <c r="S274" s="14">
        <v>45513.0</v>
      </c>
      <c r="T274" s="14">
        <v>46608.0</v>
      </c>
      <c r="U274" s="10">
        <f t="shared" si="14"/>
        <v>517</v>
      </c>
      <c r="V274" s="2"/>
      <c r="W274" s="15"/>
      <c r="X274" s="15"/>
      <c r="Y274" s="15"/>
      <c r="Z274" s="15"/>
      <c r="AA274" s="1"/>
      <c r="AB274" s="15"/>
      <c r="AC274" s="15"/>
      <c r="AD274" s="15"/>
      <c r="AE274" s="15"/>
      <c r="AF274" s="2"/>
      <c r="AG274" s="10" t="s">
        <v>354</v>
      </c>
      <c r="AH274" s="12" t="s">
        <v>46</v>
      </c>
      <c r="AI274" s="10" t="s">
        <v>485</v>
      </c>
      <c r="AJ274" s="10" t="s">
        <v>538</v>
      </c>
      <c r="AK274" s="16" t="s">
        <v>45</v>
      </c>
      <c r="AL274" s="16" t="s">
        <v>45</v>
      </c>
      <c r="AM274" s="16" t="s">
        <v>45</v>
      </c>
      <c r="AN274" s="10" t="s">
        <v>320</v>
      </c>
    </row>
    <row r="275" ht="30.0" customHeight="1">
      <c r="A275" s="9" t="str">
        <f t="shared" si="1"/>
        <v>Ativo</v>
      </c>
      <c r="B275" s="9" t="str">
        <f t="shared" si="2"/>
        <v>N/I</v>
      </c>
      <c r="C275" s="9" t="str">
        <f t="shared" si="3"/>
        <v>N/I</v>
      </c>
      <c r="D275" s="10" t="s">
        <v>530</v>
      </c>
      <c r="E275" s="11" t="s">
        <v>531</v>
      </c>
      <c r="F275" s="11" t="s">
        <v>539</v>
      </c>
      <c r="G275" s="12" t="s">
        <v>94</v>
      </c>
      <c r="H275" s="42" t="s">
        <v>552</v>
      </c>
      <c r="I275" s="12" t="s">
        <v>541</v>
      </c>
      <c r="J275" s="10" t="s">
        <v>283</v>
      </c>
      <c r="K275" s="10" t="s">
        <v>263</v>
      </c>
      <c r="L275" s="10" t="s">
        <v>4</v>
      </c>
      <c r="M275" s="14">
        <v>45513.0</v>
      </c>
      <c r="N275" s="11" t="s">
        <v>542</v>
      </c>
      <c r="O275" s="10" t="s">
        <v>543</v>
      </c>
      <c r="P275" s="10" t="s">
        <v>544</v>
      </c>
      <c r="Q275" s="2"/>
      <c r="R275" s="10">
        <v>36.0</v>
      </c>
      <c r="S275" s="14">
        <v>45513.0</v>
      </c>
      <c r="T275" s="14">
        <v>46608.0</v>
      </c>
      <c r="U275" s="10">
        <f t="shared" si="14"/>
        <v>517</v>
      </c>
      <c r="V275" s="2"/>
      <c r="W275" s="15"/>
      <c r="X275" s="15"/>
      <c r="Y275" s="15"/>
      <c r="Z275" s="15"/>
      <c r="AA275" s="1"/>
      <c r="AB275" s="15"/>
      <c r="AC275" s="15"/>
      <c r="AD275" s="15"/>
      <c r="AE275" s="15"/>
      <c r="AF275" s="2"/>
      <c r="AG275" s="10" t="s">
        <v>354</v>
      </c>
      <c r="AH275" s="12" t="s">
        <v>46</v>
      </c>
      <c r="AI275" s="10" t="s">
        <v>485</v>
      </c>
      <c r="AJ275" s="10" t="s">
        <v>538</v>
      </c>
      <c r="AK275" s="16" t="s">
        <v>45</v>
      </c>
      <c r="AL275" s="16" t="s">
        <v>45</v>
      </c>
      <c r="AM275" s="16" t="s">
        <v>45</v>
      </c>
      <c r="AN275" s="10" t="s">
        <v>320</v>
      </c>
    </row>
    <row r="276" ht="30.0" customHeight="1">
      <c r="A276" s="9" t="str">
        <f t="shared" si="1"/>
        <v>Ativo</v>
      </c>
      <c r="B276" s="9" t="str">
        <f t="shared" si="2"/>
        <v>N/I</v>
      </c>
      <c r="C276" s="9" t="str">
        <f t="shared" si="3"/>
        <v>N/I</v>
      </c>
      <c r="D276" s="10" t="s">
        <v>530</v>
      </c>
      <c r="E276" s="11" t="s">
        <v>531</v>
      </c>
      <c r="F276" s="11" t="s">
        <v>539</v>
      </c>
      <c r="G276" s="12" t="s">
        <v>52</v>
      </c>
      <c r="H276" s="27" t="s">
        <v>553</v>
      </c>
      <c r="I276" s="12" t="s">
        <v>541</v>
      </c>
      <c r="J276" s="10" t="s">
        <v>283</v>
      </c>
      <c r="K276" s="10" t="s">
        <v>263</v>
      </c>
      <c r="L276" s="10" t="s">
        <v>4</v>
      </c>
      <c r="M276" s="14">
        <v>45761.0</v>
      </c>
      <c r="N276" s="11" t="s">
        <v>542</v>
      </c>
      <c r="O276" s="10" t="s">
        <v>543</v>
      </c>
      <c r="P276" s="10" t="s">
        <v>537</v>
      </c>
      <c r="Q276" s="2"/>
      <c r="R276" s="10">
        <v>36.0</v>
      </c>
      <c r="S276" s="14">
        <v>45761.0</v>
      </c>
      <c r="T276" s="14">
        <v>46857.0</v>
      </c>
      <c r="U276" s="10">
        <f t="shared" si="14"/>
        <v>766</v>
      </c>
      <c r="V276" s="2"/>
      <c r="W276" s="15"/>
      <c r="X276" s="15"/>
      <c r="Y276" s="15"/>
      <c r="Z276" s="15"/>
      <c r="AA276" s="1"/>
      <c r="AB276" s="15"/>
      <c r="AC276" s="15"/>
      <c r="AD276" s="15"/>
      <c r="AE276" s="15"/>
      <c r="AF276" s="2"/>
      <c r="AG276" s="10" t="s">
        <v>354</v>
      </c>
      <c r="AH276" s="12" t="s">
        <v>46</v>
      </c>
      <c r="AI276" s="10" t="s">
        <v>485</v>
      </c>
      <c r="AJ276" s="10" t="s">
        <v>538</v>
      </c>
      <c r="AK276" s="16" t="s">
        <v>45</v>
      </c>
      <c r="AL276" s="16" t="s">
        <v>45</v>
      </c>
      <c r="AM276" s="16" t="s">
        <v>45</v>
      </c>
      <c r="AN276" s="10" t="s">
        <v>50</v>
      </c>
    </row>
    <row r="277" ht="30.0" customHeight="1">
      <c r="A277" s="9" t="str">
        <f t="shared" si="1"/>
        <v>Ativo</v>
      </c>
      <c r="B277" s="9" t="str">
        <f t="shared" si="2"/>
        <v>N/I</v>
      </c>
      <c r="C277" s="9" t="str">
        <f t="shared" si="3"/>
        <v>N/I</v>
      </c>
      <c r="D277" s="10" t="s">
        <v>530</v>
      </c>
      <c r="E277" s="11" t="s">
        <v>531</v>
      </c>
      <c r="F277" s="11" t="s">
        <v>539</v>
      </c>
      <c r="G277" s="12" t="s">
        <v>52</v>
      </c>
      <c r="H277" s="27" t="s">
        <v>554</v>
      </c>
      <c r="I277" s="12" t="s">
        <v>541</v>
      </c>
      <c r="J277" s="10" t="s">
        <v>283</v>
      </c>
      <c r="K277" s="10" t="s">
        <v>263</v>
      </c>
      <c r="L277" s="10" t="s">
        <v>4</v>
      </c>
      <c r="M277" s="14">
        <v>45762.0</v>
      </c>
      <c r="N277" s="11" t="s">
        <v>542</v>
      </c>
      <c r="O277" s="10" t="s">
        <v>543</v>
      </c>
      <c r="P277" s="10" t="s">
        <v>537</v>
      </c>
      <c r="Q277" s="2"/>
      <c r="R277" s="10">
        <v>36.0</v>
      </c>
      <c r="S277" s="14">
        <v>45762.0</v>
      </c>
      <c r="T277" s="14">
        <v>46858.0</v>
      </c>
      <c r="U277" s="10">
        <f t="shared" si="14"/>
        <v>767</v>
      </c>
      <c r="V277" s="2"/>
      <c r="W277" s="15"/>
      <c r="X277" s="15"/>
      <c r="Y277" s="15"/>
      <c r="Z277" s="15"/>
      <c r="AA277" s="1"/>
      <c r="AB277" s="15"/>
      <c r="AC277" s="15"/>
      <c r="AD277" s="15"/>
      <c r="AE277" s="15"/>
      <c r="AF277" s="2"/>
      <c r="AG277" s="10" t="s">
        <v>354</v>
      </c>
      <c r="AH277" s="12" t="s">
        <v>46</v>
      </c>
      <c r="AI277" s="10" t="s">
        <v>485</v>
      </c>
      <c r="AJ277" s="10" t="s">
        <v>538</v>
      </c>
      <c r="AK277" s="16" t="s">
        <v>45</v>
      </c>
      <c r="AL277" s="16" t="s">
        <v>45</v>
      </c>
      <c r="AM277" s="16" t="s">
        <v>45</v>
      </c>
      <c r="AN277" s="10" t="s">
        <v>50</v>
      </c>
    </row>
    <row r="278" ht="30.0" customHeight="1">
      <c r="A278" s="9" t="str">
        <f t="shared" si="1"/>
        <v>Ativo</v>
      </c>
      <c r="B278" s="9" t="str">
        <f t="shared" si="2"/>
        <v>N/I</v>
      </c>
      <c r="C278" s="9" t="str">
        <f t="shared" si="3"/>
        <v>N/I</v>
      </c>
      <c r="D278" s="10" t="s">
        <v>530</v>
      </c>
      <c r="E278" s="11" t="s">
        <v>531</v>
      </c>
      <c r="F278" s="11" t="s">
        <v>539</v>
      </c>
      <c r="G278" s="12" t="s">
        <v>52</v>
      </c>
      <c r="H278" s="27" t="s">
        <v>555</v>
      </c>
      <c r="I278" s="12" t="s">
        <v>541</v>
      </c>
      <c r="J278" s="10" t="s">
        <v>283</v>
      </c>
      <c r="K278" s="10" t="s">
        <v>263</v>
      </c>
      <c r="L278" s="10" t="s">
        <v>4</v>
      </c>
      <c r="M278" s="14">
        <v>45762.0</v>
      </c>
      <c r="N278" s="11" t="s">
        <v>542</v>
      </c>
      <c r="O278" s="10" t="s">
        <v>543</v>
      </c>
      <c r="P278" s="10" t="s">
        <v>537</v>
      </c>
      <c r="Q278" s="2"/>
      <c r="R278" s="10">
        <v>36.0</v>
      </c>
      <c r="S278" s="14">
        <v>45762.0</v>
      </c>
      <c r="T278" s="14">
        <v>46858.0</v>
      </c>
      <c r="U278" s="10">
        <f t="shared" si="14"/>
        <v>767</v>
      </c>
      <c r="V278" s="2"/>
      <c r="W278" s="15"/>
      <c r="X278" s="15"/>
      <c r="Y278" s="15"/>
      <c r="Z278" s="15"/>
      <c r="AA278" s="1"/>
      <c r="AB278" s="15"/>
      <c r="AC278" s="15"/>
      <c r="AD278" s="15"/>
      <c r="AE278" s="15"/>
      <c r="AF278" s="2"/>
      <c r="AG278" s="10" t="s">
        <v>354</v>
      </c>
      <c r="AH278" s="12" t="s">
        <v>46</v>
      </c>
      <c r="AI278" s="10" t="s">
        <v>485</v>
      </c>
      <c r="AJ278" s="10" t="s">
        <v>538</v>
      </c>
      <c r="AK278" s="16" t="s">
        <v>45</v>
      </c>
      <c r="AL278" s="16" t="s">
        <v>45</v>
      </c>
      <c r="AM278" s="16" t="s">
        <v>45</v>
      </c>
      <c r="AN278" s="10" t="s">
        <v>50</v>
      </c>
    </row>
    <row r="279" ht="30.0" customHeight="1">
      <c r="A279" s="9" t="str">
        <f t="shared" si="1"/>
        <v>N/I</v>
      </c>
      <c r="B279" s="9" t="str">
        <f t="shared" si="2"/>
        <v>N/I</v>
      </c>
      <c r="C279" s="9" t="str">
        <f t="shared" si="3"/>
        <v>N/I</v>
      </c>
      <c r="D279" s="10" t="s">
        <v>530</v>
      </c>
      <c r="E279" s="11" t="s">
        <v>531</v>
      </c>
      <c r="F279" s="11" t="s">
        <v>539</v>
      </c>
      <c r="G279" s="12" t="s">
        <v>52</v>
      </c>
      <c r="H279" s="27" t="s">
        <v>556</v>
      </c>
      <c r="I279" s="12" t="s">
        <v>541</v>
      </c>
      <c r="J279" s="10" t="s">
        <v>283</v>
      </c>
      <c r="K279" s="10" t="s">
        <v>263</v>
      </c>
      <c r="L279" s="10" t="s">
        <v>4</v>
      </c>
      <c r="M279" s="24" t="s">
        <v>193</v>
      </c>
      <c r="N279" s="11" t="s">
        <v>542</v>
      </c>
      <c r="O279" s="10" t="s">
        <v>543</v>
      </c>
      <c r="P279" s="10" t="s">
        <v>537</v>
      </c>
      <c r="Q279" s="2"/>
      <c r="R279" s="10">
        <v>36.0</v>
      </c>
      <c r="S279" s="24" t="s">
        <v>193</v>
      </c>
      <c r="T279" s="24" t="s">
        <v>193</v>
      </c>
      <c r="U279" s="10"/>
      <c r="V279" s="2"/>
      <c r="W279" s="15"/>
      <c r="X279" s="15"/>
      <c r="Y279" s="15"/>
      <c r="Z279" s="15"/>
      <c r="AA279" s="1"/>
      <c r="AB279" s="15"/>
      <c r="AC279" s="15"/>
      <c r="AD279" s="15"/>
      <c r="AE279" s="15"/>
      <c r="AF279" s="2"/>
      <c r="AG279" s="10" t="s">
        <v>354</v>
      </c>
      <c r="AH279" s="12" t="s">
        <v>46</v>
      </c>
      <c r="AI279" s="10" t="s">
        <v>485</v>
      </c>
      <c r="AJ279" s="10" t="s">
        <v>538</v>
      </c>
      <c r="AK279" s="16" t="s">
        <v>45</v>
      </c>
      <c r="AL279" s="16" t="s">
        <v>45</v>
      </c>
      <c r="AM279" s="16" t="s">
        <v>45</v>
      </c>
      <c r="AN279" s="10" t="s">
        <v>50</v>
      </c>
    </row>
    <row r="280" ht="30.0" customHeight="1">
      <c r="A280" s="9" t="str">
        <f t="shared" si="1"/>
        <v>Ativo</v>
      </c>
      <c r="B280" s="9" t="str">
        <f t="shared" si="2"/>
        <v>N/I</v>
      </c>
      <c r="C280" s="9" t="str">
        <f t="shared" si="3"/>
        <v>N/I</v>
      </c>
      <c r="D280" s="10" t="s">
        <v>530</v>
      </c>
      <c r="E280" s="11" t="s">
        <v>531</v>
      </c>
      <c r="F280" s="11" t="s">
        <v>539</v>
      </c>
      <c r="G280" s="12" t="s">
        <v>58</v>
      </c>
      <c r="H280" s="27" t="s">
        <v>557</v>
      </c>
      <c r="I280" s="12" t="s">
        <v>541</v>
      </c>
      <c r="J280" s="10" t="s">
        <v>283</v>
      </c>
      <c r="K280" s="10" t="s">
        <v>263</v>
      </c>
      <c r="L280" s="10" t="s">
        <v>4</v>
      </c>
      <c r="M280" s="14">
        <v>45950.0</v>
      </c>
      <c r="N280" s="11" t="s">
        <v>542</v>
      </c>
      <c r="O280" s="10" t="s">
        <v>543</v>
      </c>
      <c r="P280" s="10" t="s">
        <v>537</v>
      </c>
      <c r="Q280" s="2"/>
      <c r="R280" s="10">
        <v>36.0</v>
      </c>
      <c r="S280" s="14">
        <v>45950.0</v>
      </c>
      <c r="T280" s="14">
        <v>46680.0</v>
      </c>
      <c r="U280" s="10">
        <f t="shared" ref="U280:U291" si="15">T280-TODAY()</f>
        <v>589</v>
      </c>
      <c r="V280" s="2"/>
      <c r="W280" s="15"/>
      <c r="X280" s="15"/>
      <c r="Y280" s="15"/>
      <c r="Z280" s="15"/>
      <c r="AA280" s="1"/>
      <c r="AB280" s="15"/>
      <c r="AC280" s="15"/>
      <c r="AD280" s="15"/>
      <c r="AE280" s="15"/>
      <c r="AF280" s="2"/>
      <c r="AG280" s="10" t="s">
        <v>354</v>
      </c>
      <c r="AH280" s="12" t="s">
        <v>46</v>
      </c>
      <c r="AI280" s="10" t="s">
        <v>485</v>
      </c>
      <c r="AJ280" s="10" t="s">
        <v>538</v>
      </c>
      <c r="AK280" s="16" t="s">
        <v>45</v>
      </c>
      <c r="AL280" s="16" t="s">
        <v>45</v>
      </c>
      <c r="AM280" s="16" t="s">
        <v>45</v>
      </c>
      <c r="AN280" s="10" t="s">
        <v>50</v>
      </c>
    </row>
    <row r="281" ht="30.0" customHeight="1">
      <c r="A281" s="9" t="str">
        <f t="shared" si="1"/>
        <v>Ativo</v>
      </c>
      <c r="B281" s="9" t="str">
        <f t="shared" si="2"/>
        <v>N/I</v>
      </c>
      <c r="C281" s="9" t="str">
        <f t="shared" si="3"/>
        <v>N/I</v>
      </c>
      <c r="D281" s="10" t="s">
        <v>530</v>
      </c>
      <c r="E281" s="11" t="s">
        <v>558</v>
      </c>
      <c r="F281" s="11" t="s">
        <v>559</v>
      </c>
      <c r="G281" s="12" t="s">
        <v>94</v>
      </c>
      <c r="H281" s="42" t="s">
        <v>560</v>
      </c>
      <c r="I281" s="12" t="s">
        <v>561</v>
      </c>
      <c r="J281" s="10" t="s">
        <v>562</v>
      </c>
      <c r="K281" s="10" t="s">
        <v>190</v>
      </c>
      <c r="L281" s="10" t="s">
        <v>4</v>
      </c>
      <c r="M281" s="14">
        <v>45498.0</v>
      </c>
      <c r="N281" s="11" t="s">
        <v>563</v>
      </c>
      <c r="O281" s="10" t="s">
        <v>564</v>
      </c>
      <c r="P281" s="10" t="s">
        <v>544</v>
      </c>
      <c r="Q281" s="2"/>
      <c r="R281" s="10">
        <v>36.0</v>
      </c>
      <c r="S281" s="14">
        <v>45498.0</v>
      </c>
      <c r="T281" s="14">
        <v>46593.0</v>
      </c>
      <c r="U281" s="10">
        <f t="shared" si="15"/>
        <v>502</v>
      </c>
      <c r="V281" s="2"/>
      <c r="W281" s="15"/>
      <c r="X281" s="15"/>
      <c r="Y281" s="15"/>
      <c r="Z281" s="15"/>
      <c r="AA281" s="1"/>
      <c r="AB281" s="15"/>
      <c r="AC281" s="15"/>
      <c r="AD281" s="15"/>
      <c r="AE281" s="15"/>
      <c r="AF281" s="2"/>
      <c r="AG281" s="10" t="s">
        <v>354</v>
      </c>
      <c r="AH281" s="12" t="s">
        <v>46</v>
      </c>
      <c r="AI281" s="10" t="s">
        <v>485</v>
      </c>
      <c r="AJ281" s="10" t="s">
        <v>538</v>
      </c>
      <c r="AK281" s="16" t="s">
        <v>45</v>
      </c>
      <c r="AL281" s="16" t="s">
        <v>45</v>
      </c>
      <c r="AM281" s="16" t="s">
        <v>45</v>
      </c>
      <c r="AN281" s="10" t="s">
        <v>320</v>
      </c>
    </row>
    <row r="282" ht="30.0" customHeight="1">
      <c r="A282" s="9" t="str">
        <f t="shared" si="1"/>
        <v>Ativo</v>
      </c>
      <c r="B282" s="9" t="str">
        <f t="shared" si="2"/>
        <v>N/I</v>
      </c>
      <c r="C282" s="9" t="str">
        <f t="shared" si="3"/>
        <v>N/I</v>
      </c>
      <c r="D282" s="10" t="s">
        <v>530</v>
      </c>
      <c r="E282" s="11" t="s">
        <v>558</v>
      </c>
      <c r="F282" s="11" t="s">
        <v>559</v>
      </c>
      <c r="G282" s="12" t="s">
        <v>52</v>
      </c>
      <c r="H282" s="42" t="s">
        <v>565</v>
      </c>
      <c r="I282" s="12" t="s">
        <v>561</v>
      </c>
      <c r="J282" s="10" t="s">
        <v>562</v>
      </c>
      <c r="K282" s="10" t="s">
        <v>190</v>
      </c>
      <c r="L282" s="10" t="s">
        <v>4</v>
      </c>
      <c r="M282" s="14">
        <v>45607.0</v>
      </c>
      <c r="N282" s="11" t="s">
        <v>566</v>
      </c>
      <c r="O282" s="10" t="s">
        <v>567</v>
      </c>
      <c r="P282" s="10" t="s">
        <v>568</v>
      </c>
      <c r="Q282" s="2"/>
      <c r="R282" s="10">
        <v>36.0</v>
      </c>
      <c r="S282" s="14">
        <v>45607.0</v>
      </c>
      <c r="T282" s="14">
        <v>46702.0</v>
      </c>
      <c r="U282" s="10">
        <f t="shared" si="15"/>
        <v>611</v>
      </c>
      <c r="V282" s="2"/>
      <c r="W282" s="15"/>
      <c r="X282" s="15"/>
      <c r="Y282" s="15"/>
      <c r="Z282" s="15"/>
      <c r="AA282" s="1"/>
      <c r="AB282" s="15"/>
      <c r="AC282" s="15"/>
      <c r="AD282" s="15"/>
      <c r="AE282" s="15"/>
      <c r="AF282" s="2"/>
      <c r="AG282" s="10" t="s">
        <v>354</v>
      </c>
      <c r="AH282" s="12" t="s">
        <v>46</v>
      </c>
      <c r="AI282" s="10" t="s">
        <v>485</v>
      </c>
      <c r="AJ282" s="10" t="s">
        <v>538</v>
      </c>
      <c r="AK282" s="16" t="s">
        <v>45</v>
      </c>
      <c r="AL282" s="16" t="s">
        <v>45</v>
      </c>
      <c r="AM282" s="16" t="s">
        <v>45</v>
      </c>
      <c r="AN282" s="10" t="s">
        <v>320</v>
      </c>
    </row>
    <row r="283" ht="30.0" customHeight="1">
      <c r="A283" s="9" t="str">
        <f t="shared" si="1"/>
        <v>Ativo</v>
      </c>
      <c r="B283" s="9" t="str">
        <f t="shared" si="2"/>
        <v>N/I</v>
      </c>
      <c r="C283" s="9" t="str">
        <f t="shared" si="3"/>
        <v>N/I</v>
      </c>
      <c r="D283" s="10" t="s">
        <v>530</v>
      </c>
      <c r="E283" s="11" t="s">
        <v>558</v>
      </c>
      <c r="F283" s="11" t="s">
        <v>559</v>
      </c>
      <c r="G283" s="12" t="s">
        <v>79</v>
      </c>
      <c r="H283" s="42" t="s">
        <v>569</v>
      </c>
      <c r="I283" s="12" t="s">
        <v>561</v>
      </c>
      <c r="J283" s="10" t="s">
        <v>562</v>
      </c>
      <c r="K283" s="10" t="s">
        <v>190</v>
      </c>
      <c r="L283" s="10" t="s">
        <v>4</v>
      </c>
      <c r="M283" s="14">
        <v>45608.0</v>
      </c>
      <c r="N283" s="11" t="s">
        <v>566</v>
      </c>
      <c r="O283" s="10" t="s">
        <v>567</v>
      </c>
      <c r="P283" s="10" t="s">
        <v>568</v>
      </c>
      <c r="Q283" s="2"/>
      <c r="R283" s="10">
        <v>36.0</v>
      </c>
      <c r="S283" s="14">
        <v>45608.0</v>
      </c>
      <c r="T283" s="14">
        <v>46703.0</v>
      </c>
      <c r="U283" s="10">
        <f t="shared" si="15"/>
        <v>612</v>
      </c>
      <c r="V283" s="2"/>
      <c r="W283" s="15"/>
      <c r="X283" s="15"/>
      <c r="Y283" s="15"/>
      <c r="Z283" s="15"/>
      <c r="AA283" s="1"/>
      <c r="AB283" s="15"/>
      <c r="AC283" s="15"/>
      <c r="AD283" s="15"/>
      <c r="AE283" s="15"/>
      <c r="AF283" s="2"/>
      <c r="AG283" s="10" t="s">
        <v>354</v>
      </c>
      <c r="AH283" s="12" t="s">
        <v>355</v>
      </c>
      <c r="AI283" s="10" t="s">
        <v>485</v>
      </c>
      <c r="AJ283" s="10" t="s">
        <v>538</v>
      </c>
      <c r="AK283" s="16" t="s">
        <v>45</v>
      </c>
      <c r="AL283" s="16" t="s">
        <v>45</v>
      </c>
      <c r="AM283" s="16" t="s">
        <v>45</v>
      </c>
      <c r="AN283" s="16" t="s">
        <v>45</v>
      </c>
    </row>
    <row r="284" ht="30.0" customHeight="1">
      <c r="A284" s="9" t="str">
        <f t="shared" si="1"/>
        <v>Ativo</v>
      </c>
      <c r="B284" s="9" t="str">
        <f t="shared" si="2"/>
        <v>N/I</v>
      </c>
      <c r="C284" s="9" t="str">
        <f t="shared" si="3"/>
        <v>N/I</v>
      </c>
      <c r="D284" s="10" t="s">
        <v>530</v>
      </c>
      <c r="E284" s="11" t="s">
        <v>558</v>
      </c>
      <c r="F284" s="11" t="s">
        <v>559</v>
      </c>
      <c r="G284" s="12" t="s">
        <v>79</v>
      </c>
      <c r="H284" s="42" t="s">
        <v>570</v>
      </c>
      <c r="I284" s="12" t="s">
        <v>561</v>
      </c>
      <c r="J284" s="10" t="s">
        <v>562</v>
      </c>
      <c r="K284" s="10" t="s">
        <v>190</v>
      </c>
      <c r="L284" s="10" t="s">
        <v>4</v>
      </c>
      <c r="M284" s="14">
        <v>45608.0</v>
      </c>
      <c r="N284" s="11" t="s">
        <v>566</v>
      </c>
      <c r="O284" s="10" t="s">
        <v>567</v>
      </c>
      <c r="P284" s="10" t="s">
        <v>568</v>
      </c>
      <c r="Q284" s="2"/>
      <c r="R284" s="10">
        <v>36.0</v>
      </c>
      <c r="S284" s="14">
        <v>45608.0</v>
      </c>
      <c r="T284" s="14">
        <v>46703.0</v>
      </c>
      <c r="U284" s="10">
        <f t="shared" si="15"/>
        <v>612</v>
      </c>
      <c r="V284" s="2"/>
      <c r="W284" s="15"/>
      <c r="X284" s="15"/>
      <c r="Y284" s="15"/>
      <c r="Z284" s="15"/>
      <c r="AA284" s="1"/>
      <c r="AB284" s="15"/>
      <c r="AC284" s="15"/>
      <c r="AD284" s="15"/>
      <c r="AE284" s="15"/>
      <c r="AF284" s="2"/>
      <c r="AG284" s="10" t="s">
        <v>354</v>
      </c>
      <c r="AH284" s="12" t="s">
        <v>355</v>
      </c>
      <c r="AI284" s="10" t="s">
        <v>485</v>
      </c>
      <c r="AJ284" s="10" t="s">
        <v>538</v>
      </c>
      <c r="AK284" s="16" t="s">
        <v>45</v>
      </c>
      <c r="AL284" s="16" t="s">
        <v>45</v>
      </c>
      <c r="AM284" s="16" t="s">
        <v>45</v>
      </c>
      <c r="AN284" s="16" t="s">
        <v>45</v>
      </c>
    </row>
    <row r="285" ht="30.0" customHeight="1">
      <c r="A285" s="9" t="str">
        <f t="shared" si="1"/>
        <v>Ativo</v>
      </c>
      <c r="B285" s="9" t="str">
        <f t="shared" si="2"/>
        <v>N/I</v>
      </c>
      <c r="C285" s="9" t="str">
        <f t="shared" si="3"/>
        <v>N/I</v>
      </c>
      <c r="D285" s="10" t="s">
        <v>530</v>
      </c>
      <c r="E285" s="11" t="s">
        <v>558</v>
      </c>
      <c r="F285" s="11" t="s">
        <v>559</v>
      </c>
      <c r="G285" s="12" t="s">
        <v>79</v>
      </c>
      <c r="H285" s="42" t="s">
        <v>571</v>
      </c>
      <c r="I285" s="12" t="s">
        <v>561</v>
      </c>
      <c r="J285" s="10" t="s">
        <v>562</v>
      </c>
      <c r="K285" s="10" t="s">
        <v>190</v>
      </c>
      <c r="L285" s="10" t="s">
        <v>4</v>
      </c>
      <c r="M285" s="14">
        <v>45608.0</v>
      </c>
      <c r="N285" s="11" t="s">
        <v>566</v>
      </c>
      <c r="O285" s="10" t="s">
        <v>567</v>
      </c>
      <c r="P285" s="10" t="s">
        <v>568</v>
      </c>
      <c r="Q285" s="2"/>
      <c r="R285" s="10">
        <v>36.0</v>
      </c>
      <c r="S285" s="14">
        <v>45608.0</v>
      </c>
      <c r="T285" s="14">
        <v>46703.0</v>
      </c>
      <c r="U285" s="10">
        <f t="shared" si="15"/>
        <v>612</v>
      </c>
      <c r="V285" s="2"/>
      <c r="W285" s="15"/>
      <c r="X285" s="15"/>
      <c r="Y285" s="15"/>
      <c r="Z285" s="15"/>
      <c r="AA285" s="1"/>
      <c r="AB285" s="15"/>
      <c r="AC285" s="15"/>
      <c r="AD285" s="15"/>
      <c r="AE285" s="15"/>
      <c r="AF285" s="2"/>
      <c r="AG285" s="10" t="s">
        <v>354</v>
      </c>
      <c r="AH285" s="12" t="s">
        <v>355</v>
      </c>
      <c r="AI285" s="10" t="s">
        <v>485</v>
      </c>
      <c r="AJ285" s="10" t="s">
        <v>538</v>
      </c>
      <c r="AK285" s="16" t="s">
        <v>45</v>
      </c>
      <c r="AL285" s="16" t="s">
        <v>45</v>
      </c>
      <c r="AM285" s="16" t="s">
        <v>45</v>
      </c>
      <c r="AN285" s="16" t="s">
        <v>45</v>
      </c>
    </row>
    <row r="286" ht="30.0" customHeight="1">
      <c r="A286" s="9" t="str">
        <f t="shared" si="1"/>
        <v>Ativo</v>
      </c>
      <c r="B286" s="9" t="str">
        <f t="shared" si="2"/>
        <v>N/I</v>
      </c>
      <c r="C286" s="9" t="str">
        <f t="shared" si="3"/>
        <v>N/I</v>
      </c>
      <c r="D286" s="10" t="s">
        <v>530</v>
      </c>
      <c r="E286" s="11" t="s">
        <v>558</v>
      </c>
      <c r="F286" s="11" t="s">
        <v>559</v>
      </c>
      <c r="G286" s="12" t="s">
        <v>52</v>
      </c>
      <c r="H286" s="42" t="s">
        <v>572</v>
      </c>
      <c r="I286" s="12" t="s">
        <v>561</v>
      </c>
      <c r="J286" s="10" t="s">
        <v>562</v>
      </c>
      <c r="K286" s="10" t="s">
        <v>190</v>
      </c>
      <c r="L286" s="10" t="s">
        <v>4</v>
      </c>
      <c r="M286" s="14">
        <v>45616.0</v>
      </c>
      <c r="N286" s="11" t="s">
        <v>566</v>
      </c>
      <c r="O286" s="10" t="s">
        <v>567</v>
      </c>
      <c r="P286" s="10" t="s">
        <v>568</v>
      </c>
      <c r="Q286" s="2"/>
      <c r="R286" s="10">
        <v>36.0</v>
      </c>
      <c r="S286" s="14">
        <v>45616.0</v>
      </c>
      <c r="T286" s="14">
        <v>46711.0</v>
      </c>
      <c r="U286" s="10">
        <f t="shared" si="15"/>
        <v>620</v>
      </c>
      <c r="V286" s="2"/>
      <c r="W286" s="15"/>
      <c r="X286" s="15"/>
      <c r="Y286" s="15"/>
      <c r="Z286" s="15"/>
      <c r="AA286" s="1"/>
      <c r="AB286" s="15"/>
      <c r="AC286" s="15"/>
      <c r="AD286" s="15"/>
      <c r="AE286" s="15"/>
      <c r="AF286" s="2"/>
      <c r="AG286" s="10" t="s">
        <v>354</v>
      </c>
      <c r="AH286" s="12" t="s">
        <v>355</v>
      </c>
      <c r="AI286" s="10" t="s">
        <v>485</v>
      </c>
      <c r="AJ286" s="10" t="s">
        <v>538</v>
      </c>
      <c r="AK286" s="16" t="s">
        <v>45</v>
      </c>
      <c r="AL286" s="16" t="s">
        <v>45</v>
      </c>
      <c r="AM286" s="16" t="s">
        <v>45</v>
      </c>
      <c r="AN286" s="16" t="s">
        <v>45</v>
      </c>
    </row>
    <row r="287" ht="30.0" customHeight="1">
      <c r="A287" s="9" t="str">
        <f t="shared" si="1"/>
        <v>Ativo</v>
      </c>
      <c r="B287" s="9" t="str">
        <f t="shared" si="2"/>
        <v>N/I</v>
      </c>
      <c r="C287" s="9" t="str">
        <f t="shared" si="3"/>
        <v>N/I</v>
      </c>
      <c r="D287" s="10" t="s">
        <v>530</v>
      </c>
      <c r="E287" s="11" t="s">
        <v>558</v>
      </c>
      <c r="F287" s="11" t="s">
        <v>559</v>
      </c>
      <c r="G287" s="12" t="s">
        <v>58</v>
      </c>
      <c r="H287" s="42" t="s">
        <v>573</v>
      </c>
      <c r="I287" s="12" t="s">
        <v>561</v>
      </c>
      <c r="J287" s="10" t="s">
        <v>562</v>
      </c>
      <c r="K287" s="10" t="s">
        <v>190</v>
      </c>
      <c r="L287" s="10" t="s">
        <v>4</v>
      </c>
      <c r="M287" s="14">
        <v>45667.0</v>
      </c>
      <c r="N287" s="11" t="s">
        <v>563</v>
      </c>
      <c r="O287" s="10" t="s">
        <v>564</v>
      </c>
      <c r="P287" s="10" t="s">
        <v>544</v>
      </c>
      <c r="Q287" s="2"/>
      <c r="R287" s="10">
        <v>36.0</v>
      </c>
      <c r="S287" s="14">
        <v>45667.0</v>
      </c>
      <c r="T287" s="14">
        <v>46762.0</v>
      </c>
      <c r="U287" s="10">
        <f t="shared" si="15"/>
        <v>671</v>
      </c>
      <c r="V287" s="2"/>
      <c r="W287" s="15"/>
      <c r="X287" s="15"/>
      <c r="Y287" s="15"/>
      <c r="Z287" s="15"/>
      <c r="AA287" s="1"/>
      <c r="AB287" s="15"/>
      <c r="AC287" s="15"/>
      <c r="AD287" s="15"/>
      <c r="AE287" s="15"/>
      <c r="AF287" s="2"/>
      <c r="AG287" s="10" t="s">
        <v>354</v>
      </c>
      <c r="AH287" s="12" t="s">
        <v>355</v>
      </c>
      <c r="AI287" s="10" t="s">
        <v>485</v>
      </c>
      <c r="AJ287" s="10" t="s">
        <v>538</v>
      </c>
      <c r="AK287" s="16" t="s">
        <v>45</v>
      </c>
      <c r="AL287" s="16" t="s">
        <v>45</v>
      </c>
      <c r="AM287" s="16" t="s">
        <v>45</v>
      </c>
      <c r="AN287" s="16" t="s">
        <v>45</v>
      </c>
    </row>
    <row r="288" ht="30.0" customHeight="1">
      <c r="A288" s="9" t="str">
        <f t="shared" si="1"/>
        <v>Ativo</v>
      </c>
      <c r="B288" s="9" t="str">
        <f t="shared" si="2"/>
        <v>N/I</v>
      </c>
      <c r="C288" s="9" t="str">
        <f t="shared" si="3"/>
        <v>N/I</v>
      </c>
      <c r="D288" s="10" t="s">
        <v>530</v>
      </c>
      <c r="E288" s="11" t="s">
        <v>558</v>
      </c>
      <c r="F288" s="11" t="s">
        <v>559</v>
      </c>
      <c r="G288" s="12" t="s">
        <v>52</v>
      </c>
      <c r="H288" s="27" t="s">
        <v>574</v>
      </c>
      <c r="I288" s="12" t="s">
        <v>561</v>
      </c>
      <c r="J288" s="10" t="s">
        <v>562</v>
      </c>
      <c r="K288" s="10" t="s">
        <v>190</v>
      </c>
      <c r="L288" s="10" t="s">
        <v>4</v>
      </c>
      <c r="M288" s="14">
        <v>45659.0</v>
      </c>
      <c r="N288" s="11" t="s">
        <v>563</v>
      </c>
      <c r="O288" s="10" t="s">
        <v>564</v>
      </c>
      <c r="P288" s="10" t="s">
        <v>537</v>
      </c>
      <c r="Q288" s="2"/>
      <c r="R288" s="10">
        <v>36.0</v>
      </c>
      <c r="S288" s="14">
        <v>45659.0</v>
      </c>
      <c r="T288" s="14">
        <v>46754.0</v>
      </c>
      <c r="U288" s="10">
        <f t="shared" si="15"/>
        <v>663</v>
      </c>
      <c r="V288" s="2"/>
      <c r="W288" s="15"/>
      <c r="X288" s="15"/>
      <c r="Y288" s="15"/>
      <c r="Z288" s="15"/>
      <c r="AA288" s="1"/>
      <c r="AB288" s="15"/>
      <c r="AC288" s="15"/>
      <c r="AD288" s="15"/>
      <c r="AE288" s="15"/>
      <c r="AF288" s="2"/>
      <c r="AG288" s="10" t="s">
        <v>354</v>
      </c>
      <c r="AH288" s="12" t="s">
        <v>355</v>
      </c>
      <c r="AI288" s="10" t="s">
        <v>485</v>
      </c>
      <c r="AJ288" s="10" t="s">
        <v>538</v>
      </c>
      <c r="AK288" s="16" t="s">
        <v>45</v>
      </c>
      <c r="AL288" s="16" t="s">
        <v>45</v>
      </c>
      <c r="AM288" s="16" t="s">
        <v>45</v>
      </c>
      <c r="AN288" s="16" t="s">
        <v>45</v>
      </c>
    </row>
    <row r="289" ht="30.0" customHeight="1">
      <c r="A289" s="9" t="str">
        <f t="shared" si="1"/>
        <v>Ativo</v>
      </c>
      <c r="B289" s="9" t="str">
        <f t="shared" si="2"/>
        <v>N/I</v>
      </c>
      <c r="C289" s="9" t="str">
        <f t="shared" si="3"/>
        <v>N/I</v>
      </c>
      <c r="D289" s="10" t="s">
        <v>530</v>
      </c>
      <c r="E289" s="11" t="s">
        <v>558</v>
      </c>
      <c r="F289" s="11" t="s">
        <v>559</v>
      </c>
      <c r="G289" s="12" t="s">
        <v>52</v>
      </c>
      <c r="H289" s="27" t="s">
        <v>575</v>
      </c>
      <c r="I289" s="12" t="s">
        <v>561</v>
      </c>
      <c r="J289" s="10" t="s">
        <v>562</v>
      </c>
      <c r="K289" s="10" t="s">
        <v>190</v>
      </c>
      <c r="L289" s="10" t="s">
        <v>4</v>
      </c>
      <c r="M289" s="14">
        <v>45661.0</v>
      </c>
      <c r="N289" s="11" t="s">
        <v>563</v>
      </c>
      <c r="O289" s="10" t="s">
        <v>564</v>
      </c>
      <c r="P289" s="10" t="s">
        <v>537</v>
      </c>
      <c r="Q289" s="2"/>
      <c r="R289" s="10">
        <v>36.0</v>
      </c>
      <c r="S289" s="14">
        <v>45661.0</v>
      </c>
      <c r="T289" s="14">
        <v>46756.0</v>
      </c>
      <c r="U289" s="10">
        <f t="shared" si="15"/>
        <v>665</v>
      </c>
      <c r="V289" s="2"/>
      <c r="W289" s="15"/>
      <c r="X289" s="15"/>
      <c r="Y289" s="15"/>
      <c r="Z289" s="15"/>
      <c r="AA289" s="1"/>
      <c r="AB289" s="15"/>
      <c r="AC289" s="15"/>
      <c r="AD289" s="15"/>
      <c r="AE289" s="15"/>
      <c r="AF289" s="2"/>
      <c r="AG289" s="10" t="s">
        <v>354</v>
      </c>
      <c r="AH289" s="12" t="s">
        <v>355</v>
      </c>
      <c r="AI289" s="10" t="s">
        <v>485</v>
      </c>
      <c r="AJ289" s="10" t="s">
        <v>538</v>
      </c>
      <c r="AK289" s="16" t="s">
        <v>45</v>
      </c>
      <c r="AL289" s="16" t="s">
        <v>45</v>
      </c>
      <c r="AM289" s="16" t="s">
        <v>45</v>
      </c>
      <c r="AN289" s="16" t="s">
        <v>45</v>
      </c>
    </row>
    <row r="290" ht="30.0" customHeight="1">
      <c r="A290" s="9" t="str">
        <f t="shared" si="1"/>
        <v>Ativo</v>
      </c>
      <c r="B290" s="9" t="str">
        <f t="shared" si="2"/>
        <v>N/I</v>
      </c>
      <c r="C290" s="9" t="str">
        <f t="shared" si="3"/>
        <v>N/I</v>
      </c>
      <c r="D290" s="10" t="s">
        <v>530</v>
      </c>
      <c r="E290" s="11" t="s">
        <v>558</v>
      </c>
      <c r="F290" s="11" t="s">
        <v>559</v>
      </c>
      <c r="G290" s="12" t="s">
        <v>52</v>
      </c>
      <c r="H290" s="27" t="s">
        <v>576</v>
      </c>
      <c r="I290" s="12" t="s">
        <v>561</v>
      </c>
      <c r="J290" s="10" t="s">
        <v>562</v>
      </c>
      <c r="K290" s="10" t="s">
        <v>190</v>
      </c>
      <c r="L290" s="10" t="s">
        <v>4</v>
      </c>
      <c r="M290" s="14">
        <v>45674.0</v>
      </c>
      <c r="N290" s="11" t="s">
        <v>563</v>
      </c>
      <c r="O290" s="10" t="s">
        <v>564</v>
      </c>
      <c r="P290" s="10" t="s">
        <v>537</v>
      </c>
      <c r="Q290" s="2"/>
      <c r="R290" s="10">
        <v>36.0</v>
      </c>
      <c r="S290" s="14">
        <v>45674.0</v>
      </c>
      <c r="T290" s="14">
        <v>46769.0</v>
      </c>
      <c r="U290" s="10">
        <f t="shared" si="15"/>
        <v>678</v>
      </c>
      <c r="V290" s="2"/>
      <c r="W290" s="15"/>
      <c r="X290" s="15"/>
      <c r="Y290" s="15"/>
      <c r="Z290" s="15"/>
      <c r="AA290" s="1"/>
      <c r="AB290" s="15"/>
      <c r="AC290" s="15"/>
      <c r="AD290" s="15"/>
      <c r="AE290" s="15"/>
      <c r="AF290" s="2"/>
      <c r="AG290" s="10" t="s">
        <v>354</v>
      </c>
      <c r="AH290" s="12" t="s">
        <v>355</v>
      </c>
      <c r="AI290" s="10" t="s">
        <v>485</v>
      </c>
      <c r="AJ290" s="10" t="s">
        <v>538</v>
      </c>
      <c r="AK290" s="16" t="s">
        <v>45</v>
      </c>
      <c r="AL290" s="16" t="s">
        <v>45</v>
      </c>
      <c r="AM290" s="16" t="s">
        <v>45</v>
      </c>
      <c r="AN290" s="16" t="s">
        <v>45</v>
      </c>
    </row>
    <row r="291" ht="30.0" customHeight="1">
      <c r="A291" s="9" t="str">
        <f t="shared" si="1"/>
        <v>Ativo</v>
      </c>
      <c r="B291" s="9" t="str">
        <f t="shared" si="2"/>
        <v>N/I</v>
      </c>
      <c r="C291" s="9" t="str">
        <f t="shared" si="3"/>
        <v>N/I</v>
      </c>
      <c r="D291" s="10" t="s">
        <v>530</v>
      </c>
      <c r="E291" s="11" t="s">
        <v>558</v>
      </c>
      <c r="F291" s="11" t="s">
        <v>559</v>
      </c>
      <c r="G291" s="12" t="s">
        <v>58</v>
      </c>
      <c r="H291" s="27" t="s">
        <v>577</v>
      </c>
      <c r="I291" s="12" t="s">
        <v>561</v>
      </c>
      <c r="J291" s="10" t="s">
        <v>562</v>
      </c>
      <c r="K291" s="10" t="s">
        <v>190</v>
      </c>
      <c r="L291" s="10" t="s">
        <v>4</v>
      </c>
      <c r="M291" s="14">
        <v>45679.0</v>
      </c>
      <c r="N291" s="11" t="s">
        <v>563</v>
      </c>
      <c r="O291" s="10" t="s">
        <v>564</v>
      </c>
      <c r="P291" s="10" t="s">
        <v>537</v>
      </c>
      <c r="Q291" s="2"/>
      <c r="R291" s="10">
        <v>36.0</v>
      </c>
      <c r="S291" s="14">
        <v>45679.0</v>
      </c>
      <c r="T291" s="14">
        <v>46774.0</v>
      </c>
      <c r="U291" s="10">
        <f t="shared" si="15"/>
        <v>683</v>
      </c>
      <c r="V291" s="2"/>
      <c r="W291" s="15"/>
      <c r="X291" s="15"/>
      <c r="Y291" s="15"/>
      <c r="Z291" s="15"/>
      <c r="AA291" s="1"/>
      <c r="AB291" s="15"/>
      <c r="AC291" s="15"/>
      <c r="AD291" s="15"/>
      <c r="AE291" s="15"/>
      <c r="AF291" s="2"/>
      <c r="AG291" s="10" t="s">
        <v>354</v>
      </c>
      <c r="AH291" s="12" t="s">
        <v>355</v>
      </c>
      <c r="AI291" s="10" t="s">
        <v>485</v>
      </c>
      <c r="AJ291" s="10" t="s">
        <v>538</v>
      </c>
      <c r="AK291" s="16" t="s">
        <v>45</v>
      </c>
      <c r="AL291" s="16" t="s">
        <v>45</v>
      </c>
      <c r="AM291" s="16" t="s">
        <v>45</v>
      </c>
      <c r="AN291" s="16" t="s">
        <v>45</v>
      </c>
    </row>
    <row r="292" ht="30.0" customHeight="1">
      <c r="A292" s="9" t="str">
        <f t="shared" si="1"/>
        <v>N/I</v>
      </c>
      <c r="B292" s="9" t="str">
        <f t="shared" si="2"/>
        <v>N/I</v>
      </c>
      <c r="C292" s="9" t="str">
        <f t="shared" si="3"/>
        <v>Inativo</v>
      </c>
      <c r="D292" s="10" t="s">
        <v>530</v>
      </c>
      <c r="E292" s="11" t="s">
        <v>558</v>
      </c>
      <c r="F292" s="11" t="s">
        <v>559</v>
      </c>
      <c r="G292" s="12" t="s">
        <v>79</v>
      </c>
      <c r="H292" s="34" t="s">
        <v>578</v>
      </c>
      <c r="I292" s="12" t="s">
        <v>561</v>
      </c>
      <c r="J292" s="10" t="s">
        <v>562</v>
      </c>
      <c r="K292" s="10" t="s">
        <v>190</v>
      </c>
      <c r="L292" s="10" t="s">
        <v>6</v>
      </c>
      <c r="M292" s="14">
        <v>45357.0</v>
      </c>
      <c r="N292" s="11" t="s">
        <v>566</v>
      </c>
      <c r="O292" s="10" t="s">
        <v>564</v>
      </c>
      <c r="P292" s="10" t="s">
        <v>579</v>
      </c>
      <c r="Q292" s="2"/>
      <c r="R292" s="15"/>
      <c r="S292" s="15"/>
      <c r="T292" s="15"/>
      <c r="U292" s="15"/>
      <c r="V292" s="2"/>
      <c r="W292" s="15"/>
      <c r="X292" s="15"/>
      <c r="Y292" s="15"/>
      <c r="Z292" s="15"/>
      <c r="AA292" s="1"/>
      <c r="AB292" s="10">
        <v>12.0</v>
      </c>
      <c r="AC292" s="14">
        <v>45357.0</v>
      </c>
      <c r="AD292" s="14">
        <v>45722.0</v>
      </c>
      <c r="AE292" s="10">
        <f>AD292-TODAY()</f>
        <v>-369</v>
      </c>
      <c r="AF292" s="2"/>
      <c r="AG292" s="16" t="s">
        <v>45</v>
      </c>
      <c r="AH292" s="12" t="s">
        <v>46</v>
      </c>
      <c r="AI292" s="10" t="s">
        <v>226</v>
      </c>
      <c r="AJ292" s="10" t="s">
        <v>390</v>
      </c>
      <c r="AK292" s="16" t="s">
        <v>45</v>
      </c>
      <c r="AL292" s="10" t="s">
        <v>49</v>
      </c>
      <c r="AM292" s="16" t="s">
        <v>45</v>
      </c>
      <c r="AN292" s="10" t="s">
        <v>320</v>
      </c>
    </row>
    <row r="293" ht="30.0" customHeight="1">
      <c r="A293" s="9" t="str">
        <f t="shared" si="1"/>
        <v>Ativo</v>
      </c>
      <c r="B293" s="9" t="str">
        <f t="shared" si="2"/>
        <v>N/I</v>
      </c>
      <c r="C293" s="9" t="str">
        <f t="shared" si="3"/>
        <v>N/I</v>
      </c>
      <c r="D293" s="10" t="s">
        <v>530</v>
      </c>
      <c r="E293" s="11" t="s">
        <v>558</v>
      </c>
      <c r="F293" s="11" t="s">
        <v>580</v>
      </c>
      <c r="G293" s="12" t="s">
        <v>94</v>
      </c>
      <c r="H293" s="42" t="s">
        <v>581</v>
      </c>
      <c r="I293" s="12" t="s">
        <v>582</v>
      </c>
      <c r="J293" s="10" t="s">
        <v>583</v>
      </c>
      <c r="K293" s="10" t="s">
        <v>41</v>
      </c>
      <c r="L293" s="10" t="s">
        <v>4</v>
      </c>
      <c r="M293" s="14">
        <v>45501.0</v>
      </c>
      <c r="N293" s="11" t="s">
        <v>584</v>
      </c>
      <c r="O293" s="10" t="s">
        <v>585</v>
      </c>
      <c r="P293" s="10" t="s">
        <v>544</v>
      </c>
      <c r="Q293" s="2"/>
      <c r="R293" s="10">
        <v>36.0</v>
      </c>
      <c r="S293" s="14">
        <v>45501.0</v>
      </c>
      <c r="T293" s="14">
        <v>46596.0</v>
      </c>
      <c r="U293" s="10">
        <f t="shared" ref="U293:U301" si="16">T293-TODAY()</f>
        <v>505</v>
      </c>
      <c r="V293" s="2"/>
      <c r="W293" s="15"/>
      <c r="X293" s="15"/>
      <c r="Y293" s="15"/>
      <c r="Z293" s="15"/>
      <c r="AA293" s="1"/>
      <c r="AB293" s="15"/>
      <c r="AC293" s="15"/>
      <c r="AD293" s="15"/>
      <c r="AE293" s="15"/>
      <c r="AF293" s="2"/>
      <c r="AG293" s="10" t="s">
        <v>354</v>
      </c>
      <c r="AH293" s="12" t="s">
        <v>46</v>
      </c>
      <c r="AI293" s="10" t="s">
        <v>485</v>
      </c>
      <c r="AJ293" s="10" t="s">
        <v>538</v>
      </c>
      <c r="AK293" s="16" t="s">
        <v>45</v>
      </c>
      <c r="AL293" s="16" t="s">
        <v>45</v>
      </c>
      <c r="AM293" s="16" t="s">
        <v>45</v>
      </c>
      <c r="AN293" s="10" t="s">
        <v>320</v>
      </c>
    </row>
    <row r="294" ht="30.0" customHeight="1">
      <c r="A294" s="9" t="str">
        <f t="shared" si="1"/>
        <v>Ativo</v>
      </c>
      <c r="B294" s="9" t="str">
        <f t="shared" si="2"/>
        <v>N/I</v>
      </c>
      <c r="C294" s="9" t="str">
        <f t="shared" si="3"/>
        <v>N/I</v>
      </c>
      <c r="D294" s="10" t="s">
        <v>530</v>
      </c>
      <c r="E294" s="11" t="s">
        <v>558</v>
      </c>
      <c r="F294" s="11" t="s">
        <v>580</v>
      </c>
      <c r="G294" s="12" t="s">
        <v>94</v>
      </c>
      <c r="H294" s="42" t="s">
        <v>586</v>
      </c>
      <c r="I294" s="12" t="s">
        <v>582</v>
      </c>
      <c r="J294" s="10" t="s">
        <v>583</v>
      </c>
      <c r="K294" s="10" t="s">
        <v>41</v>
      </c>
      <c r="L294" s="10" t="s">
        <v>4</v>
      </c>
      <c r="M294" s="14">
        <v>45502.0</v>
      </c>
      <c r="N294" s="11" t="s">
        <v>584</v>
      </c>
      <c r="O294" s="10" t="s">
        <v>585</v>
      </c>
      <c r="P294" s="10" t="s">
        <v>544</v>
      </c>
      <c r="Q294" s="2"/>
      <c r="R294" s="10">
        <v>36.0</v>
      </c>
      <c r="S294" s="14">
        <v>45502.0</v>
      </c>
      <c r="T294" s="14">
        <v>46597.0</v>
      </c>
      <c r="U294" s="10">
        <f t="shared" si="16"/>
        <v>506</v>
      </c>
      <c r="V294" s="2"/>
      <c r="W294" s="15"/>
      <c r="X294" s="15"/>
      <c r="Y294" s="15"/>
      <c r="Z294" s="15"/>
      <c r="AA294" s="1"/>
      <c r="AB294" s="15"/>
      <c r="AC294" s="15"/>
      <c r="AD294" s="15"/>
      <c r="AE294" s="15"/>
      <c r="AF294" s="2"/>
      <c r="AG294" s="10" t="s">
        <v>354</v>
      </c>
      <c r="AH294" s="12" t="s">
        <v>46</v>
      </c>
      <c r="AI294" s="10" t="s">
        <v>485</v>
      </c>
      <c r="AJ294" s="10" t="s">
        <v>538</v>
      </c>
      <c r="AK294" s="16" t="s">
        <v>45</v>
      </c>
      <c r="AL294" s="16" t="s">
        <v>45</v>
      </c>
      <c r="AM294" s="16" t="s">
        <v>45</v>
      </c>
      <c r="AN294" s="10" t="s">
        <v>320</v>
      </c>
    </row>
    <row r="295" ht="30.0" customHeight="1">
      <c r="A295" s="9" t="str">
        <f t="shared" si="1"/>
        <v>Ativo</v>
      </c>
      <c r="B295" s="9" t="str">
        <f t="shared" si="2"/>
        <v>N/I</v>
      </c>
      <c r="C295" s="9" t="str">
        <f t="shared" si="3"/>
        <v>N/I</v>
      </c>
      <c r="D295" s="10" t="s">
        <v>530</v>
      </c>
      <c r="E295" s="11" t="s">
        <v>558</v>
      </c>
      <c r="F295" s="11" t="s">
        <v>580</v>
      </c>
      <c r="G295" s="12" t="s">
        <v>58</v>
      </c>
      <c r="H295" s="42" t="s">
        <v>587</v>
      </c>
      <c r="I295" s="12" t="s">
        <v>582</v>
      </c>
      <c r="J295" s="10" t="s">
        <v>583</v>
      </c>
      <c r="K295" s="10" t="s">
        <v>41</v>
      </c>
      <c r="L295" s="10" t="s">
        <v>4</v>
      </c>
      <c r="M295" s="14">
        <v>45502.0</v>
      </c>
      <c r="N295" s="11" t="s">
        <v>584</v>
      </c>
      <c r="O295" s="10" t="s">
        <v>585</v>
      </c>
      <c r="P295" s="10" t="s">
        <v>544</v>
      </c>
      <c r="Q295" s="2"/>
      <c r="R295" s="10">
        <v>36.0</v>
      </c>
      <c r="S295" s="14">
        <v>45502.0</v>
      </c>
      <c r="T295" s="14">
        <v>46597.0</v>
      </c>
      <c r="U295" s="10">
        <f t="shared" si="16"/>
        <v>506</v>
      </c>
      <c r="V295" s="2"/>
      <c r="W295" s="15"/>
      <c r="X295" s="15"/>
      <c r="Y295" s="15"/>
      <c r="Z295" s="15"/>
      <c r="AA295" s="1"/>
      <c r="AB295" s="15"/>
      <c r="AC295" s="15"/>
      <c r="AD295" s="15"/>
      <c r="AE295" s="15"/>
      <c r="AF295" s="2"/>
      <c r="AG295" s="10" t="s">
        <v>354</v>
      </c>
      <c r="AH295" s="12" t="s">
        <v>46</v>
      </c>
      <c r="AI295" s="10" t="s">
        <v>485</v>
      </c>
      <c r="AJ295" s="10" t="s">
        <v>538</v>
      </c>
      <c r="AK295" s="16" t="s">
        <v>45</v>
      </c>
      <c r="AL295" s="16" t="s">
        <v>45</v>
      </c>
      <c r="AM295" s="16" t="s">
        <v>45</v>
      </c>
      <c r="AN295" s="10" t="s">
        <v>320</v>
      </c>
    </row>
    <row r="296" ht="30.0" customHeight="1">
      <c r="A296" s="9" t="str">
        <f t="shared" si="1"/>
        <v>Ativo</v>
      </c>
      <c r="B296" s="9" t="str">
        <f t="shared" si="2"/>
        <v>N/I</v>
      </c>
      <c r="C296" s="9" t="str">
        <f t="shared" si="3"/>
        <v>N/I</v>
      </c>
      <c r="D296" s="10" t="s">
        <v>530</v>
      </c>
      <c r="E296" s="11" t="s">
        <v>531</v>
      </c>
      <c r="F296" s="11" t="s">
        <v>588</v>
      </c>
      <c r="G296" s="12" t="s">
        <v>94</v>
      </c>
      <c r="H296" s="42" t="s">
        <v>589</v>
      </c>
      <c r="I296" s="12" t="s">
        <v>590</v>
      </c>
      <c r="J296" s="10" t="s">
        <v>262</v>
      </c>
      <c r="K296" s="10" t="s">
        <v>263</v>
      </c>
      <c r="L296" s="10" t="s">
        <v>4</v>
      </c>
      <c r="M296" s="14">
        <v>45497.0</v>
      </c>
      <c r="N296" s="11" t="s">
        <v>591</v>
      </c>
      <c r="O296" s="10" t="s">
        <v>592</v>
      </c>
      <c r="P296" s="10" t="s">
        <v>544</v>
      </c>
      <c r="Q296" s="2"/>
      <c r="R296" s="10">
        <v>36.0</v>
      </c>
      <c r="S296" s="14">
        <v>45497.0</v>
      </c>
      <c r="T296" s="14">
        <v>46592.0</v>
      </c>
      <c r="U296" s="10">
        <f t="shared" si="16"/>
        <v>501</v>
      </c>
      <c r="V296" s="2"/>
      <c r="W296" s="15"/>
      <c r="X296" s="15"/>
      <c r="Y296" s="15"/>
      <c r="Z296" s="15"/>
      <c r="AA296" s="1"/>
      <c r="AB296" s="15"/>
      <c r="AC296" s="15"/>
      <c r="AD296" s="15"/>
      <c r="AE296" s="15"/>
      <c r="AF296" s="2"/>
      <c r="AG296" s="10" t="s">
        <v>354</v>
      </c>
      <c r="AH296" s="12" t="s">
        <v>46</v>
      </c>
      <c r="AI296" s="10" t="s">
        <v>485</v>
      </c>
      <c r="AJ296" s="10" t="s">
        <v>538</v>
      </c>
      <c r="AK296" s="16" t="s">
        <v>45</v>
      </c>
      <c r="AL296" s="16" t="s">
        <v>45</v>
      </c>
      <c r="AM296" s="16" t="s">
        <v>45</v>
      </c>
      <c r="AN296" s="10" t="s">
        <v>320</v>
      </c>
    </row>
    <row r="297" ht="30.0" customHeight="1">
      <c r="A297" s="9" t="str">
        <f t="shared" si="1"/>
        <v>Ativo</v>
      </c>
      <c r="B297" s="9" t="str">
        <f t="shared" si="2"/>
        <v>N/I</v>
      </c>
      <c r="C297" s="9" t="str">
        <f t="shared" si="3"/>
        <v>N/I</v>
      </c>
      <c r="D297" s="10" t="s">
        <v>530</v>
      </c>
      <c r="E297" s="11" t="s">
        <v>531</v>
      </c>
      <c r="F297" s="11" t="s">
        <v>588</v>
      </c>
      <c r="G297" s="12" t="s">
        <v>94</v>
      </c>
      <c r="H297" s="42" t="s">
        <v>593</v>
      </c>
      <c r="I297" s="12" t="s">
        <v>590</v>
      </c>
      <c r="J297" s="10" t="s">
        <v>262</v>
      </c>
      <c r="K297" s="10" t="s">
        <v>263</v>
      </c>
      <c r="L297" s="10" t="s">
        <v>4</v>
      </c>
      <c r="M297" s="14">
        <v>45497.0</v>
      </c>
      <c r="N297" s="11" t="s">
        <v>591</v>
      </c>
      <c r="O297" s="10" t="s">
        <v>592</v>
      </c>
      <c r="P297" s="10" t="s">
        <v>544</v>
      </c>
      <c r="Q297" s="2"/>
      <c r="R297" s="10">
        <v>36.0</v>
      </c>
      <c r="S297" s="14">
        <v>45497.0</v>
      </c>
      <c r="T297" s="14">
        <v>46592.0</v>
      </c>
      <c r="U297" s="10">
        <f t="shared" si="16"/>
        <v>501</v>
      </c>
      <c r="V297" s="2"/>
      <c r="W297" s="15"/>
      <c r="X297" s="15"/>
      <c r="Y297" s="15"/>
      <c r="Z297" s="15"/>
      <c r="AA297" s="1"/>
      <c r="AB297" s="15"/>
      <c r="AC297" s="15"/>
      <c r="AD297" s="15"/>
      <c r="AE297" s="15"/>
      <c r="AF297" s="2"/>
      <c r="AG297" s="10" t="s">
        <v>354</v>
      </c>
      <c r="AH297" s="12" t="s">
        <v>46</v>
      </c>
      <c r="AI297" s="10" t="s">
        <v>485</v>
      </c>
      <c r="AJ297" s="10" t="s">
        <v>538</v>
      </c>
      <c r="AK297" s="16" t="s">
        <v>45</v>
      </c>
      <c r="AL297" s="16" t="s">
        <v>45</v>
      </c>
      <c r="AM297" s="16" t="s">
        <v>45</v>
      </c>
      <c r="AN297" s="10" t="s">
        <v>320</v>
      </c>
    </row>
    <row r="298" ht="30.0" customHeight="1">
      <c r="A298" s="9" t="str">
        <f t="shared" si="1"/>
        <v>Ativo</v>
      </c>
      <c r="B298" s="9" t="str">
        <f t="shared" si="2"/>
        <v>N/I</v>
      </c>
      <c r="C298" s="9" t="str">
        <f t="shared" si="3"/>
        <v>N/I</v>
      </c>
      <c r="D298" s="10" t="s">
        <v>530</v>
      </c>
      <c r="E298" s="11" t="s">
        <v>531</v>
      </c>
      <c r="F298" s="11" t="s">
        <v>594</v>
      </c>
      <c r="G298" s="12" t="s">
        <v>94</v>
      </c>
      <c r="H298" s="34" t="s">
        <v>595</v>
      </c>
      <c r="I298" s="12" t="s">
        <v>596</v>
      </c>
      <c r="J298" s="10" t="s">
        <v>283</v>
      </c>
      <c r="K298" s="10" t="s">
        <v>263</v>
      </c>
      <c r="L298" s="10" t="s">
        <v>4</v>
      </c>
      <c r="M298" s="14">
        <v>45274.0</v>
      </c>
      <c r="N298" s="11" t="s">
        <v>597</v>
      </c>
      <c r="O298" s="10" t="s">
        <v>598</v>
      </c>
      <c r="P298" s="10" t="s">
        <v>599</v>
      </c>
      <c r="Q298" s="2"/>
      <c r="R298" s="10">
        <v>36.0</v>
      </c>
      <c r="S298" s="14">
        <v>45274.0</v>
      </c>
      <c r="T298" s="14">
        <v>46370.0</v>
      </c>
      <c r="U298" s="10">
        <f t="shared" si="16"/>
        <v>279</v>
      </c>
      <c r="V298" s="2"/>
      <c r="W298" s="15"/>
      <c r="X298" s="15"/>
      <c r="Y298" s="15"/>
      <c r="Z298" s="15"/>
      <c r="AA298" s="1"/>
      <c r="AB298" s="15"/>
      <c r="AC298" s="15"/>
      <c r="AD298" s="15"/>
      <c r="AE298" s="15"/>
      <c r="AF298" s="2"/>
      <c r="AG298" s="16" t="s">
        <v>45</v>
      </c>
      <c r="AH298" s="12" t="s">
        <v>46</v>
      </c>
      <c r="AI298" s="10" t="s">
        <v>226</v>
      </c>
      <c r="AJ298" s="10" t="s">
        <v>390</v>
      </c>
      <c r="AK298" s="16" t="s">
        <v>45</v>
      </c>
      <c r="AL298" s="10" t="s">
        <v>49</v>
      </c>
      <c r="AM298" s="16" t="s">
        <v>45</v>
      </c>
      <c r="AN298" s="10" t="s">
        <v>320</v>
      </c>
    </row>
    <row r="299" ht="30.0" customHeight="1">
      <c r="A299" s="9" t="str">
        <f t="shared" si="1"/>
        <v>Ativo</v>
      </c>
      <c r="B299" s="9" t="str">
        <f t="shared" si="2"/>
        <v>N/I</v>
      </c>
      <c r="C299" s="9" t="str">
        <f t="shared" si="3"/>
        <v>N/I</v>
      </c>
      <c r="D299" s="10" t="s">
        <v>530</v>
      </c>
      <c r="E299" s="11" t="s">
        <v>531</v>
      </c>
      <c r="F299" s="11" t="s">
        <v>600</v>
      </c>
      <c r="G299" s="12" t="s">
        <v>52</v>
      </c>
      <c r="H299" s="27" t="s">
        <v>601</v>
      </c>
      <c r="I299" s="12" t="s">
        <v>602</v>
      </c>
      <c r="J299" s="10" t="s">
        <v>262</v>
      </c>
      <c r="K299" s="10" t="s">
        <v>263</v>
      </c>
      <c r="L299" s="10" t="s">
        <v>4</v>
      </c>
      <c r="M299" s="14">
        <v>45762.0</v>
      </c>
      <c r="N299" s="11" t="s">
        <v>603</v>
      </c>
      <c r="O299" s="10" t="s">
        <v>604</v>
      </c>
      <c r="P299" s="10" t="s">
        <v>537</v>
      </c>
      <c r="Q299" s="2"/>
      <c r="R299" s="10">
        <v>36.0</v>
      </c>
      <c r="S299" s="14">
        <v>45762.0</v>
      </c>
      <c r="T299" s="14">
        <v>46858.0</v>
      </c>
      <c r="U299" s="10">
        <f t="shared" si="16"/>
        <v>767</v>
      </c>
      <c r="V299" s="2"/>
      <c r="W299" s="15"/>
      <c r="X299" s="15"/>
      <c r="Y299" s="15"/>
      <c r="Z299" s="15"/>
      <c r="AA299" s="1"/>
      <c r="AB299" s="15"/>
      <c r="AC299" s="15"/>
      <c r="AD299" s="15"/>
      <c r="AE299" s="15"/>
      <c r="AF299" s="2"/>
      <c r="AG299" s="10" t="s">
        <v>354</v>
      </c>
      <c r="AH299" s="12" t="s">
        <v>46</v>
      </c>
      <c r="AI299" s="10" t="s">
        <v>485</v>
      </c>
      <c r="AJ299" s="10" t="s">
        <v>538</v>
      </c>
      <c r="AK299" s="16" t="s">
        <v>45</v>
      </c>
      <c r="AL299" s="16" t="s">
        <v>45</v>
      </c>
      <c r="AM299" s="16" t="s">
        <v>45</v>
      </c>
      <c r="AN299" s="10" t="s">
        <v>50</v>
      </c>
    </row>
    <row r="300" ht="30.0" customHeight="1">
      <c r="A300" s="9" t="str">
        <f t="shared" si="1"/>
        <v>Ativo</v>
      </c>
      <c r="B300" s="9" t="str">
        <f t="shared" si="2"/>
        <v>N/I</v>
      </c>
      <c r="C300" s="9" t="str">
        <f t="shared" si="3"/>
        <v>N/I</v>
      </c>
      <c r="D300" s="10" t="s">
        <v>530</v>
      </c>
      <c r="E300" s="11" t="s">
        <v>531</v>
      </c>
      <c r="F300" s="11" t="s">
        <v>600</v>
      </c>
      <c r="G300" s="12" t="s">
        <v>52</v>
      </c>
      <c r="H300" s="27" t="s">
        <v>605</v>
      </c>
      <c r="I300" s="12" t="s">
        <v>602</v>
      </c>
      <c r="J300" s="10" t="s">
        <v>262</v>
      </c>
      <c r="K300" s="10" t="s">
        <v>263</v>
      </c>
      <c r="L300" s="10" t="s">
        <v>4</v>
      </c>
      <c r="M300" s="14">
        <v>45762.0</v>
      </c>
      <c r="N300" s="11" t="s">
        <v>603</v>
      </c>
      <c r="O300" s="10" t="s">
        <v>604</v>
      </c>
      <c r="P300" s="10" t="s">
        <v>537</v>
      </c>
      <c r="Q300" s="2"/>
      <c r="R300" s="10">
        <v>36.0</v>
      </c>
      <c r="S300" s="14">
        <v>45762.0</v>
      </c>
      <c r="T300" s="14">
        <v>46858.0</v>
      </c>
      <c r="U300" s="10">
        <f t="shared" si="16"/>
        <v>767</v>
      </c>
      <c r="V300" s="2"/>
      <c r="W300" s="15"/>
      <c r="X300" s="15"/>
      <c r="Y300" s="15"/>
      <c r="Z300" s="15"/>
      <c r="AA300" s="1"/>
      <c r="AB300" s="15"/>
      <c r="AC300" s="15"/>
      <c r="AD300" s="15"/>
      <c r="AE300" s="15"/>
      <c r="AF300" s="2"/>
      <c r="AG300" s="10" t="s">
        <v>354</v>
      </c>
      <c r="AH300" s="12" t="s">
        <v>46</v>
      </c>
      <c r="AI300" s="10" t="s">
        <v>485</v>
      </c>
      <c r="AJ300" s="10" t="s">
        <v>538</v>
      </c>
      <c r="AK300" s="16" t="s">
        <v>45</v>
      </c>
      <c r="AL300" s="16" t="s">
        <v>45</v>
      </c>
      <c r="AM300" s="16" t="s">
        <v>45</v>
      </c>
      <c r="AN300" s="10" t="s">
        <v>50</v>
      </c>
    </row>
    <row r="301" ht="30.0" customHeight="1">
      <c r="A301" s="9" t="str">
        <f t="shared" si="1"/>
        <v>Ativo</v>
      </c>
      <c r="B301" s="9" t="str">
        <f t="shared" si="2"/>
        <v>N/I</v>
      </c>
      <c r="C301" s="9" t="str">
        <f t="shared" si="3"/>
        <v>N/I</v>
      </c>
      <c r="D301" s="10" t="s">
        <v>530</v>
      </c>
      <c r="E301" s="11" t="s">
        <v>531</v>
      </c>
      <c r="F301" s="11" t="s">
        <v>600</v>
      </c>
      <c r="G301" s="12" t="s">
        <v>58</v>
      </c>
      <c r="H301" s="27" t="s">
        <v>606</v>
      </c>
      <c r="I301" s="12" t="s">
        <v>602</v>
      </c>
      <c r="J301" s="10" t="s">
        <v>262</v>
      </c>
      <c r="K301" s="10" t="s">
        <v>263</v>
      </c>
      <c r="L301" s="10" t="s">
        <v>4</v>
      </c>
      <c r="M301" s="14">
        <v>45763.0</v>
      </c>
      <c r="N301" s="11" t="s">
        <v>603</v>
      </c>
      <c r="O301" s="10" t="s">
        <v>604</v>
      </c>
      <c r="P301" s="10" t="s">
        <v>537</v>
      </c>
      <c r="Q301" s="2"/>
      <c r="R301" s="10">
        <v>36.0</v>
      </c>
      <c r="S301" s="14">
        <v>45763.0</v>
      </c>
      <c r="T301" s="14">
        <v>46859.0</v>
      </c>
      <c r="U301" s="10">
        <f t="shared" si="16"/>
        <v>768</v>
      </c>
      <c r="V301" s="2"/>
      <c r="W301" s="15"/>
      <c r="X301" s="15"/>
      <c r="Y301" s="15"/>
      <c r="Z301" s="15"/>
      <c r="AA301" s="1"/>
      <c r="AB301" s="15"/>
      <c r="AC301" s="15"/>
      <c r="AD301" s="15"/>
      <c r="AE301" s="15"/>
      <c r="AF301" s="2"/>
      <c r="AG301" s="10" t="s">
        <v>354</v>
      </c>
      <c r="AH301" s="12" t="s">
        <v>46</v>
      </c>
      <c r="AI301" s="10" t="s">
        <v>485</v>
      </c>
      <c r="AJ301" s="10" t="s">
        <v>538</v>
      </c>
      <c r="AK301" s="16" t="s">
        <v>45</v>
      </c>
      <c r="AL301" s="16" t="s">
        <v>45</v>
      </c>
      <c r="AM301" s="16" t="s">
        <v>45</v>
      </c>
      <c r="AN301" s="10" t="s">
        <v>50</v>
      </c>
    </row>
    <row r="302" ht="30.0" customHeight="1">
      <c r="A302" s="9" t="str">
        <f t="shared" si="1"/>
        <v>N/I</v>
      </c>
      <c r="B302" s="9" t="str">
        <f t="shared" si="2"/>
        <v>N/I</v>
      </c>
      <c r="C302" s="9" t="str">
        <f t="shared" si="3"/>
        <v>N/I</v>
      </c>
      <c r="D302" s="10" t="s">
        <v>530</v>
      </c>
      <c r="E302" s="11" t="s">
        <v>531</v>
      </c>
      <c r="F302" s="11" t="s">
        <v>600</v>
      </c>
      <c r="G302" s="12" t="s">
        <v>52</v>
      </c>
      <c r="H302" s="25" t="s">
        <v>187</v>
      </c>
      <c r="I302" s="12" t="s">
        <v>602</v>
      </c>
      <c r="J302" s="10" t="s">
        <v>262</v>
      </c>
      <c r="K302" s="10" t="s">
        <v>263</v>
      </c>
      <c r="L302" s="10" t="s">
        <v>4</v>
      </c>
      <c r="M302" s="24" t="s">
        <v>193</v>
      </c>
      <c r="N302" s="11" t="s">
        <v>603</v>
      </c>
      <c r="O302" s="10" t="s">
        <v>604</v>
      </c>
      <c r="P302" s="10" t="s">
        <v>537</v>
      </c>
      <c r="Q302" s="2"/>
      <c r="R302" s="10">
        <v>36.0</v>
      </c>
      <c r="S302" s="24" t="s">
        <v>193</v>
      </c>
      <c r="T302" s="24" t="s">
        <v>193</v>
      </c>
      <c r="U302" s="10"/>
      <c r="V302" s="2"/>
      <c r="W302" s="15"/>
      <c r="X302" s="15"/>
      <c r="Y302" s="15"/>
      <c r="Z302" s="15"/>
      <c r="AA302" s="1"/>
      <c r="AB302" s="15"/>
      <c r="AC302" s="15"/>
      <c r="AD302" s="15"/>
      <c r="AE302" s="15"/>
      <c r="AF302" s="2"/>
      <c r="AG302" s="10" t="s">
        <v>354</v>
      </c>
      <c r="AH302" s="12" t="s">
        <v>46</v>
      </c>
      <c r="AI302" s="10" t="s">
        <v>485</v>
      </c>
      <c r="AJ302" s="10" t="s">
        <v>538</v>
      </c>
      <c r="AK302" s="16" t="s">
        <v>45</v>
      </c>
      <c r="AL302" s="16" t="s">
        <v>45</v>
      </c>
      <c r="AM302" s="16" t="s">
        <v>45</v>
      </c>
      <c r="AN302" s="10" t="s">
        <v>50</v>
      </c>
    </row>
    <row r="303" ht="30.0" customHeight="1">
      <c r="A303" s="9" t="str">
        <f t="shared" si="1"/>
        <v>Ativo</v>
      </c>
      <c r="B303" s="9" t="str">
        <f t="shared" si="2"/>
        <v>N/I</v>
      </c>
      <c r="C303" s="9" t="str">
        <f t="shared" si="3"/>
        <v>N/I</v>
      </c>
      <c r="D303" s="10" t="s">
        <v>530</v>
      </c>
      <c r="E303" s="11" t="s">
        <v>558</v>
      </c>
      <c r="F303" s="11" t="s">
        <v>607</v>
      </c>
      <c r="G303" s="12" t="s">
        <v>94</v>
      </c>
      <c r="H303" s="42" t="s">
        <v>608</v>
      </c>
      <c r="I303" s="12" t="s">
        <v>609</v>
      </c>
      <c r="J303" s="10" t="s">
        <v>610</v>
      </c>
      <c r="K303" s="10" t="s">
        <v>209</v>
      </c>
      <c r="L303" s="10" t="s">
        <v>4</v>
      </c>
      <c r="M303" s="14">
        <v>45493.0</v>
      </c>
      <c r="N303" s="11" t="s">
        <v>611</v>
      </c>
      <c r="O303" s="10" t="s">
        <v>612</v>
      </c>
      <c r="P303" s="10" t="s">
        <v>544</v>
      </c>
      <c r="Q303" s="2"/>
      <c r="R303" s="10">
        <v>36.0</v>
      </c>
      <c r="S303" s="14">
        <v>45493.0</v>
      </c>
      <c r="T303" s="14">
        <v>46588.0</v>
      </c>
      <c r="U303" s="10">
        <f t="shared" ref="U303:U322" si="17">T303-TODAY()</f>
        <v>497</v>
      </c>
      <c r="V303" s="2"/>
      <c r="W303" s="15"/>
      <c r="X303" s="15"/>
      <c r="Y303" s="15"/>
      <c r="Z303" s="15"/>
      <c r="AA303" s="1"/>
      <c r="AB303" s="15"/>
      <c r="AC303" s="15"/>
      <c r="AD303" s="15"/>
      <c r="AE303" s="15"/>
      <c r="AF303" s="2"/>
      <c r="AG303" s="10" t="s">
        <v>354</v>
      </c>
      <c r="AH303" s="12" t="s">
        <v>46</v>
      </c>
      <c r="AI303" s="10" t="s">
        <v>485</v>
      </c>
      <c r="AJ303" s="10" t="s">
        <v>538</v>
      </c>
      <c r="AK303" s="16" t="s">
        <v>45</v>
      </c>
      <c r="AL303" s="16" t="s">
        <v>45</v>
      </c>
      <c r="AM303" s="16" t="s">
        <v>45</v>
      </c>
      <c r="AN303" s="10" t="s">
        <v>320</v>
      </c>
    </row>
    <row r="304" ht="30.0" customHeight="1">
      <c r="A304" s="9" t="str">
        <f t="shared" si="1"/>
        <v>Ativo</v>
      </c>
      <c r="B304" s="9" t="str">
        <f t="shared" si="2"/>
        <v>N/I</v>
      </c>
      <c r="C304" s="9" t="str">
        <f t="shared" si="3"/>
        <v>N/I</v>
      </c>
      <c r="D304" s="10" t="s">
        <v>530</v>
      </c>
      <c r="E304" s="11" t="s">
        <v>531</v>
      </c>
      <c r="F304" s="11" t="s">
        <v>613</v>
      </c>
      <c r="G304" s="12" t="s">
        <v>52</v>
      </c>
      <c r="H304" s="27" t="s">
        <v>614</v>
      </c>
      <c r="I304" s="12" t="s">
        <v>615</v>
      </c>
      <c r="J304" s="10" t="s">
        <v>521</v>
      </c>
      <c r="K304" s="10" t="s">
        <v>263</v>
      </c>
      <c r="L304" s="10" t="s">
        <v>4</v>
      </c>
      <c r="M304" s="22">
        <v>45707.0</v>
      </c>
      <c r="N304" s="11" t="s">
        <v>616</v>
      </c>
      <c r="O304" s="10" t="s">
        <v>617</v>
      </c>
      <c r="P304" s="10" t="s">
        <v>537</v>
      </c>
      <c r="Q304" s="2"/>
      <c r="R304" s="10">
        <v>36.0</v>
      </c>
      <c r="S304" s="14">
        <v>45707.0</v>
      </c>
      <c r="T304" s="14">
        <v>46802.0</v>
      </c>
      <c r="U304" s="10">
        <f t="shared" si="17"/>
        <v>711</v>
      </c>
      <c r="V304" s="2"/>
      <c r="W304" s="15"/>
      <c r="X304" s="15"/>
      <c r="Y304" s="15"/>
      <c r="Z304" s="15"/>
      <c r="AA304" s="1"/>
      <c r="AB304" s="15"/>
      <c r="AC304" s="15"/>
      <c r="AD304" s="15"/>
      <c r="AE304" s="15"/>
      <c r="AF304" s="2"/>
      <c r="AG304" s="10" t="s">
        <v>354</v>
      </c>
      <c r="AH304" s="12" t="s">
        <v>46</v>
      </c>
      <c r="AI304" s="10" t="s">
        <v>485</v>
      </c>
      <c r="AJ304" s="10" t="s">
        <v>538</v>
      </c>
      <c r="AK304" s="16" t="s">
        <v>45</v>
      </c>
      <c r="AL304" s="16" t="s">
        <v>45</v>
      </c>
      <c r="AM304" s="16" t="s">
        <v>45</v>
      </c>
      <c r="AN304" s="10" t="s">
        <v>50</v>
      </c>
    </row>
    <row r="305" ht="30.0" customHeight="1">
      <c r="A305" s="9" t="str">
        <f t="shared" si="1"/>
        <v>Ativo</v>
      </c>
      <c r="B305" s="9" t="str">
        <f t="shared" si="2"/>
        <v>N/I</v>
      </c>
      <c r="C305" s="9" t="str">
        <f t="shared" si="3"/>
        <v>N/I</v>
      </c>
      <c r="D305" s="10" t="s">
        <v>530</v>
      </c>
      <c r="E305" s="11" t="s">
        <v>531</v>
      </c>
      <c r="F305" s="11" t="s">
        <v>613</v>
      </c>
      <c r="G305" s="12" t="s">
        <v>58</v>
      </c>
      <c r="H305" s="27" t="s">
        <v>618</v>
      </c>
      <c r="I305" s="12" t="s">
        <v>615</v>
      </c>
      <c r="J305" s="10" t="s">
        <v>521</v>
      </c>
      <c r="K305" s="10" t="s">
        <v>263</v>
      </c>
      <c r="L305" s="10" t="s">
        <v>4</v>
      </c>
      <c r="M305" s="22">
        <v>45708.0</v>
      </c>
      <c r="N305" s="11" t="s">
        <v>616</v>
      </c>
      <c r="O305" s="10" t="s">
        <v>617</v>
      </c>
      <c r="P305" s="10" t="s">
        <v>537</v>
      </c>
      <c r="Q305" s="2"/>
      <c r="R305" s="10">
        <v>36.0</v>
      </c>
      <c r="S305" s="14">
        <v>45708.0</v>
      </c>
      <c r="T305" s="14">
        <v>46803.0</v>
      </c>
      <c r="U305" s="10">
        <f t="shared" si="17"/>
        <v>712</v>
      </c>
      <c r="V305" s="2"/>
      <c r="W305" s="15"/>
      <c r="X305" s="15"/>
      <c r="Y305" s="15"/>
      <c r="Z305" s="15"/>
      <c r="AA305" s="1"/>
      <c r="AB305" s="15"/>
      <c r="AC305" s="15"/>
      <c r="AD305" s="15"/>
      <c r="AE305" s="15"/>
      <c r="AF305" s="2"/>
      <c r="AG305" s="10" t="s">
        <v>354</v>
      </c>
      <c r="AH305" s="12" t="s">
        <v>46</v>
      </c>
      <c r="AI305" s="10" t="s">
        <v>485</v>
      </c>
      <c r="AJ305" s="10" t="s">
        <v>538</v>
      </c>
      <c r="AK305" s="16" t="s">
        <v>45</v>
      </c>
      <c r="AL305" s="16" t="s">
        <v>45</v>
      </c>
      <c r="AM305" s="16" t="s">
        <v>45</v>
      </c>
      <c r="AN305" s="10" t="s">
        <v>50</v>
      </c>
    </row>
    <row r="306" ht="30.0" customHeight="1">
      <c r="A306" s="9" t="str">
        <f t="shared" si="1"/>
        <v>Ativo</v>
      </c>
      <c r="B306" s="9" t="str">
        <f t="shared" si="2"/>
        <v>N/I</v>
      </c>
      <c r="C306" s="9" t="str">
        <f t="shared" si="3"/>
        <v>N/I</v>
      </c>
      <c r="D306" s="10" t="s">
        <v>530</v>
      </c>
      <c r="E306" s="11" t="s">
        <v>558</v>
      </c>
      <c r="F306" s="11" t="s">
        <v>619</v>
      </c>
      <c r="G306" s="12" t="s">
        <v>94</v>
      </c>
      <c r="H306" s="42" t="s">
        <v>620</v>
      </c>
      <c r="I306" s="12" t="s">
        <v>621</v>
      </c>
      <c r="J306" s="10" t="s">
        <v>132</v>
      </c>
      <c r="K306" s="10" t="s">
        <v>41</v>
      </c>
      <c r="L306" s="10" t="s">
        <v>4</v>
      </c>
      <c r="M306" s="14">
        <v>45504.0</v>
      </c>
      <c r="N306" s="11" t="s">
        <v>622</v>
      </c>
      <c r="O306" s="10" t="s">
        <v>623</v>
      </c>
      <c r="P306" s="10" t="s">
        <v>544</v>
      </c>
      <c r="Q306" s="2"/>
      <c r="R306" s="10">
        <v>36.0</v>
      </c>
      <c r="S306" s="14">
        <v>45504.0</v>
      </c>
      <c r="T306" s="14">
        <v>46599.0</v>
      </c>
      <c r="U306" s="10">
        <f t="shared" si="17"/>
        <v>508</v>
      </c>
      <c r="V306" s="2"/>
      <c r="W306" s="15"/>
      <c r="X306" s="15"/>
      <c r="Y306" s="15"/>
      <c r="Z306" s="15"/>
      <c r="AA306" s="1"/>
      <c r="AB306" s="15"/>
      <c r="AC306" s="15"/>
      <c r="AD306" s="15"/>
      <c r="AE306" s="15"/>
      <c r="AF306" s="2"/>
      <c r="AG306" s="10" t="s">
        <v>354</v>
      </c>
      <c r="AH306" s="12" t="s">
        <v>46</v>
      </c>
      <c r="AI306" s="10" t="s">
        <v>485</v>
      </c>
      <c r="AJ306" s="10" t="s">
        <v>538</v>
      </c>
      <c r="AK306" s="16" t="s">
        <v>45</v>
      </c>
      <c r="AL306" s="16" t="s">
        <v>45</v>
      </c>
      <c r="AM306" s="16" t="s">
        <v>45</v>
      </c>
      <c r="AN306" s="10" t="s">
        <v>320</v>
      </c>
    </row>
    <row r="307" ht="30.0" customHeight="1">
      <c r="A307" s="9" t="str">
        <f t="shared" si="1"/>
        <v>Ativo</v>
      </c>
      <c r="B307" s="9" t="str">
        <f t="shared" si="2"/>
        <v>N/I</v>
      </c>
      <c r="C307" s="9" t="str">
        <f t="shared" si="3"/>
        <v>N/I</v>
      </c>
      <c r="D307" s="10" t="s">
        <v>530</v>
      </c>
      <c r="E307" s="11" t="s">
        <v>558</v>
      </c>
      <c r="F307" s="11" t="s">
        <v>619</v>
      </c>
      <c r="G307" s="12" t="s">
        <v>58</v>
      </c>
      <c r="H307" s="42" t="s">
        <v>624</v>
      </c>
      <c r="I307" s="12" t="s">
        <v>621</v>
      </c>
      <c r="J307" s="10" t="s">
        <v>132</v>
      </c>
      <c r="K307" s="10" t="s">
        <v>41</v>
      </c>
      <c r="L307" s="10" t="s">
        <v>4</v>
      </c>
      <c r="M307" s="14">
        <v>45504.0</v>
      </c>
      <c r="N307" s="11" t="s">
        <v>622</v>
      </c>
      <c r="O307" s="10" t="s">
        <v>623</v>
      </c>
      <c r="P307" s="10" t="s">
        <v>544</v>
      </c>
      <c r="Q307" s="2"/>
      <c r="R307" s="10">
        <v>36.0</v>
      </c>
      <c r="S307" s="14">
        <v>45504.0</v>
      </c>
      <c r="T307" s="14">
        <v>46599.0</v>
      </c>
      <c r="U307" s="10">
        <f t="shared" si="17"/>
        <v>508</v>
      </c>
      <c r="V307" s="2"/>
      <c r="W307" s="15"/>
      <c r="X307" s="15"/>
      <c r="Y307" s="15"/>
      <c r="Z307" s="15"/>
      <c r="AA307" s="1"/>
      <c r="AB307" s="15"/>
      <c r="AC307" s="15"/>
      <c r="AD307" s="15"/>
      <c r="AE307" s="15"/>
      <c r="AF307" s="2"/>
      <c r="AG307" s="10" t="s">
        <v>354</v>
      </c>
      <c r="AH307" s="12" t="s">
        <v>46</v>
      </c>
      <c r="AI307" s="10" t="s">
        <v>485</v>
      </c>
      <c r="AJ307" s="10" t="s">
        <v>538</v>
      </c>
      <c r="AK307" s="16" t="s">
        <v>45</v>
      </c>
      <c r="AL307" s="16" t="s">
        <v>45</v>
      </c>
      <c r="AM307" s="16" t="s">
        <v>45</v>
      </c>
      <c r="AN307" s="10" t="s">
        <v>320</v>
      </c>
    </row>
    <row r="308" ht="30.0" customHeight="1">
      <c r="A308" s="9" t="str">
        <f t="shared" si="1"/>
        <v>Ativo</v>
      </c>
      <c r="B308" s="9" t="str">
        <f t="shared" si="2"/>
        <v>N/I</v>
      </c>
      <c r="C308" s="9" t="str">
        <f t="shared" si="3"/>
        <v>N/I</v>
      </c>
      <c r="D308" s="10" t="s">
        <v>530</v>
      </c>
      <c r="E308" s="11" t="s">
        <v>531</v>
      </c>
      <c r="F308" s="11" t="s">
        <v>625</v>
      </c>
      <c r="G308" s="12" t="s">
        <v>52</v>
      </c>
      <c r="H308" s="42" t="s">
        <v>626</v>
      </c>
      <c r="I308" s="12" t="s">
        <v>627</v>
      </c>
      <c r="J308" s="10" t="s">
        <v>283</v>
      </c>
      <c r="K308" s="10" t="s">
        <v>263</v>
      </c>
      <c r="L308" s="10" t="s">
        <v>4</v>
      </c>
      <c r="M308" s="14">
        <v>45614.0</v>
      </c>
      <c r="N308" s="11" t="s">
        <v>628</v>
      </c>
      <c r="O308" s="10" t="s">
        <v>629</v>
      </c>
      <c r="P308" s="10" t="s">
        <v>568</v>
      </c>
      <c r="Q308" s="2"/>
      <c r="R308" s="10">
        <v>36.0</v>
      </c>
      <c r="S308" s="14">
        <v>45614.0</v>
      </c>
      <c r="T308" s="14">
        <v>46709.0</v>
      </c>
      <c r="U308" s="10">
        <f t="shared" si="17"/>
        <v>618</v>
      </c>
      <c r="V308" s="2"/>
      <c r="W308" s="15"/>
      <c r="X308" s="15"/>
      <c r="Y308" s="15"/>
      <c r="Z308" s="15"/>
      <c r="AA308" s="1"/>
      <c r="AB308" s="15"/>
      <c r="AC308" s="15"/>
      <c r="AD308" s="15"/>
      <c r="AE308" s="15"/>
      <c r="AF308" s="2"/>
      <c r="AG308" s="10" t="s">
        <v>354</v>
      </c>
      <c r="AH308" s="12" t="s">
        <v>355</v>
      </c>
      <c r="AI308" s="10" t="s">
        <v>485</v>
      </c>
      <c r="AJ308" s="10" t="s">
        <v>538</v>
      </c>
      <c r="AK308" s="16" t="s">
        <v>45</v>
      </c>
      <c r="AL308" s="16" t="s">
        <v>45</v>
      </c>
      <c r="AM308" s="16" t="s">
        <v>45</v>
      </c>
      <c r="AN308" s="16" t="s">
        <v>45</v>
      </c>
    </row>
    <row r="309" ht="30.0" customHeight="1">
      <c r="A309" s="9" t="str">
        <f t="shared" si="1"/>
        <v>Ativo</v>
      </c>
      <c r="B309" s="9" t="str">
        <f t="shared" si="2"/>
        <v>N/I</v>
      </c>
      <c r="C309" s="9" t="str">
        <f t="shared" si="3"/>
        <v>N/I</v>
      </c>
      <c r="D309" s="10" t="s">
        <v>530</v>
      </c>
      <c r="E309" s="11" t="s">
        <v>531</v>
      </c>
      <c r="F309" s="11" t="s">
        <v>625</v>
      </c>
      <c r="G309" s="12" t="s">
        <v>79</v>
      </c>
      <c r="H309" s="42" t="s">
        <v>630</v>
      </c>
      <c r="I309" s="12" t="s">
        <v>627</v>
      </c>
      <c r="J309" s="10" t="s">
        <v>283</v>
      </c>
      <c r="K309" s="10" t="s">
        <v>263</v>
      </c>
      <c r="L309" s="10" t="s">
        <v>4</v>
      </c>
      <c r="M309" s="14">
        <v>45646.0</v>
      </c>
      <c r="N309" s="11" t="s">
        <v>628</v>
      </c>
      <c r="O309" s="10" t="s">
        <v>629</v>
      </c>
      <c r="P309" s="10" t="s">
        <v>568</v>
      </c>
      <c r="Q309" s="2"/>
      <c r="R309" s="10">
        <v>36.0</v>
      </c>
      <c r="S309" s="14">
        <v>45646.0</v>
      </c>
      <c r="T309" s="14">
        <v>46741.0</v>
      </c>
      <c r="U309" s="10">
        <f t="shared" si="17"/>
        <v>650</v>
      </c>
      <c r="V309" s="2"/>
      <c r="W309" s="15"/>
      <c r="X309" s="15"/>
      <c r="Y309" s="15"/>
      <c r="Z309" s="15"/>
      <c r="AA309" s="1"/>
      <c r="AB309" s="15"/>
      <c r="AC309" s="15"/>
      <c r="AD309" s="15"/>
      <c r="AE309" s="15"/>
      <c r="AF309" s="2"/>
      <c r="AG309" s="10" t="s">
        <v>354</v>
      </c>
      <c r="AH309" s="12" t="s">
        <v>355</v>
      </c>
      <c r="AI309" s="10" t="s">
        <v>485</v>
      </c>
      <c r="AJ309" s="10" t="s">
        <v>538</v>
      </c>
      <c r="AK309" s="16" t="s">
        <v>45</v>
      </c>
      <c r="AL309" s="16" t="s">
        <v>45</v>
      </c>
      <c r="AM309" s="16" t="s">
        <v>45</v>
      </c>
      <c r="AN309" s="16" t="s">
        <v>45</v>
      </c>
    </row>
    <row r="310" ht="30.0" customHeight="1">
      <c r="A310" s="9" t="str">
        <f t="shared" si="1"/>
        <v>Ativo</v>
      </c>
      <c r="B310" s="9" t="str">
        <f t="shared" si="2"/>
        <v>N/I</v>
      </c>
      <c r="C310" s="9" t="str">
        <f t="shared" si="3"/>
        <v>N/I</v>
      </c>
      <c r="D310" s="10" t="s">
        <v>530</v>
      </c>
      <c r="E310" s="11" t="s">
        <v>531</v>
      </c>
      <c r="F310" s="11" t="s">
        <v>625</v>
      </c>
      <c r="G310" s="12" t="s">
        <v>52</v>
      </c>
      <c r="H310" s="42" t="s">
        <v>631</v>
      </c>
      <c r="I310" s="12" t="s">
        <v>627</v>
      </c>
      <c r="J310" s="10" t="s">
        <v>283</v>
      </c>
      <c r="K310" s="10" t="s">
        <v>263</v>
      </c>
      <c r="L310" s="10" t="s">
        <v>4</v>
      </c>
      <c r="M310" s="14">
        <v>45695.0</v>
      </c>
      <c r="N310" s="11" t="s">
        <v>628</v>
      </c>
      <c r="O310" s="10" t="s">
        <v>629</v>
      </c>
      <c r="P310" s="10" t="s">
        <v>568</v>
      </c>
      <c r="Q310" s="2"/>
      <c r="R310" s="10">
        <v>36.0</v>
      </c>
      <c r="S310" s="14">
        <v>45695.0</v>
      </c>
      <c r="T310" s="14">
        <v>46790.0</v>
      </c>
      <c r="U310" s="10">
        <f t="shared" si="17"/>
        <v>699</v>
      </c>
      <c r="V310" s="2"/>
      <c r="W310" s="15"/>
      <c r="X310" s="15"/>
      <c r="Y310" s="15"/>
      <c r="Z310" s="15"/>
      <c r="AA310" s="1"/>
      <c r="AB310" s="15"/>
      <c r="AC310" s="15"/>
      <c r="AD310" s="15"/>
      <c r="AE310" s="15"/>
      <c r="AF310" s="2"/>
      <c r="AG310" s="10" t="s">
        <v>354</v>
      </c>
      <c r="AH310" s="12" t="s">
        <v>46</v>
      </c>
      <c r="AI310" s="10" t="s">
        <v>485</v>
      </c>
      <c r="AJ310" s="10" t="s">
        <v>538</v>
      </c>
      <c r="AK310" s="16" t="s">
        <v>45</v>
      </c>
      <c r="AL310" s="16" t="s">
        <v>45</v>
      </c>
      <c r="AM310" s="16" t="s">
        <v>45</v>
      </c>
      <c r="AN310" s="10" t="s">
        <v>50</v>
      </c>
    </row>
    <row r="311" ht="30.0" customHeight="1">
      <c r="A311" s="9" t="str">
        <f t="shared" si="1"/>
        <v>Ativo</v>
      </c>
      <c r="B311" s="9" t="str">
        <f t="shared" si="2"/>
        <v>N/I</v>
      </c>
      <c r="C311" s="9" t="str">
        <f t="shared" si="3"/>
        <v>N/I</v>
      </c>
      <c r="D311" s="10" t="s">
        <v>530</v>
      </c>
      <c r="E311" s="11" t="s">
        <v>531</v>
      </c>
      <c r="F311" s="11" t="s">
        <v>625</v>
      </c>
      <c r="G311" s="12" t="s">
        <v>52</v>
      </c>
      <c r="H311" s="42" t="s">
        <v>632</v>
      </c>
      <c r="I311" s="12" t="s">
        <v>627</v>
      </c>
      <c r="J311" s="10" t="s">
        <v>283</v>
      </c>
      <c r="K311" s="10" t="s">
        <v>263</v>
      </c>
      <c r="L311" s="10" t="s">
        <v>4</v>
      </c>
      <c r="M311" s="14">
        <v>45695.0</v>
      </c>
      <c r="N311" s="11" t="s">
        <v>628</v>
      </c>
      <c r="O311" s="10" t="s">
        <v>629</v>
      </c>
      <c r="P311" s="10" t="s">
        <v>568</v>
      </c>
      <c r="Q311" s="2"/>
      <c r="R311" s="10">
        <v>36.0</v>
      </c>
      <c r="S311" s="14">
        <v>45695.0</v>
      </c>
      <c r="T311" s="14">
        <v>46790.0</v>
      </c>
      <c r="U311" s="10">
        <f t="shared" si="17"/>
        <v>699</v>
      </c>
      <c r="V311" s="2"/>
      <c r="W311" s="15"/>
      <c r="X311" s="15"/>
      <c r="Y311" s="15"/>
      <c r="Z311" s="15"/>
      <c r="AA311" s="1"/>
      <c r="AB311" s="15"/>
      <c r="AC311" s="15"/>
      <c r="AD311" s="15"/>
      <c r="AE311" s="15"/>
      <c r="AF311" s="2"/>
      <c r="AG311" s="10" t="s">
        <v>354</v>
      </c>
      <c r="AH311" s="12" t="s">
        <v>46</v>
      </c>
      <c r="AI311" s="10" t="s">
        <v>485</v>
      </c>
      <c r="AJ311" s="10" t="s">
        <v>538</v>
      </c>
      <c r="AK311" s="16" t="s">
        <v>45</v>
      </c>
      <c r="AL311" s="16" t="s">
        <v>45</v>
      </c>
      <c r="AM311" s="16" t="s">
        <v>45</v>
      </c>
      <c r="AN311" s="10" t="s">
        <v>50</v>
      </c>
    </row>
    <row r="312" ht="30.0" customHeight="1">
      <c r="A312" s="9" t="str">
        <f t="shared" si="1"/>
        <v>Ativo</v>
      </c>
      <c r="B312" s="9" t="str">
        <f t="shared" si="2"/>
        <v>N/I</v>
      </c>
      <c r="C312" s="9" t="str">
        <f t="shared" si="3"/>
        <v>N/I</v>
      </c>
      <c r="D312" s="10" t="s">
        <v>530</v>
      </c>
      <c r="E312" s="11" t="s">
        <v>531</v>
      </c>
      <c r="F312" s="11" t="s">
        <v>625</v>
      </c>
      <c r="G312" s="12" t="s">
        <v>52</v>
      </c>
      <c r="H312" s="42" t="s">
        <v>633</v>
      </c>
      <c r="I312" s="12" t="s">
        <v>627</v>
      </c>
      <c r="J312" s="10" t="s">
        <v>283</v>
      </c>
      <c r="K312" s="10" t="s">
        <v>263</v>
      </c>
      <c r="L312" s="10" t="s">
        <v>4</v>
      </c>
      <c r="M312" s="14">
        <v>45701.0</v>
      </c>
      <c r="N312" s="11" t="s">
        <v>628</v>
      </c>
      <c r="O312" s="10" t="s">
        <v>629</v>
      </c>
      <c r="P312" s="10" t="s">
        <v>568</v>
      </c>
      <c r="Q312" s="2"/>
      <c r="R312" s="10">
        <v>36.0</v>
      </c>
      <c r="S312" s="14">
        <v>45701.0</v>
      </c>
      <c r="T312" s="14">
        <v>46796.0</v>
      </c>
      <c r="U312" s="10">
        <f t="shared" si="17"/>
        <v>705</v>
      </c>
      <c r="V312" s="2"/>
      <c r="W312" s="15"/>
      <c r="X312" s="15"/>
      <c r="Y312" s="15"/>
      <c r="Z312" s="15"/>
      <c r="AA312" s="1"/>
      <c r="AB312" s="15"/>
      <c r="AC312" s="15"/>
      <c r="AD312" s="15"/>
      <c r="AE312" s="15"/>
      <c r="AF312" s="2"/>
      <c r="AG312" s="10" t="s">
        <v>354</v>
      </c>
      <c r="AH312" s="12" t="s">
        <v>46</v>
      </c>
      <c r="AI312" s="10" t="s">
        <v>485</v>
      </c>
      <c r="AJ312" s="10" t="s">
        <v>538</v>
      </c>
      <c r="AK312" s="16" t="s">
        <v>45</v>
      </c>
      <c r="AL312" s="16" t="s">
        <v>45</v>
      </c>
      <c r="AM312" s="16" t="s">
        <v>45</v>
      </c>
      <c r="AN312" s="10" t="s">
        <v>50</v>
      </c>
    </row>
    <row r="313" ht="30.0" customHeight="1">
      <c r="A313" s="9" t="str">
        <f t="shared" si="1"/>
        <v>Ativo</v>
      </c>
      <c r="B313" s="9" t="str">
        <f t="shared" si="2"/>
        <v>N/I</v>
      </c>
      <c r="C313" s="9" t="str">
        <f t="shared" si="3"/>
        <v>N/I</v>
      </c>
      <c r="D313" s="10" t="s">
        <v>530</v>
      </c>
      <c r="E313" s="11" t="s">
        <v>531</v>
      </c>
      <c r="F313" s="11" t="s">
        <v>625</v>
      </c>
      <c r="G313" s="12" t="s">
        <v>52</v>
      </c>
      <c r="H313" s="42" t="s">
        <v>634</v>
      </c>
      <c r="I313" s="12" t="s">
        <v>627</v>
      </c>
      <c r="J313" s="10" t="s">
        <v>283</v>
      </c>
      <c r="K313" s="10" t="s">
        <v>263</v>
      </c>
      <c r="L313" s="10" t="s">
        <v>4</v>
      </c>
      <c r="M313" s="14">
        <v>45701.0</v>
      </c>
      <c r="N313" s="11" t="s">
        <v>628</v>
      </c>
      <c r="O313" s="10" t="s">
        <v>629</v>
      </c>
      <c r="P313" s="10" t="s">
        <v>568</v>
      </c>
      <c r="Q313" s="2"/>
      <c r="R313" s="10">
        <v>36.0</v>
      </c>
      <c r="S313" s="14">
        <v>45701.0</v>
      </c>
      <c r="T313" s="14">
        <v>46796.0</v>
      </c>
      <c r="U313" s="10">
        <f t="shared" si="17"/>
        <v>705</v>
      </c>
      <c r="V313" s="2"/>
      <c r="W313" s="15"/>
      <c r="X313" s="15"/>
      <c r="Y313" s="15"/>
      <c r="Z313" s="15"/>
      <c r="AA313" s="1"/>
      <c r="AB313" s="15"/>
      <c r="AC313" s="15"/>
      <c r="AD313" s="15"/>
      <c r="AE313" s="15"/>
      <c r="AF313" s="2"/>
      <c r="AG313" s="10" t="s">
        <v>354</v>
      </c>
      <c r="AH313" s="12" t="s">
        <v>46</v>
      </c>
      <c r="AI313" s="10" t="s">
        <v>485</v>
      </c>
      <c r="AJ313" s="10" t="s">
        <v>538</v>
      </c>
      <c r="AK313" s="16" t="s">
        <v>45</v>
      </c>
      <c r="AL313" s="16" t="s">
        <v>45</v>
      </c>
      <c r="AM313" s="16" t="s">
        <v>45</v>
      </c>
      <c r="AN313" s="10" t="s">
        <v>50</v>
      </c>
    </row>
    <row r="314" ht="30.0" customHeight="1">
      <c r="A314" s="9" t="str">
        <f t="shared" si="1"/>
        <v>Ativo</v>
      </c>
      <c r="B314" s="9" t="str">
        <f t="shared" si="2"/>
        <v>N/I</v>
      </c>
      <c r="C314" s="9" t="str">
        <f t="shared" si="3"/>
        <v>N/I</v>
      </c>
      <c r="D314" s="10" t="s">
        <v>530</v>
      </c>
      <c r="E314" s="11" t="s">
        <v>531</v>
      </c>
      <c r="F314" s="11" t="s">
        <v>625</v>
      </c>
      <c r="G314" s="12" t="s">
        <v>52</v>
      </c>
      <c r="H314" s="27" t="s">
        <v>635</v>
      </c>
      <c r="I314" s="12" t="s">
        <v>627</v>
      </c>
      <c r="J314" s="10" t="s">
        <v>283</v>
      </c>
      <c r="K314" s="10" t="s">
        <v>263</v>
      </c>
      <c r="L314" s="10" t="s">
        <v>4</v>
      </c>
      <c r="M314" s="14">
        <v>45761.0</v>
      </c>
      <c r="N314" s="11" t="s">
        <v>628</v>
      </c>
      <c r="O314" s="10" t="s">
        <v>636</v>
      </c>
      <c r="P314" s="10" t="s">
        <v>537</v>
      </c>
      <c r="Q314" s="2"/>
      <c r="R314" s="10">
        <v>36.0</v>
      </c>
      <c r="S314" s="14">
        <v>45761.0</v>
      </c>
      <c r="T314" s="14">
        <v>46857.0</v>
      </c>
      <c r="U314" s="10">
        <f t="shared" si="17"/>
        <v>766</v>
      </c>
      <c r="V314" s="2"/>
      <c r="W314" s="15"/>
      <c r="X314" s="15"/>
      <c r="Y314" s="15"/>
      <c r="Z314" s="15"/>
      <c r="AA314" s="1"/>
      <c r="AB314" s="15"/>
      <c r="AC314" s="15"/>
      <c r="AD314" s="15"/>
      <c r="AE314" s="15"/>
      <c r="AF314" s="2"/>
      <c r="AG314" s="10" t="s">
        <v>354</v>
      </c>
      <c r="AH314" s="12" t="s">
        <v>46</v>
      </c>
      <c r="AI314" s="10" t="s">
        <v>485</v>
      </c>
      <c r="AJ314" s="10" t="s">
        <v>538</v>
      </c>
      <c r="AK314" s="16" t="s">
        <v>45</v>
      </c>
      <c r="AL314" s="16" t="s">
        <v>45</v>
      </c>
      <c r="AM314" s="16" t="s">
        <v>45</v>
      </c>
      <c r="AN314" s="10" t="s">
        <v>50</v>
      </c>
    </row>
    <row r="315" ht="30.0" customHeight="1">
      <c r="A315" s="9" t="str">
        <f t="shared" si="1"/>
        <v>Ativo</v>
      </c>
      <c r="B315" s="9" t="str">
        <f t="shared" si="2"/>
        <v>N/I</v>
      </c>
      <c r="C315" s="9" t="str">
        <f t="shared" si="3"/>
        <v>N/I</v>
      </c>
      <c r="D315" s="10" t="s">
        <v>530</v>
      </c>
      <c r="E315" s="11" t="s">
        <v>531</v>
      </c>
      <c r="F315" s="11" t="s">
        <v>625</v>
      </c>
      <c r="G315" s="12" t="s">
        <v>52</v>
      </c>
      <c r="H315" s="27" t="s">
        <v>637</v>
      </c>
      <c r="I315" s="12" t="s">
        <v>627</v>
      </c>
      <c r="J315" s="10" t="s">
        <v>283</v>
      </c>
      <c r="K315" s="10" t="s">
        <v>263</v>
      </c>
      <c r="L315" s="10" t="s">
        <v>4</v>
      </c>
      <c r="M315" s="14">
        <v>45761.0</v>
      </c>
      <c r="N315" s="11" t="s">
        <v>628</v>
      </c>
      <c r="O315" s="10" t="s">
        <v>636</v>
      </c>
      <c r="P315" s="10" t="s">
        <v>537</v>
      </c>
      <c r="Q315" s="2"/>
      <c r="R315" s="10">
        <v>36.0</v>
      </c>
      <c r="S315" s="14">
        <v>45761.0</v>
      </c>
      <c r="T315" s="14">
        <v>46857.0</v>
      </c>
      <c r="U315" s="10">
        <f t="shared" si="17"/>
        <v>766</v>
      </c>
      <c r="V315" s="2"/>
      <c r="W315" s="15"/>
      <c r="X315" s="15"/>
      <c r="Y315" s="15"/>
      <c r="Z315" s="15"/>
      <c r="AA315" s="1"/>
      <c r="AB315" s="15"/>
      <c r="AC315" s="15"/>
      <c r="AD315" s="15"/>
      <c r="AE315" s="15"/>
      <c r="AF315" s="2"/>
      <c r="AG315" s="10" t="s">
        <v>354</v>
      </c>
      <c r="AH315" s="12" t="s">
        <v>46</v>
      </c>
      <c r="AI315" s="10" t="s">
        <v>485</v>
      </c>
      <c r="AJ315" s="10" t="s">
        <v>538</v>
      </c>
      <c r="AK315" s="16" t="s">
        <v>45</v>
      </c>
      <c r="AL315" s="16" t="s">
        <v>45</v>
      </c>
      <c r="AM315" s="16" t="s">
        <v>45</v>
      </c>
      <c r="AN315" s="10" t="s">
        <v>50</v>
      </c>
    </row>
    <row r="316" ht="30.0" customHeight="1">
      <c r="A316" s="9" t="str">
        <f t="shared" si="1"/>
        <v>Ativo</v>
      </c>
      <c r="B316" s="9" t="str">
        <f t="shared" si="2"/>
        <v>N/I</v>
      </c>
      <c r="C316" s="9" t="str">
        <f t="shared" si="3"/>
        <v>N/I</v>
      </c>
      <c r="D316" s="10" t="s">
        <v>530</v>
      </c>
      <c r="E316" s="11" t="s">
        <v>531</v>
      </c>
      <c r="F316" s="11" t="s">
        <v>625</v>
      </c>
      <c r="G316" s="12" t="s">
        <v>58</v>
      </c>
      <c r="H316" s="27" t="s">
        <v>638</v>
      </c>
      <c r="I316" s="12" t="s">
        <v>627</v>
      </c>
      <c r="J316" s="10" t="s">
        <v>283</v>
      </c>
      <c r="K316" s="10" t="s">
        <v>263</v>
      </c>
      <c r="L316" s="10" t="s">
        <v>4</v>
      </c>
      <c r="M316" s="14">
        <v>45763.0</v>
      </c>
      <c r="N316" s="11" t="s">
        <v>628</v>
      </c>
      <c r="O316" s="10" t="s">
        <v>636</v>
      </c>
      <c r="P316" s="10" t="s">
        <v>537</v>
      </c>
      <c r="Q316" s="2"/>
      <c r="R316" s="10">
        <v>36.0</v>
      </c>
      <c r="S316" s="14">
        <v>45763.0</v>
      </c>
      <c r="T316" s="14">
        <v>46859.0</v>
      </c>
      <c r="U316" s="10">
        <f t="shared" si="17"/>
        <v>768</v>
      </c>
      <c r="V316" s="2"/>
      <c r="W316" s="15"/>
      <c r="X316" s="15"/>
      <c r="Y316" s="15"/>
      <c r="Z316" s="15"/>
      <c r="AA316" s="1"/>
      <c r="AB316" s="15"/>
      <c r="AC316" s="15"/>
      <c r="AD316" s="15"/>
      <c r="AE316" s="15"/>
      <c r="AF316" s="2"/>
      <c r="AG316" s="10" t="s">
        <v>354</v>
      </c>
      <c r="AH316" s="12" t="s">
        <v>46</v>
      </c>
      <c r="AI316" s="10" t="s">
        <v>485</v>
      </c>
      <c r="AJ316" s="10" t="s">
        <v>538</v>
      </c>
      <c r="AK316" s="16" t="s">
        <v>45</v>
      </c>
      <c r="AL316" s="16" t="s">
        <v>45</v>
      </c>
      <c r="AM316" s="16" t="s">
        <v>45</v>
      </c>
      <c r="AN316" s="10" t="s">
        <v>50</v>
      </c>
    </row>
    <row r="317" ht="30.0" customHeight="1">
      <c r="A317" s="9" t="str">
        <f t="shared" si="1"/>
        <v>Ativo</v>
      </c>
      <c r="B317" s="9" t="str">
        <f t="shared" si="2"/>
        <v>N/I</v>
      </c>
      <c r="C317" s="9" t="str">
        <f t="shared" si="3"/>
        <v>N/I</v>
      </c>
      <c r="D317" s="10" t="s">
        <v>530</v>
      </c>
      <c r="E317" s="11" t="s">
        <v>531</v>
      </c>
      <c r="F317" s="11" t="s">
        <v>625</v>
      </c>
      <c r="G317" s="12" t="s">
        <v>52</v>
      </c>
      <c r="H317" s="27" t="s">
        <v>639</v>
      </c>
      <c r="I317" s="12" t="s">
        <v>627</v>
      </c>
      <c r="J317" s="10" t="s">
        <v>283</v>
      </c>
      <c r="K317" s="10" t="s">
        <v>263</v>
      </c>
      <c r="L317" s="10" t="s">
        <v>4</v>
      </c>
      <c r="M317" s="14">
        <v>45825.0</v>
      </c>
      <c r="N317" s="11" t="s">
        <v>628</v>
      </c>
      <c r="O317" s="10" t="s">
        <v>636</v>
      </c>
      <c r="P317" s="10" t="s">
        <v>537</v>
      </c>
      <c r="Q317" s="2"/>
      <c r="R317" s="10">
        <v>36.0</v>
      </c>
      <c r="S317" s="14">
        <v>45825.0</v>
      </c>
      <c r="T317" s="14">
        <v>46920.0</v>
      </c>
      <c r="U317" s="10">
        <f t="shared" si="17"/>
        <v>829</v>
      </c>
      <c r="V317" s="2"/>
      <c r="W317" s="15"/>
      <c r="X317" s="15"/>
      <c r="Y317" s="15"/>
      <c r="Z317" s="15"/>
      <c r="AA317" s="1"/>
      <c r="AB317" s="15"/>
      <c r="AC317" s="15"/>
      <c r="AD317" s="15"/>
      <c r="AE317" s="15"/>
      <c r="AF317" s="2"/>
      <c r="AG317" s="10" t="s">
        <v>354</v>
      </c>
      <c r="AH317" s="12" t="s">
        <v>46</v>
      </c>
      <c r="AI317" s="10" t="s">
        <v>485</v>
      </c>
      <c r="AJ317" s="10" t="s">
        <v>538</v>
      </c>
      <c r="AK317" s="16" t="s">
        <v>45</v>
      </c>
      <c r="AL317" s="16" t="s">
        <v>45</v>
      </c>
      <c r="AM317" s="16" t="s">
        <v>45</v>
      </c>
      <c r="AN317" s="10" t="s">
        <v>50</v>
      </c>
    </row>
    <row r="318" ht="30.0" customHeight="1">
      <c r="A318" s="9" t="str">
        <f t="shared" si="1"/>
        <v>Ativo</v>
      </c>
      <c r="B318" s="9" t="str">
        <f t="shared" si="2"/>
        <v>N/I</v>
      </c>
      <c r="C318" s="9" t="str">
        <f t="shared" si="3"/>
        <v>N/I</v>
      </c>
      <c r="D318" s="10" t="s">
        <v>530</v>
      </c>
      <c r="E318" s="11" t="s">
        <v>531</v>
      </c>
      <c r="F318" s="11" t="s">
        <v>625</v>
      </c>
      <c r="G318" s="12" t="s">
        <v>52</v>
      </c>
      <c r="H318" s="27" t="s">
        <v>640</v>
      </c>
      <c r="I318" s="12" t="s">
        <v>627</v>
      </c>
      <c r="J318" s="10" t="s">
        <v>283</v>
      </c>
      <c r="K318" s="10" t="s">
        <v>263</v>
      </c>
      <c r="L318" s="10" t="s">
        <v>4</v>
      </c>
      <c r="M318" s="14">
        <v>45825.0</v>
      </c>
      <c r="N318" s="11" t="s">
        <v>628</v>
      </c>
      <c r="O318" s="10" t="s">
        <v>636</v>
      </c>
      <c r="P318" s="10" t="s">
        <v>537</v>
      </c>
      <c r="Q318" s="2"/>
      <c r="R318" s="10">
        <v>36.0</v>
      </c>
      <c r="S318" s="14">
        <v>45825.0</v>
      </c>
      <c r="T318" s="14">
        <v>46920.0</v>
      </c>
      <c r="U318" s="10">
        <f t="shared" si="17"/>
        <v>829</v>
      </c>
      <c r="V318" s="2"/>
      <c r="W318" s="15"/>
      <c r="X318" s="15"/>
      <c r="Y318" s="15"/>
      <c r="Z318" s="15"/>
      <c r="AA318" s="1"/>
      <c r="AB318" s="15"/>
      <c r="AC318" s="15"/>
      <c r="AD318" s="15"/>
      <c r="AE318" s="15"/>
      <c r="AF318" s="2"/>
      <c r="AG318" s="10" t="s">
        <v>354</v>
      </c>
      <c r="AH318" s="12" t="s">
        <v>46</v>
      </c>
      <c r="AI318" s="10" t="s">
        <v>485</v>
      </c>
      <c r="AJ318" s="10" t="s">
        <v>538</v>
      </c>
      <c r="AK318" s="16" t="s">
        <v>45</v>
      </c>
      <c r="AL318" s="16" t="s">
        <v>45</v>
      </c>
      <c r="AM318" s="16" t="s">
        <v>45</v>
      </c>
      <c r="AN318" s="10" t="s">
        <v>50</v>
      </c>
    </row>
    <row r="319" ht="30.0" customHeight="1">
      <c r="A319" s="9" t="str">
        <f t="shared" si="1"/>
        <v>Ativo</v>
      </c>
      <c r="B319" s="9" t="str">
        <f t="shared" si="2"/>
        <v>N/I</v>
      </c>
      <c r="C319" s="9" t="str">
        <f t="shared" si="3"/>
        <v>N/I</v>
      </c>
      <c r="D319" s="10" t="s">
        <v>530</v>
      </c>
      <c r="E319" s="11" t="s">
        <v>558</v>
      </c>
      <c r="F319" s="11" t="s">
        <v>641</v>
      </c>
      <c r="G319" s="12" t="s">
        <v>58</v>
      </c>
      <c r="H319" s="42" t="s">
        <v>642</v>
      </c>
      <c r="I319" s="12" t="s">
        <v>643</v>
      </c>
      <c r="J319" s="10" t="s">
        <v>583</v>
      </c>
      <c r="K319" s="10" t="s">
        <v>41</v>
      </c>
      <c r="L319" s="10" t="s">
        <v>4</v>
      </c>
      <c r="M319" s="14">
        <v>45504.0</v>
      </c>
      <c r="N319" s="11" t="s">
        <v>644</v>
      </c>
      <c r="O319" s="10" t="s">
        <v>645</v>
      </c>
      <c r="P319" s="10" t="s">
        <v>544</v>
      </c>
      <c r="Q319" s="2"/>
      <c r="R319" s="10">
        <v>36.0</v>
      </c>
      <c r="S319" s="14">
        <v>45504.0</v>
      </c>
      <c r="T319" s="14">
        <v>46599.0</v>
      </c>
      <c r="U319" s="10">
        <f t="shared" si="17"/>
        <v>508</v>
      </c>
      <c r="V319" s="2"/>
      <c r="W319" s="15"/>
      <c r="X319" s="15"/>
      <c r="Y319" s="15"/>
      <c r="Z319" s="15"/>
      <c r="AA319" s="1"/>
      <c r="AB319" s="15"/>
      <c r="AC319" s="15"/>
      <c r="AD319" s="15"/>
      <c r="AE319" s="15"/>
      <c r="AF319" s="2"/>
      <c r="AG319" s="10" t="s">
        <v>354</v>
      </c>
      <c r="AH319" s="12" t="s">
        <v>46</v>
      </c>
      <c r="AI319" s="10" t="s">
        <v>485</v>
      </c>
      <c r="AJ319" s="10" t="s">
        <v>538</v>
      </c>
      <c r="AK319" s="16" t="s">
        <v>45</v>
      </c>
      <c r="AL319" s="16" t="s">
        <v>45</v>
      </c>
      <c r="AM319" s="16" t="s">
        <v>45</v>
      </c>
      <c r="AN319" s="10" t="s">
        <v>320</v>
      </c>
    </row>
    <row r="320" ht="30.0" customHeight="1">
      <c r="A320" s="9" t="str">
        <f t="shared" si="1"/>
        <v>Ativo</v>
      </c>
      <c r="B320" s="9" t="str">
        <f t="shared" si="2"/>
        <v>N/I</v>
      </c>
      <c r="C320" s="9" t="str">
        <f t="shared" si="3"/>
        <v>N/I</v>
      </c>
      <c r="D320" s="10" t="s">
        <v>530</v>
      </c>
      <c r="E320" s="11" t="s">
        <v>558</v>
      </c>
      <c r="F320" s="11" t="s">
        <v>641</v>
      </c>
      <c r="G320" s="12" t="s">
        <v>58</v>
      </c>
      <c r="H320" s="42" t="s">
        <v>646</v>
      </c>
      <c r="I320" s="12" t="s">
        <v>643</v>
      </c>
      <c r="J320" s="10" t="s">
        <v>583</v>
      </c>
      <c r="K320" s="10" t="s">
        <v>41</v>
      </c>
      <c r="L320" s="10" t="s">
        <v>4</v>
      </c>
      <c r="M320" s="14">
        <v>45769.0</v>
      </c>
      <c r="N320" s="11" t="s">
        <v>644</v>
      </c>
      <c r="O320" s="10" t="s">
        <v>645</v>
      </c>
      <c r="P320" s="10" t="s">
        <v>537</v>
      </c>
      <c r="Q320" s="2"/>
      <c r="R320" s="10">
        <v>36.0</v>
      </c>
      <c r="S320" s="14">
        <v>45769.0</v>
      </c>
      <c r="T320" s="14">
        <v>46865.0</v>
      </c>
      <c r="U320" s="10">
        <f t="shared" si="17"/>
        <v>774</v>
      </c>
      <c r="V320" s="2"/>
      <c r="W320" s="15"/>
      <c r="X320" s="15"/>
      <c r="Y320" s="15"/>
      <c r="Z320" s="15"/>
      <c r="AA320" s="1"/>
      <c r="AB320" s="15"/>
      <c r="AC320" s="15"/>
      <c r="AD320" s="15"/>
      <c r="AE320" s="15"/>
      <c r="AF320" s="2"/>
      <c r="AG320" s="10" t="s">
        <v>354</v>
      </c>
      <c r="AH320" s="12" t="s">
        <v>46</v>
      </c>
      <c r="AI320" s="10" t="s">
        <v>485</v>
      </c>
      <c r="AJ320" s="10" t="s">
        <v>538</v>
      </c>
      <c r="AK320" s="16" t="s">
        <v>45</v>
      </c>
      <c r="AL320" s="16" t="s">
        <v>45</v>
      </c>
      <c r="AM320" s="16" t="s">
        <v>45</v>
      </c>
      <c r="AN320" s="10" t="s">
        <v>50</v>
      </c>
    </row>
    <row r="321" ht="30.0" customHeight="1">
      <c r="A321" s="9" t="str">
        <f t="shared" si="1"/>
        <v>Ativo</v>
      </c>
      <c r="B321" s="9" t="str">
        <f t="shared" si="2"/>
        <v>N/I</v>
      </c>
      <c r="C321" s="9" t="str">
        <f t="shared" si="3"/>
        <v>N/I</v>
      </c>
      <c r="D321" s="10" t="s">
        <v>530</v>
      </c>
      <c r="E321" s="11" t="s">
        <v>558</v>
      </c>
      <c r="F321" s="11" t="s">
        <v>641</v>
      </c>
      <c r="G321" s="12" t="s">
        <v>52</v>
      </c>
      <c r="H321" s="42" t="s">
        <v>647</v>
      </c>
      <c r="I321" s="12" t="s">
        <v>643</v>
      </c>
      <c r="J321" s="10" t="s">
        <v>583</v>
      </c>
      <c r="K321" s="10" t="s">
        <v>41</v>
      </c>
      <c r="L321" s="10" t="s">
        <v>4</v>
      </c>
      <c r="M321" s="14">
        <v>45769.0</v>
      </c>
      <c r="N321" s="11" t="s">
        <v>644</v>
      </c>
      <c r="O321" s="10" t="s">
        <v>645</v>
      </c>
      <c r="P321" s="10" t="s">
        <v>537</v>
      </c>
      <c r="Q321" s="2"/>
      <c r="R321" s="10">
        <v>36.0</v>
      </c>
      <c r="S321" s="14">
        <v>45769.0</v>
      </c>
      <c r="T321" s="14">
        <v>46865.0</v>
      </c>
      <c r="U321" s="10">
        <f t="shared" si="17"/>
        <v>774</v>
      </c>
      <c r="V321" s="2"/>
      <c r="W321" s="15"/>
      <c r="X321" s="15"/>
      <c r="Y321" s="15"/>
      <c r="Z321" s="15"/>
      <c r="AA321" s="1"/>
      <c r="AB321" s="15"/>
      <c r="AC321" s="15"/>
      <c r="AD321" s="15"/>
      <c r="AE321" s="15"/>
      <c r="AF321" s="2"/>
      <c r="AG321" s="10" t="s">
        <v>354</v>
      </c>
      <c r="AH321" s="12" t="s">
        <v>46</v>
      </c>
      <c r="AI321" s="10" t="s">
        <v>485</v>
      </c>
      <c r="AJ321" s="10" t="s">
        <v>538</v>
      </c>
      <c r="AK321" s="16" t="s">
        <v>45</v>
      </c>
      <c r="AL321" s="16" t="s">
        <v>45</v>
      </c>
      <c r="AM321" s="16" t="s">
        <v>45</v>
      </c>
      <c r="AN321" s="10" t="s">
        <v>50</v>
      </c>
    </row>
    <row r="322" ht="30.0" customHeight="1">
      <c r="A322" s="9" t="str">
        <f t="shared" si="1"/>
        <v>Ativo</v>
      </c>
      <c r="B322" s="9" t="str">
        <f t="shared" si="2"/>
        <v>N/I</v>
      </c>
      <c r="C322" s="9" t="str">
        <f t="shared" si="3"/>
        <v>N/I</v>
      </c>
      <c r="D322" s="10" t="s">
        <v>530</v>
      </c>
      <c r="E322" s="11" t="s">
        <v>558</v>
      </c>
      <c r="F322" s="11" t="s">
        <v>641</v>
      </c>
      <c r="G322" s="12" t="s">
        <v>52</v>
      </c>
      <c r="H322" s="42" t="s">
        <v>648</v>
      </c>
      <c r="I322" s="12" t="s">
        <v>643</v>
      </c>
      <c r="J322" s="10" t="s">
        <v>583</v>
      </c>
      <c r="K322" s="10" t="s">
        <v>41</v>
      </c>
      <c r="L322" s="10" t="s">
        <v>4</v>
      </c>
      <c r="M322" s="14">
        <v>45772.0</v>
      </c>
      <c r="N322" s="11" t="s">
        <v>644</v>
      </c>
      <c r="O322" s="10" t="s">
        <v>645</v>
      </c>
      <c r="P322" s="10" t="s">
        <v>537</v>
      </c>
      <c r="Q322" s="2"/>
      <c r="R322" s="10">
        <v>36.0</v>
      </c>
      <c r="S322" s="14">
        <v>45772.0</v>
      </c>
      <c r="T322" s="14">
        <v>46868.0</v>
      </c>
      <c r="U322" s="10">
        <f t="shared" si="17"/>
        <v>777</v>
      </c>
      <c r="V322" s="2"/>
      <c r="W322" s="15"/>
      <c r="X322" s="15"/>
      <c r="Y322" s="15"/>
      <c r="Z322" s="15"/>
      <c r="AA322" s="1"/>
      <c r="AB322" s="15"/>
      <c r="AC322" s="15"/>
      <c r="AD322" s="15"/>
      <c r="AE322" s="15"/>
      <c r="AF322" s="2"/>
      <c r="AG322" s="10" t="s">
        <v>354</v>
      </c>
      <c r="AH322" s="12" t="s">
        <v>46</v>
      </c>
      <c r="AI322" s="10" t="s">
        <v>485</v>
      </c>
      <c r="AJ322" s="10" t="s">
        <v>538</v>
      </c>
      <c r="AK322" s="16" t="s">
        <v>45</v>
      </c>
      <c r="AL322" s="16" t="s">
        <v>45</v>
      </c>
      <c r="AM322" s="16" t="s">
        <v>45</v>
      </c>
      <c r="AN322" s="10" t="s">
        <v>50</v>
      </c>
    </row>
    <row r="323" ht="30.0" customHeight="1">
      <c r="A323" s="9" t="str">
        <f t="shared" si="1"/>
        <v>N/I</v>
      </c>
      <c r="B323" s="9" t="str">
        <f t="shared" si="2"/>
        <v>N/I</v>
      </c>
      <c r="C323" s="9" t="str">
        <f t="shared" si="3"/>
        <v>N/I</v>
      </c>
      <c r="D323" s="10" t="s">
        <v>530</v>
      </c>
      <c r="E323" s="11" t="s">
        <v>558</v>
      </c>
      <c r="F323" s="11" t="s">
        <v>641</v>
      </c>
      <c r="G323" s="12" t="s">
        <v>52</v>
      </c>
      <c r="H323" s="25" t="s">
        <v>187</v>
      </c>
      <c r="I323" s="12" t="s">
        <v>643</v>
      </c>
      <c r="J323" s="10" t="s">
        <v>583</v>
      </c>
      <c r="K323" s="10" t="s">
        <v>41</v>
      </c>
      <c r="L323" s="10" t="s">
        <v>4</v>
      </c>
      <c r="M323" s="24" t="s">
        <v>193</v>
      </c>
      <c r="N323" s="11" t="s">
        <v>644</v>
      </c>
      <c r="O323" s="10" t="s">
        <v>645</v>
      </c>
      <c r="P323" s="10" t="s">
        <v>537</v>
      </c>
      <c r="Q323" s="2"/>
      <c r="R323" s="10">
        <v>36.0</v>
      </c>
      <c r="S323" s="24" t="s">
        <v>193</v>
      </c>
      <c r="T323" s="24" t="s">
        <v>193</v>
      </c>
      <c r="U323" s="10"/>
      <c r="V323" s="2"/>
      <c r="W323" s="15"/>
      <c r="X323" s="15"/>
      <c r="Y323" s="15"/>
      <c r="Z323" s="15"/>
      <c r="AA323" s="1"/>
      <c r="AB323" s="15"/>
      <c r="AC323" s="15"/>
      <c r="AD323" s="15"/>
      <c r="AE323" s="15"/>
      <c r="AF323" s="2"/>
      <c r="AG323" s="10" t="s">
        <v>354</v>
      </c>
      <c r="AH323" s="12" t="s">
        <v>46</v>
      </c>
      <c r="AI323" s="10" t="s">
        <v>485</v>
      </c>
      <c r="AJ323" s="10" t="s">
        <v>538</v>
      </c>
      <c r="AK323" s="16" t="s">
        <v>45</v>
      </c>
      <c r="AL323" s="16" t="s">
        <v>45</v>
      </c>
      <c r="AM323" s="16" t="s">
        <v>45</v>
      </c>
      <c r="AN323" s="10" t="s">
        <v>50</v>
      </c>
    </row>
    <row r="324" ht="30.0" customHeight="1">
      <c r="A324" s="9" t="str">
        <f t="shared" si="1"/>
        <v>Ativo</v>
      </c>
      <c r="B324" s="9" t="str">
        <f t="shared" si="2"/>
        <v>N/I</v>
      </c>
      <c r="C324" s="9" t="str">
        <f t="shared" si="3"/>
        <v>N/I</v>
      </c>
      <c r="D324" s="10" t="s">
        <v>530</v>
      </c>
      <c r="E324" s="11" t="s">
        <v>558</v>
      </c>
      <c r="F324" s="11" t="s">
        <v>649</v>
      </c>
      <c r="G324" s="12" t="s">
        <v>58</v>
      </c>
      <c r="H324" s="42" t="s">
        <v>650</v>
      </c>
      <c r="I324" s="12" t="s">
        <v>651</v>
      </c>
      <c r="J324" s="10" t="s">
        <v>652</v>
      </c>
      <c r="K324" s="10" t="s">
        <v>41</v>
      </c>
      <c r="L324" s="10" t="s">
        <v>4</v>
      </c>
      <c r="M324" s="14">
        <v>45504.0</v>
      </c>
      <c r="N324" s="11" t="s">
        <v>653</v>
      </c>
      <c r="O324" s="10" t="s">
        <v>654</v>
      </c>
      <c r="P324" s="10" t="s">
        <v>544</v>
      </c>
      <c r="Q324" s="2"/>
      <c r="R324" s="10">
        <v>36.0</v>
      </c>
      <c r="S324" s="14">
        <v>45504.0</v>
      </c>
      <c r="T324" s="14">
        <v>46599.0</v>
      </c>
      <c r="U324" s="10">
        <f t="shared" ref="U324:U325" si="18">T324-TODAY()</f>
        <v>508</v>
      </c>
      <c r="V324" s="2"/>
      <c r="W324" s="15"/>
      <c r="X324" s="15"/>
      <c r="Y324" s="15"/>
      <c r="Z324" s="15"/>
      <c r="AA324" s="1"/>
      <c r="AB324" s="15"/>
      <c r="AC324" s="15"/>
      <c r="AD324" s="15"/>
      <c r="AE324" s="15"/>
      <c r="AF324" s="2"/>
      <c r="AG324" s="10" t="s">
        <v>354</v>
      </c>
      <c r="AH324" s="12" t="s">
        <v>46</v>
      </c>
      <c r="AI324" s="10" t="s">
        <v>485</v>
      </c>
      <c r="AJ324" s="10" t="s">
        <v>538</v>
      </c>
      <c r="AK324" s="16" t="s">
        <v>45</v>
      </c>
      <c r="AL324" s="16" t="s">
        <v>45</v>
      </c>
      <c r="AM324" s="16" t="s">
        <v>45</v>
      </c>
      <c r="AN324" s="10" t="s">
        <v>320</v>
      </c>
    </row>
    <row r="325" ht="30.0" customHeight="1">
      <c r="A325" s="9" t="str">
        <f t="shared" si="1"/>
        <v>Ativo</v>
      </c>
      <c r="B325" s="9" t="str">
        <f t="shared" si="2"/>
        <v>N/I</v>
      </c>
      <c r="C325" s="9" t="str">
        <f t="shared" si="3"/>
        <v>N/I</v>
      </c>
      <c r="D325" s="10" t="s">
        <v>530</v>
      </c>
      <c r="E325" s="11" t="s">
        <v>558</v>
      </c>
      <c r="F325" s="11" t="s">
        <v>649</v>
      </c>
      <c r="G325" s="12" t="s">
        <v>94</v>
      </c>
      <c r="H325" s="42" t="s">
        <v>655</v>
      </c>
      <c r="I325" s="12" t="s">
        <v>651</v>
      </c>
      <c r="J325" s="10" t="s">
        <v>652</v>
      </c>
      <c r="K325" s="10" t="s">
        <v>41</v>
      </c>
      <c r="L325" s="10" t="s">
        <v>4</v>
      </c>
      <c r="M325" s="14">
        <v>45539.0</v>
      </c>
      <c r="N325" s="11" t="s">
        <v>653</v>
      </c>
      <c r="O325" s="10" t="s">
        <v>654</v>
      </c>
      <c r="P325" s="10" t="s">
        <v>544</v>
      </c>
      <c r="Q325" s="2"/>
      <c r="R325" s="10">
        <v>36.0</v>
      </c>
      <c r="S325" s="14">
        <v>45539.0</v>
      </c>
      <c r="T325" s="14">
        <v>46634.0</v>
      </c>
      <c r="U325" s="10">
        <f t="shared" si="18"/>
        <v>543</v>
      </c>
      <c r="V325" s="2"/>
      <c r="W325" s="15"/>
      <c r="X325" s="15"/>
      <c r="Y325" s="15"/>
      <c r="Z325" s="15"/>
      <c r="AA325" s="1"/>
      <c r="AB325" s="15"/>
      <c r="AC325" s="15"/>
      <c r="AD325" s="15"/>
      <c r="AE325" s="15"/>
      <c r="AF325" s="2"/>
      <c r="AG325" s="10" t="s">
        <v>354</v>
      </c>
      <c r="AH325" s="12" t="s">
        <v>46</v>
      </c>
      <c r="AI325" s="10" t="s">
        <v>485</v>
      </c>
      <c r="AJ325" s="10" t="s">
        <v>538</v>
      </c>
      <c r="AK325" s="16" t="s">
        <v>45</v>
      </c>
      <c r="AL325" s="16" t="s">
        <v>45</v>
      </c>
      <c r="AM325" s="16" t="s">
        <v>45</v>
      </c>
      <c r="AN325" s="10" t="s">
        <v>320</v>
      </c>
    </row>
    <row r="326" ht="30.0" customHeight="1">
      <c r="A326" s="9" t="str">
        <f t="shared" si="1"/>
        <v>N/I</v>
      </c>
      <c r="B326" s="9" t="str">
        <f t="shared" si="2"/>
        <v>N/I</v>
      </c>
      <c r="C326" s="9" t="str">
        <f t="shared" si="3"/>
        <v>Inativo</v>
      </c>
      <c r="D326" s="10" t="s">
        <v>656</v>
      </c>
      <c r="E326" s="11" t="s">
        <v>657</v>
      </c>
      <c r="F326" s="11" t="s">
        <v>658</v>
      </c>
      <c r="G326" s="12" t="s">
        <v>502</v>
      </c>
      <c r="H326" s="27" t="s">
        <v>659</v>
      </c>
      <c r="I326" s="12" t="s">
        <v>660</v>
      </c>
      <c r="J326" s="10" t="s">
        <v>216</v>
      </c>
      <c r="K326" s="10" t="s">
        <v>40</v>
      </c>
      <c r="L326" s="10" t="s">
        <v>6</v>
      </c>
      <c r="M326" s="14">
        <v>45398.0</v>
      </c>
      <c r="N326" s="11" t="s">
        <v>661</v>
      </c>
      <c r="O326" s="10" t="s">
        <v>662</v>
      </c>
      <c r="P326" s="10" t="s">
        <v>663</v>
      </c>
      <c r="Q326" s="2"/>
      <c r="R326" s="15"/>
      <c r="S326" s="15"/>
      <c r="T326" s="15"/>
      <c r="U326" s="15"/>
      <c r="V326" s="2"/>
      <c r="W326" s="15"/>
      <c r="X326" s="15"/>
      <c r="Y326" s="15"/>
      <c r="Z326" s="15"/>
      <c r="AA326" s="1"/>
      <c r="AB326" s="10">
        <v>36.0</v>
      </c>
      <c r="AC326" s="14">
        <v>45398.0</v>
      </c>
      <c r="AD326" s="14">
        <v>45762.0</v>
      </c>
      <c r="AE326" s="10">
        <f t="shared" ref="AE326:AE328" si="19">AD326-TODAY()</f>
        <v>-329</v>
      </c>
      <c r="AF326" s="2"/>
      <c r="AG326" s="16" t="s">
        <v>45</v>
      </c>
      <c r="AH326" s="10" t="s">
        <v>318</v>
      </c>
      <c r="AI326" s="10" t="s">
        <v>319</v>
      </c>
      <c r="AJ326" s="10" t="s">
        <v>291</v>
      </c>
      <c r="AK326" s="16" t="s">
        <v>45</v>
      </c>
      <c r="AL326" s="10" t="s">
        <v>49</v>
      </c>
      <c r="AM326" s="10" t="s">
        <v>664</v>
      </c>
      <c r="AN326" s="10" t="s">
        <v>320</v>
      </c>
    </row>
    <row r="327" ht="30.0" customHeight="1">
      <c r="A327" s="9" t="str">
        <f t="shared" si="1"/>
        <v>N/I</v>
      </c>
      <c r="B327" s="9" t="str">
        <f t="shared" si="2"/>
        <v>N/I</v>
      </c>
      <c r="C327" s="9" t="str">
        <f t="shared" si="3"/>
        <v>Inativo</v>
      </c>
      <c r="D327" s="10" t="s">
        <v>656</v>
      </c>
      <c r="E327" s="11" t="s">
        <v>665</v>
      </c>
      <c r="F327" s="11" t="s">
        <v>666</v>
      </c>
      <c r="G327" s="12" t="s">
        <v>502</v>
      </c>
      <c r="H327" s="23" t="s">
        <v>667</v>
      </c>
      <c r="I327" s="12" t="s">
        <v>668</v>
      </c>
      <c r="J327" s="10" t="s">
        <v>216</v>
      </c>
      <c r="K327" s="10" t="s">
        <v>40</v>
      </c>
      <c r="L327" s="10" t="s">
        <v>6</v>
      </c>
      <c r="M327" s="14">
        <v>43754.0</v>
      </c>
      <c r="N327" s="11" t="s">
        <v>669</v>
      </c>
      <c r="O327" s="10" t="s">
        <v>670</v>
      </c>
      <c r="P327" s="10" t="s">
        <v>671</v>
      </c>
      <c r="Q327" s="2"/>
      <c r="R327" s="15"/>
      <c r="S327" s="15"/>
      <c r="T327" s="15"/>
      <c r="U327" s="15"/>
      <c r="V327" s="2"/>
      <c r="W327" s="15"/>
      <c r="X327" s="15"/>
      <c r="Y327" s="15"/>
      <c r="Z327" s="15"/>
      <c r="AA327" s="1"/>
      <c r="AB327" s="10">
        <v>24.0</v>
      </c>
      <c r="AC327" s="14">
        <v>44506.0</v>
      </c>
      <c r="AD327" s="14">
        <v>45235.0</v>
      </c>
      <c r="AE327" s="10">
        <f t="shared" si="19"/>
        <v>-856</v>
      </c>
      <c r="AF327" s="2"/>
      <c r="AG327" s="16" t="s">
        <v>45</v>
      </c>
      <c r="AH327" s="16" t="s">
        <v>45</v>
      </c>
      <c r="AI327" s="16" t="s">
        <v>45</v>
      </c>
      <c r="AJ327" s="16" t="s">
        <v>45</v>
      </c>
      <c r="AK327" s="16" t="s">
        <v>45</v>
      </c>
      <c r="AL327" s="16" t="s">
        <v>45</v>
      </c>
      <c r="AM327" s="16" t="s">
        <v>45</v>
      </c>
      <c r="AN327" s="10" t="s">
        <v>50</v>
      </c>
    </row>
    <row r="328" ht="30.0" customHeight="1">
      <c r="A328" s="9" t="str">
        <f t="shared" si="1"/>
        <v>N/I</v>
      </c>
      <c r="B328" s="9" t="str">
        <f t="shared" si="2"/>
        <v>N/I</v>
      </c>
      <c r="C328" s="9" t="str">
        <f t="shared" si="3"/>
        <v>Inativo</v>
      </c>
      <c r="D328" s="10" t="s">
        <v>672</v>
      </c>
      <c r="E328" s="11" t="s">
        <v>673</v>
      </c>
      <c r="F328" s="11" t="s">
        <v>674</v>
      </c>
      <c r="G328" s="12" t="s">
        <v>675</v>
      </c>
      <c r="H328" s="20" t="s">
        <v>676</v>
      </c>
      <c r="I328" s="12" t="s">
        <v>370</v>
      </c>
      <c r="J328" s="10" t="s">
        <v>89</v>
      </c>
      <c r="K328" s="10" t="s">
        <v>41</v>
      </c>
      <c r="L328" s="10" t="s">
        <v>6</v>
      </c>
      <c r="M328" s="14">
        <v>43971.0</v>
      </c>
      <c r="N328" s="32" t="s">
        <v>677</v>
      </c>
      <c r="O328" s="10" t="s">
        <v>678</v>
      </c>
      <c r="P328" s="10" t="s">
        <v>679</v>
      </c>
      <c r="Q328" s="2"/>
      <c r="R328" s="15"/>
      <c r="S328" s="15"/>
      <c r="T328" s="15"/>
      <c r="U328" s="15"/>
      <c r="V328" s="2"/>
      <c r="W328" s="15"/>
      <c r="X328" s="15"/>
      <c r="Y328" s="15"/>
      <c r="Z328" s="15"/>
      <c r="AA328" s="1"/>
      <c r="AB328" s="10">
        <v>12.0</v>
      </c>
      <c r="AC328" s="14">
        <v>45165.0</v>
      </c>
      <c r="AD328" s="14">
        <v>45530.0</v>
      </c>
      <c r="AE328" s="10">
        <f t="shared" si="19"/>
        <v>-561</v>
      </c>
      <c r="AF328" s="2"/>
      <c r="AG328" s="10" t="s">
        <v>680</v>
      </c>
      <c r="AH328" s="12" t="s">
        <v>46</v>
      </c>
      <c r="AI328" s="10" t="s">
        <v>680</v>
      </c>
      <c r="AJ328" s="16" t="s">
        <v>45</v>
      </c>
      <c r="AK328" s="16" t="s">
        <v>45</v>
      </c>
      <c r="AL328" s="10" t="s">
        <v>49</v>
      </c>
      <c r="AM328" s="10" t="s">
        <v>48</v>
      </c>
      <c r="AN328" s="10" t="s">
        <v>320</v>
      </c>
    </row>
    <row r="329" ht="30.0" customHeight="1">
      <c r="A329" s="9" t="str">
        <f t="shared" si="1"/>
        <v>N/I</v>
      </c>
      <c r="B329" s="9" t="str">
        <f t="shared" si="2"/>
        <v>Inativo</v>
      </c>
      <c r="C329" s="9" t="str">
        <f t="shared" si="3"/>
        <v>N/I</v>
      </c>
      <c r="D329" s="10" t="s">
        <v>681</v>
      </c>
      <c r="E329" s="11" t="s">
        <v>682</v>
      </c>
      <c r="F329" s="11" t="s">
        <v>683</v>
      </c>
      <c r="G329" s="12" t="s">
        <v>55</v>
      </c>
      <c r="H329" s="20" t="s">
        <v>684</v>
      </c>
      <c r="I329" s="12" t="s">
        <v>685</v>
      </c>
      <c r="J329" s="10" t="s">
        <v>197</v>
      </c>
      <c r="K329" s="10" t="s">
        <v>40</v>
      </c>
      <c r="L329" s="10" t="s">
        <v>264</v>
      </c>
      <c r="M329" s="14">
        <v>42639.0</v>
      </c>
      <c r="N329" s="11" t="s">
        <v>686</v>
      </c>
      <c r="O329" s="10" t="s">
        <v>687</v>
      </c>
      <c r="P329" s="10" t="s">
        <v>688</v>
      </c>
      <c r="Q329" s="2"/>
      <c r="R329" s="15"/>
      <c r="S329" s="15"/>
      <c r="T329" s="15"/>
      <c r="U329" s="15"/>
      <c r="V329" s="2"/>
      <c r="W329" s="10">
        <v>12.0</v>
      </c>
      <c r="X329" s="14">
        <v>45717.0</v>
      </c>
      <c r="Y329" s="14">
        <v>46081.0</v>
      </c>
      <c r="Z329" s="10">
        <f t="shared" ref="Z329:Z330" si="20">Y329-TODAY()</f>
        <v>-10</v>
      </c>
      <c r="AA329" s="1"/>
      <c r="AB329" s="15"/>
      <c r="AC329" s="15"/>
      <c r="AD329" s="15"/>
      <c r="AE329" s="15"/>
      <c r="AF329" s="2"/>
      <c r="AG329" s="16" t="s">
        <v>45</v>
      </c>
      <c r="AH329" s="16" t="s">
        <v>45</v>
      </c>
      <c r="AI329" s="16" t="s">
        <v>45</v>
      </c>
      <c r="AJ329" s="16" t="s">
        <v>45</v>
      </c>
      <c r="AK329" s="16" t="s">
        <v>45</v>
      </c>
      <c r="AL329" s="16" t="s">
        <v>45</v>
      </c>
      <c r="AM329" s="16" t="s">
        <v>45</v>
      </c>
      <c r="AN329" s="10" t="s">
        <v>50</v>
      </c>
    </row>
    <row r="330" ht="30.0" customHeight="1">
      <c r="A330" s="9" t="str">
        <f t="shared" si="1"/>
        <v>N/I</v>
      </c>
      <c r="B330" s="9" t="str">
        <f t="shared" si="2"/>
        <v>Inativo</v>
      </c>
      <c r="C330" s="9" t="str">
        <f t="shared" si="3"/>
        <v>N/I</v>
      </c>
      <c r="D330" s="10" t="s">
        <v>681</v>
      </c>
      <c r="E330" s="11" t="s">
        <v>682</v>
      </c>
      <c r="F330" s="11" t="s">
        <v>683</v>
      </c>
      <c r="G330" s="12" t="s">
        <v>254</v>
      </c>
      <c r="H330" s="20" t="s">
        <v>689</v>
      </c>
      <c r="I330" s="12" t="s">
        <v>685</v>
      </c>
      <c r="J330" s="10" t="s">
        <v>197</v>
      </c>
      <c r="K330" s="10" t="s">
        <v>40</v>
      </c>
      <c r="L330" s="10" t="s">
        <v>264</v>
      </c>
      <c r="M330" s="14">
        <v>43390.0</v>
      </c>
      <c r="N330" s="11" t="s">
        <v>686</v>
      </c>
      <c r="O330" s="10" t="s">
        <v>687</v>
      </c>
      <c r="P330" s="10" t="s">
        <v>688</v>
      </c>
      <c r="Q330" s="2"/>
      <c r="R330" s="15"/>
      <c r="S330" s="15"/>
      <c r="T330" s="15"/>
      <c r="U330" s="15"/>
      <c r="V330" s="2"/>
      <c r="W330" s="10">
        <v>12.0</v>
      </c>
      <c r="X330" s="14">
        <v>45717.0</v>
      </c>
      <c r="Y330" s="14">
        <v>46081.0</v>
      </c>
      <c r="Z330" s="10">
        <f t="shared" si="20"/>
        <v>-10</v>
      </c>
      <c r="AA330" s="1"/>
      <c r="AB330" s="15"/>
      <c r="AC330" s="15"/>
      <c r="AD330" s="15"/>
      <c r="AE330" s="15"/>
      <c r="AF330" s="2"/>
      <c r="AG330" s="16" t="s">
        <v>45</v>
      </c>
      <c r="AH330" s="16" t="s">
        <v>45</v>
      </c>
      <c r="AI330" s="16" t="s">
        <v>45</v>
      </c>
      <c r="AJ330" s="16" t="s">
        <v>45</v>
      </c>
      <c r="AK330" s="16" t="s">
        <v>45</v>
      </c>
      <c r="AL330" s="16" t="s">
        <v>45</v>
      </c>
      <c r="AM330" s="16" t="s">
        <v>45</v>
      </c>
      <c r="AN330" s="10" t="s">
        <v>50</v>
      </c>
    </row>
    <row r="331" ht="30.0" customHeight="1">
      <c r="A331" s="9" t="str">
        <f t="shared" si="1"/>
        <v>Ativo</v>
      </c>
      <c r="B331" s="9" t="str">
        <f t="shared" si="2"/>
        <v>N/I</v>
      </c>
      <c r="C331" s="9" t="str">
        <f t="shared" si="3"/>
        <v>N/I</v>
      </c>
      <c r="D331" s="10" t="s">
        <v>690</v>
      </c>
      <c r="E331" s="11" t="s">
        <v>691</v>
      </c>
      <c r="F331" s="11" t="s">
        <v>692</v>
      </c>
      <c r="G331" s="12" t="s">
        <v>94</v>
      </c>
      <c r="H331" s="13" t="s">
        <v>693</v>
      </c>
      <c r="I331" s="12" t="s">
        <v>246</v>
      </c>
      <c r="J331" s="10" t="s">
        <v>247</v>
      </c>
      <c r="K331" s="10" t="s">
        <v>190</v>
      </c>
      <c r="L331" s="10" t="s">
        <v>4</v>
      </c>
      <c r="M331" s="14">
        <v>45330.0</v>
      </c>
      <c r="N331" s="32" t="s">
        <v>694</v>
      </c>
      <c r="O331" s="10" t="s">
        <v>695</v>
      </c>
      <c r="P331" s="10" t="s">
        <v>696</v>
      </c>
      <c r="Q331" s="2"/>
      <c r="R331" s="10">
        <v>60.0</v>
      </c>
      <c r="S331" s="14">
        <v>45330.0</v>
      </c>
      <c r="T331" s="14">
        <v>47156.0</v>
      </c>
      <c r="U331" s="10">
        <f t="shared" ref="U331:U341" si="21">T331-TODAY()</f>
        <v>1065</v>
      </c>
      <c r="V331" s="2"/>
      <c r="W331" s="15"/>
      <c r="X331" s="15"/>
      <c r="Y331" s="15"/>
      <c r="Z331" s="15"/>
      <c r="AA331" s="1"/>
      <c r="AB331" s="15"/>
      <c r="AC331" s="15"/>
      <c r="AD331" s="15"/>
      <c r="AE331" s="15"/>
      <c r="AF331" s="2"/>
      <c r="AG331" s="16" t="s">
        <v>45</v>
      </c>
      <c r="AH331" s="10" t="s">
        <v>318</v>
      </c>
      <c r="AI331" s="10" t="s">
        <v>319</v>
      </c>
      <c r="AJ331" s="10" t="s">
        <v>291</v>
      </c>
      <c r="AK331" s="16" t="s">
        <v>45</v>
      </c>
      <c r="AL331" s="10" t="s">
        <v>49</v>
      </c>
      <c r="AM331" s="10" t="s">
        <v>664</v>
      </c>
      <c r="AN331" s="10" t="s">
        <v>320</v>
      </c>
    </row>
    <row r="332" ht="30.0" customHeight="1">
      <c r="A332" s="9" t="str">
        <f t="shared" si="1"/>
        <v>Ativo</v>
      </c>
      <c r="B332" s="9" t="str">
        <f t="shared" si="2"/>
        <v>N/I</v>
      </c>
      <c r="C332" s="9" t="str">
        <f t="shared" si="3"/>
        <v>N/I</v>
      </c>
      <c r="D332" s="10" t="s">
        <v>690</v>
      </c>
      <c r="E332" s="11" t="s">
        <v>691</v>
      </c>
      <c r="F332" s="11" t="s">
        <v>692</v>
      </c>
      <c r="G332" s="12" t="s">
        <v>94</v>
      </c>
      <c r="H332" s="13" t="s">
        <v>697</v>
      </c>
      <c r="I332" s="12" t="s">
        <v>246</v>
      </c>
      <c r="J332" s="10" t="s">
        <v>247</v>
      </c>
      <c r="K332" s="10" t="s">
        <v>190</v>
      </c>
      <c r="L332" s="10" t="s">
        <v>4</v>
      </c>
      <c r="M332" s="14">
        <v>45330.0</v>
      </c>
      <c r="N332" s="32" t="s">
        <v>694</v>
      </c>
      <c r="O332" s="10" t="s">
        <v>695</v>
      </c>
      <c r="P332" s="10" t="s">
        <v>696</v>
      </c>
      <c r="Q332" s="2"/>
      <c r="R332" s="10">
        <v>60.0</v>
      </c>
      <c r="S332" s="14">
        <v>45330.0</v>
      </c>
      <c r="T332" s="14">
        <v>47156.0</v>
      </c>
      <c r="U332" s="10">
        <f t="shared" si="21"/>
        <v>1065</v>
      </c>
      <c r="V332" s="2"/>
      <c r="W332" s="15"/>
      <c r="X332" s="15"/>
      <c r="Y332" s="15"/>
      <c r="Z332" s="15"/>
      <c r="AA332" s="1"/>
      <c r="AB332" s="15"/>
      <c r="AC332" s="15"/>
      <c r="AD332" s="15"/>
      <c r="AE332" s="15"/>
      <c r="AF332" s="2"/>
      <c r="AG332" s="16" t="s">
        <v>45</v>
      </c>
      <c r="AH332" s="10" t="s">
        <v>318</v>
      </c>
      <c r="AI332" s="10" t="s">
        <v>319</v>
      </c>
      <c r="AJ332" s="10" t="s">
        <v>291</v>
      </c>
      <c r="AK332" s="16" t="s">
        <v>45</v>
      </c>
      <c r="AL332" s="10" t="s">
        <v>49</v>
      </c>
      <c r="AM332" s="10" t="s">
        <v>664</v>
      </c>
      <c r="AN332" s="10" t="s">
        <v>320</v>
      </c>
    </row>
    <row r="333" ht="30.0" customHeight="1">
      <c r="A333" s="9" t="str">
        <f t="shared" si="1"/>
        <v>Ativo</v>
      </c>
      <c r="B333" s="9" t="str">
        <f t="shared" si="2"/>
        <v>N/I</v>
      </c>
      <c r="C333" s="9" t="str">
        <f t="shared" si="3"/>
        <v>N/I</v>
      </c>
      <c r="D333" s="10" t="s">
        <v>690</v>
      </c>
      <c r="E333" s="11" t="s">
        <v>691</v>
      </c>
      <c r="F333" s="11" t="s">
        <v>692</v>
      </c>
      <c r="G333" s="12" t="s">
        <v>94</v>
      </c>
      <c r="H333" s="13" t="s">
        <v>698</v>
      </c>
      <c r="I333" s="12" t="s">
        <v>246</v>
      </c>
      <c r="J333" s="10" t="s">
        <v>247</v>
      </c>
      <c r="K333" s="10" t="s">
        <v>190</v>
      </c>
      <c r="L333" s="10" t="s">
        <v>4</v>
      </c>
      <c r="M333" s="14">
        <v>45330.0</v>
      </c>
      <c r="N333" s="32" t="s">
        <v>694</v>
      </c>
      <c r="O333" s="10" t="s">
        <v>695</v>
      </c>
      <c r="P333" s="10" t="s">
        <v>696</v>
      </c>
      <c r="Q333" s="2"/>
      <c r="R333" s="10">
        <v>60.0</v>
      </c>
      <c r="S333" s="14">
        <v>45330.0</v>
      </c>
      <c r="T333" s="14">
        <v>47156.0</v>
      </c>
      <c r="U333" s="10">
        <f t="shared" si="21"/>
        <v>1065</v>
      </c>
      <c r="V333" s="2"/>
      <c r="W333" s="15"/>
      <c r="X333" s="15"/>
      <c r="Y333" s="15"/>
      <c r="Z333" s="15"/>
      <c r="AA333" s="1"/>
      <c r="AB333" s="15"/>
      <c r="AC333" s="15"/>
      <c r="AD333" s="15"/>
      <c r="AE333" s="15"/>
      <c r="AF333" s="2"/>
      <c r="AG333" s="16" t="s">
        <v>45</v>
      </c>
      <c r="AH333" s="10" t="s">
        <v>318</v>
      </c>
      <c r="AI333" s="10" t="s">
        <v>319</v>
      </c>
      <c r="AJ333" s="10" t="s">
        <v>291</v>
      </c>
      <c r="AK333" s="16" t="s">
        <v>45</v>
      </c>
      <c r="AL333" s="10" t="s">
        <v>49</v>
      </c>
      <c r="AM333" s="10" t="s">
        <v>664</v>
      </c>
      <c r="AN333" s="10" t="s">
        <v>320</v>
      </c>
    </row>
    <row r="334" ht="30.0" customHeight="1">
      <c r="A334" s="9" t="str">
        <f t="shared" si="1"/>
        <v>Inativo</v>
      </c>
      <c r="B334" s="9" t="str">
        <f t="shared" si="2"/>
        <v>N/I</v>
      </c>
      <c r="C334" s="9" t="str">
        <f t="shared" si="3"/>
        <v>N/I</v>
      </c>
      <c r="D334" s="10" t="s">
        <v>699</v>
      </c>
      <c r="E334" s="11" t="s">
        <v>700</v>
      </c>
      <c r="F334" s="11" t="s">
        <v>701</v>
      </c>
      <c r="G334" s="12" t="s">
        <v>448</v>
      </c>
      <c r="H334" s="27" t="s">
        <v>702</v>
      </c>
      <c r="I334" s="12" t="s">
        <v>246</v>
      </c>
      <c r="J334" s="10" t="s">
        <v>247</v>
      </c>
      <c r="K334" s="10" t="s">
        <v>190</v>
      </c>
      <c r="L334" s="10" t="s">
        <v>4</v>
      </c>
      <c r="M334" s="14">
        <v>43404.0</v>
      </c>
      <c r="N334" s="11" t="s">
        <v>703</v>
      </c>
      <c r="O334" s="10" t="s">
        <v>704</v>
      </c>
      <c r="P334" s="10" t="s">
        <v>705</v>
      </c>
      <c r="Q334" s="2"/>
      <c r="R334" s="10">
        <v>36.0</v>
      </c>
      <c r="S334" s="14">
        <v>43404.0</v>
      </c>
      <c r="T334" s="14">
        <v>44499.0</v>
      </c>
      <c r="U334" s="10">
        <f t="shared" si="21"/>
        <v>-1592</v>
      </c>
      <c r="V334" s="2"/>
      <c r="W334" s="15"/>
      <c r="X334" s="15"/>
      <c r="Y334" s="15"/>
      <c r="Z334" s="15"/>
      <c r="AA334" s="1"/>
      <c r="AB334" s="15"/>
      <c r="AC334" s="15"/>
      <c r="AD334" s="15"/>
      <c r="AE334" s="15"/>
      <c r="AF334" s="2"/>
      <c r="AG334" s="10" t="s">
        <v>706</v>
      </c>
      <c r="AH334" s="12" t="s">
        <v>355</v>
      </c>
      <c r="AI334" s="10" t="s">
        <v>227</v>
      </c>
      <c r="AJ334" s="10" t="s">
        <v>291</v>
      </c>
      <c r="AK334" s="16" t="s">
        <v>45</v>
      </c>
      <c r="AL334" s="10" t="s">
        <v>49</v>
      </c>
      <c r="AM334" s="16" t="s">
        <v>45</v>
      </c>
      <c r="AN334" s="16" t="s">
        <v>45</v>
      </c>
    </row>
    <row r="335" ht="30.0" customHeight="1">
      <c r="A335" s="9" t="str">
        <f t="shared" si="1"/>
        <v>Inativo</v>
      </c>
      <c r="B335" s="9" t="str">
        <f t="shared" si="2"/>
        <v>N/I</v>
      </c>
      <c r="C335" s="9" t="str">
        <f t="shared" si="3"/>
        <v>N/I</v>
      </c>
      <c r="D335" s="10" t="s">
        <v>699</v>
      </c>
      <c r="E335" s="11" t="s">
        <v>700</v>
      </c>
      <c r="F335" s="11" t="s">
        <v>701</v>
      </c>
      <c r="G335" s="12" t="s">
        <v>448</v>
      </c>
      <c r="H335" s="27" t="s">
        <v>707</v>
      </c>
      <c r="I335" s="12" t="s">
        <v>246</v>
      </c>
      <c r="J335" s="10" t="s">
        <v>247</v>
      </c>
      <c r="K335" s="10" t="s">
        <v>190</v>
      </c>
      <c r="L335" s="10" t="s">
        <v>4</v>
      </c>
      <c r="M335" s="14">
        <v>43404.0</v>
      </c>
      <c r="N335" s="11" t="s">
        <v>703</v>
      </c>
      <c r="O335" s="10" t="s">
        <v>704</v>
      </c>
      <c r="P335" s="10" t="s">
        <v>705</v>
      </c>
      <c r="Q335" s="2"/>
      <c r="R335" s="10">
        <v>36.0</v>
      </c>
      <c r="S335" s="14">
        <v>43404.0</v>
      </c>
      <c r="T335" s="14">
        <v>44499.0</v>
      </c>
      <c r="U335" s="10">
        <f t="shared" si="21"/>
        <v>-1592</v>
      </c>
      <c r="V335" s="2"/>
      <c r="W335" s="15"/>
      <c r="X335" s="15"/>
      <c r="Y335" s="15"/>
      <c r="Z335" s="15"/>
      <c r="AA335" s="1"/>
      <c r="AB335" s="15"/>
      <c r="AC335" s="15"/>
      <c r="AD335" s="15"/>
      <c r="AE335" s="15"/>
      <c r="AF335" s="2"/>
      <c r="AG335" s="10" t="s">
        <v>706</v>
      </c>
      <c r="AH335" s="12" t="s">
        <v>355</v>
      </c>
      <c r="AI335" s="10" t="s">
        <v>227</v>
      </c>
      <c r="AJ335" s="10" t="s">
        <v>291</v>
      </c>
      <c r="AK335" s="16" t="s">
        <v>45</v>
      </c>
      <c r="AL335" s="10" t="s">
        <v>49</v>
      </c>
      <c r="AM335" s="16" t="s">
        <v>45</v>
      </c>
      <c r="AN335" s="16" t="s">
        <v>45</v>
      </c>
    </row>
    <row r="336" ht="30.0" customHeight="1">
      <c r="A336" s="9" t="str">
        <f t="shared" si="1"/>
        <v>Inativo</v>
      </c>
      <c r="B336" s="9" t="str">
        <f t="shared" si="2"/>
        <v>N/I</v>
      </c>
      <c r="C336" s="9" t="str">
        <f t="shared" si="3"/>
        <v>N/I</v>
      </c>
      <c r="D336" s="10" t="s">
        <v>708</v>
      </c>
      <c r="E336" s="11" t="s">
        <v>709</v>
      </c>
      <c r="F336" s="11" t="s">
        <v>710</v>
      </c>
      <c r="G336" s="12" t="s">
        <v>711</v>
      </c>
      <c r="H336" s="13" t="s">
        <v>712</v>
      </c>
      <c r="I336" s="12" t="s">
        <v>713</v>
      </c>
      <c r="J336" s="10" t="s">
        <v>283</v>
      </c>
      <c r="K336" s="10" t="s">
        <v>263</v>
      </c>
      <c r="L336" s="10" t="s">
        <v>4</v>
      </c>
      <c r="M336" s="14">
        <v>44358.0</v>
      </c>
      <c r="N336" s="32" t="s">
        <v>714</v>
      </c>
      <c r="O336" s="10" t="s">
        <v>715</v>
      </c>
      <c r="P336" s="10" t="s">
        <v>716</v>
      </c>
      <c r="Q336" s="2"/>
      <c r="R336" s="10">
        <v>24.0</v>
      </c>
      <c r="S336" s="14">
        <v>44358.0</v>
      </c>
      <c r="T336" s="14">
        <v>45087.0</v>
      </c>
      <c r="U336" s="10">
        <f t="shared" si="21"/>
        <v>-1004</v>
      </c>
      <c r="V336" s="2"/>
      <c r="W336" s="15"/>
      <c r="X336" s="15"/>
      <c r="Y336" s="15"/>
      <c r="Z336" s="15"/>
      <c r="AA336" s="1"/>
      <c r="AB336" s="15"/>
      <c r="AC336" s="15"/>
      <c r="AD336" s="15"/>
      <c r="AE336" s="15"/>
      <c r="AF336" s="2"/>
      <c r="AG336" s="10" t="s">
        <v>354</v>
      </c>
      <c r="AH336" s="10" t="s">
        <v>318</v>
      </c>
      <c r="AI336" s="10" t="s">
        <v>717</v>
      </c>
      <c r="AJ336" s="10" t="s">
        <v>342</v>
      </c>
      <c r="AK336" s="10" t="s">
        <v>291</v>
      </c>
      <c r="AL336" s="10" t="s">
        <v>49</v>
      </c>
      <c r="AM336" s="16" t="s">
        <v>45</v>
      </c>
      <c r="AN336" s="10" t="s">
        <v>50</v>
      </c>
    </row>
    <row r="337" ht="30.0" customHeight="1">
      <c r="A337" s="9" t="str">
        <f t="shared" si="1"/>
        <v>Inativo</v>
      </c>
      <c r="B337" s="9" t="str">
        <f t="shared" si="2"/>
        <v>N/I</v>
      </c>
      <c r="C337" s="9" t="str">
        <f t="shared" si="3"/>
        <v>N/I</v>
      </c>
      <c r="D337" s="10" t="s">
        <v>708</v>
      </c>
      <c r="E337" s="11" t="s">
        <v>709</v>
      </c>
      <c r="F337" s="11" t="s">
        <v>718</v>
      </c>
      <c r="G337" s="12" t="s">
        <v>52</v>
      </c>
      <c r="H337" s="13" t="s">
        <v>719</v>
      </c>
      <c r="I337" s="12" t="s">
        <v>720</v>
      </c>
      <c r="J337" s="10" t="s">
        <v>721</v>
      </c>
      <c r="K337" s="10" t="s">
        <v>209</v>
      </c>
      <c r="L337" s="10" t="s">
        <v>4</v>
      </c>
      <c r="M337" s="14">
        <v>44356.0</v>
      </c>
      <c r="N337" s="32" t="s">
        <v>722</v>
      </c>
      <c r="O337" s="10" t="s">
        <v>723</v>
      </c>
      <c r="P337" s="10" t="s">
        <v>716</v>
      </c>
      <c r="Q337" s="2"/>
      <c r="R337" s="10">
        <v>24.0</v>
      </c>
      <c r="S337" s="14">
        <v>44356.0</v>
      </c>
      <c r="T337" s="14">
        <v>45085.0</v>
      </c>
      <c r="U337" s="10">
        <f t="shared" si="21"/>
        <v>-1006</v>
      </c>
      <c r="V337" s="2"/>
      <c r="W337" s="15"/>
      <c r="X337" s="15"/>
      <c r="Y337" s="15"/>
      <c r="Z337" s="15"/>
      <c r="AA337" s="1"/>
      <c r="AB337" s="15"/>
      <c r="AC337" s="15"/>
      <c r="AD337" s="15"/>
      <c r="AE337" s="15"/>
      <c r="AF337" s="2"/>
      <c r="AG337" s="10" t="s">
        <v>354</v>
      </c>
      <c r="AH337" s="10" t="s">
        <v>318</v>
      </c>
      <c r="AI337" s="10" t="s">
        <v>717</v>
      </c>
      <c r="AJ337" s="10" t="s">
        <v>342</v>
      </c>
      <c r="AK337" s="10" t="s">
        <v>291</v>
      </c>
      <c r="AL337" s="10" t="s">
        <v>49</v>
      </c>
      <c r="AM337" s="16" t="s">
        <v>45</v>
      </c>
      <c r="AN337" s="10" t="s">
        <v>50</v>
      </c>
    </row>
    <row r="338" ht="30.0" customHeight="1">
      <c r="A338" s="9" t="str">
        <f t="shared" si="1"/>
        <v>Inativo</v>
      </c>
      <c r="B338" s="9" t="str">
        <f t="shared" si="2"/>
        <v>N/I</v>
      </c>
      <c r="C338" s="9" t="str">
        <f t="shared" si="3"/>
        <v>N/I</v>
      </c>
      <c r="D338" s="10" t="s">
        <v>708</v>
      </c>
      <c r="E338" s="11" t="s">
        <v>709</v>
      </c>
      <c r="F338" s="11" t="s">
        <v>724</v>
      </c>
      <c r="G338" s="12" t="s">
        <v>52</v>
      </c>
      <c r="H338" s="13" t="s">
        <v>725</v>
      </c>
      <c r="I338" s="12" t="s">
        <v>131</v>
      </c>
      <c r="J338" s="10" t="s">
        <v>132</v>
      </c>
      <c r="K338" s="10" t="s">
        <v>41</v>
      </c>
      <c r="L338" s="10" t="s">
        <v>4</v>
      </c>
      <c r="M338" s="14">
        <v>44910.0</v>
      </c>
      <c r="N338" s="32" t="s">
        <v>726</v>
      </c>
      <c r="O338" s="10" t="s">
        <v>727</v>
      </c>
      <c r="P338" s="10" t="s">
        <v>716</v>
      </c>
      <c r="Q338" s="2"/>
      <c r="R338" s="10">
        <v>24.0</v>
      </c>
      <c r="S338" s="14">
        <v>44910.0</v>
      </c>
      <c r="T338" s="14">
        <v>45274.0</v>
      </c>
      <c r="U338" s="10">
        <f t="shared" si="21"/>
        <v>-817</v>
      </c>
      <c r="V338" s="2"/>
      <c r="W338" s="15"/>
      <c r="X338" s="15"/>
      <c r="Y338" s="15"/>
      <c r="Z338" s="15"/>
      <c r="AA338" s="1"/>
      <c r="AB338" s="15"/>
      <c r="AC338" s="15"/>
      <c r="AD338" s="15"/>
      <c r="AE338" s="15"/>
      <c r="AF338" s="2"/>
      <c r="AG338" s="10" t="s">
        <v>354</v>
      </c>
      <c r="AH338" s="10" t="s">
        <v>318</v>
      </c>
      <c r="AI338" s="10" t="s">
        <v>717</v>
      </c>
      <c r="AJ338" s="10" t="s">
        <v>342</v>
      </c>
      <c r="AK338" s="10" t="s">
        <v>291</v>
      </c>
      <c r="AL338" s="10" t="s">
        <v>49</v>
      </c>
      <c r="AM338" s="16" t="s">
        <v>45</v>
      </c>
      <c r="AN338" s="10" t="s">
        <v>50</v>
      </c>
    </row>
    <row r="339" ht="30.0" customHeight="1">
      <c r="A339" s="9" t="str">
        <f t="shared" si="1"/>
        <v>Inativo</v>
      </c>
      <c r="B339" s="9" t="str">
        <f t="shared" si="2"/>
        <v>N/I</v>
      </c>
      <c r="C339" s="9" t="str">
        <f t="shared" si="3"/>
        <v>N/I</v>
      </c>
      <c r="D339" s="10" t="s">
        <v>708</v>
      </c>
      <c r="E339" s="11" t="s">
        <v>709</v>
      </c>
      <c r="F339" s="11" t="s">
        <v>724</v>
      </c>
      <c r="G339" s="12" t="s">
        <v>711</v>
      </c>
      <c r="H339" s="13" t="s">
        <v>728</v>
      </c>
      <c r="I339" s="12" t="s">
        <v>131</v>
      </c>
      <c r="J339" s="10" t="s">
        <v>132</v>
      </c>
      <c r="K339" s="10" t="s">
        <v>41</v>
      </c>
      <c r="L339" s="10" t="s">
        <v>4</v>
      </c>
      <c r="M339" s="14">
        <v>44911.0</v>
      </c>
      <c r="N339" s="32" t="s">
        <v>726</v>
      </c>
      <c r="O339" s="10" t="s">
        <v>727</v>
      </c>
      <c r="P339" s="10" t="s">
        <v>716</v>
      </c>
      <c r="Q339" s="2"/>
      <c r="R339" s="10">
        <v>24.0</v>
      </c>
      <c r="S339" s="14">
        <v>44911.0</v>
      </c>
      <c r="T339" s="14">
        <v>45275.0</v>
      </c>
      <c r="U339" s="10">
        <f t="shared" si="21"/>
        <v>-816</v>
      </c>
      <c r="V339" s="2"/>
      <c r="W339" s="15"/>
      <c r="X339" s="15"/>
      <c r="Y339" s="15"/>
      <c r="Z339" s="15"/>
      <c r="AA339" s="1"/>
      <c r="AB339" s="15"/>
      <c r="AC339" s="15"/>
      <c r="AD339" s="15"/>
      <c r="AE339" s="15"/>
      <c r="AF339" s="2"/>
      <c r="AG339" s="10" t="s">
        <v>354</v>
      </c>
      <c r="AH339" s="10" t="s">
        <v>318</v>
      </c>
      <c r="AI339" s="10" t="s">
        <v>717</v>
      </c>
      <c r="AJ339" s="10" t="s">
        <v>342</v>
      </c>
      <c r="AK339" s="10" t="s">
        <v>291</v>
      </c>
      <c r="AL339" s="10" t="s">
        <v>49</v>
      </c>
      <c r="AM339" s="16" t="s">
        <v>45</v>
      </c>
      <c r="AN339" s="10" t="s">
        <v>50</v>
      </c>
    </row>
    <row r="340" ht="30.0" customHeight="1">
      <c r="A340" s="9" t="str">
        <f t="shared" si="1"/>
        <v>Inativo</v>
      </c>
      <c r="B340" s="9" t="str">
        <f t="shared" si="2"/>
        <v>N/I</v>
      </c>
      <c r="C340" s="9" t="str">
        <f t="shared" si="3"/>
        <v>N/I</v>
      </c>
      <c r="D340" s="10" t="s">
        <v>708</v>
      </c>
      <c r="E340" s="11" t="s">
        <v>709</v>
      </c>
      <c r="F340" s="11" t="s">
        <v>729</v>
      </c>
      <c r="G340" s="12" t="s">
        <v>52</v>
      </c>
      <c r="H340" s="13" t="s">
        <v>730</v>
      </c>
      <c r="I340" s="12" t="s">
        <v>463</v>
      </c>
      <c r="J340" s="10" t="s">
        <v>222</v>
      </c>
      <c r="K340" s="10" t="s">
        <v>40</v>
      </c>
      <c r="L340" s="10" t="s">
        <v>4</v>
      </c>
      <c r="M340" s="14">
        <v>44921.0</v>
      </c>
      <c r="N340" s="32" t="s">
        <v>731</v>
      </c>
      <c r="O340" s="10" t="s">
        <v>732</v>
      </c>
      <c r="P340" s="10" t="s">
        <v>716</v>
      </c>
      <c r="Q340" s="2"/>
      <c r="R340" s="10">
        <v>24.0</v>
      </c>
      <c r="S340" s="14">
        <v>44921.0</v>
      </c>
      <c r="T340" s="14">
        <v>45285.0</v>
      </c>
      <c r="U340" s="10">
        <f t="shared" si="21"/>
        <v>-806</v>
      </c>
      <c r="V340" s="2"/>
      <c r="W340" s="15"/>
      <c r="X340" s="15"/>
      <c r="Y340" s="15"/>
      <c r="Z340" s="15"/>
      <c r="AA340" s="1"/>
      <c r="AB340" s="15"/>
      <c r="AC340" s="15"/>
      <c r="AD340" s="15"/>
      <c r="AE340" s="15"/>
      <c r="AF340" s="2"/>
      <c r="AG340" s="10" t="s">
        <v>354</v>
      </c>
      <c r="AH340" s="10" t="s">
        <v>318</v>
      </c>
      <c r="AI340" s="10" t="s">
        <v>717</v>
      </c>
      <c r="AJ340" s="10" t="s">
        <v>342</v>
      </c>
      <c r="AK340" s="10" t="s">
        <v>291</v>
      </c>
      <c r="AL340" s="10" t="s">
        <v>49</v>
      </c>
      <c r="AM340" s="16" t="s">
        <v>45</v>
      </c>
      <c r="AN340" s="10" t="s">
        <v>50</v>
      </c>
    </row>
    <row r="341" ht="30.0" customHeight="1">
      <c r="A341" s="9" t="str">
        <f t="shared" si="1"/>
        <v>Inativo</v>
      </c>
      <c r="B341" s="9" t="str">
        <f t="shared" si="2"/>
        <v>N/I</v>
      </c>
      <c r="C341" s="9" t="str">
        <f t="shared" si="3"/>
        <v>N/I</v>
      </c>
      <c r="D341" s="10" t="s">
        <v>708</v>
      </c>
      <c r="E341" s="11" t="s">
        <v>709</v>
      </c>
      <c r="F341" s="11" t="s">
        <v>729</v>
      </c>
      <c r="G341" s="12" t="s">
        <v>711</v>
      </c>
      <c r="H341" s="13" t="s">
        <v>733</v>
      </c>
      <c r="I341" s="12" t="s">
        <v>463</v>
      </c>
      <c r="J341" s="10" t="s">
        <v>222</v>
      </c>
      <c r="K341" s="10" t="s">
        <v>40</v>
      </c>
      <c r="L341" s="10" t="s">
        <v>4</v>
      </c>
      <c r="M341" s="14">
        <v>44921.0</v>
      </c>
      <c r="N341" s="32" t="s">
        <v>731</v>
      </c>
      <c r="O341" s="10" t="s">
        <v>732</v>
      </c>
      <c r="P341" s="10" t="s">
        <v>716</v>
      </c>
      <c r="Q341" s="2"/>
      <c r="R341" s="10">
        <v>24.0</v>
      </c>
      <c r="S341" s="14">
        <v>44921.0</v>
      </c>
      <c r="T341" s="14">
        <v>45285.0</v>
      </c>
      <c r="U341" s="10">
        <f t="shared" si="21"/>
        <v>-806</v>
      </c>
      <c r="V341" s="2"/>
      <c r="W341" s="15"/>
      <c r="X341" s="15"/>
      <c r="Y341" s="15"/>
      <c r="Z341" s="15"/>
      <c r="AA341" s="1"/>
      <c r="AB341" s="15"/>
      <c r="AC341" s="15"/>
      <c r="AD341" s="15"/>
      <c r="AE341" s="15"/>
      <c r="AF341" s="2"/>
      <c r="AG341" s="10" t="s">
        <v>354</v>
      </c>
      <c r="AH341" s="10" t="s">
        <v>318</v>
      </c>
      <c r="AI341" s="10" t="s">
        <v>717</v>
      </c>
      <c r="AJ341" s="10" t="s">
        <v>342</v>
      </c>
      <c r="AK341" s="10" t="s">
        <v>291</v>
      </c>
      <c r="AL341" s="10" t="s">
        <v>49</v>
      </c>
      <c r="AM341" s="16" t="s">
        <v>45</v>
      </c>
      <c r="AN341" s="10" t="s">
        <v>50</v>
      </c>
    </row>
    <row r="342" ht="30.0" customHeight="1">
      <c r="A342" s="9" t="str">
        <f t="shared" si="1"/>
        <v>N/I</v>
      </c>
      <c r="B342" s="9" t="str">
        <f t="shared" si="2"/>
        <v>N/I</v>
      </c>
      <c r="C342" s="9" t="str">
        <f t="shared" si="3"/>
        <v>Inativo</v>
      </c>
      <c r="D342" s="10" t="s">
        <v>734</v>
      </c>
      <c r="E342" s="11" t="s">
        <v>735</v>
      </c>
      <c r="F342" s="11" t="s">
        <v>736</v>
      </c>
      <c r="G342" s="12" t="s">
        <v>94</v>
      </c>
      <c r="H342" s="20" t="s">
        <v>737</v>
      </c>
      <c r="I342" s="12" t="s">
        <v>738</v>
      </c>
      <c r="J342" s="10" t="s">
        <v>222</v>
      </c>
      <c r="K342" s="10" t="s">
        <v>40</v>
      </c>
      <c r="L342" s="10" t="s">
        <v>6</v>
      </c>
      <c r="M342" s="14">
        <v>43315.0</v>
      </c>
      <c r="N342" s="32" t="s">
        <v>739</v>
      </c>
      <c r="O342" s="10" t="s">
        <v>740</v>
      </c>
      <c r="P342" s="10" t="s">
        <v>741</v>
      </c>
      <c r="Q342" s="2"/>
      <c r="R342" s="15"/>
      <c r="S342" s="15"/>
      <c r="T342" s="15"/>
      <c r="U342" s="15"/>
      <c r="V342" s="2"/>
      <c r="W342" s="15"/>
      <c r="X342" s="15"/>
      <c r="Y342" s="15"/>
      <c r="Z342" s="15"/>
      <c r="AA342" s="1"/>
      <c r="AB342" s="10">
        <v>12.0</v>
      </c>
      <c r="AC342" s="14">
        <v>44864.0</v>
      </c>
      <c r="AD342" s="14">
        <v>45228.0</v>
      </c>
      <c r="AE342" s="10">
        <f t="shared" ref="AE342:AE350" si="22">AD342-TODAY()</f>
        <v>-863</v>
      </c>
      <c r="AF342" s="2"/>
      <c r="AG342" s="10" t="s">
        <v>680</v>
      </c>
      <c r="AH342" s="12" t="s">
        <v>355</v>
      </c>
      <c r="AI342" s="16" t="s">
        <v>45</v>
      </c>
      <c r="AJ342" s="10" t="s">
        <v>227</v>
      </c>
      <c r="AK342" s="16" t="s">
        <v>45</v>
      </c>
      <c r="AL342" s="16" t="s">
        <v>45</v>
      </c>
      <c r="AM342" s="16" t="s">
        <v>45</v>
      </c>
      <c r="AN342" s="10" t="s">
        <v>50</v>
      </c>
    </row>
    <row r="343" ht="30.0" customHeight="1">
      <c r="A343" s="9" t="str">
        <f t="shared" si="1"/>
        <v>N/I</v>
      </c>
      <c r="B343" s="9" t="str">
        <f t="shared" si="2"/>
        <v>N/I</v>
      </c>
      <c r="C343" s="9" t="str">
        <f t="shared" si="3"/>
        <v>Inativo</v>
      </c>
      <c r="D343" s="10" t="s">
        <v>734</v>
      </c>
      <c r="E343" s="11" t="s">
        <v>735</v>
      </c>
      <c r="F343" s="11" t="s">
        <v>736</v>
      </c>
      <c r="G343" s="12" t="s">
        <v>94</v>
      </c>
      <c r="H343" s="20" t="s">
        <v>742</v>
      </c>
      <c r="I343" s="12" t="s">
        <v>738</v>
      </c>
      <c r="J343" s="10" t="s">
        <v>222</v>
      </c>
      <c r="K343" s="10" t="s">
        <v>40</v>
      </c>
      <c r="L343" s="10" t="s">
        <v>6</v>
      </c>
      <c r="M343" s="14">
        <v>43445.0</v>
      </c>
      <c r="N343" s="32" t="s">
        <v>739</v>
      </c>
      <c r="O343" s="10" t="s">
        <v>740</v>
      </c>
      <c r="P343" s="10" t="s">
        <v>743</v>
      </c>
      <c r="Q343" s="2"/>
      <c r="R343" s="15"/>
      <c r="S343" s="15"/>
      <c r="T343" s="15"/>
      <c r="U343" s="15"/>
      <c r="V343" s="2"/>
      <c r="W343" s="15"/>
      <c r="X343" s="15"/>
      <c r="Y343" s="15"/>
      <c r="Z343" s="15"/>
      <c r="AA343" s="1"/>
      <c r="AB343" s="10">
        <v>12.0</v>
      </c>
      <c r="AC343" s="14">
        <v>44900.0</v>
      </c>
      <c r="AD343" s="14">
        <v>45264.0</v>
      </c>
      <c r="AE343" s="10">
        <f t="shared" si="22"/>
        <v>-827</v>
      </c>
      <c r="AF343" s="2"/>
      <c r="AG343" s="10" t="s">
        <v>680</v>
      </c>
      <c r="AH343" s="12" t="s">
        <v>355</v>
      </c>
      <c r="AI343" s="16" t="s">
        <v>45</v>
      </c>
      <c r="AJ343" s="10" t="s">
        <v>227</v>
      </c>
      <c r="AK343" s="16" t="s">
        <v>45</v>
      </c>
      <c r="AL343" s="16" t="s">
        <v>45</v>
      </c>
      <c r="AM343" s="16" t="s">
        <v>45</v>
      </c>
      <c r="AN343" s="10" t="s">
        <v>50</v>
      </c>
    </row>
    <row r="344" ht="30.0" customHeight="1">
      <c r="A344" s="9" t="str">
        <f t="shared" si="1"/>
        <v>N/I</v>
      </c>
      <c r="B344" s="9" t="str">
        <f t="shared" si="2"/>
        <v>N/I</v>
      </c>
      <c r="C344" s="9" t="str">
        <f t="shared" si="3"/>
        <v>Inativo</v>
      </c>
      <c r="D344" s="10" t="s">
        <v>734</v>
      </c>
      <c r="E344" s="11" t="s">
        <v>735</v>
      </c>
      <c r="F344" s="11" t="s">
        <v>736</v>
      </c>
      <c r="G344" s="12" t="s">
        <v>94</v>
      </c>
      <c r="H344" s="20" t="s">
        <v>744</v>
      </c>
      <c r="I344" s="12" t="s">
        <v>738</v>
      </c>
      <c r="J344" s="10" t="s">
        <v>222</v>
      </c>
      <c r="K344" s="10" t="s">
        <v>40</v>
      </c>
      <c r="L344" s="10" t="s">
        <v>6</v>
      </c>
      <c r="M344" s="14">
        <v>44820.0</v>
      </c>
      <c r="N344" s="32" t="s">
        <v>745</v>
      </c>
      <c r="O344" s="10" t="s">
        <v>746</v>
      </c>
      <c r="P344" s="10" t="s">
        <v>747</v>
      </c>
      <c r="Q344" s="2"/>
      <c r="R344" s="15"/>
      <c r="S344" s="15"/>
      <c r="T344" s="15"/>
      <c r="U344" s="15"/>
      <c r="V344" s="2"/>
      <c r="W344" s="15"/>
      <c r="X344" s="15"/>
      <c r="Y344" s="15"/>
      <c r="Z344" s="15"/>
      <c r="AA344" s="1"/>
      <c r="AB344" s="10">
        <v>12.0</v>
      </c>
      <c r="AC344" s="14">
        <v>45521.0</v>
      </c>
      <c r="AD344" s="14">
        <v>45886.0</v>
      </c>
      <c r="AE344" s="10">
        <f t="shared" si="22"/>
        <v>-205</v>
      </c>
      <c r="AF344" s="2"/>
      <c r="AG344" s="10" t="s">
        <v>680</v>
      </c>
      <c r="AH344" s="12" t="s">
        <v>355</v>
      </c>
      <c r="AI344" s="10" t="s">
        <v>226</v>
      </c>
      <c r="AJ344" s="10" t="s">
        <v>227</v>
      </c>
      <c r="AK344" s="16" t="s">
        <v>45</v>
      </c>
      <c r="AL344" s="16" t="s">
        <v>45</v>
      </c>
      <c r="AM344" s="16" t="s">
        <v>45</v>
      </c>
      <c r="AN344" s="10" t="s">
        <v>50</v>
      </c>
    </row>
    <row r="345" ht="30.0" customHeight="1">
      <c r="A345" s="9" t="str">
        <f t="shared" si="1"/>
        <v>N/I</v>
      </c>
      <c r="B345" s="9" t="str">
        <f t="shared" si="2"/>
        <v>N/I</v>
      </c>
      <c r="C345" s="9" t="str">
        <f t="shared" si="3"/>
        <v>Ativo</v>
      </c>
      <c r="D345" s="10" t="s">
        <v>734</v>
      </c>
      <c r="E345" s="11" t="s">
        <v>735</v>
      </c>
      <c r="F345" s="11" t="s">
        <v>736</v>
      </c>
      <c r="G345" s="12" t="s">
        <v>94</v>
      </c>
      <c r="H345" s="19" t="s">
        <v>748</v>
      </c>
      <c r="I345" s="12" t="s">
        <v>738</v>
      </c>
      <c r="J345" s="10" t="s">
        <v>222</v>
      </c>
      <c r="K345" s="10" t="s">
        <v>40</v>
      </c>
      <c r="L345" s="10" t="s">
        <v>6</v>
      </c>
      <c r="M345" s="14">
        <v>45266.0</v>
      </c>
      <c r="N345" s="32" t="s">
        <v>745</v>
      </c>
      <c r="O345" s="10" t="s">
        <v>746</v>
      </c>
      <c r="P345" s="10" t="s">
        <v>749</v>
      </c>
      <c r="Q345" s="2"/>
      <c r="R345" s="15"/>
      <c r="S345" s="15"/>
      <c r="T345" s="15"/>
      <c r="U345" s="15"/>
      <c r="V345" s="2"/>
      <c r="W345" s="15"/>
      <c r="X345" s="15"/>
      <c r="Y345" s="15"/>
      <c r="Z345" s="15"/>
      <c r="AA345" s="1"/>
      <c r="AB345" s="10">
        <v>12.0</v>
      </c>
      <c r="AC345" s="14">
        <v>45997.0</v>
      </c>
      <c r="AD345" s="14">
        <v>46362.0</v>
      </c>
      <c r="AE345" s="10">
        <f t="shared" si="22"/>
        <v>271</v>
      </c>
      <c r="AF345" s="2"/>
      <c r="AG345" s="10" t="s">
        <v>680</v>
      </c>
      <c r="AH345" s="12" t="s">
        <v>355</v>
      </c>
      <c r="AI345" s="10" t="s">
        <v>226</v>
      </c>
      <c r="AJ345" s="10" t="s">
        <v>227</v>
      </c>
      <c r="AK345" s="16" t="s">
        <v>45</v>
      </c>
      <c r="AL345" s="16" t="s">
        <v>45</v>
      </c>
      <c r="AM345" s="16" t="s">
        <v>45</v>
      </c>
      <c r="AN345" s="10" t="s">
        <v>50</v>
      </c>
    </row>
    <row r="346" ht="30.0" customHeight="1">
      <c r="A346" s="9" t="str">
        <f t="shared" si="1"/>
        <v>N/I</v>
      </c>
      <c r="B346" s="9" t="str">
        <f t="shared" si="2"/>
        <v>N/I</v>
      </c>
      <c r="C346" s="9" t="str">
        <f t="shared" si="3"/>
        <v>Ativo</v>
      </c>
      <c r="D346" s="10" t="s">
        <v>734</v>
      </c>
      <c r="E346" s="11" t="s">
        <v>735</v>
      </c>
      <c r="F346" s="11" t="s">
        <v>736</v>
      </c>
      <c r="G346" s="12" t="s">
        <v>94</v>
      </c>
      <c r="H346" s="27" t="s">
        <v>750</v>
      </c>
      <c r="I346" s="12" t="s">
        <v>738</v>
      </c>
      <c r="J346" s="10" t="s">
        <v>222</v>
      </c>
      <c r="K346" s="10" t="s">
        <v>40</v>
      </c>
      <c r="L346" s="10" t="s">
        <v>6</v>
      </c>
      <c r="M346" s="14">
        <v>45874.0</v>
      </c>
      <c r="N346" s="32" t="s">
        <v>745</v>
      </c>
      <c r="O346" s="10" t="s">
        <v>746</v>
      </c>
      <c r="P346" s="10" t="s">
        <v>751</v>
      </c>
      <c r="Q346" s="2"/>
      <c r="R346" s="15"/>
      <c r="S346" s="15"/>
      <c r="T346" s="15"/>
      <c r="U346" s="15"/>
      <c r="V346" s="2"/>
      <c r="W346" s="15"/>
      <c r="X346" s="15"/>
      <c r="Y346" s="15"/>
      <c r="Z346" s="15"/>
      <c r="AA346" s="1"/>
      <c r="AB346" s="10">
        <v>12.0</v>
      </c>
      <c r="AC346" s="14">
        <v>45874.0</v>
      </c>
      <c r="AD346" s="14">
        <v>46239.0</v>
      </c>
      <c r="AE346" s="10">
        <f t="shared" si="22"/>
        <v>148</v>
      </c>
      <c r="AF346" s="2"/>
      <c r="AG346" s="16" t="s">
        <v>45</v>
      </c>
      <c r="AH346" s="16" t="s">
        <v>45</v>
      </c>
      <c r="AI346" s="16" t="s">
        <v>45</v>
      </c>
      <c r="AJ346" s="16" t="s">
        <v>45</v>
      </c>
      <c r="AK346" s="16" t="s">
        <v>45</v>
      </c>
      <c r="AL346" s="16" t="s">
        <v>45</v>
      </c>
      <c r="AM346" s="16" t="s">
        <v>45</v>
      </c>
      <c r="AN346" s="10" t="s">
        <v>50</v>
      </c>
    </row>
    <row r="347" ht="30.0" customHeight="1">
      <c r="A347" s="9" t="str">
        <f t="shared" si="1"/>
        <v>N/I</v>
      </c>
      <c r="B347" s="9" t="str">
        <f t="shared" si="2"/>
        <v>N/I</v>
      </c>
      <c r="C347" s="9" t="str">
        <f t="shared" si="3"/>
        <v>Ativo</v>
      </c>
      <c r="D347" s="10" t="s">
        <v>734</v>
      </c>
      <c r="E347" s="11" t="s">
        <v>735</v>
      </c>
      <c r="F347" s="11" t="s">
        <v>736</v>
      </c>
      <c r="G347" s="12" t="s">
        <v>94</v>
      </c>
      <c r="H347" s="27" t="s">
        <v>752</v>
      </c>
      <c r="I347" s="12" t="s">
        <v>738</v>
      </c>
      <c r="J347" s="10" t="s">
        <v>222</v>
      </c>
      <c r="K347" s="10" t="s">
        <v>40</v>
      </c>
      <c r="L347" s="10" t="s">
        <v>6</v>
      </c>
      <c r="M347" s="14">
        <v>45874.0</v>
      </c>
      <c r="N347" s="32" t="s">
        <v>745</v>
      </c>
      <c r="O347" s="10" t="s">
        <v>746</v>
      </c>
      <c r="P347" s="10" t="s">
        <v>751</v>
      </c>
      <c r="Q347" s="2"/>
      <c r="R347" s="15"/>
      <c r="S347" s="15"/>
      <c r="T347" s="15"/>
      <c r="U347" s="15"/>
      <c r="V347" s="2"/>
      <c r="W347" s="15"/>
      <c r="X347" s="15"/>
      <c r="Y347" s="15"/>
      <c r="Z347" s="15"/>
      <c r="AA347" s="1"/>
      <c r="AB347" s="10">
        <v>12.0</v>
      </c>
      <c r="AC347" s="14">
        <v>45874.0</v>
      </c>
      <c r="AD347" s="14">
        <v>46239.0</v>
      </c>
      <c r="AE347" s="10">
        <f t="shared" si="22"/>
        <v>148</v>
      </c>
      <c r="AF347" s="2"/>
      <c r="AG347" s="16" t="s">
        <v>45</v>
      </c>
      <c r="AH347" s="16" t="s">
        <v>45</v>
      </c>
      <c r="AI347" s="16" t="s">
        <v>45</v>
      </c>
      <c r="AJ347" s="16" t="s">
        <v>45</v>
      </c>
      <c r="AK347" s="16" t="s">
        <v>45</v>
      </c>
      <c r="AL347" s="16" t="s">
        <v>45</v>
      </c>
      <c r="AM347" s="16" t="s">
        <v>45</v>
      </c>
      <c r="AN347" s="10" t="s">
        <v>50</v>
      </c>
    </row>
    <row r="348" ht="30.0" customHeight="1">
      <c r="A348" s="9" t="str">
        <f t="shared" si="1"/>
        <v>N/I</v>
      </c>
      <c r="B348" s="9" t="str">
        <f t="shared" si="2"/>
        <v>N/I</v>
      </c>
      <c r="C348" s="9" t="str">
        <f t="shared" si="3"/>
        <v>Ativo</v>
      </c>
      <c r="D348" s="10" t="s">
        <v>734</v>
      </c>
      <c r="E348" s="11" t="s">
        <v>735</v>
      </c>
      <c r="F348" s="11" t="s">
        <v>736</v>
      </c>
      <c r="G348" s="12" t="s">
        <v>94</v>
      </c>
      <c r="H348" s="27" t="s">
        <v>753</v>
      </c>
      <c r="I348" s="12" t="s">
        <v>738</v>
      </c>
      <c r="J348" s="10" t="s">
        <v>222</v>
      </c>
      <c r="K348" s="10" t="s">
        <v>40</v>
      </c>
      <c r="L348" s="10" t="s">
        <v>6</v>
      </c>
      <c r="M348" s="14">
        <v>45874.0</v>
      </c>
      <c r="N348" s="32" t="s">
        <v>745</v>
      </c>
      <c r="O348" s="10" t="s">
        <v>746</v>
      </c>
      <c r="P348" s="10" t="s">
        <v>751</v>
      </c>
      <c r="Q348" s="2"/>
      <c r="R348" s="15"/>
      <c r="S348" s="15"/>
      <c r="T348" s="15"/>
      <c r="U348" s="15"/>
      <c r="V348" s="2"/>
      <c r="W348" s="15"/>
      <c r="X348" s="15"/>
      <c r="Y348" s="15"/>
      <c r="Z348" s="15"/>
      <c r="AA348" s="1"/>
      <c r="AB348" s="10">
        <v>12.0</v>
      </c>
      <c r="AC348" s="14">
        <v>45874.0</v>
      </c>
      <c r="AD348" s="14">
        <v>46239.0</v>
      </c>
      <c r="AE348" s="10">
        <f t="shared" si="22"/>
        <v>148</v>
      </c>
      <c r="AF348" s="2"/>
      <c r="AG348" s="16" t="s">
        <v>45</v>
      </c>
      <c r="AH348" s="16" t="s">
        <v>45</v>
      </c>
      <c r="AI348" s="16" t="s">
        <v>45</v>
      </c>
      <c r="AJ348" s="16" t="s">
        <v>45</v>
      </c>
      <c r="AK348" s="16" t="s">
        <v>45</v>
      </c>
      <c r="AL348" s="16" t="s">
        <v>45</v>
      </c>
      <c r="AM348" s="16" t="s">
        <v>45</v>
      </c>
      <c r="AN348" s="10" t="s">
        <v>50</v>
      </c>
    </row>
    <row r="349" ht="30.0" customHeight="1">
      <c r="A349" s="9" t="str">
        <f t="shared" si="1"/>
        <v>N/I</v>
      </c>
      <c r="B349" s="9" t="str">
        <f t="shared" si="2"/>
        <v>N/I</v>
      </c>
      <c r="C349" s="9" t="str">
        <f t="shared" si="3"/>
        <v>Ativo</v>
      </c>
      <c r="D349" s="10" t="s">
        <v>734</v>
      </c>
      <c r="E349" s="11" t="s">
        <v>735</v>
      </c>
      <c r="F349" s="11" t="s">
        <v>736</v>
      </c>
      <c r="G349" s="12" t="s">
        <v>94</v>
      </c>
      <c r="H349" s="19" t="s">
        <v>754</v>
      </c>
      <c r="I349" s="12" t="s">
        <v>738</v>
      </c>
      <c r="J349" s="10" t="s">
        <v>222</v>
      </c>
      <c r="K349" s="10" t="s">
        <v>40</v>
      </c>
      <c r="L349" s="10" t="s">
        <v>6</v>
      </c>
      <c r="M349" s="14">
        <v>45187.0</v>
      </c>
      <c r="N349" s="32" t="s">
        <v>745</v>
      </c>
      <c r="O349" s="10" t="s">
        <v>746</v>
      </c>
      <c r="P349" s="10" t="s">
        <v>755</v>
      </c>
      <c r="Q349" s="2"/>
      <c r="R349" s="15"/>
      <c r="S349" s="15"/>
      <c r="T349" s="15"/>
      <c r="U349" s="15"/>
      <c r="V349" s="2"/>
      <c r="W349" s="15"/>
      <c r="X349" s="15"/>
      <c r="Y349" s="15"/>
      <c r="Z349" s="15"/>
      <c r="AA349" s="1"/>
      <c r="AB349" s="10">
        <v>12.0</v>
      </c>
      <c r="AC349" s="14">
        <v>45897.0</v>
      </c>
      <c r="AD349" s="14">
        <v>46262.0</v>
      </c>
      <c r="AE349" s="10">
        <f t="shared" si="22"/>
        <v>171</v>
      </c>
      <c r="AF349" s="2"/>
      <c r="AG349" s="10" t="s">
        <v>680</v>
      </c>
      <c r="AH349" s="12" t="s">
        <v>355</v>
      </c>
      <c r="AI349" s="10" t="s">
        <v>226</v>
      </c>
      <c r="AJ349" s="10" t="s">
        <v>227</v>
      </c>
      <c r="AK349" s="16" t="s">
        <v>45</v>
      </c>
      <c r="AL349" s="16" t="s">
        <v>45</v>
      </c>
      <c r="AM349" s="16" t="s">
        <v>45</v>
      </c>
      <c r="AN349" s="10" t="s">
        <v>50</v>
      </c>
    </row>
    <row r="350" ht="30.0" customHeight="1">
      <c r="A350" s="9" t="str">
        <f t="shared" si="1"/>
        <v>N/I</v>
      </c>
      <c r="B350" s="9" t="str">
        <f t="shared" si="2"/>
        <v>N/I</v>
      </c>
      <c r="C350" s="9" t="str">
        <f t="shared" si="3"/>
        <v>Inativo</v>
      </c>
      <c r="D350" s="10" t="s">
        <v>756</v>
      </c>
      <c r="E350" s="11" t="s">
        <v>757</v>
      </c>
      <c r="F350" s="11" t="s">
        <v>758</v>
      </c>
      <c r="G350" s="12" t="s">
        <v>502</v>
      </c>
      <c r="H350" s="20" t="s">
        <v>759</v>
      </c>
      <c r="I350" s="12" t="s">
        <v>760</v>
      </c>
      <c r="J350" s="10" t="s">
        <v>521</v>
      </c>
      <c r="K350" s="10" t="s">
        <v>263</v>
      </c>
      <c r="L350" s="10" t="s">
        <v>6</v>
      </c>
      <c r="M350" s="14">
        <v>43272.0</v>
      </c>
      <c r="N350" s="11" t="s">
        <v>761</v>
      </c>
      <c r="O350" s="10" t="s">
        <v>762</v>
      </c>
      <c r="P350" s="10" t="s">
        <v>763</v>
      </c>
      <c r="Q350" s="2"/>
      <c r="R350" s="15"/>
      <c r="S350" s="15"/>
      <c r="T350" s="15"/>
      <c r="U350" s="15"/>
      <c r="V350" s="2"/>
      <c r="W350" s="15"/>
      <c r="X350" s="15"/>
      <c r="Y350" s="15"/>
      <c r="Z350" s="15"/>
      <c r="AA350" s="1"/>
      <c r="AB350" s="10">
        <v>36.0</v>
      </c>
      <c r="AC350" s="14">
        <v>44910.0</v>
      </c>
      <c r="AD350" s="14">
        <v>46005.0</v>
      </c>
      <c r="AE350" s="10">
        <f t="shared" si="22"/>
        <v>-86</v>
      </c>
      <c r="AF350" s="2"/>
      <c r="AG350" s="10" t="s">
        <v>680</v>
      </c>
      <c r="AH350" s="10" t="s">
        <v>318</v>
      </c>
      <c r="AI350" s="10" t="s">
        <v>319</v>
      </c>
      <c r="AJ350" s="10" t="s">
        <v>227</v>
      </c>
      <c r="AK350" s="16" t="s">
        <v>45</v>
      </c>
      <c r="AL350" s="10" t="s">
        <v>49</v>
      </c>
      <c r="AM350" s="16" t="s">
        <v>45</v>
      </c>
      <c r="AN350" s="10" t="s">
        <v>50</v>
      </c>
    </row>
    <row r="351" ht="30.0" customHeight="1">
      <c r="A351" s="9" t="str">
        <f t="shared" si="1"/>
        <v>Inativo</v>
      </c>
      <c r="B351" s="9" t="str">
        <f t="shared" si="2"/>
        <v>N/I</v>
      </c>
      <c r="C351" s="9" t="str">
        <f t="shared" si="3"/>
        <v>N/I</v>
      </c>
      <c r="D351" s="10" t="s">
        <v>764</v>
      </c>
      <c r="E351" s="11" t="s">
        <v>765</v>
      </c>
      <c r="F351" s="11" t="s">
        <v>766</v>
      </c>
      <c r="G351" s="12" t="s">
        <v>52</v>
      </c>
      <c r="H351" s="27" t="s">
        <v>767</v>
      </c>
      <c r="I351" s="12" t="s">
        <v>768</v>
      </c>
      <c r="J351" s="10" t="s">
        <v>208</v>
      </c>
      <c r="K351" s="10" t="s">
        <v>209</v>
      </c>
      <c r="L351" s="10" t="s">
        <v>4</v>
      </c>
      <c r="M351" s="14">
        <v>44245.0</v>
      </c>
      <c r="N351" s="11" t="s">
        <v>769</v>
      </c>
      <c r="O351" s="10" t="s">
        <v>770</v>
      </c>
      <c r="P351" s="10" t="s">
        <v>771</v>
      </c>
      <c r="Q351" s="2"/>
      <c r="R351" s="10">
        <v>12.0</v>
      </c>
      <c r="S351" s="14">
        <v>44245.0</v>
      </c>
      <c r="T351" s="14">
        <v>44610.0</v>
      </c>
      <c r="U351" s="10">
        <f t="shared" ref="U351:U537" si="23">T351-TODAY()</f>
        <v>-1481</v>
      </c>
      <c r="V351" s="2"/>
      <c r="W351" s="15"/>
      <c r="X351" s="15"/>
      <c r="Y351" s="15"/>
      <c r="Z351" s="15"/>
      <c r="AA351" s="1"/>
      <c r="AB351" s="15"/>
      <c r="AC351" s="15"/>
      <c r="AD351" s="15"/>
      <c r="AE351" s="15"/>
      <c r="AF351" s="2"/>
      <c r="AG351" s="16" t="s">
        <v>45</v>
      </c>
      <c r="AH351" s="16" t="s">
        <v>45</v>
      </c>
      <c r="AI351" s="16" t="s">
        <v>45</v>
      </c>
      <c r="AJ351" s="16" t="s">
        <v>45</v>
      </c>
      <c r="AK351" s="16" t="s">
        <v>45</v>
      </c>
      <c r="AL351" s="16" t="s">
        <v>45</v>
      </c>
      <c r="AM351" s="16" t="s">
        <v>45</v>
      </c>
      <c r="AN351" s="16" t="s">
        <v>45</v>
      </c>
    </row>
    <row r="352" ht="30.0" customHeight="1">
      <c r="A352" s="9" t="str">
        <f t="shared" si="1"/>
        <v>Inativo</v>
      </c>
      <c r="B352" s="9" t="str">
        <f t="shared" si="2"/>
        <v>N/I</v>
      </c>
      <c r="C352" s="9" t="str">
        <f t="shared" si="3"/>
        <v>N/I</v>
      </c>
      <c r="D352" s="10" t="s">
        <v>764</v>
      </c>
      <c r="E352" s="11" t="s">
        <v>765</v>
      </c>
      <c r="F352" s="11" t="s">
        <v>772</v>
      </c>
      <c r="G352" s="12" t="s">
        <v>52</v>
      </c>
      <c r="H352" s="27" t="s">
        <v>773</v>
      </c>
      <c r="I352" s="12" t="s">
        <v>39</v>
      </c>
      <c r="J352" s="10" t="s">
        <v>40</v>
      </c>
      <c r="K352" s="10" t="s">
        <v>41</v>
      </c>
      <c r="L352" s="10" t="s">
        <v>4</v>
      </c>
      <c r="M352" s="14">
        <v>44335.0</v>
      </c>
      <c r="N352" s="11" t="s">
        <v>774</v>
      </c>
      <c r="O352" s="10" t="s">
        <v>775</v>
      </c>
      <c r="P352" s="10" t="s">
        <v>776</v>
      </c>
      <c r="Q352" s="2"/>
      <c r="R352" s="10">
        <v>12.0</v>
      </c>
      <c r="S352" s="14">
        <v>44335.0</v>
      </c>
      <c r="T352" s="14">
        <v>45804.0</v>
      </c>
      <c r="U352" s="10">
        <f t="shared" si="23"/>
        <v>-287</v>
      </c>
      <c r="V352" s="2"/>
      <c r="W352" s="15"/>
      <c r="X352" s="15"/>
      <c r="Y352" s="15"/>
      <c r="Z352" s="15"/>
      <c r="AA352" s="1"/>
      <c r="AB352" s="15"/>
      <c r="AC352" s="15"/>
      <c r="AD352" s="15"/>
      <c r="AE352" s="15"/>
      <c r="AF352" s="2"/>
      <c r="AG352" s="16" t="s">
        <v>45</v>
      </c>
      <c r="AH352" s="16" t="s">
        <v>45</v>
      </c>
      <c r="AI352" s="16" t="s">
        <v>45</v>
      </c>
      <c r="AJ352" s="16" t="s">
        <v>45</v>
      </c>
      <c r="AK352" s="16" t="s">
        <v>45</v>
      </c>
      <c r="AL352" s="16" t="s">
        <v>45</v>
      </c>
      <c r="AM352" s="16" t="s">
        <v>45</v>
      </c>
      <c r="AN352" s="16" t="s">
        <v>45</v>
      </c>
    </row>
    <row r="353" ht="30.0" customHeight="1">
      <c r="A353" s="9" t="str">
        <f t="shared" si="1"/>
        <v>Inativo</v>
      </c>
      <c r="B353" s="9" t="str">
        <f t="shared" si="2"/>
        <v>N/I</v>
      </c>
      <c r="C353" s="9" t="str">
        <f t="shared" si="3"/>
        <v>N/I</v>
      </c>
      <c r="D353" s="10" t="s">
        <v>764</v>
      </c>
      <c r="E353" s="11" t="s">
        <v>765</v>
      </c>
      <c r="F353" s="11" t="s">
        <v>772</v>
      </c>
      <c r="G353" s="12" t="s">
        <v>68</v>
      </c>
      <c r="H353" s="27" t="s">
        <v>777</v>
      </c>
      <c r="I353" s="12" t="s">
        <v>39</v>
      </c>
      <c r="J353" s="10" t="s">
        <v>40</v>
      </c>
      <c r="K353" s="10" t="s">
        <v>41</v>
      </c>
      <c r="L353" s="10" t="s">
        <v>4</v>
      </c>
      <c r="M353" s="14">
        <v>45644.0</v>
      </c>
      <c r="N353" s="11" t="s">
        <v>774</v>
      </c>
      <c r="O353" s="10" t="s">
        <v>778</v>
      </c>
      <c r="P353" s="12" t="s">
        <v>779</v>
      </c>
      <c r="Q353" s="2"/>
      <c r="R353" s="10">
        <v>12.0</v>
      </c>
      <c r="S353" s="14">
        <v>45644.0</v>
      </c>
      <c r="T353" s="14">
        <v>46009.0</v>
      </c>
      <c r="U353" s="10">
        <f t="shared" si="23"/>
        <v>-82</v>
      </c>
      <c r="V353" s="2"/>
      <c r="W353" s="15"/>
      <c r="X353" s="15"/>
      <c r="Y353" s="15"/>
      <c r="Z353" s="15"/>
      <c r="AA353" s="1"/>
      <c r="AB353" s="15"/>
      <c r="AC353" s="15"/>
      <c r="AD353" s="15"/>
      <c r="AE353" s="15"/>
      <c r="AF353" s="2"/>
      <c r="AG353" s="10" t="s">
        <v>706</v>
      </c>
      <c r="AH353" s="30" t="s">
        <v>45</v>
      </c>
      <c r="AI353" s="30" t="s">
        <v>45</v>
      </c>
      <c r="AJ353" s="30" t="s">
        <v>780</v>
      </c>
      <c r="AK353" s="30" t="s">
        <v>45</v>
      </c>
      <c r="AL353" s="30" t="s">
        <v>780</v>
      </c>
      <c r="AM353" s="30" t="s">
        <v>45</v>
      </c>
      <c r="AN353" s="10" t="s">
        <v>320</v>
      </c>
    </row>
    <row r="354" ht="30.0" customHeight="1">
      <c r="A354" s="9" t="str">
        <f t="shared" si="1"/>
        <v>Inativo</v>
      </c>
      <c r="B354" s="9" t="str">
        <f t="shared" si="2"/>
        <v>N/I</v>
      </c>
      <c r="C354" s="9" t="str">
        <f t="shared" si="3"/>
        <v>N/I</v>
      </c>
      <c r="D354" s="10" t="s">
        <v>764</v>
      </c>
      <c r="E354" s="11" t="s">
        <v>765</v>
      </c>
      <c r="F354" s="11" t="s">
        <v>772</v>
      </c>
      <c r="G354" s="12" t="s">
        <v>68</v>
      </c>
      <c r="H354" s="27" t="s">
        <v>781</v>
      </c>
      <c r="I354" s="12" t="s">
        <v>39</v>
      </c>
      <c r="J354" s="10" t="s">
        <v>40</v>
      </c>
      <c r="K354" s="10" t="s">
        <v>41</v>
      </c>
      <c r="L354" s="10" t="s">
        <v>4</v>
      </c>
      <c r="M354" s="14">
        <v>45644.0</v>
      </c>
      <c r="N354" s="11" t="s">
        <v>774</v>
      </c>
      <c r="O354" s="10" t="s">
        <v>778</v>
      </c>
      <c r="P354" s="12" t="s">
        <v>779</v>
      </c>
      <c r="Q354" s="2"/>
      <c r="R354" s="10">
        <v>12.0</v>
      </c>
      <c r="S354" s="14">
        <v>45644.0</v>
      </c>
      <c r="T354" s="14">
        <v>46009.0</v>
      </c>
      <c r="U354" s="10">
        <f t="shared" si="23"/>
        <v>-82</v>
      </c>
      <c r="V354" s="2"/>
      <c r="W354" s="15"/>
      <c r="X354" s="15"/>
      <c r="Y354" s="15"/>
      <c r="Z354" s="15"/>
      <c r="AA354" s="1"/>
      <c r="AB354" s="15"/>
      <c r="AC354" s="15"/>
      <c r="AD354" s="15"/>
      <c r="AE354" s="15"/>
      <c r="AF354" s="2"/>
      <c r="AG354" s="10" t="s">
        <v>706</v>
      </c>
      <c r="AH354" s="30" t="s">
        <v>45</v>
      </c>
      <c r="AI354" s="30" t="s">
        <v>45</v>
      </c>
      <c r="AJ354" s="30" t="s">
        <v>780</v>
      </c>
      <c r="AK354" s="30" t="s">
        <v>45</v>
      </c>
      <c r="AL354" s="30" t="s">
        <v>780</v>
      </c>
      <c r="AM354" s="30" t="s">
        <v>45</v>
      </c>
      <c r="AN354" s="10" t="s">
        <v>320</v>
      </c>
    </row>
    <row r="355" ht="30.0" customHeight="1">
      <c r="A355" s="9" t="str">
        <f t="shared" si="1"/>
        <v>Inativo</v>
      </c>
      <c r="B355" s="9" t="str">
        <f t="shared" si="2"/>
        <v>N/I</v>
      </c>
      <c r="C355" s="9" t="str">
        <f t="shared" si="3"/>
        <v>N/I</v>
      </c>
      <c r="D355" s="10" t="s">
        <v>764</v>
      </c>
      <c r="E355" s="11" t="s">
        <v>765</v>
      </c>
      <c r="F355" s="11" t="s">
        <v>782</v>
      </c>
      <c r="G355" s="12" t="s">
        <v>52</v>
      </c>
      <c r="H355" s="27" t="s">
        <v>783</v>
      </c>
      <c r="I355" s="12" t="s">
        <v>784</v>
      </c>
      <c r="J355" s="10" t="s">
        <v>216</v>
      </c>
      <c r="K355" s="10" t="s">
        <v>40</v>
      </c>
      <c r="L355" s="10" t="s">
        <v>4</v>
      </c>
      <c r="M355" s="14">
        <v>44258.0</v>
      </c>
      <c r="N355" s="11" t="s">
        <v>785</v>
      </c>
      <c r="O355" s="10" t="s">
        <v>786</v>
      </c>
      <c r="P355" s="10" t="s">
        <v>787</v>
      </c>
      <c r="Q355" s="2"/>
      <c r="R355" s="10">
        <v>12.0</v>
      </c>
      <c r="S355" s="14">
        <v>44258.0</v>
      </c>
      <c r="T355" s="14">
        <v>44623.0</v>
      </c>
      <c r="U355" s="10">
        <f t="shared" si="23"/>
        <v>-1468</v>
      </c>
      <c r="V355" s="2"/>
      <c r="W355" s="15"/>
      <c r="X355" s="15"/>
      <c r="Y355" s="15"/>
      <c r="Z355" s="15"/>
      <c r="AA355" s="1"/>
      <c r="AB355" s="15"/>
      <c r="AC355" s="15"/>
      <c r="AD355" s="15"/>
      <c r="AE355" s="15"/>
      <c r="AF355" s="2"/>
      <c r="AG355" s="16" t="s">
        <v>45</v>
      </c>
      <c r="AH355" s="16" t="s">
        <v>45</v>
      </c>
      <c r="AI355" s="16" t="s">
        <v>45</v>
      </c>
      <c r="AJ355" s="16" t="s">
        <v>45</v>
      </c>
      <c r="AK355" s="16" t="s">
        <v>45</v>
      </c>
      <c r="AL355" s="16" t="s">
        <v>45</v>
      </c>
      <c r="AM355" s="16" t="s">
        <v>45</v>
      </c>
      <c r="AN355" s="16" t="s">
        <v>45</v>
      </c>
    </row>
    <row r="356" ht="30.0" customHeight="1">
      <c r="A356" s="9" t="str">
        <f t="shared" si="1"/>
        <v>Inativo</v>
      </c>
      <c r="B356" s="9" t="str">
        <f t="shared" si="2"/>
        <v>N/I</v>
      </c>
      <c r="C356" s="9" t="str">
        <f t="shared" si="3"/>
        <v>N/I</v>
      </c>
      <c r="D356" s="10" t="s">
        <v>764</v>
      </c>
      <c r="E356" s="11" t="s">
        <v>765</v>
      </c>
      <c r="F356" s="11" t="s">
        <v>788</v>
      </c>
      <c r="G356" s="12" t="s">
        <v>52</v>
      </c>
      <c r="H356" s="27" t="s">
        <v>789</v>
      </c>
      <c r="I356" s="12" t="s">
        <v>790</v>
      </c>
      <c r="J356" s="10" t="s">
        <v>791</v>
      </c>
      <c r="K356" s="10" t="s">
        <v>209</v>
      </c>
      <c r="L356" s="10" t="s">
        <v>4</v>
      </c>
      <c r="M356" s="14">
        <v>44256.0</v>
      </c>
      <c r="N356" s="11" t="s">
        <v>792</v>
      </c>
      <c r="O356" s="10" t="s">
        <v>793</v>
      </c>
      <c r="P356" s="10" t="s">
        <v>771</v>
      </c>
      <c r="Q356" s="2"/>
      <c r="R356" s="10">
        <v>12.0</v>
      </c>
      <c r="S356" s="14">
        <v>44256.0</v>
      </c>
      <c r="T356" s="14">
        <v>44621.0</v>
      </c>
      <c r="U356" s="10">
        <f t="shared" si="23"/>
        <v>-1470</v>
      </c>
      <c r="V356" s="2"/>
      <c r="W356" s="15"/>
      <c r="X356" s="15"/>
      <c r="Y356" s="15"/>
      <c r="Z356" s="15"/>
      <c r="AA356" s="1"/>
      <c r="AB356" s="15"/>
      <c r="AC356" s="15"/>
      <c r="AD356" s="15"/>
      <c r="AE356" s="15"/>
      <c r="AF356" s="2"/>
      <c r="AG356" s="16" t="s">
        <v>45</v>
      </c>
      <c r="AH356" s="16" t="s">
        <v>45</v>
      </c>
      <c r="AI356" s="16" t="s">
        <v>45</v>
      </c>
      <c r="AJ356" s="16" t="s">
        <v>45</v>
      </c>
      <c r="AK356" s="16" t="s">
        <v>45</v>
      </c>
      <c r="AL356" s="16" t="s">
        <v>45</v>
      </c>
      <c r="AM356" s="16" t="s">
        <v>45</v>
      </c>
      <c r="AN356" s="16" t="s">
        <v>45</v>
      </c>
    </row>
    <row r="357" ht="30.0" customHeight="1">
      <c r="A357" s="9" t="str">
        <f t="shared" si="1"/>
        <v>Ativo</v>
      </c>
      <c r="B357" s="9" t="str">
        <f t="shared" si="2"/>
        <v>N/I</v>
      </c>
      <c r="C357" s="9" t="str">
        <f t="shared" si="3"/>
        <v>N/I</v>
      </c>
      <c r="D357" s="10" t="s">
        <v>764</v>
      </c>
      <c r="E357" s="11" t="s">
        <v>765</v>
      </c>
      <c r="F357" s="11" t="s">
        <v>788</v>
      </c>
      <c r="G357" s="12" t="s">
        <v>68</v>
      </c>
      <c r="H357" s="27" t="s">
        <v>794</v>
      </c>
      <c r="I357" s="12" t="s">
        <v>790</v>
      </c>
      <c r="J357" s="10" t="s">
        <v>791</v>
      </c>
      <c r="K357" s="10" t="s">
        <v>209</v>
      </c>
      <c r="L357" s="10" t="s">
        <v>4</v>
      </c>
      <c r="M357" s="14">
        <v>45782.0</v>
      </c>
      <c r="N357" s="32" t="s">
        <v>795</v>
      </c>
      <c r="O357" s="10" t="s">
        <v>793</v>
      </c>
      <c r="P357" s="12" t="s">
        <v>779</v>
      </c>
      <c r="Q357" s="2"/>
      <c r="R357" s="10">
        <v>12.0</v>
      </c>
      <c r="S357" s="14">
        <v>45782.0</v>
      </c>
      <c r="T357" s="43">
        <v>46147.0</v>
      </c>
      <c r="U357" s="10">
        <f t="shared" si="23"/>
        <v>56</v>
      </c>
      <c r="V357" s="2"/>
      <c r="W357" s="15"/>
      <c r="X357" s="15"/>
      <c r="Y357" s="15"/>
      <c r="Z357" s="15"/>
      <c r="AA357" s="1"/>
      <c r="AB357" s="15"/>
      <c r="AC357" s="15"/>
      <c r="AD357" s="15"/>
      <c r="AE357" s="15"/>
      <c r="AF357" s="2"/>
      <c r="AG357" s="10" t="s">
        <v>706</v>
      </c>
      <c r="AH357" s="30" t="s">
        <v>45</v>
      </c>
      <c r="AI357" s="30" t="s">
        <v>45</v>
      </c>
      <c r="AJ357" s="30" t="s">
        <v>796</v>
      </c>
      <c r="AK357" s="30" t="s">
        <v>45</v>
      </c>
      <c r="AL357" s="30" t="s">
        <v>796</v>
      </c>
      <c r="AM357" s="30" t="s">
        <v>45</v>
      </c>
      <c r="AN357" s="10" t="s">
        <v>320</v>
      </c>
    </row>
    <row r="358" ht="30.0" customHeight="1">
      <c r="A358" s="9" t="str">
        <f t="shared" si="1"/>
        <v>Inativo</v>
      </c>
      <c r="B358" s="9" t="str">
        <f t="shared" si="2"/>
        <v>N/I</v>
      </c>
      <c r="C358" s="9" t="str">
        <f t="shared" si="3"/>
        <v>N/I</v>
      </c>
      <c r="D358" s="10" t="s">
        <v>764</v>
      </c>
      <c r="E358" s="11" t="s">
        <v>765</v>
      </c>
      <c r="F358" s="11" t="s">
        <v>797</v>
      </c>
      <c r="G358" s="12" t="s">
        <v>52</v>
      </c>
      <c r="H358" s="27" t="s">
        <v>798</v>
      </c>
      <c r="I358" s="12" t="s">
        <v>799</v>
      </c>
      <c r="J358" s="10" t="s">
        <v>197</v>
      </c>
      <c r="K358" s="10" t="s">
        <v>40</v>
      </c>
      <c r="L358" s="10" t="s">
        <v>4</v>
      </c>
      <c r="M358" s="14">
        <v>44354.0</v>
      </c>
      <c r="N358" s="11" t="s">
        <v>800</v>
      </c>
      <c r="O358" s="10" t="s">
        <v>801</v>
      </c>
      <c r="P358" s="10" t="s">
        <v>787</v>
      </c>
      <c r="Q358" s="2"/>
      <c r="R358" s="10">
        <v>12.0</v>
      </c>
      <c r="S358" s="14">
        <v>44354.0</v>
      </c>
      <c r="T358" s="14">
        <v>44719.0</v>
      </c>
      <c r="U358" s="10">
        <f t="shared" si="23"/>
        <v>-1372</v>
      </c>
      <c r="V358" s="2"/>
      <c r="W358" s="15"/>
      <c r="X358" s="15"/>
      <c r="Y358" s="15"/>
      <c r="Z358" s="15"/>
      <c r="AA358" s="1"/>
      <c r="AB358" s="15"/>
      <c r="AC358" s="15"/>
      <c r="AD358" s="15"/>
      <c r="AE358" s="15"/>
      <c r="AF358" s="2"/>
      <c r="AG358" s="16" t="s">
        <v>45</v>
      </c>
      <c r="AH358" s="16" t="s">
        <v>45</v>
      </c>
      <c r="AI358" s="16" t="s">
        <v>45</v>
      </c>
      <c r="AJ358" s="16" t="s">
        <v>45</v>
      </c>
      <c r="AK358" s="16" t="s">
        <v>45</v>
      </c>
      <c r="AL358" s="16" t="s">
        <v>45</v>
      </c>
      <c r="AM358" s="16" t="s">
        <v>45</v>
      </c>
      <c r="AN358" s="16" t="s">
        <v>45</v>
      </c>
    </row>
    <row r="359" ht="30.0" customHeight="1">
      <c r="A359" s="9" t="str">
        <f t="shared" si="1"/>
        <v>Inativo</v>
      </c>
      <c r="B359" s="9" t="str">
        <f t="shared" si="2"/>
        <v>N/I</v>
      </c>
      <c r="C359" s="9" t="str">
        <f t="shared" si="3"/>
        <v>N/I</v>
      </c>
      <c r="D359" s="10" t="s">
        <v>764</v>
      </c>
      <c r="E359" s="11" t="s">
        <v>765</v>
      </c>
      <c r="F359" s="11" t="s">
        <v>802</v>
      </c>
      <c r="G359" s="12" t="s">
        <v>52</v>
      </c>
      <c r="H359" s="27" t="s">
        <v>803</v>
      </c>
      <c r="I359" s="12" t="s">
        <v>370</v>
      </c>
      <c r="J359" s="10" t="s">
        <v>89</v>
      </c>
      <c r="K359" s="10" t="s">
        <v>41</v>
      </c>
      <c r="L359" s="10" t="s">
        <v>4</v>
      </c>
      <c r="M359" s="14">
        <v>44260.0</v>
      </c>
      <c r="N359" s="11" t="s">
        <v>804</v>
      </c>
      <c r="O359" s="10" t="s">
        <v>805</v>
      </c>
      <c r="P359" s="10" t="s">
        <v>776</v>
      </c>
      <c r="Q359" s="2"/>
      <c r="R359" s="10">
        <v>12.0</v>
      </c>
      <c r="S359" s="14">
        <v>44260.0</v>
      </c>
      <c r="T359" s="14">
        <v>45804.0</v>
      </c>
      <c r="U359" s="10">
        <f t="shared" si="23"/>
        <v>-287</v>
      </c>
      <c r="V359" s="2"/>
      <c r="W359" s="15"/>
      <c r="X359" s="15"/>
      <c r="Y359" s="15"/>
      <c r="Z359" s="15"/>
      <c r="AA359" s="1"/>
      <c r="AB359" s="15"/>
      <c r="AC359" s="15"/>
      <c r="AD359" s="15"/>
      <c r="AE359" s="15"/>
      <c r="AF359" s="2"/>
      <c r="AG359" s="16" t="s">
        <v>45</v>
      </c>
      <c r="AH359" s="16" t="s">
        <v>45</v>
      </c>
      <c r="AI359" s="16" t="s">
        <v>45</v>
      </c>
      <c r="AJ359" s="16" t="s">
        <v>45</v>
      </c>
      <c r="AK359" s="16" t="s">
        <v>45</v>
      </c>
      <c r="AL359" s="16" t="s">
        <v>45</v>
      </c>
      <c r="AM359" s="16" t="s">
        <v>45</v>
      </c>
      <c r="AN359" s="16" t="s">
        <v>45</v>
      </c>
    </row>
    <row r="360" ht="30.0" customHeight="1">
      <c r="A360" s="9" t="str">
        <f t="shared" si="1"/>
        <v>Inativo</v>
      </c>
      <c r="B360" s="9" t="str">
        <f t="shared" si="2"/>
        <v>N/I</v>
      </c>
      <c r="C360" s="9" t="str">
        <f t="shared" si="3"/>
        <v>N/I</v>
      </c>
      <c r="D360" s="10" t="s">
        <v>764</v>
      </c>
      <c r="E360" s="11" t="s">
        <v>765</v>
      </c>
      <c r="F360" s="11" t="s">
        <v>806</v>
      </c>
      <c r="G360" s="12" t="s">
        <v>52</v>
      </c>
      <c r="H360" s="27" t="s">
        <v>807</v>
      </c>
      <c r="I360" s="12" t="s">
        <v>808</v>
      </c>
      <c r="J360" s="10" t="s">
        <v>222</v>
      </c>
      <c r="K360" s="10" t="s">
        <v>40</v>
      </c>
      <c r="L360" s="10" t="s">
        <v>4</v>
      </c>
      <c r="M360" s="14">
        <v>44148.0</v>
      </c>
      <c r="N360" s="11" t="s">
        <v>809</v>
      </c>
      <c r="O360" s="10" t="s">
        <v>810</v>
      </c>
      <c r="P360" s="10" t="s">
        <v>787</v>
      </c>
      <c r="Q360" s="2"/>
      <c r="R360" s="10">
        <v>12.0</v>
      </c>
      <c r="S360" s="14">
        <v>44148.0</v>
      </c>
      <c r="T360" s="14">
        <v>44513.0</v>
      </c>
      <c r="U360" s="10">
        <f t="shared" si="23"/>
        <v>-1578</v>
      </c>
      <c r="V360" s="2"/>
      <c r="W360" s="15"/>
      <c r="X360" s="15"/>
      <c r="Y360" s="15"/>
      <c r="Z360" s="15"/>
      <c r="AA360" s="1"/>
      <c r="AB360" s="15"/>
      <c r="AC360" s="15"/>
      <c r="AD360" s="15"/>
      <c r="AE360" s="15"/>
      <c r="AF360" s="2"/>
      <c r="AG360" s="16" t="s">
        <v>45</v>
      </c>
      <c r="AH360" s="16" t="s">
        <v>45</v>
      </c>
      <c r="AI360" s="16" t="s">
        <v>45</v>
      </c>
      <c r="AJ360" s="16" t="s">
        <v>45</v>
      </c>
      <c r="AK360" s="16" t="s">
        <v>45</v>
      </c>
      <c r="AL360" s="16" t="s">
        <v>45</v>
      </c>
      <c r="AM360" s="16" t="s">
        <v>45</v>
      </c>
      <c r="AN360" s="16" t="s">
        <v>45</v>
      </c>
    </row>
    <row r="361" ht="30.0" customHeight="1">
      <c r="A361" s="9" t="str">
        <f t="shared" si="1"/>
        <v>Inativo</v>
      </c>
      <c r="B361" s="9" t="str">
        <f t="shared" si="2"/>
        <v>N/I</v>
      </c>
      <c r="C361" s="9" t="str">
        <f t="shared" si="3"/>
        <v>N/I</v>
      </c>
      <c r="D361" s="10" t="s">
        <v>764</v>
      </c>
      <c r="E361" s="11" t="s">
        <v>765</v>
      </c>
      <c r="F361" s="11" t="s">
        <v>806</v>
      </c>
      <c r="G361" s="12" t="s">
        <v>52</v>
      </c>
      <c r="H361" s="27" t="s">
        <v>811</v>
      </c>
      <c r="I361" s="12" t="s">
        <v>808</v>
      </c>
      <c r="J361" s="10" t="s">
        <v>222</v>
      </c>
      <c r="K361" s="10" t="s">
        <v>40</v>
      </c>
      <c r="L361" s="10" t="s">
        <v>4</v>
      </c>
      <c r="M361" s="14">
        <v>44148.0</v>
      </c>
      <c r="N361" s="11" t="s">
        <v>809</v>
      </c>
      <c r="O361" s="10" t="s">
        <v>810</v>
      </c>
      <c r="P361" s="10" t="s">
        <v>787</v>
      </c>
      <c r="Q361" s="2"/>
      <c r="R361" s="10">
        <v>12.0</v>
      </c>
      <c r="S361" s="14">
        <v>44148.0</v>
      </c>
      <c r="T361" s="14">
        <v>44513.0</v>
      </c>
      <c r="U361" s="10">
        <f t="shared" si="23"/>
        <v>-1578</v>
      </c>
      <c r="V361" s="2"/>
      <c r="W361" s="15"/>
      <c r="X361" s="15"/>
      <c r="Y361" s="15"/>
      <c r="Z361" s="15"/>
      <c r="AA361" s="1"/>
      <c r="AB361" s="15"/>
      <c r="AC361" s="15"/>
      <c r="AD361" s="15"/>
      <c r="AE361" s="15"/>
      <c r="AF361" s="2"/>
      <c r="AG361" s="16" t="s">
        <v>45</v>
      </c>
      <c r="AH361" s="16" t="s">
        <v>45</v>
      </c>
      <c r="AI361" s="16" t="s">
        <v>45</v>
      </c>
      <c r="AJ361" s="16" t="s">
        <v>45</v>
      </c>
      <c r="AK361" s="16" t="s">
        <v>45</v>
      </c>
      <c r="AL361" s="16" t="s">
        <v>45</v>
      </c>
      <c r="AM361" s="16" t="s">
        <v>45</v>
      </c>
      <c r="AN361" s="16" t="s">
        <v>45</v>
      </c>
    </row>
    <row r="362" ht="30.0" customHeight="1">
      <c r="A362" s="9" t="str">
        <f t="shared" si="1"/>
        <v>Inativo</v>
      </c>
      <c r="B362" s="9" t="str">
        <f t="shared" si="2"/>
        <v>N/I</v>
      </c>
      <c r="C362" s="9" t="str">
        <f t="shared" si="3"/>
        <v>N/I</v>
      </c>
      <c r="D362" s="10" t="s">
        <v>764</v>
      </c>
      <c r="E362" s="11" t="s">
        <v>765</v>
      </c>
      <c r="F362" s="11" t="s">
        <v>806</v>
      </c>
      <c r="G362" s="12" t="s">
        <v>52</v>
      </c>
      <c r="H362" s="27" t="s">
        <v>812</v>
      </c>
      <c r="I362" s="12" t="s">
        <v>808</v>
      </c>
      <c r="J362" s="10" t="s">
        <v>222</v>
      </c>
      <c r="K362" s="10" t="s">
        <v>40</v>
      </c>
      <c r="L362" s="10" t="s">
        <v>4</v>
      </c>
      <c r="M362" s="14">
        <v>44148.0</v>
      </c>
      <c r="N362" s="11" t="s">
        <v>809</v>
      </c>
      <c r="O362" s="10" t="s">
        <v>810</v>
      </c>
      <c r="P362" s="10" t="s">
        <v>787</v>
      </c>
      <c r="Q362" s="2"/>
      <c r="R362" s="10">
        <v>12.0</v>
      </c>
      <c r="S362" s="14">
        <v>44148.0</v>
      </c>
      <c r="T362" s="14">
        <v>44513.0</v>
      </c>
      <c r="U362" s="10">
        <f t="shared" si="23"/>
        <v>-1578</v>
      </c>
      <c r="V362" s="2"/>
      <c r="W362" s="15"/>
      <c r="X362" s="15"/>
      <c r="Y362" s="15"/>
      <c r="Z362" s="15"/>
      <c r="AA362" s="1"/>
      <c r="AB362" s="15"/>
      <c r="AC362" s="15"/>
      <c r="AD362" s="15"/>
      <c r="AE362" s="15"/>
      <c r="AF362" s="2"/>
      <c r="AG362" s="16" t="s">
        <v>45</v>
      </c>
      <c r="AH362" s="16" t="s">
        <v>45</v>
      </c>
      <c r="AI362" s="16" t="s">
        <v>45</v>
      </c>
      <c r="AJ362" s="16" t="s">
        <v>45</v>
      </c>
      <c r="AK362" s="16" t="s">
        <v>45</v>
      </c>
      <c r="AL362" s="16" t="s">
        <v>45</v>
      </c>
      <c r="AM362" s="16" t="s">
        <v>45</v>
      </c>
      <c r="AN362" s="16" t="s">
        <v>45</v>
      </c>
    </row>
    <row r="363" ht="30.0" customHeight="1">
      <c r="A363" s="9" t="str">
        <f t="shared" si="1"/>
        <v>Inativo</v>
      </c>
      <c r="B363" s="9" t="str">
        <f t="shared" si="2"/>
        <v>N/I</v>
      </c>
      <c r="C363" s="9" t="str">
        <f t="shared" si="3"/>
        <v>N/I</v>
      </c>
      <c r="D363" s="10" t="s">
        <v>764</v>
      </c>
      <c r="E363" s="11" t="s">
        <v>765</v>
      </c>
      <c r="F363" s="11" t="s">
        <v>806</v>
      </c>
      <c r="G363" s="12" t="s">
        <v>52</v>
      </c>
      <c r="H363" s="27" t="s">
        <v>813</v>
      </c>
      <c r="I363" s="12" t="s">
        <v>808</v>
      </c>
      <c r="J363" s="10" t="s">
        <v>222</v>
      </c>
      <c r="K363" s="10" t="s">
        <v>40</v>
      </c>
      <c r="L363" s="10" t="s">
        <v>4</v>
      </c>
      <c r="M363" s="14">
        <v>44148.0</v>
      </c>
      <c r="N363" s="11" t="s">
        <v>809</v>
      </c>
      <c r="O363" s="10" t="s">
        <v>810</v>
      </c>
      <c r="P363" s="10" t="s">
        <v>787</v>
      </c>
      <c r="Q363" s="2"/>
      <c r="R363" s="10">
        <v>12.0</v>
      </c>
      <c r="S363" s="14">
        <v>44148.0</v>
      </c>
      <c r="T363" s="14">
        <v>44513.0</v>
      </c>
      <c r="U363" s="10">
        <f t="shared" si="23"/>
        <v>-1578</v>
      </c>
      <c r="V363" s="2"/>
      <c r="W363" s="15"/>
      <c r="X363" s="15"/>
      <c r="Y363" s="15"/>
      <c r="Z363" s="15"/>
      <c r="AA363" s="1"/>
      <c r="AB363" s="15"/>
      <c r="AC363" s="15"/>
      <c r="AD363" s="15"/>
      <c r="AE363" s="15"/>
      <c r="AF363" s="2"/>
      <c r="AG363" s="16" t="s">
        <v>45</v>
      </c>
      <c r="AH363" s="16" t="s">
        <v>45</v>
      </c>
      <c r="AI363" s="16" t="s">
        <v>45</v>
      </c>
      <c r="AJ363" s="16" t="s">
        <v>45</v>
      </c>
      <c r="AK363" s="16" t="s">
        <v>45</v>
      </c>
      <c r="AL363" s="16" t="s">
        <v>45</v>
      </c>
      <c r="AM363" s="16" t="s">
        <v>45</v>
      </c>
      <c r="AN363" s="16" t="s">
        <v>45</v>
      </c>
    </row>
    <row r="364" ht="30.0" customHeight="1">
      <c r="A364" s="9" t="str">
        <f t="shared" si="1"/>
        <v>Inativo</v>
      </c>
      <c r="B364" s="9" t="str">
        <f t="shared" si="2"/>
        <v>N/I</v>
      </c>
      <c r="C364" s="9" t="str">
        <f t="shared" si="3"/>
        <v>N/I</v>
      </c>
      <c r="D364" s="10" t="s">
        <v>764</v>
      </c>
      <c r="E364" s="11" t="s">
        <v>765</v>
      </c>
      <c r="F364" s="11" t="s">
        <v>806</v>
      </c>
      <c r="G364" s="12" t="s">
        <v>52</v>
      </c>
      <c r="H364" s="27" t="s">
        <v>814</v>
      </c>
      <c r="I364" s="12" t="s">
        <v>808</v>
      </c>
      <c r="J364" s="10" t="s">
        <v>222</v>
      </c>
      <c r="K364" s="10" t="s">
        <v>40</v>
      </c>
      <c r="L364" s="10" t="s">
        <v>4</v>
      </c>
      <c r="M364" s="14">
        <v>44148.0</v>
      </c>
      <c r="N364" s="11" t="s">
        <v>809</v>
      </c>
      <c r="O364" s="10" t="s">
        <v>810</v>
      </c>
      <c r="P364" s="10" t="s">
        <v>787</v>
      </c>
      <c r="Q364" s="2"/>
      <c r="R364" s="10">
        <v>12.0</v>
      </c>
      <c r="S364" s="14">
        <v>44148.0</v>
      </c>
      <c r="T364" s="14">
        <v>44513.0</v>
      </c>
      <c r="U364" s="10">
        <f t="shared" si="23"/>
        <v>-1578</v>
      </c>
      <c r="V364" s="2"/>
      <c r="W364" s="15"/>
      <c r="X364" s="15"/>
      <c r="Y364" s="15"/>
      <c r="Z364" s="15"/>
      <c r="AA364" s="1"/>
      <c r="AB364" s="15"/>
      <c r="AC364" s="15"/>
      <c r="AD364" s="15"/>
      <c r="AE364" s="15"/>
      <c r="AF364" s="2"/>
      <c r="AG364" s="16" t="s">
        <v>45</v>
      </c>
      <c r="AH364" s="16" t="s">
        <v>45</v>
      </c>
      <c r="AI364" s="16" t="s">
        <v>45</v>
      </c>
      <c r="AJ364" s="16" t="s">
        <v>45</v>
      </c>
      <c r="AK364" s="16" t="s">
        <v>45</v>
      </c>
      <c r="AL364" s="16" t="s">
        <v>45</v>
      </c>
      <c r="AM364" s="16" t="s">
        <v>45</v>
      </c>
      <c r="AN364" s="16" t="s">
        <v>45</v>
      </c>
    </row>
    <row r="365" ht="30.0" customHeight="1">
      <c r="A365" s="9" t="str">
        <f t="shared" si="1"/>
        <v>Inativo</v>
      </c>
      <c r="B365" s="9" t="str">
        <f t="shared" si="2"/>
        <v>N/I</v>
      </c>
      <c r="C365" s="9" t="str">
        <f t="shared" si="3"/>
        <v>N/I</v>
      </c>
      <c r="D365" s="10" t="s">
        <v>764</v>
      </c>
      <c r="E365" s="11" t="s">
        <v>765</v>
      </c>
      <c r="F365" s="11" t="s">
        <v>815</v>
      </c>
      <c r="G365" s="12" t="s">
        <v>52</v>
      </c>
      <c r="H365" s="27" t="s">
        <v>816</v>
      </c>
      <c r="I365" s="12" t="s">
        <v>817</v>
      </c>
      <c r="J365" s="10" t="s">
        <v>197</v>
      </c>
      <c r="K365" s="10" t="s">
        <v>40</v>
      </c>
      <c r="L365" s="10" t="s">
        <v>4</v>
      </c>
      <c r="M365" s="14">
        <v>44330.0</v>
      </c>
      <c r="N365" s="11" t="s">
        <v>818</v>
      </c>
      <c r="O365" s="10" t="s">
        <v>819</v>
      </c>
      <c r="P365" s="10" t="s">
        <v>787</v>
      </c>
      <c r="Q365" s="2"/>
      <c r="R365" s="10">
        <v>12.0</v>
      </c>
      <c r="S365" s="14">
        <v>44330.0</v>
      </c>
      <c r="T365" s="14">
        <v>44695.0</v>
      </c>
      <c r="U365" s="10">
        <f t="shared" si="23"/>
        <v>-1396</v>
      </c>
      <c r="V365" s="2"/>
      <c r="W365" s="15"/>
      <c r="X365" s="15"/>
      <c r="Y365" s="15"/>
      <c r="Z365" s="15"/>
      <c r="AA365" s="1"/>
      <c r="AB365" s="15"/>
      <c r="AC365" s="15"/>
      <c r="AD365" s="15"/>
      <c r="AE365" s="15"/>
      <c r="AF365" s="2"/>
      <c r="AG365" s="16" t="s">
        <v>45</v>
      </c>
      <c r="AH365" s="16" t="s">
        <v>45</v>
      </c>
      <c r="AI365" s="16" t="s">
        <v>45</v>
      </c>
      <c r="AJ365" s="16" t="s">
        <v>45</v>
      </c>
      <c r="AK365" s="16" t="s">
        <v>45</v>
      </c>
      <c r="AL365" s="16" t="s">
        <v>45</v>
      </c>
      <c r="AM365" s="16" t="s">
        <v>45</v>
      </c>
      <c r="AN365" s="16" t="s">
        <v>45</v>
      </c>
    </row>
    <row r="366" ht="30.0" customHeight="1">
      <c r="A366" s="9" t="str">
        <f t="shared" si="1"/>
        <v>Inativo</v>
      </c>
      <c r="B366" s="9" t="str">
        <f t="shared" si="2"/>
        <v>N/I</v>
      </c>
      <c r="C366" s="9" t="str">
        <f t="shared" si="3"/>
        <v>N/I</v>
      </c>
      <c r="D366" s="10" t="s">
        <v>764</v>
      </c>
      <c r="E366" s="11" t="s">
        <v>765</v>
      </c>
      <c r="F366" s="11" t="s">
        <v>820</v>
      </c>
      <c r="G366" s="12" t="s">
        <v>52</v>
      </c>
      <c r="H366" s="27" t="s">
        <v>821</v>
      </c>
      <c r="I366" s="12" t="s">
        <v>822</v>
      </c>
      <c r="J366" s="10" t="s">
        <v>197</v>
      </c>
      <c r="K366" s="10" t="s">
        <v>40</v>
      </c>
      <c r="L366" s="10" t="s">
        <v>4</v>
      </c>
      <c r="M366" s="14">
        <v>44256.0</v>
      </c>
      <c r="N366" s="11" t="s">
        <v>823</v>
      </c>
      <c r="O366" s="10" t="s">
        <v>824</v>
      </c>
      <c r="P366" s="10" t="s">
        <v>787</v>
      </c>
      <c r="Q366" s="2"/>
      <c r="R366" s="10">
        <v>12.0</v>
      </c>
      <c r="S366" s="14">
        <v>44256.0</v>
      </c>
      <c r="T366" s="14">
        <v>44621.0</v>
      </c>
      <c r="U366" s="10">
        <f t="shared" si="23"/>
        <v>-1470</v>
      </c>
      <c r="V366" s="2"/>
      <c r="W366" s="15"/>
      <c r="X366" s="15"/>
      <c r="Y366" s="15"/>
      <c r="Z366" s="15"/>
      <c r="AA366" s="1"/>
      <c r="AB366" s="15"/>
      <c r="AC366" s="15"/>
      <c r="AD366" s="15"/>
      <c r="AE366" s="15"/>
      <c r="AF366" s="2"/>
      <c r="AG366" s="16" t="s">
        <v>45</v>
      </c>
      <c r="AH366" s="16" t="s">
        <v>45</v>
      </c>
      <c r="AI366" s="16" t="s">
        <v>45</v>
      </c>
      <c r="AJ366" s="16" t="s">
        <v>45</v>
      </c>
      <c r="AK366" s="16" t="s">
        <v>45</v>
      </c>
      <c r="AL366" s="16" t="s">
        <v>45</v>
      </c>
      <c r="AM366" s="16" t="s">
        <v>45</v>
      </c>
      <c r="AN366" s="16" t="s">
        <v>45</v>
      </c>
    </row>
    <row r="367" ht="30.0" customHeight="1">
      <c r="A367" s="9" t="str">
        <f t="shared" si="1"/>
        <v>Inativo</v>
      </c>
      <c r="B367" s="9" t="str">
        <f t="shared" si="2"/>
        <v>N/I</v>
      </c>
      <c r="C367" s="9" t="str">
        <f t="shared" si="3"/>
        <v>N/I</v>
      </c>
      <c r="D367" s="10" t="s">
        <v>764</v>
      </c>
      <c r="E367" s="11" t="s">
        <v>765</v>
      </c>
      <c r="F367" s="11" t="s">
        <v>820</v>
      </c>
      <c r="G367" s="12" t="s">
        <v>52</v>
      </c>
      <c r="H367" s="27" t="s">
        <v>825</v>
      </c>
      <c r="I367" s="12" t="s">
        <v>822</v>
      </c>
      <c r="J367" s="10" t="s">
        <v>197</v>
      </c>
      <c r="K367" s="10" t="s">
        <v>40</v>
      </c>
      <c r="L367" s="10" t="s">
        <v>4</v>
      </c>
      <c r="M367" s="14">
        <v>44256.0</v>
      </c>
      <c r="N367" s="11" t="s">
        <v>823</v>
      </c>
      <c r="O367" s="10" t="s">
        <v>824</v>
      </c>
      <c r="P367" s="10" t="s">
        <v>787</v>
      </c>
      <c r="Q367" s="2"/>
      <c r="R367" s="10">
        <v>12.0</v>
      </c>
      <c r="S367" s="14">
        <v>44256.0</v>
      </c>
      <c r="T367" s="14">
        <v>44621.0</v>
      </c>
      <c r="U367" s="10">
        <f t="shared" si="23"/>
        <v>-1470</v>
      </c>
      <c r="V367" s="2"/>
      <c r="W367" s="15"/>
      <c r="X367" s="15"/>
      <c r="Y367" s="15"/>
      <c r="Z367" s="15"/>
      <c r="AA367" s="1"/>
      <c r="AB367" s="15"/>
      <c r="AC367" s="15"/>
      <c r="AD367" s="15"/>
      <c r="AE367" s="15"/>
      <c r="AF367" s="2"/>
      <c r="AG367" s="16" t="s">
        <v>45</v>
      </c>
      <c r="AH367" s="16" t="s">
        <v>45</v>
      </c>
      <c r="AI367" s="16" t="s">
        <v>45</v>
      </c>
      <c r="AJ367" s="16" t="s">
        <v>45</v>
      </c>
      <c r="AK367" s="16" t="s">
        <v>45</v>
      </c>
      <c r="AL367" s="16" t="s">
        <v>45</v>
      </c>
      <c r="AM367" s="16" t="s">
        <v>45</v>
      </c>
      <c r="AN367" s="16" t="s">
        <v>45</v>
      </c>
    </row>
    <row r="368" ht="30.0" customHeight="1">
      <c r="A368" s="9" t="str">
        <f t="shared" si="1"/>
        <v>Inativo</v>
      </c>
      <c r="B368" s="9" t="str">
        <f t="shared" si="2"/>
        <v>N/I</v>
      </c>
      <c r="C368" s="9" t="str">
        <f t="shared" si="3"/>
        <v>N/I</v>
      </c>
      <c r="D368" s="10" t="s">
        <v>764</v>
      </c>
      <c r="E368" s="11" t="s">
        <v>765</v>
      </c>
      <c r="F368" s="11" t="s">
        <v>820</v>
      </c>
      <c r="G368" s="12" t="s">
        <v>52</v>
      </c>
      <c r="H368" s="27" t="s">
        <v>826</v>
      </c>
      <c r="I368" s="12" t="s">
        <v>822</v>
      </c>
      <c r="J368" s="10" t="s">
        <v>197</v>
      </c>
      <c r="K368" s="10" t="s">
        <v>40</v>
      </c>
      <c r="L368" s="10" t="s">
        <v>4</v>
      </c>
      <c r="M368" s="14">
        <v>44259.0</v>
      </c>
      <c r="N368" s="11" t="s">
        <v>823</v>
      </c>
      <c r="O368" s="10" t="s">
        <v>824</v>
      </c>
      <c r="P368" s="10" t="s">
        <v>787</v>
      </c>
      <c r="Q368" s="2"/>
      <c r="R368" s="10">
        <v>12.0</v>
      </c>
      <c r="S368" s="14">
        <v>44259.0</v>
      </c>
      <c r="T368" s="14">
        <v>44624.0</v>
      </c>
      <c r="U368" s="10">
        <f t="shared" si="23"/>
        <v>-1467</v>
      </c>
      <c r="V368" s="2"/>
      <c r="W368" s="15"/>
      <c r="X368" s="15"/>
      <c r="Y368" s="15"/>
      <c r="Z368" s="15"/>
      <c r="AA368" s="1"/>
      <c r="AB368" s="15"/>
      <c r="AC368" s="15"/>
      <c r="AD368" s="15"/>
      <c r="AE368" s="15"/>
      <c r="AF368" s="2"/>
      <c r="AG368" s="16" t="s">
        <v>45</v>
      </c>
      <c r="AH368" s="16" t="s">
        <v>45</v>
      </c>
      <c r="AI368" s="16" t="s">
        <v>45</v>
      </c>
      <c r="AJ368" s="16" t="s">
        <v>45</v>
      </c>
      <c r="AK368" s="16" t="s">
        <v>45</v>
      </c>
      <c r="AL368" s="16" t="s">
        <v>45</v>
      </c>
      <c r="AM368" s="16" t="s">
        <v>45</v>
      </c>
      <c r="AN368" s="16" t="s">
        <v>45</v>
      </c>
    </row>
    <row r="369" ht="30.0" customHeight="1">
      <c r="A369" s="9" t="str">
        <f t="shared" si="1"/>
        <v>Inativo</v>
      </c>
      <c r="B369" s="9" t="str">
        <f t="shared" si="2"/>
        <v>N/I</v>
      </c>
      <c r="C369" s="9" t="str">
        <f t="shared" si="3"/>
        <v>N/I</v>
      </c>
      <c r="D369" s="10" t="s">
        <v>764</v>
      </c>
      <c r="E369" s="11" t="s">
        <v>765</v>
      </c>
      <c r="F369" s="11" t="s">
        <v>820</v>
      </c>
      <c r="G369" s="12" t="s">
        <v>52</v>
      </c>
      <c r="H369" s="27" t="s">
        <v>827</v>
      </c>
      <c r="I369" s="12" t="s">
        <v>822</v>
      </c>
      <c r="J369" s="10" t="s">
        <v>197</v>
      </c>
      <c r="K369" s="10" t="s">
        <v>40</v>
      </c>
      <c r="L369" s="10" t="s">
        <v>4</v>
      </c>
      <c r="M369" s="14">
        <v>44351.0</v>
      </c>
      <c r="N369" s="11" t="s">
        <v>823</v>
      </c>
      <c r="O369" s="10" t="s">
        <v>824</v>
      </c>
      <c r="P369" s="10" t="s">
        <v>787</v>
      </c>
      <c r="Q369" s="2"/>
      <c r="R369" s="10">
        <v>12.0</v>
      </c>
      <c r="S369" s="14">
        <v>44351.0</v>
      </c>
      <c r="T369" s="14">
        <v>44716.0</v>
      </c>
      <c r="U369" s="10">
        <f t="shared" si="23"/>
        <v>-1375</v>
      </c>
      <c r="V369" s="2"/>
      <c r="W369" s="15"/>
      <c r="X369" s="15"/>
      <c r="Y369" s="15"/>
      <c r="Z369" s="15"/>
      <c r="AA369" s="1"/>
      <c r="AB369" s="15"/>
      <c r="AC369" s="15"/>
      <c r="AD369" s="15"/>
      <c r="AE369" s="15"/>
      <c r="AF369" s="2"/>
      <c r="AG369" s="16" t="s">
        <v>45</v>
      </c>
      <c r="AH369" s="16" t="s">
        <v>45</v>
      </c>
      <c r="AI369" s="16" t="s">
        <v>45</v>
      </c>
      <c r="AJ369" s="16" t="s">
        <v>45</v>
      </c>
      <c r="AK369" s="16" t="s">
        <v>45</v>
      </c>
      <c r="AL369" s="16" t="s">
        <v>45</v>
      </c>
      <c r="AM369" s="16" t="s">
        <v>45</v>
      </c>
      <c r="AN369" s="16" t="s">
        <v>45</v>
      </c>
    </row>
    <row r="370" ht="30.0" customHeight="1">
      <c r="A370" s="9" t="str">
        <f t="shared" si="1"/>
        <v>Inativo</v>
      </c>
      <c r="B370" s="9" t="str">
        <f t="shared" si="2"/>
        <v>N/I</v>
      </c>
      <c r="C370" s="9" t="str">
        <f t="shared" si="3"/>
        <v>N/I</v>
      </c>
      <c r="D370" s="10" t="s">
        <v>764</v>
      </c>
      <c r="E370" s="11" t="s">
        <v>765</v>
      </c>
      <c r="F370" s="11" t="s">
        <v>820</v>
      </c>
      <c r="G370" s="12" t="s">
        <v>52</v>
      </c>
      <c r="H370" s="27" t="s">
        <v>828</v>
      </c>
      <c r="I370" s="12" t="s">
        <v>822</v>
      </c>
      <c r="J370" s="10" t="s">
        <v>197</v>
      </c>
      <c r="K370" s="10" t="s">
        <v>40</v>
      </c>
      <c r="L370" s="10" t="s">
        <v>4</v>
      </c>
      <c r="M370" s="14">
        <v>44419.0</v>
      </c>
      <c r="N370" s="11" t="s">
        <v>823</v>
      </c>
      <c r="O370" s="10" t="s">
        <v>824</v>
      </c>
      <c r="P370" s="10" t="s">
        <v>787</v>
      </c>
      <c r="Q370" s="2"/>
      <c r="R370" s="10">
        <v>12.0</v>
      </c>
      <c r="S370" s="14">
        <v>44419.0</v>
      </c>
      <c r="T370" s="14">
        <v>44784.0</v>
      </c>
      <c r="U370" s="10">
        <f t="shared" si="23"/>
        <v>-1307</v>
      </c>
      <c r="V370" s="2"/>
      <c r="W370" s="15"/>
      <c r="X370" s="15"/>
      <c r="Y370" s="15"/>
      <c r="Z370" s="15"/>
      <c r="AA370" s="1"/>
      <c r="AB370" s="15"/>
      <c r="AC370" s="15"/>
      <c r="AD370" s="15"/>
      <c r="AE370" s="15"/>
      <c r="AF370" s="2"/>
      <c r="AG370" s="16" t="s">
        <v>45</v>
      </c>
      <c r="AH370" s="16" t="s">
        <v>45</v>
      </c>
      <c r="AI370" s="16" t="s">
        <v>45</v>
      </c>
      <c r="AJ370" s="16" t="s">
        <v>45</v>
      </c>
      <c r="AK370" s="16" t="s">
        <v>45</v>
      </c>
      <c r="AL370" s="16" t="s">
        <v>45</v>
      </c>
      <c r="AM370" s="16" t="s">
        <v>45</v>
      </c>
      <c r="AN370" s="16" t="s">
        <v>45</v>
      </c>
    </row>
    <row r="371" ht="30.0" customHeight="1">
      <c r="A371" s="9" t="str">
        <f t="shared" si="1"/>
        <v>Inativo</v>
      </c>
      <c r="B371" s="9" t="str">
        <f t="shared" si="2"/>
        <v>N/I</v>
      </c>
      <c r="C371" s="9" t="str">
        <f t="shared" si="3"/>
        <v>N/I</v>
      </c>
      <c r="D371" s="10" t="s">
        <v>764</v>
      </c>
      <c r="E371" s="11" t="s">
        <v>765</v>
      </c>
      <c r="F371" s="11" t="s">
        <v>829</v>
      </c>
      <c r="G371" s="12" t="s">
        <v>52</v>
      </c>
      <c r="H371" s="27" t="s">
        <v>830</v>
      </c>
      <c r="I371" s="12" t="s">
        <v>70</v>
      </c>
      <c r="J371" s="10" t="s">
        <v>63</v>
      </c>
      <c r="K371" s="10" t="s">
        <v>41</v>
      </c>
      <c r="L371" s="10" t="s">
        <v>4</v>
      </c>
      <c r="M371" s="14">
        <v>44258.0</v>
      </c>
      <c r="N371" s="11" t="s">
        <v>831</v>
      </c>
      <c r="O371" s="10" t="s">
        <v>832</v>
      </c>
      <c r="P371" s="10" t="s">
        <v>776</v>
      </c>
      <c r="Q371" s="2"/>
      <c r="R371" s="10">
        <v>12.0</v>
      </c>
      <c r="S371" s="14">
        <v>44258.0</v>
      </c>
      <c r="T371" s="14">
        <v>45804.0</v>
      </c>
      <c r="U371" s="10">
        <f t="shared" si="23"/>
        <v>-287</v>
      </c>
      <c r="V371" s="2"/>
      <c r="W371" s="15"/>
      <c r="X371" s="15"/>
      <c r="Y371" s="15"/>
      <c r="Z371" s="15"/>
      <c r="AA371" s="1"/>
      <c r="AB371" s="15"/>
      <c r="AC371" s="15"/>
      <c r="AD371" s="15"/>
      <c r="AE371" s="15"/>
      <c r="AF371" s="2"/>
      <c r="AG371" s="16" t="s">
        <v>45</v>
      </c>
      <c r="AH371" s="16" t="s">
        <v>45</v>
      </c>
      <c r="AI371" s="16" t="s">
        <v>45</v>
      </c>
      <c r="AJ371" s="16" t="s">
        <v>45</v>
      </c>
      <c r="AK371" s="16" t="s">
        <v>45</v>
      </c>
      <c r="AL371" s="16" t="s">
        <v>45</v>
      </c>
      <c r="AM371" s="16" t="s">
        <v>45</v>
      </c>
      <c r="AN371" s="16" t="s">
        <v>45</v>
      </c>
    </row>
    <row r="372" ht="30.0" customHeight="1">
      <c r="A372" s="9" t="str">
        <f t="shared" si="1"/>
        <v>Inativo</v>
      </c>
      <c r="B372" s="9" t="str">
        <f t="shared" si="2"/>
        <v>N/I</v>
      </c>
      <c r="C372" s="9" t="str">
        <f t="shared" si="3"/>
        <v>N/I</v>
      </c>
      <c r="D372" s="10" t="s">
        <v>764</v>
      </c>
      <c r="E372" s="11" t="s">
        <v>765</v>
      </c>
      <c r="F372" s="11" t="s">
        <v>829</v>
      </c>
      <c r="G372" s="12" t="s">
        <v>68</v>
      </c>
      <c r="H372" s="27" t="s">
        <v>833</v>
      </c>
      <c r="I372" s="12" t="s">
        <v>70</v>
      </c>
      <c r="J372" s="10" t="s">
        <v>63</v>
      </c>
      <c r="K372" s="10" t="s">
        <v>41</v>
      </c>
      <c r="L372" s="10" t="s">
        <v>4</v>
      </c>
      <c r="M372" s="14">
        <v>45646.0</v>
      </c>
      <c r="N372" s="11" t="s">
        <v>831</v>
      </c>
      <c r="O372" s="10" t="s">
        <v>832</v>
      </c>
      <c r="P372" s="12" t="s">
        <v>779</v>
      </c>
      <c r="Q372" s="2"/>
      <c r="R372" s="10">
        <v>12.0</v>
      </c>
      <c r="S372" s="14">
        <v>45646.0</v>
      </c>
      <c r="T372" s="14">
        <v>46011.0</v>
      </c>
      <c r="U372" s="10">
        <f t="shared" si="23"/>
        <v>-80</v>
      </c>
      <c r="V372" s="2"/>
      <c r="W372" s="15"/>
      <c r="X372" s="15"/>
      <c r="Y372" s="15"/>
      <c r="Z372" s="15"/>
      <c r="AA372" s="1"/>
      <c r="AB372" s="15"/>
      <c r="AC372" s="15"/>
      <c r="AD372" s="15"/>
      <c r="AE372" s="15"/>
      <c r="AF372" s="2"/>
      <c r="AG372" s="10" t="s">
        <v>706</v>
      </c>
      <c r="AH372" s="30" t="s">
        <v>45</v>
      </c>
      <c r="AI372" s="30" t="s">
        <v>45</v>
      </c>
      <c r="AJ372" s="30" t="s">
        <v>780</v>
      </c>
      <c r="AK372" s="30" t="s">
        <v>45</v>
      </c>
      <c r="AL372" s="30" t="s">
        <v>780</v>
      </c>
      <c r="AM372" s="30" t="s">
        <v>45</v>
      </c>
      <c r="AN372" s="10" t="s">
        <v>320</v>
      </c>
    </row>
    <row r="373" ht="30.0" customHeight="1">
      <c r="A373" s="9" t="str">
        <f t="shared" si="1"/>
        <v>Inativo</v>
      </c>
      <c r="B373" s="9" t="str">
        <f t="shared" si="2"/>
        <v>N/I</v>
      </c>
      <c r="C373" s="9" t="str">
        <f t="shared" si="3"/>
        <v>N/I</v>
      </c>
      <c r="D373" s="10" t="s">
        <v>764</v>
      </c>
      <c r="E373" s="11" t="s">
        <v>765</v>
      </c>
      <c r="F373" s="11" t="s">
        <v>834</v>
      </c>
      <c r="G373" s="12" t="s">
        <v>52</v>
      </c>
      <c r="H373" s="27" t="s">
        <v>835</v>
      </c>
      <c r="I373" s="12" t="s">
        <v>836</v>
      </c>
      <c r="J373" s="10" t="s">
        <v>837</v>
      </c>
      <c r="K373" s="10" t="s">
        <v>209</v>
      </c>
      <c r="L373" s="10" t="s">
        <v>4</v>
      </c>
      <c r="M373" s="14">
        <v>44247.0</v>
      </c>
      <c r="N373" s="11" t="s">
        <v>838</v>
      </c>
      <c r="O373" s="10" t="s">
        <v>839</v>
      </c>
      <c r="P373" s="10" t="s">
        <v>771</v>
      </c>
      <c r="Q373" s="2"/>
      <c r="R373" s="10">
        <v>12.0</v>
      </c>
      <c r="S373" s="14">
        <v>44247.0</v>
      </c>
      <c r="T373" s="14">
        <v>44612.0</v>
      </c>
      <c r="U373" s="10">
        <f t="shared" si="23"/>
        <v>-1479</v>
      </c>
      <c r="V373" s="2"/>
      <c r="W373" s="15"/>
      <c r="X373" s="15"/>
      <c r="Y373" s="15"/>
      <c r="Z373" s="15"/>
      <c r="AA373" s="1"/>
      <c r="AB373" s="15"/>
      <c r="AC373" s="15"/>
      <c r="AD373" s="15"/>
      <c r="AE373" s="15"/>
      <c r="AF373" s="2"/>
      <c r="AG373" s="16" t="s">
        <v>45</v>
      </c>
      <c r="AH373" s="16" t="s">
        <v>45</v>
      </c>
      <c r="AI373" s="16" t="s">
        <v>45</v>
      </c>
      <c r="AJ373" s="16" t="s">
        <v>45</v>
      </c>
      <c r="AK373" s="16" t="s">
        <v>45</v>
      </c>
      <c r="AL373" s="16" t="s">
        <v>45</v>
      </c>
      <c r="AM373" s="16" t="s">
        <v>45</v>
      </c>
      <c r="AN373" s="16" t="s">
        <v>45</v>
      </c>
    </row>
    <row r="374" ht="30.0" customHeight="1">
      <c r="A374" s="9" t="str">
        <f t="shared" si="1"/>
        <v>Inativo</v>
      </c>
      <c r="B374" s="9" t="str">
        <f t="shared" si="2"/>
        <v>N/I</v>
      </c>
      <c r="C374" s="9" t="str">
        <f t="shared" si="3"/>
        <v>N/I</v>
      </c>
      <c r="D374" s="10" t="s">
        <v>764</v>
      </c>
      <c r="E374" s="11" t="s">
        <v>765</v>
      </c>
      <c r="F374" s="11" t="s">
        <v>834</v>
      </c>
      <c r="G374" s="12" t="s">
        <v>68</v>
      </c>
      <c r="H374" s="27" t="s">
        <v>840</v>
      </c>
      <c r="I374" s="12" t="s">
        <v>836</v>
      </c>
      <c r="J374" s="10" t="s">
        <v>837</v>
      </c>
      <c r="K374" s="10" t="s">
        <v>209</v>
      </c>
      <c r="L374" s="10" t="s">
        <v>4</v>
      </c>
      <c r="M374" s="14">
        <v>45665.0</v>
      </c>
      <c r="N374" s="11" t="s">
        <v>841</v>
      </c>
      <c r="O374" s="10" t="s">
        <v>842</v>
      </c>
      <c r="P374" s="12" t="s">
        <v>779</v>
      </c>
      <c r="Q374" s="2"/>
      <c r="R374" s="10">
        <v>12.0</v>
      </c>
      <c r="S374" s="14">
        <v>45665.0</v>
      </c>
      <c r="T374" s="43">
        <v>46030.0</v>
      </c>
      <c r="U374" s="10">
        <f t="shared" si="23"/>
        <v>-61</v>
      </c>
      <c r="V374" s="2"/>
      <c r="W374" s="15"/>
      <c r="X374" s="15"/>
      <c r="Y374" s="15"/>
      <c r="Z374" s="15"/>
      <c r="AA374" s="1"/>
      <c r="AB374" s="15"/>
      <c r="AC374" s="15"/>
      <c r="AD374" s="15"/>
      <c r="AE374" s="15"/>
      <c r="AF374" s="2"/>
      <c r="AG374" s="10" t="s">
        <v>706</v>
      </c>
      <c r="AH374" s="30" t="s">
        <v>45</v>
      </c>
      <c r="AI374" s="30" t="s">
        <v>45</v>
      </c>
      <c r="AJ374" s="30" t="s">
        <v>796</v>
      </c>
      <c r="AK374" s="30" t="s">
        <v>45</v>
      </c>
      <c r="AL374" s="30" t="s">
        <v>796</v>
      </c>
      <c r="AM374" s="30" t="s">
        <v>45</v>
      </c>
      <c r="AN374" s="10" t="s">
        <v>320</v>
      </c>
    </row>
    <row r="375" ht="30.0" customHeight="1">
      <c r="A375" s="9" t="str">
        <f t="shared" si="1"/>
        <v>Inativo</v>
      </c>
      <c r="B375" s="9" t="str">
        <f t="shared" si="2"/>
        <v>N/I</v>
      </c>
      <c r="C375" s="9" t="str">
        <f t="shared" si="3"/>
        <v>N/I</v>
      </c>
      <c r="D375" s="10" t="s">
        <v>764</v>
      </c>
      <c r="E375" s="11" t="s">
        <v>765</v>
      </c>
      <c r="F375" s="11" t="s">
        <v>843</v>
      </c>
      <c r="G375" s="12" t="s">
        <v>52</v>
      </c>
      <c r="H375" s="27" t="s">
        <v>844</v>
      </c>
      <c r="I375" s="12" t="s">
        <v>100</v>
      </c>
      <c r="J375" s="10" t="s">
        <v>101</v>
      </c>
      <c r="K375" s="10" t="s">
        <v>41</v>
      </c>
      <c r="L375" s="10" t="s">
        <v>4</v>
      </c>
      <c r="M375" s="14">
        <v>44257.0</v>
      </c>
      <c r="N375" s="11" t="s">
        <v>845</v>
      </c>
      <c r="O375" s="10" t="s">
        <v>846</v>
      </c>
      <c r="P375" s="10" t="s">
        <v>776</v>
      </c>
      <c r="Q375" s="2"/>
      <c r="R375" s="10">
        <v>12.0</v>
      </c>
      <c r="S375" s="14">
        <v>44257.0</v>
      </c>
      <c r="T375" s="14">
        <v>45804.0</v>
      </c>
      <c r="U375" s="10">
        <f t="shared" si="23"/>
        <v>-287</v>
      </c>
      <c r="V375" s="2"/>
      <c r="W375" s="15"/>
      <c r="X375" s="15"/>
      <c r="Y375" s="15"/>
      <c r="Z375" s="15"/>
      <c r="AA375" s="1"/>
      <c r="AB375" s="15"/>
      <c r="AC375" s="15"/>
      <c r="AD375" s="15"/>
      <c r="AE375" s="15"/>
      <c r="AF375" s="2"/>
      <c r="AG375" s="16" t="s">
        <v>45</v>
      </c>
      <c r="AH375" s="16" t="s">
        <v>45</v>
      </c>
      <c r="AI375" s="16" t="s">
        <v>45</v>
      </c>
      <c r="AJ375" s="16" t="s">
        <v>45</v>
      </c>
      <c r="AK375" s="16" t="s">
        <v>45</v>
      </c>
      <c r="AL375" s="16" t="s">
        <v>45</v>
      </c>
      <c r="AM375" s="16" t="s">
        <v>45</v>
      </c>
      <c r="AN375" s="16" t="s">
        <v>45</v>
      </c>
    </row>
    <row r="376" ht="30.0" customHeight="1">
      <c r="A376" s="9" t="str">
        <f t="shared" si="1"/>
        <v>Inativo</v>
      </c>
      <c r="B376" s="9" t="str">
        <f t="shared" si="2"/>
        <v>N/I</v>
      </c>
      <c r="C376" s="9" t="str">
        <f t="shared" si="3"/>
        <v>N/I</v>
      </c>
      <c r="D376" s="10" t="s">
        <v>764</v>
      </c>
      <c r="E376" s="11" t="s">
        <v>765</v>
      </c>
      <c r="F376" s="11" t="s">
        <v>843</v>
      </c>
      <c r="G376" s="12" t="s">
        <v>68</v>
      </c>
      <c r="H376" s="27" t="s">
        <v>847</v>
      </c>
      <c r="I376" s="12" t="s">
        <v>100</v>
      </c>
      <c r="J376" s="10" t="s">
        <v>101</v>
      </c>
      <c r="K376" s="10" t="s">
        <v>41</v>
      </c>
      <c r="L376" s="10" t="s">
        <v>4</v>
      </c>
      <c r="M376" s="14">
        <v>45666.0</v>
      </c>
      <c r="N376" s="11" t="s">
        <v>848</v>
      </c>
      <c r="O376" s="10" t="s">
        <v>849</v>
      </c>
      <c r="P376" s="12" t="s">
        <v>779</v>
      </c>
      <c r="Q376" s="2"/>
      <c r="R376" s="10">
        <v>12.0</v>
      </c>
      <c r="S376" s="14">
        <v>45666.0</v>
      </c>
      <c r="T376" s="43">
        <v>46031.0</v>
      </c>
      <c r="U376" s="10">
        <f t="shared" si="23"/>
        <v>-60</v>
      </c>
      <c r="V376" s="2"/>
      <c r="W376" s="15"/>
      <c r="X376" s="15"/>
      <c r="Y376" s="15"/>
      <c r="Z376" s="15"/>
      <c r="AA376" s="1"/>
      <c r="AB376" s="15"/>
      <c r="AC376" s="15"/>
      <c r="AD376" s="15"/>
      <c r="AE376" s="15"/>
      <c r="AF376" s="2"/>
      <c r="AG376" s="10" t="s">
        <v>706</v>
      </c>
      <c r="AH376" s="30" t="s">
        <v>45</v>
      </c>
      <c r="AI376" s="30" t="s">
        <v>45</v>
      </c>
      <c r="AJ376" s="30" t="s">
        <v>780</v>
      </c>
      <c r="AK376" s="30" t="s">
        <v>45</v>
      </c>
      <c r="AL376" s="30" t="s">
        <v>780</v>
      </c>
      <c r="AM376" s="30" t="s">
        <v>45</v>
      </c>
      <c r="AN376" s="10" t="s">
        <v>320</v>
      </c>
    </row>
    <row r="377" ht="30.0" customHeight="1">
      <c r="A377" s="9" t="str">
        <f t="shared" si="1"/>
        <v>Inativo</v>
      </c>
      <c r="B377" s="9" t="str">
        <f t="shared" si="2"/>
        <v>N/I</v>
      </c>
      <c r="C377" s="9" t="str">
        <f t="shared" si="3"/>
        <v>N/I</v>
      </c>
      <c r="D377" s="10" t="s">
        <v>764</v>
      </c>
      <c r="E377" s="11" t="s">
        <v>765</v>
      </c>
      <c r="F377" s="11" t="s">
        <v>850</v>
      </c>
      <c r="G377" s="12" t="s">
        <v>52</v>
      </c>
      <c r="H377" s="27" t="s">
        <v>851</v>
      </c>
      <c r="I377" s="12" t="s">
        <v>720</v>
      </c>
      <c r="J377" s="10" t="s">
        <v>721</v>
      </c>
      <c r="K377" s="10" t="s">
        <v>209</v>
      </c>
      <c r="L377" s="10" t="s">
        <v>4</v>
      </c>
      <c r="M377" s="14">
        <v>44267.0</v>
      </c>
      <c r="N377" s="11" t="s">
        <v>852</v>
      </c>
      <c r="O377" s="10" t="s">
        <v>853</v>
      </c>
      <c r="P377" s="10" t="s">
        <v>771</v>
      </c>
      <c r="Q377" s="2"/>
      <c r="R377" s="10">
        <v>12.0</v>
      </c>
      <c r="S377" s="14">
        <v>44267.0</v>
      </c>
      <c r="T377" s="14">
        <v>44632.0</v>
      </c>
      <c r="U377" s="10">
        <f t="shared" si="23"/>
        <v>-1459</v>
      </c>
      <c r="V377" s="2"/>
      <c r="W377" s="15"/>
      <c r="X377" s="15"/>
      <c r="Y377" s="15"/>
      <c r="Z377" s="15"/>
      <c r="AA377" s="1"/>
      <c r="AB377" s="15"/>
      <c r="AC377" s="15"/>
      <c r="AD377" s="15"/>
      <c r="AE377" s="15"/>
      <c r="AF377" s="2"/>
      <c r="AG377" s="16" t="s">
        <v>45</v>
      </c>
      <c r="AH377" s="16" t="s">
        <v>45</v>
      </c>
      <c r="AI377" s="16" t="s">
        <v>45</v>
      </c>
      <c r="AJ377" s="16" t="s">
        <v>45</v>
      </c>
      <c r="AK377" s="16" t="s">
        <v>45</v>
      </c>
      <c r="AL377" s="16" t="s">
        <v>45</v>
      </c>
      <c r="AM377" s="16" t="s">
        <v>45</v>
      </c>
      <c r="AN377" s="16" t="s">
        <v>45</v>
      </c>
    </row>
    <row r="378" ht="30.0" customHeight="1">
      <c r="A378" s="9" t="str">
        <f t="shared" si="1"/>
        <v>Inativo</v>
      </c>
      <c r="B378" s="9" t="str">
        <f t="shared" si="2"/>
        <v>N/I</v>
      </c>
      <c r="C378" s="9" t="str">
        <f t="shared" si="3"/>
        <v>N/I</v>
      </c>
      <c r="D378" s="10" t="s">
        <v>764</v>
      </c>
      <c r="E378" s="11" t="s">
        <v>765</v>
      </c>
      <c r="F378" s="11" t="s">
        <v>850</v>
      </c>
      <c r="G378" s="12" t="s">
        <v>52</v>
      </c>
      <c r="H378" s="27" t="s">
        <v>854</v>
      </c>
      <c r="I378" s="12" t="s">
        <v>720</v>
      </c>
      <c r="J378" s="10" t="s">
        <v>721</v>
      </c>
      <c r="K378" s="10" t="s">
        <v>209</v>
      </c>
      <c r="L378" s="10" t="s">
        <v>4</v>
      </c>
      <c r="M378" s="14">
        <v>45673.0</v>
      </c>
      <c r="N378" s="11" t="s">
        <v>852</v>
      </c>
      <c r="O378" s="10" t="s">
        <v>853</v>
      </c>
      <c r="P378" s="12" t="s">
        <v>779</v>
      </c>
      <c r="Q378" s="2"/>
      <c r="R378" s="10">
        <v>12.0</v>
      </c>
      <c r="S378" s="14">
        <v>45673.0</v>
      </c>
      <c r="T378" s="43">
        <v>46038.0</v>
      </c>
      <c r="U378" s="10">
        <f t="shared" si="23"/>
        <v>-53</v>
      </c>
      <c r="V378" s="2"/>
      <c r="W378" s="15"/>
      <c r="X378" s="15"/>
      <c r="Y378" s="15"/>
      <c r="Z378" s="15"/>
      <c r="AA378" s="1"/>
      <c r="AB378" s="15"/>
      <c r="AC378" s="15"/>
      <c r="AD378" s="15"/>
      <c r="AE378" s="15"/>
      <c r="AF378" s="2"/>
      <c r="AG378" s="10" t="s">
        <v>706</v>
      </c>
      <c r="AH378" s="30" t="s">
        <v>45</v>
      </c>
      <c r="AI378" s="30" t="s">
        <v>45</v>
      </c>
      <c r="AJ378" s="30" t="s">
        <v>796</v>
      </c>
      <c r="AK378" s="30" t="s">
        <v>45</v>
      </c>
      <c r="AL378" s="30" t="s">
        <v>796</v>
      </c>
      <c r="AM378" s="30" t="s">
        <v>45</v>
      </c>
      <c r="AN378" s="10" t="s">
        <v>320</v>
      </c>
    </row>
    <row r="379" ht="30.0" customHeight="1">
      <c r="A379" s="9" t="str">
        <f t="shared" si="1"/>
        <v>Inativo</v>
      </c>
      <c r="B379" s="9" t="str">
        <f t="shared" si="2"/>
        <v>N/I</v>
      </c>
      <c r="C379" s="9" t="str">
        <f t="shared" si="3"/>
        <v>N/I</v>
      </c>
      <c r="D379" s="10" t="s">
        <v>764</v>
      </c>
      <c r="E379" s="11" t="s">
        <v>765</v>
      </c>
      <c r="F379" s="11" t="s">
        <v>855</v>
      </c>
      <c r="G379" s="12" t="s">
        <v>52</v>
      </c>
      <c r="H379" s="27" t="s">
        <v>856</v>
      </c>
      <c r="I379" s="12" t="s">
        <v>857</v>
      </c>
      <c r="J379" s="10" t="s">
        <v>858</v>
      </c>
      <c r="K379" s="10" t="s">
        <v>41</v>
      </c>
      <c r="L379" s="10" t="s">
        <v>4</v>
      </c>
      <c r="M379" s="14">
        <v>44337.0</v>
      </c>
      <c r="N379" s="11" t="s">
        <v>859</v>
      </c>
      <c r="O379" s="10" t="s">
        <v>860</v>
      </c>
      <c r="P379" s="10" t="s">
        <v>776</v>
      </c>
      <c r="Q379" s="2"/>
      <c r="R379" s="10">
        <v>12.0</v>
      </c>
      <c r="S379" s="14">
        <v>44337.0</v>
      </c>
      <c r="T379" s="14">
        <v>45804.0</v>
      </c>
      <c r="U379" s="10">
        <f t="shared" si="23"/>
        <v>-287</v>
      </c>
      <c r="V379" s="2"/>
      <c r="W379" s="15"/>
      <c r="X379" s="15"/>
      <c r="Y379" s="15"/>
      <c r="Z379" s="15"/>
      <c r="AA379" s="1"/>
      <c r="AB379" s="15"/>
      <c r="AC379" s="15"/>
      <c r="AD379" s="15"/>
      <c r="AE379" s="15"/>
      <c r="AF379" s="2"/>
      <c r="AG379" s="16" t="s">
        <v>45</v>
      </c>
      <c r="AH379" s="16" t="s">
        <v>45</v>
      </c>
      <c r="AI379" s="16" t="s">
        <v>45</v>
      </c>
      <c r="AJ379" s="16" t="s">
        <v>45</v>
      </c>
      <c r="AK379" s="16" t="s">
        <v>45</v>
      </c>
      <c r="AL379" s="16" t="s">
        <v>45</v>
      </c>
      <c r="AM379" s="16" t="s">
        <v>45</v>
      </c>
      <c r="AN379" s="16" t="s">
        <v>45</v>
      </c>
    </row>
    <row r="380" ht="30.0" customHeight="1">
      <c r="A380" s="9" t="str">
        <f t="shared" si="1"/>
        <v>Ativo</v>
      </c>
      <c r="B380" s="9" t="str">
        <f t="shared" si="2"/>
        <v>N/I</v>
      </c>
      <c r="C380" s="9" t="str">
        <f t="shared" si="3"/>
        <v>N/I</v>
      </c>
      <c r="D380" s="10" t="s">
        <v>764</v>
      </c>
      <c r="E380" s="11" t="s">
        <v>765</v>
      </c>
      <c r="F380" s="11" t="s">
        <v>855</v>
      </c>
      <c r="G380" s="12" t="s">
        <v>52</v>
      </c>
      <c r="H380" s="27" t="s">
        <v>861</v>
      </c>
      <c r="I380" s="12" t="s">
        <v>857</v>
      </c>
      <c r="J380" s="10" t="s">
        <v>858</v>
      </c>
      <c r="K380" s="10" t="s">
        <v>209</v>
      </c>
      <c r="L380" s="10" t="s">
        <v>4</v>
      </c>
      <c r="M380" s="14">
        <v>45873.0</v>
      </c>
      <c r="N380" s="11" t="s">
        <v>859</v>
      </c>
      <c r="O380" s="10" t="s">
        <v>862</v>
      </c>
      <c r="P380" s="12" t="s">
        <v>779</v>
      </c>
      <c r="Q380" s="2"/>
      <c r="R380" s="10">
        <v>12.0</v>
      </c>
      <c r="S380" s="14">
        <v>45873.0</v>
      </c>
      <c r="T380" s="43">
        <v>46238.0</v>
      </c>
      <c r="U380" s="10">
        <f t="shared" si="23"/>
        <v>147</v>
      </c>
      <c r="V380" s="2"/>
      <c r="W380" s="15"/>
      <c r="X380" s="15"/>
      <c r="Y380" s="15"/>
      <c r="Z380" s="15"/>
      <c r="AA380" s="1"/>
      <c r="AB380" s="15"/>
      <c r="AC380" s="15"/>
      <c r="AD380" s="15"/>
      <c r="AE380" s="15"/>
      <c r="AF380" s="2"/>
      <c r="AG380" s="10" t="s">
        <v>706</v>
      </c>
      <c r="AH380" s="30" t="s">
        <v>45</v>
      </c>
      <c r="AI380" s="30" t="s">
        <v>45</v>
      </c>
      <c r="AJ380" s="30" t="s">
        <v>796</v>
      </c>
      <c r="AK380" s="30" t="s">
        <v>45</v>
      </c>
      <c r="AL380" s="30" t="s">
        <v>796</v>
      </c>
      <c r="AM380" s="30" t="s">
        <v>45</v>
      </c>
      <c r="AN380" s="10" t="s">
        <v>320</v>
      </c>
    </row>
    <row r="381" ht="30.0" customHeight="1">
      <c r="A381" s="9" t="str">
        <f t="shared" si="1"/>
        <v>Inativo</v>
      </c>
      <c r="B381" s="9" t="str">
        <f t="shared" si="2"/>
        <v>N/I</v>
      </c>
      <c r="C381" s="9" t="str">
        <f t="shared" si="3"/>
        <v>N/I</v>
      </c>
      <c r="D381" s="10" t="s">
        <v>764</v>
      </c>
      <c r="E381" s="11" t="s">
        <v>765</v>
      </c>
      <c r="F381" s="11" t="s">
        <v>863</v>
      </c>
      <c r="G381" s="12" t="s">
        <v>52</v>
      </c>
      <c r="H381" s="27" t="s">
        <v>864</v>
      </c>
      <c r="I381" s="12" t="s">
        <v>609</v>
      </c>
      <c r="J381" s="10" t="s">
        <v>610</v>
      </c>
      <c r="K381" s="10" t="s">
        <v>209</v>
      </c>
      <c r="L381" s="10" t="s">
        <v>4</v>
      </c>
      <c r="M381" s="14">
        <v>44242.0</v>
      </c>
      <c r="N381" s="11" t="s">
        <v>865</v>
      </c>
      <c r="O381" s="10" t="s">
        <v>866</v>
      </c>
      <c r="P381" s="10" t="s">
        <v>771</v>
      </c>
      <c r="Q381" s="2"/>
      <c r="R381" s="10">
        <v>12.0</v>
      </c>
      <c r="S381" s="14">
        <v>44242.0</v>
      </c>
      <c r="T381" s="14">
        <v>44607.0</v>
      </c>
      <c r="U381" s="10">
        <f t="shared" si="23"/>
        <v>-1484</v>
      </c>
      <c r="V381" s="2"/>
      <c r="W381" s="15"/>
      <c r="X381" s="15"/>
      <c r="Y381" s="15"/>
      <c r="Z381" s="15"/>
      <c r="AA381" s="1"/>
      <c r="AB381" s="15"/>
      <c r="AC381" s="15"/>
      <c r="AD381" s="15"/>
      <c r="AE381" s="15"/>
      <c r="AF381" s="2"/>
      <c r="AG381" s="16" t="s">
        <v>45</v>
      </c>
      <c r="AH381" s="16" t="s">
        <v>45</v>
      </c>
      <c r="AI381" s="16" t="s">
        <v>45</v>
      </c>
      <c r="AJ381" s="16" t="s">
        <v>45</v>
      </c>
      <c r="AK381" s="16" t="s">
        <v>45</v>
      </c>
      <c r="AL381" s="16" t="s">
        <v>45</v>
      </c>
      <c r="AM381" s="16" t="s">
        <v>45</v>
      </c>
      <c r="AN381" s="16" t="s">
        <v>45</v>
      </c>
    </row>
    <row r="382" ht="30.0" customHeight="1">
      <c r="A382" s="9" t="str">
        <f t="shared" si="1"/>
        <v>Inativo</v>
      </c>
      <c r="B382" s="9" t="str">
        <f t="shared" si="2"/>
        <v>N/I</v>
      </c>
      <c r="C382" s="9" t="str">
        <f t="shared" si="3"/>
        <v>N/I</v>
      </c>
      <c r="D382" s="10" t="s">
        <v>764</v>
      </c>
      <c r="E382" s="11" t="s">
        <v>765</v>
      </c>
      <c r="F382" s="11" t="s">
        <v>867</v>
      </c>
      <c r="G382" s="12" t="s">
        <v>52</v>
      </c>
      <c r="H382" s="27" t="s">
        <v>868</v>
      </c>
      <c r="I382" s="12" t="s">
        <v>869</v>
      </c>
      <c r="J382" s="10" t="s">
        <v>870</v>
      </c>
      <c r="K382" s="10" t="s">
        <v>209</v>
      </c>
      <c r="L382" s="10" t="s">
        <v>4</v>
      </c>
      <c r="M382" s="14">
        <v>44306.0</v>
      </c>
      <c r="N382" s="11" t="s">
        <v>871</v>
      </c>
      <c r="O382" s="10" t="s">
        <v>872</v>
      </c>
      <c r="P382" s="10" t="s">
        <v>771</v>
      </c>
      <c r="Q382" s="2"/>
      <c r="R382" s="10">
        <v>12.0</v>
      </c>
      <c r="S382" s="14">
        <v>44306.0</v>
      </c>
      <c r="T382" s="14">
        <v>44671.0</v>
      </c>
      <c r="U382" s="10">
        <f t="shared" si="23"/>
        <v>-1420</v>
      </c>
      <c r="V382" s="2"/>
      <c r="W382" s="15"/>
      <c r="X382" s="15"/>
      <c r="Y382" s="15"/>
      <c r="Z382" s="15"/>
      <c r="AA382" s="1"/>
      <c r="AB382" s="15"/>
      <c r="AC382" s="15"/>
      <c r="AD382" s="15"/>
      <c r="AE382" s="15"/>
      <c r="AF382" s="2"/>
      <c r="AG382" s="16" t="s">
        <v>45</v>
      </c>
      <c r="AH382" s="16" t="s">
        <v>45</v>
      </c>
      <c r="AI382" s="16" t="s">
        <v>45</v>
      </c>
      <c r="AJ382" s="16" t="s">
        <v>45</v>
      </c>
      <c r="AK382" s="16" t="s">
        <v>45</v>
      </c>
      <c r="AL382" s="16" t="s">
        <v>45</v>
      </c>
      <c r="AM382" s="16" t="s">
        <v>45</v>
      </c>
      <c r="AN382" s="16" t="s">
        <v>45</v>
      </c>
    </row>
    <row r="383" ht="30.0" customHeight="1">
      <c r="A383" s="9" t="str">
        <f t="shared" si="1"/>
        <v>Inativo</v>
      </c>
      <c r="B383" s="9" t="str">
        <f t="shared" si="2"/>
        <v>N/I</v>
      </c>
      <c r="C383" s="9" t="str">
        <f t="shared" si="3"/>
        <v>N/I</v>
      </c>
      <c r="D383" s="10" t="s">
        <v>764</v>
      </c>
      <c r="E383" s="11" t="s">
        <v>765</v>
      </c>
      <c r="F383" s="11" t="s">
        <v>867</v>
      </c>
      <c r="G383" s="12" t="s">
        <v>68</v>
      </c>
      <c r="H383" s="27" t="s">
        <v>873</v>
      </c>
      <c r="I383" s="12" t="s">
        <v>869</v>
      </c>
      <c r="J383" s="10" t="s">
        <v>870</v>
      </c>
      <c r="K383" s="10" t="s">
        <v>209</v>
      </c>
      <c r="L383" s="10" t="s">
        <v>4</v>
      </c>
      <c r="M383" s="14">
        <v>45646.0</v>
      </c>
      <c r="N383" s="11" t="s">
        <v>871</v>
      </c>
      <c r="O383" s="10" t="s">
        <v>874</v>
      </c>
      <c r="P383" s="12" t="s">
        <v>779</v>
      </c>
      <c r="Q383" s="2"/>
      <c r="R383" s="10">
        <v>12.0</v>
      </c>
      <c r="S383" s="14">
        <v>45646.0</v>
      </c>
      <c r="T383" s="14">
        <v>46011.0</v>
      </c>
      <c r="U383" s="10">
        <f t="shared" si="23"/>
        <v>-80</v>
      </c>
      <c r="V383" s="2"/>
      <c r="W383" s="15"/>
      <c r="X383" s="15"/>
      <c r="Y383" s="15"/>
      <c r="Z383" s="15"/>
      <c r="AA383" s="1"/>
      <c r="AB383" s="15"/>
      <c r="AC383" s="15"/>
      <c r="AD383" s="15"/>
      <c r="AE383" s="15"/>
      <c r="AF383" s="2"/>
      <c r="AG383" s="10" t="s">
        <v>706</v>
      </c>
      <c r="AH383" s="30" t="s">
        <v>45</v>
      </c>
      <c r="AI383" s="30" t="s">
        <v>45</v>
      </c>
      <c r="AJ383" s="30" t="s">
        <v>796</v>
      </c>
      <c r="AK383" s="30" t="s">
        <v>45</v>
      </c>
      <c r="AL383" s="30" t="s">
        <v>796</v>
      </c>
      <c r="AM383" s="30" t="s">
        <v>45</v>
      </c>
      <c r="AN383" s="10" t="s">
        <v>320</v>
      </c>
    </row>
    <row r="384" ht="30.0" customHeight="1">
      <c r="A384" s="9" t="str">
        <f t="shared" si="1"/>
        <v>Inativo</v>
      </c>
      <c r="B384" s="9" t="str">
        <f t="shared" si="2"/>
        <v>N/I</v>
      </c>
      <c r="C384" s="9" t="str">
        <f t="shared" si="3"/>
        <v>N/I</v>
      </c>
      <c r="D384" s="10" t="s">
        <v>764</v>
      </c>
      <c r="E384" s="11" t="s">
        <v>765</v>
      </c>
      <c r="F384" s="11" t="s">
        <v>875</v>
      </c>
      <c r="G384" s="12" t="s">
        <v>52</v>
      </c>
      <c r="H384" s="27" t="s">
        <v>876</v>
      </c>
      <c r="I384" s="12" t="s">
        <v>131</v>
      </c>
      <c r="J384" s="10" t="s">
        <v>132</v>
      </c>
      <c r="K384" s="10" t="s">
        <v>41</v>
      </c>
      <c r="L384" s="10" t="s">
        <v>4</v>
      </c>
      <c r="M384" s="14">
        <v>44347.0</v>
      </c>
      <c r="N384" s="11" t="s">
        <v>877</v>
      </c>
      <c r="O384" s="10" t="s">
        <v>878</v>
      </c>
      <c r="P384" s="10" t="s">
        <v>776</v>
      </c>
      <c r="Q384" s="2"/>
      <c r="R384" s="10">
        <v>12.0</v>
      </c>
      <c r="S384" s="14">
        <v>44347.0</v>
      </c>
      <c r="T384" s="14">
        <v>45804.0</v>
      </c>
      <c r="U384" s="10">
        <f t="shared" si="23"/>
        <v>-287</v>
      </c>
      <c r="V384" s="2"/>
      <c r="W384" s="15"/>
      <c r="X384" s="15"/>
      <c r="Y384" s="15"/>
      <c r="Z384" s="15"/>
      <c r="AA384" s="1"/>
      <c r="AB384" s="15"/>
      <c r="AC384" s="15"/>
      <c r="AD384" s="15"/>
      <c r="AE384" s="15"/>
      <c r="AF384" s="2"/>
      <c r="AG384" s="16" t="s">
        <v>45</v>
      </c>
      <c r="AH384" s="16" t="s">
        <v>45</v>
      </c>
      <c r="AI384" s="16" t="s">
        <v>45</v>
      </c>
      <c r="AJ384" s="16" t="s">
        <v>45</v>
      </c>
      <c r="AK384" s="16" t="s">
        <v>45</v>
      </c>
      <c r="AL384" s="16" t="s">
        <v>45</v>
      </c>
      <c r="AM384" s="16" t="s">
        <v>45</v>
      </c>
      <c r="AN384" s="16" t="s">
        <v>45</v>
      </c>
    </row>
    <row r="385" ht="30.0" customHeight="1">
      <c r="A385" s="9" t="str">
        <f t="shared" si="1"/>
        <v>Inativo</v>
      </c>
      <c r="B385" s="9" t="str">
        <f t="shared" si="2"/>
        <v>N/I</v>
      </c>
      <c r="C385" s="9" t="str">
        <f t="shared" si="3"/>
        <v>N/I</v>
      </c>
      <c r="D385" s="10" t="s">
        <v>764</v>
      </c>
      <c r="E385" s="11" t="s">
        <v>765</v>
      </c>
      <c r="F385" s="11" t="s">
        <v>875</v>
      </c>
      <c r="G385" s="12" t="s">
        <v>52</v>
      </c>
      <c r="H385" s="27" t="s">
        <v>879</v>
      </c>
      <c r="I385" s="12" t="s">
        <v>131</v>
      </c>
      <c r="J385" s="10" t="s">
        <v>132</v>
      </c>
      <c r="K385" s="10" t="s">
        <v>41</v>
      </c>
      <c r="L385" s="10" t="s">
        <v>4</v>
      </c>
      <c r="M385" s="14">
        <v>45644.0</v>
      </c>
      <c r="N385" s="11" t="s">
        <v>877</v>
      </c>
      <c r="O385" s="10" t="s">
        <v>880</v>
      </c>
      <c r="P385" s="12" t="s">
        <v>779</v>
      </c>
      <c r="Q385" s="2"/>
      <c r="R385" s="10">
        <v>12.0</v>
      </c>
      <c r="S385" s="14">
        <v>45644.0</v>
      </c>
      <c r="T385" s="14">
        <v>46009.0</v>
      </c>
      <c r="U385" s="10">
        <f t="shared" si="23"/>
        <v>-82</v>
      </c>
      <c r="V385" s="2"/>
      <c r="W385" s="15"/>
      <c r="X385" s="15"/>
      <c r="Y385" s="15"/>
      <c r="Z385" s="15"/>
      <c r="AA385" s="1"/>
      <c r="AB385" s="15"/>
      <c r="AC385" s="15"/>
      <c r="AD385" s="15"/>
      <c r="AE385" s="15"/>
      <c r="AF385" s="2"/>
      <c r="AG385" s="10" t="s">
        <v>706</v>
      </c>
      <c r="AH385" s="30" t="s">
        <v>45</v>
      </c>
      <c r="AI385" s="30" t="s">
        <v>45</v>
      </c>
      <c r="AJ385" s="30" t="s">
        <v>780</v>
      </c>
      <c r="AK385" s="30" t="s">
        <v>45</v>
      </c>
      <c r="AL385" s="30" t="s">
        <v>780</v>
      </c>
      <c r="AM385" s="30" t="s">
        <v>45</v>
      </c>
      <c r="AN385" s="10" t="s">
        <v>320</v>
      </c>
    </row>
    <row r="386" ht="30.0" customHeight="1">
      <c r="A386" s="9" t="str">
        <f t="shared" si="1"/>
        <v>Inativo</v>
      </c>
      <c r="B386" s="9" t="str">
        <f t="shared" si="2"/>
        <v>N/I</v>
      </c>
      <c r="C386" s="9" t="str">
        <f t="shared" si="3"/>
        <v>N/I</v>
      </c>
      <c r="D386" s="10" t="s">
        <v>764</v>
      </c>
      <c r="E386" s="11" t="s">
        <v>765</v>
      </c>
      <c r="F386" s="11" t="s">
        <v>881</v>
      </c>
      <c r="G386" s="12" t="s">
        <v>52</v>
      </c>
      <c r="H386" s="27" t="s">
        <v>882</v>
      </c>
      <c r="I386" s="12" t="s">
        <v>883</v>
      </c>
      <c r="J386" s="10" t="s">
        <v>197</v>
      </c>
      <c r="K386" s="10" t="s">
        <v>40</v>
      </c>
      <c r="L386" s="10" t="s">
        <v>4</v>
      </c>
      <c r="M386" s="14">
        <v>44330.0</v>
      </c>
      <c r="N386" s="11" t="s">
        <v>884</v>
      </c>
      <c r="O386" s="10" t="s">
        <v>885</v>
      </c>
      <c r="P386" s="10" t="s">
        <v>787</v>
      </c>
      <c r="Q386" s="2"/>
      <c r="R386" s="10">
        <v>12.0</v>
      </c>
      <c r="S386" s="14">
        <v>44330.0</v>
      </c>
      <c r="T386" s="14">
        <v>44695.0</v>
      </c>
      <c r="U386" s="10">
        <f t="shared" si="23"/>
        <v>-1396</v>
      </c>
      <c r="V386" s="2"/>
      <c r="W386" s="15"/>
      <c r="X386" s="15"/>
      <c r="Y386" s="15"/>
      <c r="Z386" s="15"/>
      <c r="AA386" s="1"/>
      <c r="AB386" s="15"/>
      <c r="AC386" s="15"/>
      <c r="AD386" s="15"/>
      <c r="AE386" s="15"/>
      <c r="AF386" s="2"/>
      <c r="AG386" s="16" t="s">
        <v>45</v>
      </c>
      <c r="AH386" s="16" t="s">
        <v>45</v>
      </c>
      <c r="AI386" s="16" t="s">
        <v>45</v>
      </c>
      <c r="AJ386" s="16" t="s">
        <v>45</v>
      </c>
      <c r="AK386" s="16" t="s">
        <v>45</v>
      </c>
      <c r="AL386" s="16" t="s">
        <v>45</v>
      </c>
      <c r="AM386" s="16" t="s">
        <v>45</v>
      </c>
      <c r="AN386" s="16" t="s">
        <v>45</v>
      </c>
    </row>
    <row r="387" ht="30.0" customHeight="1">
      <c r="A387" s="9" t="str">
        <f t="shared" si="1"/>
        <v>Inativo</v>
      </c>
      <c r="B387" s="9" t="str">
        <f t="shared" si="2"/>
        <v>N/I</v>
      </c>
      <c r="C387" s="9" t="str">
        <f t="shared" si="3"/>
        <v>N/I</v>
      </c>
      <c r="D387" s="10" t="s">
        <v>764</v>
      </c>
      <c r="E387" s="11" t="s">
        <v>765</v>
      </c>
      <c r="F387" s="11" t="s">
        <v>886</v>
      </c>
      <c r="G387" s="12" t="s">
        <v>52</v>
      </c>
      <c r="H387" s="27" t="s">
        <v>887</v>
      </c>
      <c r="I387" s="12" t="s">
        <v>888</v>
      </c>
      <c r="J387" s="10" t="s">
        <v>889</v>
      </c>
      <c r="K387" s="10" t="s">
        <v>209</v>
      </c>
      <c r="L387" s="10" t="s">
        <v>4</v>
      </c>
      <c r="M387" s="14">
        <v>44257.0</v>
      </c>
      <c r="N387" s="11" t="s">
        <v>890</v>
      </c>
      <c r="O387" s="10" t="s">
        <v>891</v>
      </c>
      <c r="P387" s="10" t="s">
        <v>771</v>
      </c>
      <c r="Q387" s="2"/>
      <c r="R387" s="10">
        <v>12.0</v>
      </c>
      <c r="S387" s="14">
        <v>44257.0</v>
      </c>
      <c r="T387" s="14">
        <v>44622.0</v>
      </c>
      <c r="U387" s="10">
        <f t="shared" si="23"/>
        <v>-1469</v>
      </c>
      <c r="V387" s="2"/>
      <c r="W387" s="15"/>
      <c r="X387" s="15"/>
      <c r="Y387" s="15"/>
      <c r="Z387" s="15"/>
      <c r="AA387" s="1"/>
      <c r="AB387" s="15"/>
      <c r="AC387" s="15"/>
      <c r="AD387" s="15"/>
      <c r="AE387" s="15"/>
      <c r="AF387" s="2"/>
      <c r="AG387" s="16" t="s">
        <v>45</v>
      </c>
      <c r="AH387" s="16" t="s">
        <v>45</v>
      </c>
      <c r="AI387" s="16" t="s">
        <v>45</v>
      </c>
      <c r="AJ387" s="16" t="s">
        <v>45</v>
      </c>
      <c r="AK387" s="16" t="s">
        <v>45</v>
      </c>
      <c r="AL387" s="16" t="s">
        <v>45</v>
      </c>
      <c r="AM387" s="16" t="s">
        <v>45</v>
      </c>
      <c r="AN387" s="16" t="s">
        <v>45</v>
      </c>
    </row>
    <row r="388" ht="30.0" customHeight="1">
      <c r="A388" s="9" t="str">
        <f t="shared" si="1"/>
        <v>Inativo</v>
      </c>
      <c r="B388" s="9" t="str">
        <f t="shared" si="2"/>
        <v>N/I</v>
      </c>
      <c r="C388" s="9" t="str">
        <f t="shared" si="3"/>
        <v>N/I</v>
      </c>
      <c r="D388" s="10" t="s">
        <v>764</v>
      </c>
      <c r="E388" s="11" t="s">
        <v>765</v>
      </c>
      <c r="F388" s="11" t="s">
        <v>892</v>
      </c>
      <c r="G388" s="12" t="s">
        <v>52</v>
      </c>
      <c r="H388" s="27" t="s">
        <v>893</v>
      </c>
      <c r="I388" s="12" t="s">
        <v>894</v>
      </c>
      <c r="J388" s="10" t="s">
        <v>895</v>
      </c>
      <c r="K388" s="10" t="s">
        <v>41</v>
      </c>
      <c r="L388" s="10" t="s">
        <v>4</v>
      </c>
      <c r="M388" s="14">
        <v>44257.0</v>
      </c>
      <c r="N388" s="11" t="s">
        <v>896</v>
      </c>
      <c r="O388" s="10" t="s">
        <v>897</v>
      </c>
      <c r="P388" s="10" t="s">
        <v>776</v>
      </c>
      <c r="Q388" s="2"/>
      <c r="R388" s="10">
        <v>12.0</v>
      </c>
      <c r="S388" s="14">
        <v>44257.0</v>
      </c>
      <c r="T388" s="14">
        <v>45804.0</v>
      </c>
      <c r="U388" s="10">
        <f t="shared" si="23"/>
        <v>-287</v>
      </c>
      <c r="V388" s="2"/>
      <c r="W388" s="15"/>
      <c r="X388" s="15"/>
      <c r="Y388" s="15"/>
      <c r="Z388" s="15"/>
      <c r="AA388" s="1"/>
      <c r="AB388" s="15"/>
      <c r="AC388" s="15"/>
      <c r="AD388" s="15"/>
      <c r="AE388" s="15"/>
      <c r="AF388" s="2"/>
      <c r="AG388" s="16" t="s">
        <v>45</v>
      </c>
      <c r="AH388" s="16" t="s">
        <v>45</v>
      </c>
      <c r="AI388" s="16" t="s">
        <v>45</v>
      </c>
      <c r="AJ388" s="16" t="s">
        <v>45</v>
      </c>
      <c r="AK388" s="16" t="s">
        <v>45</v>
      </c>
      <c r="AL388" s="16" t="s">
        <v>45</v>
      </c>
      <c r="AM388" s="16" t="s">
        <v>45</v>
      </c>
      <c r="AN388" s="16" t="s">
        <v>45</v>
      </c>
    </row>
    <row r="389" ht="30.0" customHeight="1">
      <c r="A389" s="9" t="str">
        <f t="shared" si="1"/>
        <v>Inativo</v>
      </c>
      <c r="B389" s="9" t="str">
        <f t="shared" si="2"/>
        <v>N/I</v>
      </c>
      <c r="C389" s="9" t="str">
        <f t="shared" si="3"/>
        <v>N/I</v>
      </c>
      <c r="D389" s="10" t="s">
        <v>764</v>
      </c>
      <c r="E389" s="11" t="s">
        <v>765</v>
      </c>
      <c r="F389" s="11" t="s">
        <v>898</v>
      </c>
      <c r="G389" s="12" t="s">
        <v>52</v>
      </c>
      <c r="H389" s="27" t="s">
        <v>899</v>
      </c>
      <c r="I389" s="12" t="s">
        <v>643</v>
      </c>
      <c r="J389" s="10" t="s">
        <v>583</v>
      </c>
      <c r="K389" s="10" t="s">
        <v>41</v>
      </c>
      <c r="L389" s="10" t="s">
        <v>4</v>
      </c>
      <c r="M389" s="14">
        <v>44341.0</v>
      </c>
      <c r="N389" s="11" t="s">
        <v>900</v>
      </c>
      <c r="O389" s="10" t="s">
        <v>901</v>
      </c>
      <c r="P389" s="10" t="s">
        <v>776</v>
      </c>
      <c r="Q389" s="2"/>
      <c r="R389" s="10">
        <v>12.0</v>
      </c>
      <c r="S389" s="14">
        <v>44341.0</v>
      </c>
      <c r="T389" s="14">
        <v>45804.0</v>
      </c>
      <c r="U389" s="10">
        <f t="shared" si="23"/>
        <v>-287</v>
      </c>
      <c r="V389" s="2"/>
      <c r="W389" s="15"/>
      <c r="X389" s="15"/>
      <c r="Y389" s="15"/>
      <c r="Z389" s="15"/>
      <c r="AA389" s="1"/>
      <c r="AB389" s="15"/>
      <c r="AC389" s="15"/>
      <c r="AD389" s="15"/>
      <c r="AE389" s="15"/>
      <c r="AF389" s="2"/>
      <c r="AG389" s="16" t="s">
        <v>45</v>
      </c>
      <c r="AH389" s="16" t="s">
        <v>45</v>
      </c>
      <c r="AI389" s="16" t="s">
        <v>45</v>
      </c>
      <c r="AJ389" s="16" t="s">
        <v>45</v>
      </c>
      <c r="AK389" s="16" t="s">
        <v>45</v>
      </c>
      <c r="AL389" s="16" t="s">
        <v>45</v>
      </c>
      <c r="AM389" s="16" t="s">
        <v>45</v>
      </c>
      <c r="AN389" s="16" t="s">
        <v>45</v>
      </c>
    </row>
    <row r="390" ht="30.0" customHeight="1">
      <c r="A390" s="9" t="str">
        <f t="shared" si="1"/>
        <v>Inativo</v>
      </c>
      <c r="B390" s="9" t="str">
        <f t="shared" si="2"/>
        <v>N/I</v>
      </c>
      <c r="C390" s="9" t="str">
        <f t="shared" si="3"/>
        <v>N/I</v>
      </c>
      <c r="D390" s="10" t="s">
        <v>764</v>
      </c>
      <c r="E390" s="11" t="s">
        <v>765</v>
      </c>
      <c r="F390" s="11" t="s">
        <v>902</v>
      </c>
      <c r="G390" s="12" t="s">
        <v>52</v>
      </c>
      <c r="H390" s="27" t="s">
        <v>903</v>
      </c>
      <c r="I390" s="12" t="s">
        <v>380</v>
      </c>
      <c r="J390" s="10" t="s">
        <v>197</v>
      </c>
      <c r="K390" s="10" t="s">
        <v>40</v>
      </c>
      <c r="L390" s="10" t="s">
        <v>4</v>
      </c>
      <c r="M390" s="14">
        <v>44248.0</v>
      </c>
      <c r="N390" s="11" t="s">
        <v>823</v>
      </c>
      <c r="O390" s="10" t="s">
        <v>824</v>
      </c>
      <c r="P390" s="10" t="s">
        <v>787</v>
      </c>
      <c r="Q390" s="2"/>
      <c r="R390" s="10">
        <v>12.0</v>
      </c>
      <c r="S390" s="14">
        <v>44248.0</v>
      </c>
      <c r="T390" s="14">
        <v>44613.0</v>
      </c>
      <c r="U390" s="10">
        <f t="shared" si="23"/>
        <v>-1478</v>
      </c>
      <c r="V390" s="2"/>
      <c r="W390" s="15"/>
      <c r="X390" s="15"/>
      <c r="Y390" s="15"/>
      <c r="Z390" s="15"/>
      <c r="AA390" s="1"/>
      <c r="AB390" s="15"/>
      <c r="AC390" s="15"/>
      <c r="AD390" s="15"/>
      <c r="AE390" s="15"/>
      <c r="AF390" s="2"/>
      <c r="AG390" s="16" t="s">
        <v>45</v>
      </c>
      <c r="AH390" s="16" t="s">
        <v>45</v>
      </c>
      <c r="AI390" s="16" t="s">
        <v>45</v>
      </c>
      <c r="AJ390" s="16" t="s">
        <v>45</v>
      </c>
      <c r="AK390" s="16" t="s">
        <v>45</v>
      </c>
      <c r="AL390" s="16" t="s">
        <v>45</v>
      </c>
      <c r="AM390" s="16" t="s">
        <v>45</v>
      </c>
      <c r="AN390" s="16" t="s">
        <v>45</v>
      </c>
    </row>
    <row r="391" ht="30.0" customHeight="1">
      <c r="A391" s="9" t="str">
        <f t="shared" si="1"/>
        <v>Inativo</v>
      </c>
      <c r="B391" s="9" t="str">
        <f t="shared" si="2"/>
        <v>N/I</v>
      </c>
      <c r="C391" s="9" t="str">
        <f t="shared" si="3"/>
        <v>N/I</v>
      </c>
      <c r="D391" s="10" t="s">
        <v>764</v>
      </c>
      <c r="E391" s="11" t="s">
        <v>765</v>
      </c>
      <c r="F391" s="11" t="s">
        <v>902</v>
      </c>
      <c r="G391" s="12" t="s">
        <v>52</v>
      </c>
      <c r="H391" s="27" t="s">
        <v>904</v>
      </c>
      <c r="I391" s="12" t="s">
        <v>380</v>
      </c>
      <c r="J391" s="10" t="s">
        <v>197</v>
      </c>
      <c r="K391" s="10" t="s">
        <v>40</v>
      </c>
      <c r="L391" s="10" t="s">
        <v>4</v>
      </c>
      <c r="M391" s="14">
        <v>44249.0</v>
      </c>
      <c r="N391" s="11" t="s">
        <v>823</v>
      </c>
      <c r="O391" s="10" t="s">
        <v>824</v>
      </c>
      <c r="P391" s="10" t="s">
        <v>787</v>
      </c>
      <c r="Q391" s="2"/>
      <c r="R391" s="10">
        <v>12.0</v>
      </c>
      <c r="S391" s="14">
        <v>44249.0</v>
      </c>
      <c r="T391" s="14">
        <v>44614.0</v>
      </c>
      <c r="U391" s="10">
        <f t="shared" si="23"/>
        <v>-1477</v>
      </c>
      <c r="V391" s="2"/>
      <c r="W391" s="15"/>
      <c r="X391" s="15"/>
      <c r="Y391" s="15"/>
      <c r="Z391" s="15"/>
      <c r="AA391" s="1"/>
      <c r="AB391" s="15"/>
      <c r="AC391" s="15"/>
      <c r="AD391" s="15"/>
      <c r="AE391" s="15"/>
      <c r="AF391" s="2"/>
      <c r="AG391" s="16" t="s">
        <v>45</v>
      </c>
      <c r="AH391" s="16" t="s">
        <v>45</v>
      </c>
      <c r="AI391" s="16" t="s">
        <v>45</v>
      </c>
      <c r="AJ391" s="16" t="s">
        <v>45</v>
      </c>
      <c r="AK391" s="16" t="s">
        <v>45</v>
      </c>
      <c r="AL391" s="16" t="s">
        <v>45</v>
      </c>
      <c r="AM391" s="16" t="s">
        <v>45</v>
      </c>
      <c r="AN391" s="16" t="s">
        <v>45</v>
      </c>
    </row>
    <row r="392" ht="30.0" customHeight="1">
      <c r="A392" s="9" t="str">
        <f t="shared" si="1"/>
        <v>Inativo</v>
      </c>
      <c r="B392" s="9" t="str">
        <f t="shared" si="2"/>
        <v>N/I</v>
      </c>
      <c r="C392" s="9" t="str">
        <f t="shared" si="3"/>
        <v>N/I</v>
      </c>
      <c r="D392" s="10" t="s">
        <v>764</v>
      </c>
      <c r="E392" s="11" t="s">
        <v>765</v>
      </c>
      <c r="F392" s="11" t="s">
        <v>902</v>
      </c>
      <c r="G392" s="12" t="s">
        <v>52</v>
      </c>
      <c r="H392" s="27" t="s">
        <v>905</v>
      </c>
      <c r="I392" s="12" t="s">
        <v>380</v>
      </c>
      <c r="J392" s="10" t="s">
        <v>197</v>
      </c>
      <c r="K392" s="10" t="s">
        <v>40</v>
      </c>
      <c r="L392" s="10" t="s">
        <v>4</v>
      </c>
      <c r="M392" s="14">
        <v>44249.0</v>
      </c>
      <c r="N392" s="11" t="s">
        <v>823</v>
      </c>
      <c r="O392" s="10" t="s">
        <v>824</v>
      </c>
      <c r="P392" s="10" t="s">
        <v>787</v>
      </c>
      <c r="Q392" s="2"/>
      <c r="R392" s="10">
        <v>12.0</v>
      </c>
      <c r="S392" s="14">
        <v>44249.0</v>
      </c>
      <c r="T392" s="14">
        <v>44614.0</v>
      </c>
      <c r="U392" s="10">
        <f t="shared" si="23"/>
        <v>-1477</v>
      </c>
      <c r="V392" s="2"/>
      <c r="W392" s="15"/>
      <c r="X392" s="15"/>
      <c r="Y392" s="15"/>
      <c r="Z392" s="15"/>
      <c r="AA392" s="1"/>
      <c r="AB392" s="15"/>
      <c r="AC392" s="15"/>
      <c r="AD392" s="15"/>
      <c r="AE392" s="15"/>
      <c r="AF392" s="2"/>
      <c r="AG392" s="16" t="s">
        <v>45</v>
      </c>
      <c r="AH392" s="16" t="s">
        <v>45</v>
      </c>
      <c r="AI392" s="16" t="s">
        <v>45</v>
      </c>
      <c r="AJ392" s="16" t="s">
        <v>45</v>
      </c>
      <c r="AK392" s="16" t="s">
        <v>45</v>
      </c>
      <c r="AL392" s="16" t="s">
        <v>45</v>
      </c>
      <c r="AM392" s="16" t="s">
        <v>45</v>
      </c>
      <c r="AN392" s="16" t="s">
        <v>45</v>
      </c>
    </row>
    <row r="393" ht="30.0" customHeight="1">
      <c r="A393" s="9" t="str">
        <f t="shared" si="1"/>
        <v>Inativo</v>
      </c>
      <c r="B393" s="9" t="str">
        <f t="shared" si="2"/>
        <v>N/I</v>
      </c>
      <c r="C393" s="9" t="str">
        <f t="shared" si="3"/>
        <v>N/I</v>
      </c>
      <c r="D393" s="10" t="s">
        <v>764</v>
      </c>
      <c r="E393" s="11" t="s">
        <v>765</v>
      </c>
      <c r="F393" s="11" t="s">
        <v>902</v>
      </c>
      <c r="G393" s="12" t="s">
        <v>52</v>
      </c>
      <c r="H393" s="27" t="s">
        <v>906</v>
      </c>
      <c r="I393" s="12" t="s">
        <v>380</v>
      </c>
      <c r="J393" s="10" t="s">
        <v>197</v>
      </c>
      <c r="K393" s="10" t="s">
        <v>40</v>
      </c>
      <c r="L393" s="10" t="s">
        <v>4</v>
      </c>
      <c r="M393" s="14">
        <v>44250.0</v>
      </c>
      <c r="N393" s="11" t="s">
        <v>823</v>
      </c>
      <c r="O393" s="10" t="s">
        <v>824</v>
      </c>
      <c r="P393" s="10" t="s">
        <v>787</v>
      </c>
      <c r="Q393" s="2"/>
      <c r="R393" s="10">
        <v>12.0</v>
      </c>
      <c r="S393" s="14">
        <v>44250.0</v>
      </c>
      <c r="T393" s="14">
        <v>44615.0</v>
      </c>
      <c r="U393" s="10">
        <f t="shared" si="23"/>
        <v>-1476</v>
      </c>
      <c r="V393" s="2"/>
      <c r="W393" s="15"/>
      <c r="X393" s="15"/>
      <c r="Y393" s="15"/>
      <c r="Z393" s="15"/>
      <c r="AA393" s="1"/>
      <c r="AB393" s="15"/>
      <c r="AC393" s="15"/>
      <c r="AD393" s="15"/>
      <c r="AE393" s="15"/>
      <c r="AF393" s="2"/>
      <c r="AG393" s="16" t="s">
        <v>45</v>
      </c>
      <c r="AH393" s="16" t="s">
        <v>45</v>
      </c>
      <c r="AI393" s="16" t="s">
        <v>45</v>
      </c>
      <c r="AJ393" s="16" t="s">
        <v>45</v>
      </c>
      <c r="AK393" s="16" t="s">
        <v>45</v>
      </c>
      <c r="AL393" s="16" t="s">
        <v>45</v>
      </c>
      <c r="AM393" s="16" t="s">
        <v>45</v>
      </c>
      <c r="AN393" s="16" t="s">
        <v>45</v>
      </c>
    </row>
    <row r="394" ht="30.0" customHeight="1">
      <c r="A394" s="9" t="str">
        <f t="shared" si="1"/>
        <v>Inativo</v>
      </c>
      <c r="B394" s="9" t="str">
        <f t="shared" si="2"/>
        <v>N/I</v>
      </c>
      <c r="C394" s="9" t="str">
        <f t="shared" si="3"/>
        <v>N/I</v>
      </c>
      <c r="D394" s="10" t="s">
        <v>764</v>
      </c>
      <c r="E394" s="11" t="s">
        <v>765</v>
      </c>
      <c r="F394" s="11" t="s">
        <v>902</v>
      </c>
      <c r="G394" s="12" t="s">
        <v>52</v>
      </c>
      <c r="H394" s="27" t="s">
        <v>907</v>
      </c>
      <c r="I394" s="12" t="s">
        <v>380</v>
      </c>
      <c r="J394" s="10" t="s">
        <v>197</v>
      </c>
      <c r="K394" s="10" t="s">
        <v>40</v>
      </c>
      <c r="L394" s="10" t="s">
        <v>4</v>
      </c>
      <c r="M394" s="14">
        <v>44250.0</v>
      </c>
      <c r="N394" s="11" t="s">
        <v>823</v>
      </c>
      <c r="O394" s="10" t="s">
        <v>824</v>
      </c>
      <c r="P394" s="10" t="s">
        <v>787</v>
      </c>
      <c r="Q394" s="2"/>
      <c r="R394" s="10">
        <v>12.0</v>
      </c>
      <c r="S394" s="14">
        <v>44250.0</v>
      </c>
      <c r="T394" s="14">
        <v>44615.0</v>
      </c>
      <c r="U394" s="10">
        <f t="shared" si="23"/>
        <v>-1476</v>
      </c>
      <c r="V394" s="2"/>
      <c r="W394" s="15"/>
      <c r="X394" s="15"/>
      <c r="Y394" s="15"/>
      <c r="Z394" s="15"/>
      <c r="AA394" s="1"/>
      <c r="AB394" s="15"/>
      <c r="AC394" s="15"/>
      <c r="AD394" s="15"/>
      <c r="AE394" s="15"/>
      <c r="AF394" s="2"/>
      <c r="AG394" s="16" t="s">
        <v>45</v>
      </c>
      <c r="AH394" s="16" t="s">
        <v>45</v>
      </c>
      <c r="AI394" s="16" t="s">
        <v>45</v>
      </c>
      <c r="AJ394" s="16" t="s">
        <v>45</v>
      </c>
      <c r="AK394" s="16" t="s">
        <v>45</v>
      </c>
      <c r="AL394" s="16" t="s">
        <v>45</v>
      </c>
      <c r="AM394" s="16" t="s">
        <v>45</v>
      </c>
      <c r="AN394" s="16" t="s">
        <v>45</v>
      </c>
    </row>
    <row r="395" ht="30.0" customHeight="1">
      <c r="A395" s="9" t="str">
        <f t="shared" si="1"/>
        <v>Inativo</v>
      </c>
      <c r="B395" s="9" t="str">
        <f t="shared" si="2"/>
        <v>N/I</v>
      </c>
      <c r="C395" s="9" t="str">
        <f t="shared" si="3"/>
        <v>N/I</v>
      </c>
      <c r="D395" s="10" t="s">
        <v>764</v>
      </c>
      <c r="E395" s="11" t="s">
        <v>765</v>
      </c>
      <c r="F395" s="11" t="s">
        <v>902</v>
      </c>
      <c r="G395" s="12" t="s">
        <v>52</v>
      </c>
      <c r="H395" s="27" t="s">
        <v>908</v>
      </c>
      <c r="I395" s="12" t="s">
        <v>380</v>
      </c>
      <c r="J395" s="10" t="s">
        <v>197</v>
      </c>
      <c r="K395" s="10" t="s">
        <v>40</v>
      </c>
      <c r="L395" s="10" t="s">
        <v>4</v>
      </c>
      <c r="M395" s="14">
        <v>44250.0</v>
      </c>
      <c r="N395" s="11" t="s">
        <v>823</v>
      </c>
      <c r="O395" s="10" t="s">
        <v>824</v>
      </c>
      <c r="P395" s="10" t="s">
        <v>787</v>
      </c>
      <c r="Q395" s="2"/>
      <c r="R395" s="10">
        <v>12.0</v>
      </c>
      <c r="S395" s="14">
        <v>44250.0</v>
      </c>
      <c r="T395" s="14">
        <v>44615.0</v>
      </c>
      <c r="U395" s="10">
        <f t="shared" si="23"/>
        <v>-1476</v>
      </c>
      <c r="V395" s="2"/>
      <c r="W395" s="15"/>
      <c r="X395" s="15"/>
      <c r="Y395" s="15"/>
      <c r="Z395" s="15"/>
      <c r="AA395" s="1"/>
      <c r="AB395" s="15"/>
      <c r="AC395" s="15"/>
      <c r="AD395" s="15"/>
      <c r="AE395" s="15"/>
      <c r="AF395" s="2"/>
      <c r="AG395" s="16" t="s">
        <v>45</v>
      </c>
      <c r="AH395" s="16" t="s">
        <v>45</v>
      </c>
      <c r="AI395" s="16" t="s">
        <v>45</v>
      </c>
      <c r="AJ395" s="16" t="s">
        <v>45</v>
      </c>
      <c r="AK395" s="16" t="s">
        <v>45</v>
      </c>
      <c r="AL395" s="16" t="s">
        <v>45</v>
      </c>
      <c r="AM395" s="16" t="s">
        <v>45</v>
      </c>
      <c r="AN395" s="16" t="s">
        <v>45</v>
      </c>
    </row>
    <row r="396" ht="30.0" customHeight="1">
      <c r="A396" s="9" t="str">
        <f t="shared" si="1"/>
        <v>Inativo</v>
      </c>
      <c r="B396" s="9" t="str">
        <f t="shared" si="2"/>
        <v>N/I</v>
      </c>
      <c r="C396" s="9" t="str">
        <f t="shared" si="3"/>
        <v>N/I</v>
      </c>
      <c r="D396" s="10" t="s">
        <v>764</v>
      </c>
      <c r="E396" s="11" t="s">
        <v>765</v>
      </c>
      <c r="F396" s="11" t="s">
        <v>909</v>
      </c>
      <c r="G396" s="12" t="s">
        <v>52</v>
      </c>
      <c r="H396" s="27" t="s">
        <v>910</v>
      </c>
      <c r="I396" s="12" t="s">
        <v>380</v>
      </c>
      <c r="J396" s="10" t="s">
        <v>197</v>
      </c>
      <c r="K396" s="10" t="s">
        <v>40</v>
      </c>
      <c r="L396" s="10" t="s">
        <v>4</v>
      </c>
      <c r="M396" s="14">
        <v>44376.0</v>
      </c>
      <c r="N396" s="11" t="s">
        <v>911</v>
      </c>
      <c r="O396" s="10" t="s">
        <v>912</v>
      </c>
      <c r="P396" s="10" t="s">
        <v>787</v>
      </c>
      <c r="Q396" s="2"/>
      <c r="R396" s="10">
        <v>12.0</v>
      </c>
      <c r="S396" s="14">
        <v>44376.0</v>
      </c>
      <c r="T396" s="14">
        <v>44741.0</v>
      </c>
      <c r="U396" s="10">
        <f t="shared" si="23"/>
        <v>-1350</v>
      </c>
      <c r="V396" s="2"/>
      <c r="W396" s="15"/>
      <c r="X396" s="15"/>
      <c r="Y396" s="15"/>
      <c r="Z396" s="15"/>
      <c r="AA396" s="1"/>
      <c r="AB396" s="15"/>
      <c r="AC396" s="15"/>
      <c r="AD396" s="15"/>
      <c r="AE396" s="15"/>
      <c r="AF396" s="2"/>
      <c r="AG396" s="16" t="s">
        <v>45</v>
      </c>
      <c r="AH396" s="16" t="s">
        <v>45</v>
      </c>
      <c r="AI396" s="16" t="s">
        <v>45</v>
      </c>
      <c r="AJ396" s="16" t="s">
        <v>45</v>
      </c>
      <c r="AK396" s="16" t="s">
        <v>45</v>
      </c>
      <c r="AL396" s="16" t="s">
        <v>45</v>
      </c>
      <c r="AM396" s="16" t="s">
        <v>45</v>
      </c>
      <c r="AN396" s="16" t="s">
        <v>45</v>
      </c>
    </row>
    <row r="397" ht="30.0" customHeight="1">
      <c r="A397" s="9" t="str">
        <f t="shared" si="1"/>
        <v>Inativo</v>
      </c>
      <c r="B397" s="9" t="str">
        <f t="shared" si="2"/>
        <v>N/I</v>
      </c>
      <c r="C397" s="9" t="str">
        <f t="shared" si="3"/>
        <v>N/I</v>
      </c>
      <c r="D397" s="10" t="s">
        <v>764</v>
      </c>
      <c r="E397" s="11" t="s">
        <v>765</v>
      </c>
      <c r="F397" s="11" t="s">
        <v>909</v>
      </c>
      <c r="G397" s="12" t="s">
        <v>52</v>
      </c>
      <c r="H397" s="27" t="s">
        <v>913</v>
      </c>
      <c r="I397" s="12" t="s">
        <v>380</v>
      </c>
      <c r="J397" s="10" t="s">
        <v>197</v>
      </c>
      <c r="K397" s="10" t="s">
        <v>40</v>
      </c>
      <c r="L397" s="10" t="s">
        <v>4</v>
      </c>
      <c r="M397" s="14">
        <v>44376.0</v>
      </c>
      <c r="N397" s="11" t="s">
        <v>911</v>
      </c>
      <c r="O397" s="10" t="s">
        <v>914</v>
      </c>
      <c r="P397" s="10" t="s">
        <v>787</v>
      </c>
      <c r="Q397" s="2"/>
      <c r="R397" s="10">
        <v>12.0</v>
      </c>
      <c r="S397" s="14">
        <v>44376.0</v>
      </c>
      <c r="T397" s="14">
        <v>44741.0</v>
      </c>
      <c r="U397" s="10">
        <f t="shared" si="23"/>
        <v>-1350</v>
      </c>
      <c r="V397" s="2"/>
      <c r="W397" s="15"/>
      <c r="X397" s="15"/>
      <c r="Y397" s="15"/>
      <c r="Z397" s="15"/>
      <c r="AA397" s="1"/>
      <c r="AB397" s="15"/>
      <c r="AC397" s="15"/>
      <c r="AD397" s="15"/>
      <c r="AE397" s="15"/>
      <c r="AF397" s="2"/>
      <c r="AG397" s="16" t="s">
        <v>45</v>
      </c>
      <c r="AH397" s="16" t="s">
        <v>45</v>
      </c>
      <c r="AI397" s="16" t="s">
        <v>45</v>
      </c>
      <c r="AJ397" s="16" t="s">
        <v>45</v>
      </c>
      <c r="AK397" s="16" t="s">
        <v>45</v>
      </c>
      <c r="AL397" s="16" t="s">
        <v>45</v>
      </c>
      <c r="AM397" s="16" t="s">
        <v>45</v>
      </c>
      <c r="AN397" s="16" t="s">
        <v>45</v>
      </c>
    </row>
    <row r="398" ht="30.0" customHeight="1">
      <c r="A398" s="9" t="str">
        <f t="shared" si="1"/>
        <v>Inativo</v>
      </c>
      <c r="B398" s="9" t="str">
        <f t="shared" si="2"/>
        <v>N/I</v>
      </c>
      <c r="C398" s="9" t="str">
        <f t="shared" si="3"/>
        <v>N/I</v>
      </c>
      <c r="D398" s="10" t="s">
        <v>764</v>
      </c>
      <c r="E398" s="11" t="s">
        <v>765</v>
      </c>
      <c r="F398" s="11" t="s">
        <v>915</v>
      </c>
      <c r="G398" s="12" t="s">
        <v>52</v>
      </c>
      <c r="H398" s="27" t="s">
        <v>916</v>
      </c>
      <c r="I398" s="12" t="s">
        <v>917</v>
      </c>
      <c r="J398" s="10" t="s">
        <v>234</v>
      </c>
      <c r="K398" s="10" t="s">
        <v>40</v>
      </c>
      <c r="L398" s="10" t="s">
        <v>4</v>
      </c>
      <c r="M398" s="14">
        <v>44376.0</v>
      </c>
      <c r="N398" s="11" t="s">
        <v>918</v>
      </c>
      <c r="O398" s="10" t="s">
        <v>919</v>
      </c>
      <c r="P398" s="10" t="s">
        <v>787</v>
      </c>
      <c r="Q398" s="2"/>
      <c r="R398" s="10">
        <v>12.0</v>
      </c>
      <c r="S398" s="14">
        <v>44376.0</v>
      </c>
      <c r="T398" s="14">
        <v>44741.0</v>
      </c>
      <c r="U398" s="10">
        <f t="shared" si="23"/>
        <v>-1350</v>
      </c>
      <c r="V398" s="2"/>
      <c r="W398" s="15"/>
      <c r="X398" s="15"/>
      <c r="Y398" s="15"/>
      <c r="Z398" s="15"/>
      <c r="AA398" s="1"/>
      <c r="AB398" s="15"/>
      <c r="AC398" s="15"/>
      <c r="AD398" s="15"/>
      <c r="AE398" s="15"/>
      <c r="AF398" s="2"/>
      <c r="AG398" s="16" t="s">
        <v>45</v>
      </c>
      <c r="AH398" s="16" t="s">
        <v>45</v>
      </c>
      <c r="AI398" s="16" t="s">
        <v>45</v>
      </c>
      <c r="AJ398" s="16" t="s">
        <v>45</v>
      </c>
      <c r="AK398" s="16" t="s">
        <v>45</v>
      </c>
      <c r="AL398" s="16" t="s">
        <v>45</v>
      </c>
      <c r="AM398" s="16" t="s">
        <v>45</v>
      </c>
      <c r="AN398" s="16" t="s">
        <v>45</v>
      </c>
    </row>
    <row r="399" ht="30.0" customHeight="1">
      <c r="A399" s="9" t="str">
        <f t="shared" si="1"/>
        <v>Inativo</v>
      </c>
      <c r="B399" s="9" t="str">
        <f t="shared" si="2"/>
        <v>N/I</v>
      </c>
      <c r="C399" s="9" t="str">
        <f t="shared" si="3"/>
        <v>N/I</v>
      </c>
      <c r="D399" s="10" t="s">
        <v>764</v>
      </c>
      <c r="E399" s="11" t="s">
        <v>765</v>
      </c>
      <c r="F399" s="11" t="s">
        <v>920</v>
      </c>
      <c r="G399" s="12" t="s">
        <v>52</v>
      </c>
      <c r="H399" s="27" t="s">
        <v>921</v>
      </c>
      <c r="I399" s="12" t="s">
        <v>651</v>
      </c>
      <c r="J399" s="10" t="s">
        <v>652</v>
      </c>
      <c r="K399" s="10" t="s">
        <v>41</v>
      </c>
      <c r="L399" s="10" t="s">
        <v>4</v>
      </c>
      <c r="M399" s="14">
        <v>44340.0</v>
      </c>
      <c r="N399" s="11" t="s">
        <v>922</v>
      </c>
      <c r="O399" s="10" t="s">
        <v>923</v>
      </c>
      <c r="P399" s="10" t="s">
        <v>776</v>
      </c>
      <c r="Q399" s="2"/>
      <c r="R399" s="10">
        <v>12.0</v>
      </c>
      <c r="S399" s="14">
        <v>44340.0</v>
      </c>
      <c r="T399" s="14">
        <v>45804.0</v>
      </c>
      <c r="U399" s="10">
        <f t="shared" si="23"/>
        <v>-287</v>
      </c>
      <c r="V399" s="2"/>
      <c r="W399" s="15"/>
      <c r="X399" s="15"/>
      <c r="Y399" s="15"/>
      <c r="Z399" s="15"/>
      <c r="AA399" s="1"/>
      <c r="AB399" s="15"/>
      <c r="AC399" s="15"/>
      <c r="AD399" s="15"/>
      <c r="AE399" s="15"/>
      <c r="AF399" s="2"/>
      <c r="AG399" s="16" t="s">
        <v>45</v>
      </c>
      <c r="AH399" s="16" t="s">
        <v>45</v>
      </c>
      <c r="AI399" s="16" t="s">
        <v>45</v>
      </c>
      <c r="AJ399" s="16" t="s">
        <v>45</v>
      </c>
      <c r="AK399" s="16" t="s">
        <v>45</v>
      </c>
      <c r="AL399" s="16" t="s">
        <v>45</v>
      </c>
      <c r="AM399" s="16" t="s">
        <v>45</v>
      </c>
      <c r="AN399" s="16" t="s">
        <v>45</v>
      </c>
    </row>
    <row r="400" ht="30.0" customHeight="1">
      <c r="A400" s="9" t="str">
        <f t="shared" si="1"/>
        <v>Inativo</v>
      </c>
      <c r="B400" s="9" t="str">
        <f t="shared" si="2"/>
        <v>N/I</v>
      </c>
      <c r="C400" s="9" t="str">
        <f t="shared" si="3"/>
        <v>N/I</v>
      </c>
      <c r="D400" s="10" t="s">
        <v>764</v>
      </c>
      <c r="E400" s="11" t="s">
        <v>765</v>
      </c>
      <c r="F400" s="11" t="s">
        <v>920</v>
      </c>
      <c r="G400" s="12" t="s">
        <v>68</v>
      </c>
      <c r="H400" s="27" t="s">
        <v>924</v>
      </c>
      <c r="I400" s="12" t="s">
        <v>651</v>
      </c>
      <c r="J400" s="10" t="s">
        <v>652</v>
      </c>
      <c r="K400" s="10" t="s">
        <v>41</v>
      </c>
      <c r="L400" s="10" t="s">
        <v>4</v>
      </c>
      <c r="M400" s="14">
        <v>45644.0</v>
      </c>
      <c r="N400" s="11" t="s">
        <v>922</v>
      </c>
      <c r="O400" s="10" t="s">
        <v>925</v>
      </c>
      <c r="P400" s="12" t="s">
        <v>779</v>
      </c>
      <c r="Q400" s="2"/>
      <c r="R400" s="10">
        <v>12.0</v>
      </c>
      <c r="S400" s="14">
        <v>45644.0</v>
      </c>
      <c r="T400" s="14">
        <v>46009.0</v>
      </c>
      <c r="U400" s="10">
        <f t="shared" si="23"/>
        <v>-82</v>
      </c>
      <c r="V400" s="2"/>
      <c r="W400" s="15"/>
      <c r="X400" s="15"/>
      <c r="Y400" s="15"/>
      <c r="Z400" s="15"/>
      <c r="AA400" s="1"/>
      <c r="AB400" s="15"/>
      <c r="AC400" s="15"/>
      <c r="AD400" s="15"/>
      <c r="AE400" s="15"/>
      <c r="AF400" s="2"/>
      <c r="AG400" s="10" t="s">
        <v>706</v>
      </c>
      <c r="AH400" s="30" t="s">
        <v>45</v>
      </c>
      <c r="AI400" s="30" t="s">
        <v>45</v>
      </c>
      <c r="AJ400" s="30" t="s">
        <v>780</v>
      </c>
      <c r="AK400" s="30" t="s">
        <v>45</v>
      </c>
      <c r="AL400" s="30" t="s">
        <v>780</v>
      </c>
      <c r="AM400" s="30" t="s">
        <v>45</v>
      </c>
      <c r="AN400" s="10" t="s">
        <v>320</v>
      </c>
    </row>
    <row r="401" ht="30.0" customHeight="1">
      <c r="A401" s="9" t="str">
        <f t="shared" si="1"/>
        <v>Inativo</v>
      </c>
      <c r="B401" s="9" t="str">
        <f t="shared" si="2"/>
        <v>N/I</v>
      </c>
      <c r="C401" s="9" t="str">
        <f t="shared" si="3"/>
        <v>N/I</v>
      </c>
      <c r="D401" s="10" t="s">
        <v>764</v>
      </c>
      <c r="E401" s="11" t="s">
        <v>765</v>
      </c>
      <c r="F401" s="11" t="s">
        <v>926</v>
      </c>
      <c r="G401" s="12" t="s">
        <v>52</v>
      </c>
      <c r="H401" s="27" t="s">
        <v>927</v>
      </c>
      <c r="I401" s="12" t="s">
        <v>928</v>
      </c>
      <c r="J401" s="10" t="s">
        <v>197</v>
      </c>
      <c r="K401" s="10" t="s">
        <v>40</v>
      </c>
      <c r="L401" s="10" t="s">
        <v>4</v>
      </c>
      <c r="M401" s="14">
        <v>44133.0</v>
      </c>
      <c r="N401" s="11" t="s">
        <v>929</v>
      </c>
      <c r="O401" s="10" t="s">
        <v>930</v>
      </c>
      <c r="P401" s="10" t="s">
        <v>787</v>
      </c>
      <c r="Q401" s="2"/>
      <c r="R401" s="10">
        <v>12.0</v>
      </c>
      <c r="S401" s="14">
        <v>44133.0</v>
      </c>
      <c r="T401" s="14">
        <v>44498.0</v>
      </c>
      <c r="U401" s="10">
        <f t="shared" si="23"/>
        <v>-1593</v>
      </c>
      <c r="V401" s="2"/>
      <c r="W401" s="15"/>
      <c r="X401" s="15"/>
      <c r="Y401" s="15"/>
      <c r="Z401" s="15"/>
      <c r="AA401" s="1"/>
      <c r="AB401" s="15"/>
      <c r="AC401" s="15"/>
      <c r="AD401" s="15"/>
      <c r="AE401" s="15"/>
      <c r="AF401" s="2"/>
      <c r="AG401" s="16" t="s">
        <v>45</v>
      </c>
      <c r="AH401" s="16" t="s">
        <v>45</v>
      </c>
      <c r="AI401" s="16" t="s">
        <v>45</v>
      </c>
      <c r="AJ401" s="16" t="s">
        <v>45</v>
      </c>
      <c r="AK401" s="16" t="s">
        <v>45</v>
      </c>
      <c r="AL401" s="16" t="s">
        <v>45</v>
      </c>
      <c r="AM401" s="16" t="s">
        <v>45</v>
      </c>
      <c r="AN401" s="16" t="s">
        <v>45</v>
      </c>
    </row>
    <row r="402" ht="30.0" customHeight="1">
      <c r="A402" s="9" t="str">
        <f t="shared" si="1"/>
        <v>Inativo</v>
      </c>
      <c r="B402" s="9" t="str">
        <f t="shared" si="2"/>
        <v>N/I</v>
      </c>
      <c r="C402" s="9" t="str">
        <f t="shared" si="3"/>
        <v>N/I</v>
      </c>
      <c r="D402" s="10" t="s">
        <v>764</v>
      </c>
      <c r="E402" s="11" t="s">
        <v>765</v>
      </c>
      <c r="F402" s="11" t="s">
        <v>926</v>
      </c>
      <c r="G402" s="12" t="s">
        <v>52</v>
      </c>
      <c r="H402" s="27" t="s">
        <v>931</v>
      </c>
      <c r="I402" s="12" t="s">
        <v>928</v>
      </c>
      <c r="J402" s="10" t="s">
        <v>197</v>
      </c>
      <c r="K402" s="10" t="s">
        <v>40</v>
      </c>
      <c r="L402" s="10" t="s">
        <v>4</v>
      </c>
      <c r="M402" s="14">
        <v>44133.0</v>
      </c>
      <c r="N402" s="11" t="s">
        <v>929</v>
      </c>
      <c r="O402" s="10" t="s">
        <v>930</v>
      </c>
      <c r="P402" s="10" t="s">
        <v>787</v>
      </c>
      <c r="Q402" s="2"/>
      <c r="R402" s="10">
        <v>12.0</v>
      </c>
      <c r="S402" s="14">
        <v>44133.0</v>
      </c>
      <c r="T402" s="14">
        <v>44498.0</v>
      </c>
      <c r="U402" s="10">
        <f t="shared" si="23"/>
        <v>-1593</v>
      </c>
      <c r="V402" s="2"/>
      <c r="W402" s="15"/>
      <c r="X402" s="15"/>
      <c r="Y402" s="15"/>
      <c r="Z402" s="15"/>
      <c r="AA402" s="1"/>
      <c r="AB402" s="15"/>
      <c r="AC402" s="15"/>
      <c r="AD402" s="15"/>
      <c r="AE402" s="15"/>
      <c r="AF402" s="2"/>
      <c r="AG402" s="16" t="s">
        <v>45</v>
      </c>
      <c r="AH402" s="16" t="s">
        <v>45</v>
      </c>
      <c r="AI402" s="16" t="s">
        <v>45</v>
      </c>
      <c r="AJ402" s="16" t="s">
        <v>45</v>
      </c>
      <c r="AK402" s="16" t="s">
        <v>45</v>
      </c>
      <c r="AL402" s="16" t="s">
        <v>45</v>
      </c>
      <c r="AM402" s="16" t="s">
        <v>45</v>
      </c>
      <c r="AN402" s="16" t="s">
        <v>45</v>
      </c>
    </row>
    <row r="403" ht="30.0" customHeight="1">
      <c r="A403" s="9" t="str">
        <f t="shared" si="1"/>
        <v>Inativo</v>
      </c>
      <c r="B403" s="9" t="str">
        <f t="shared" si="2"/>
        <v>N/I</v>
      </c>
      <c r="C403" s="9" t="str">
        <f t="shared" si="3"/>
        <v>N/I</v>
      </c>
      <c r="D403" s="10" t="s">
        <v>764</v>
      </c>
      <c r="E403" s="11" t="s">
        <v>765</v>
      </c>
      <c r="F403" s="11" t="s">
        <v>926</v>
      </c>
      <c r="G403" s="12" t="s">
        <v>52</v>
      </c>
      <c r="H403" s="27" t="s">
        <v>932</v>
      </c>
      <c r="I403" s="12" t="s">
        <v>928</v>
      </c>
      <c r="J403" s="10" t="s">
        <v>197</v>
      </c>
      <c r="K403" s="10" t="s">
        <v>40</v>
      </c>
      <c r="L403" s="10" t="s">
        <v>4</v>
      </c>
      <c r="M403" s="14">
        <v>44250.0</v>
      </c>
      <c r="N403" s="11" t="s">
        <v>929</v>
      </c>
      <c r="O403" s="10" t="s">
        <v>930</v>
      </c>
      <c r="P403" s="10" t="s">
        <v>787</v>
      </c>
      <c r="Q403" s="2"/>
      <c r="R403" s="10">
        <v>12.0</v>
      </c>
      <c r="S403" s="14">
        <v>44250.0</v>
      </c>
      <c r="T403" s="14">
        <v>44615.0</v>
      </c>
      <c r="U403" s="10">
        <f t="shared" si="23"/>
        <v>-1476</v>
      </c>
      <c r="V403" s="2"/>
      <c r="W403" s="15"/>
      <c r="X403" s="15"/>
      <c r="Y403" s="15"/>
      <c r="Z403" s="15"/>
      <c r="AA403" s="1"/>
      <c r="AB403" s="15"/>
      <c r="AC403" s="15"/>
      <c r="AD403" s="15"/>
      <c r="AE403" s="15"/>
      <c r="AF403" s="2"/>
      <c r="AG403" s="16" t="s">
        <v>45</v>
      </c>
      <c r="AH403" s="16" t="s">
        <v>45</v>
      </c>
      <c r="AI403" s="16" t="s">
        <v>45</v>
      </c>
      <c r="AJ403" s="16" t="s">
        <v>45</v>
      </c>
      <c r="AK403" s="16" t="s">
        <v>45</v>
      </c>
      <c r="AL403" s="16" t="s">
        <v>45</v>
      </c>
      <c r="AM403" s="16" t="s">
        <v>45</v>
      </c>
      <c r="AN403" s="16" t="s">
        <v>45</v>
      </c>
    </row>
    <row r="404" ht="30.0" customHeight="1">
      <c r="A404" s="9" t="str">
        <f t="shared" si="1"/>
        <v>Ativo</v>
      </c>
      <c r="B404" s="9" t="str">
        <f t="shared" si="2"/>
        <v>N/I</v>
      </c>
      <c r="C404" s="9" t="str">
        <f t="shared" si="3"/>
        <v>N/I</v>
      </c>
      <c r="D404" s="10" t="s">
        <v>933</v>
      </c>
      <c r="E404" s="11" t="s">
        <v>934</v>
      </c>
      <c r="F404" s="11" t="s">
        <v>935</v>
      </c>
      <c r="G404" s="12" t="s">
        <v>55</v>
      </c>
      <c r="H404" s="34" t="s">
        <v>936</v>
      </c>
      <c r="I404" s="12" t="s">
        <v>937</v>
      </c>
      <c r="J404" s="10" t="s">
        <v>132</v>
      </c>
      <c r="K404" s="10" t="s">
        <v>41</v>
      </c>
      <c r="L404" s="10" t="s">
        <v>4</v>
      </c>
      <c r="M404" s="22">
        <v>45433.0</v>
      </c>
      <c r="N404" s="32" t="s">
        <v>938</v>
      </c>
      <c r="O404" s="10" t="s">
        <v>939</v>
      </c>
      <c r="P404" s="10" t="s">
        <v>940</v>
      </c>
      <c r="Q404" s="2"/>
      <c r="R404" s="10">
        <v>36.0</v>
      </c>
      <c r="S404" s="14">
        <v>45433.0</v>
      </c>
      <c r="T404" s="14">
        <v>46527.0</v>
      </c>
      <c r="U404" s="10">
        <f t="shared" si="23"/>
        <v>436</v>
      </c>
      <c r="V404" s="2"/>
      <c r="W404" s="15"/>
      <c r="X404" s="15"/>
      <c r="Y404" s="15"/>
      <c r="Z404" s="15"/>
      <c r="AA404" s="1"/>
      <c r="AB404" s="15"/>
      <c r="AC404" s="15"/>
      <c r="AD404" s="15"/>
      <c r="AE404" s="15"/>
      <c r="AF404" s="2"/>
      <c r="AG404" s="10" t="s">
        <v>354</v>
      </c>
      <c r="AH404" s="12" t="s">
        <v>355</v>
      </c>
      <c r="AI404" s="10" t="s">
        <v>941</v>
      </c>
      <c r="AJ404" s="12" t="s">
        <v>942</v>
      </c>
      <c r="AK404" s="16" t="s">
        <v>45</v>
      </c>
      <c r="AL404" s="10" t="s">
        <v>49</v>
      </c>
      <c r="AM404" s="16" t="s">
        <v>45</v>
      </c>
      <c r="AN404" s="10" t="s">
        <v>320</v>
      </c>
    </row>
    <row r="405" ht="30.0" customHeight="1">
      <c r="A405" s="9" t="str">
        <f t="shared" si="1"/>
        <v>Ativo</v>
      </c>
      <c r="B405" s="9" t="str">
        <f t="shared" si="2"/>
        <v>N/I</v>
      </c>
      <c r="C405" s="9" t="str">
        <f t="shared" si="3"/>
        <v>N/I</v>
      </c>
      <c r="D405" s="10" t="s">
        <v>933</v>
      </c>
      <c r="E405" s="11" t="s">
        <v>934</v>
      </c>
      <c r="F405" s="11" t="s">
        <v>943</v>
      </c>
      <c r="G405" s="12" t="s">
        <v>55</v>
      </c>
      <c r="H405" s="34" t="s">
        <v>944</v>
      </c>
      <c r="I405" s="12" t="s">
        <v>945</v>
      </c>
      <c r="J405" s="10" t="s">
        <v>562</v>
      </c>
      <c r="K405" s="10" t="s">
        <v>190</v>
      </c>
      <c r="L405" s="10" t="s">
        <v>4</v>
      </c>
      <c r="M405" s="14">
        <v>45390.0</v>
      </c>
      <c r="N405" s="32" t="s">
        <v>946</v>
      </c>
      <c r="O405" s="10" t="s">
        <v>947</v>
      </c>
      <c r="P405" s="10" t="s">
        <v>940</v>
      </c>
      <c r="Q405" s="2"/>
      <c r="R405" s="10">
        <v>36.0</v>
      </c>
      <c r="S405" s="14">
        <v>45447.0</v>
      </c>
      <c r="T405" s="14">
        <v>46541.0</v>
      </c>
      <c r="U405" s="10">
        <f t="shared" si="23"/>
        <v>450</v>
      </c>
      <c r="V405" s="2"/>
      <c r="W405" s="15"/>
      <c r="X405" s="15"/>
      <c r="Y405" s="15"/>
      <c r="Z405" s="15"/>
      <c r="AA405" s="1"/>
      <c r="AB405" s="15"/>
      <c r="AC405" s="15"/>
      <c r="AD405" s="15"/>
      <c r="AE405" s="15"/>
      <c r="AF405" s="2"/>
      <c r="AG405" s="10" t="s">
        <v>354</v>
      </c>
      <c r="AH405" s="12" t="s">
        <v>355</v>
      </c>
      <c r="AI405" s="10" t="s">
        <v>941</v>
      </c>
      <c r="AJ405" s="12" t="s">
        <v>942</v>
      </c>
      <c r="AK405" s="16" t="s">
        <v>45</v>
      </c>
      <c r="AL405" s="10" t="s">
        <v>49</v>
      </c>
      <c r="AM405" s="16" t="s">
        <v>45</v>
      </c>
      <c r="AN405" s="10" t="s">
        <v>320</v>
      </c>
    </row>
    <row r="406" ht="30.0" customHeight="1">
      <c r="A406" s="9" t="str">
        <f t="shared" si="1"/>
        <v>Ativo</v>
      </c>
      <c r="B406" s="9" t="str">
        <f t="shared" si="2"/>
        <v>N/I</v>
      </c>
      <c r="C406" s="9" t="str">
        <f t="shared" si="3"/>
        <v>N/I</v>
      </c>
      <c r="D406" s="10" t="s">
        <v>933</v>
      </c>
      <c r="E406" s="11" t="s">
        <v>934</v>
      </c>
      <c r="F406" s="11" t="s">
        <v>948</v>
      </c>
      <c r="G406" s="12" t="s">
        <v>55</v>
      </c>
      <c r="H406" s="34" t="s">
        <v>949</v>
      </c>
      <c r="I406" s="12" t="s">
        <v>950</v>
      </c>
      <c r="J406" s="10" t="s">
        <v>652</v>
      </c>
      <c r="K406" s="10" t="s">
        <v>41</v>
      </c>
      <c r="L406" s="10" t="s">
        <v>4</v>
      </c>
      <c r="M406" s="22">
        <v>45386.0</v>
      </c>
      <c r="N406" s="32" t="s">
        <v>951</v>
      </c>
      <c r="O406" s="10" t="s">
        <v>952</v>
      </c>
      <c r="P406" s="10" t="s">
        <v>940</v>
      </c>
      <c r="Q406" s="2"/>
      <c r="R406" s="10">
        <v>36.0</v>
      </c>
      <c r="S406" s="14">
        <v>45386.0</v>
      </c>
      <c r="T406" s="14">
        <v>46480.0</v>
      </c>
      <c r="U406" s="10">
        <f t="shared" si="23"/>
        <v>389</v>
      </c>
      <c r="V406" s="2"/>
      <c r="W406" s="15"/>
      <c r="X406" s="15"/>
      <c r="Y406" s="15"/>
      <c r="Z406" s="15"/>
      <c r="AA406" s="1"/>
      <c r="AB406" s="15"/>
      <c r="AC406" s="15"/>
      <c r="AD406" s="15"/>
      <c r="AE406" s="15"/>
      <c r="AF406" s="2"/>
      <c r="AG406" s="10" t="s">
        <v>354</v>
      </c>
      <c r="AH406" s="12" t="s">
        <v>355</v>
      </c>
      <c r="AI406" s="10" t="s">
        <v>941</v>
      </c>
      <c r="AJ406" s="12" t="s">
        <v>942</v>
      </c>
      <c r="AK406" s="16" t="s">
        <v>45</v>
      </c>
      <c r="AL406" s="10" t="s">
        <v>49</v>
      </c>
      <c r="AM406" s="16" t="s">
        <v>45</v>
      </c>
      <c r="AN406" s="10" t="s">
        <v>320</v>
      </c>
    </row>
    <row r="407" ht="30.0" customHeight="1">
      <c r="A407" s="9" t="str">
        <f t="shared" si="1"/>
        <v>Ativo</v>
      </c>
      <c r="B407" s="9" t="str">
        <f t="shared" si="2"/>
        <v>N/I</v>
      </c>
      <c r="C407" s="9" t="str">
        <f t="shared" si="3"/>
        <v>N/I</v>
      </c>
      <c r="D407" s="10" t="s">
        <v>933</v>
      </c>
      <c r="E407" s="11" t="s">
        <v>934</v>
      </c>
      <c r="F407" s="11" t="s">
        <v>953</v>
      </c>
      <c r="G407" s="12" t="s">
        <v>55</v>
      </c>
      <c r="H407" s="34" t="s">
        <v>954</v>
      </c>
      <c r="I407" s="12" t="s">
        <v>950</v>
      </c>
      <c r="J407" s="10" t="s">
        <v>652</v>
      </c>
      <c r="K407" s="10" t="s">
        <v>41</v>
      </c>
      <c r="L407" s="10" t="s">
        <v>4</v>
      </c>
      <c r="M407" s="22">
        <v>45390.0</v>
      </c>
      <c r="N407" s="32" t="s">
        <v>955</v>
      </c>
      <c r="O407" s="10" t="s">
        <v>952</v>
      </c>
      <c r="P407" s="10" t="s">
        <v>940</v>
      </c>
      <c r="Q407" s="2"/>
      <c r="R407" s="10">
        <v>36.0</v>
      </c>
      <c r="S407" s="14">
        <v>45447.0</v>
      </c>
      <c r="T407" s="14">
        <v>46541.0</v>
      </c>
      <c r="U407" s="10">
        <f t="shared" si="23"/>
        <v>450</v>
      </c>
      <c r="V407" s="2"/>
      <c r="W407" s="15"/>
      <c r="X407" s="15"/>
      <c r="Y407" s="15"/>
      <c r="Z407" s="15"/>
      <c r="AA407" s="1"/>
      <c r="AB407" s="15"/>
      <c r="AC407" s="15"/>
      <c r="AD407" s="15"/>
      <c r="AE407" s="15"/>
      <c r="AF407" s="2"/>
      <c r="AG407" s="10" t="s">
        <v>354</v>
      </c>
      <c r="AH407" s="12" t="s">
        <v>355</v>
      </c>
      <c r="AI407" s="10" t="s">
        <v>941</v>
      </c>
      <c r="AJ407" s="12" t="s">
        <v>942</v>
      </c>
      <c r="AK407" s="16" t="s">
        <v>45</v>
      </c>
      <c r="AL407" s="10" t="s">
        <v>49</v>
      </c>
      <c r="AM407" s="16" t="s">
        <v>45</v>
      </c>
      <c r="AN407" s="10" t="s">
        <v>320</v>
      </c>
    </row>
    <row r="408" ht="30.0" customHeight="1">
      <c r="A408" s="9" t="str">
        <f t="shared" si="1"/>
        <v>Ativo</v>
      </c>
      <c r="B408" s="9" t="str">
        <f t="shared" si="2"/>
        <v>N/I</v>
      </c>
      <c r="C408" s="9" t="str">
        <f t="shared" si="3"/>
        <v>N/I</v>
      </c>
      <c r="D408" s="10" t="s">
        <v>933</v>
      </c>
      <c r="E408" s="11" t="s">
        <v>934</v>
      </c>
      <c r="F408" s="11" t="s">
        <v>956</v>
      </c>
      <c r="G408" s="12" t="s">
        <v>55</v>
      </c>
      <c r="H408" s="34" t="s">
        <v>957</v>
      </c>
      <c r="I408" s="12" t="s">
        <v>958</v>
      </c>
      <c r="J408" s="10" t="s">
        <v>562</v>
      </c>
      <c r="K408" s="10" t="s">
        <v>190</v>
      </c>
      <c r="L408" s="10" t="s">
        <v>4</v>
      </c>
      <c r="M408" s="14">
        <v>45392.0</v>
      </c>
      <c r="N408" s="32" t="s">
        <v>959</v>
      </c>
      <c r="O408" s="10" t="s">
        <v>960</v>
      </c>
      <c r="P408" s="10" t="s">
        <v>940</v>
      </c>
      <c r="Q408" s="2"/>
      <c r="R408" s="10">
        <v>36.0</v>
      </c>
      <c r="S408" s="14">
        <v>45447.0</v>
      </c>
      <c r="T408" s="14">
        <v>46541.0</v>
      </c>
      <c r="U408" s="10">
        <f t="shared" si="23"/>
        <v>450</v>
      </c>
      <c r="V408" s="2"/>
      <c r="W408" s="15"/>
      <c r="X408" s="15"/>
      <c r="Y408" s="15"/>
      <c r="Z408" s="15"/>
      <c r="AA408" s="1"/>
      <c r="AB408" s="15"/>
      <c r="AC408" s="15"/>
      <c r="AD408" s="15"/>
      <c r="AE408" s="15"/>
      <c r="AF408" s="2"/>
      <c r="AG408" s="10" t="s">
        <v>354</v>
      </c>
      <c r="AH408" s="12" t="s">
        <v>355</v>
      </c>
      <c r="AI408" s="10" t="s">
        <v>941</v>
      </c>
      <c r="AJ408" s="12" t="s">
        <v>942</v>
      </c>
      <c r="AK408" s="16" t="s">
        <v>45</v>
      </c>
      <c r="AL408" s="10" t="s">
        <v>49</v>
      </c>
      <c r="AM408" s="16" t="s">
        <v>45</v>
      </c>
      <c r="AN408" s="10" t="s">
        <v>320</v>
      </c>
    </row>
    <row r="409" ht="30.0" customHeight="1">
      <c r="A409" s="9" t="str">
        <f t="shared" si="1"/>
        <v>Ativo</v>
      </c>
      <c r="B409" s="9" t="str">
        <f t="shared" si="2"/>
        <v>N/I</v>
      </c>
      <c r="C409" s="9" t="str">
        <f t="shared" si="3"/>
        <v>N/I</v>
      </c>
      <c r="D409" s="10" t="s">
        <v>933</v>
      </c>
      <c r="E409" s="11" t="s">
        <v>934</v>
      </c>
      <c r="F409" s="11" t="s">
        <v>961</v>
      </c>
      <c r="G409" s="12" t="s">
        <v>55</v>
      </c>
      <c r="H409" s="34" t="s">
        <v>962</v>
      </c>
      <c r="I409" s="12" t="s">
        <v>963</v>
      </c>
      <c r="J409" s="10" t="s">
        <v>562</v>
      </c>
      <c r="K409" s="10" t="s">
        <v>190</v>
      </c>
      <c r="L409" s="10" t="s">
        <v>4</v>
      </c>
      <c r="M409" s="14">
        <v>45390.0</v>
      </c>
      <c r="N409" s="32" t="s">
        <v>964</v>
      </c>
      <c r="O409" s="10" t="s">
        <v>965</v>
      </c>
      <c r="P409" s="10" t="s">
        <v>940</v>
      </c>
      <c r="Q409" s="2"/>
      <c r="R409" s="10">
        <v>36.0</v>
      </c>
      <c r="S409" s="14">
        <v>45447.0</v>
      </c>
      <c r="T409" s="14">
        <v>46541.0</v>
      </c>
      <c r="U409" s="10">
        <f t="shared" si="23"/>
        <v>450</v>
      </c>
      <c r="V409" s="2"/>
      <c r="W409" s="15"/>
      <c r="X409" s="15"/>
      <c r="Y409" s="15"/>
      <c r="Z409" s="15"/>
      <c r="AA409" s="1"/>
      <c r="AB409" s="15"/>
      <c r="AC409" s="15"/>
      <c r="AD409" s="15"/>
      <c r="AE409" s="15"/>
      <c r="AF409" s="2"/>
      <c r="AG409" s="10" t="s">
        <v>354</v>
      </c>
      <c r="AH409" s="12" t="s">
        <v>355</v>
      </c>
      <c r="AI409" s="10" t="s">
        <v>941</v>
      </c>
      <c r="AJ409" s="12" t="s">
        <v>942</v>
      </c>
      <c r="AK409" s="16" t="s">
        <v>45</v>
      </c>
      <c r="AL409" s="10" t="s">
        <v>49</v>
      </c>
      <c r="AM409" s="16" t="s">
        <v>45</v>
      </c>
      <c r="AN409" s="10" t="s">
        <v>320</v>
      </c>
    </row>
    <row r="410" ht="30.0" customHeight="1">
      <c r="A410" s="9" t="str">
        <f t="shared" si="1"/>
        <v>Ativo</v>
      </c>
      <c r="B410" s="9" t="str">
        <f t="shared" si="2"/>
        <v>N/I</v>
      </c>
      <c r="C410" s="9" t="str">
        <f t="shared" si="3"/>
        <v>N/I</v>
      </c>
      <c r="D410" s="10" t="s">
        <v>933</v>
      </c>
      <c r="E410" s="11" t="s">
        <v>934</v>
      </c>
      <c r="F410" s="11" t="s">
        <v>943</v>
      </c>
      <c r="G410" s="12" t="s">
        <v>55</v>
      </c>
      <c r="H410" s="34" t="s">
        <v>966</v>
      </c>
      <c r="I410" s="12" t="s">
        <v>963</v>
      </c>
      <c r="J410" s="10" t="s">
        <v>562</v>
      </c>
      <c r="K410" s="10" t="s">
        <v>190</v>
      </c>
      <c r="L410" s="10" t="s">
        <v>4</v>
      </c>
      <c r="M410" s="14">
        <v>45394.0</v>
      </c>
      <c r="N410" s="32" t="s">
        <v>967</v>
      </c>
      <c r="O410" s="10" t="s">
        <v>965</v>
      </c>
      <c r="P410" s="10" t="s">
        <v>940</v>
      </c>
      <c r="Q410" s="2"/>
      <c r="R410" s="10">
        <v>36.0</v>
      </c>
      <c r="S410" s="14">
        <v>45447.0</v>
      </c>
      <c r="T410" s="14">
        <v>46541.0</v>
      </c>
      <c r="U410" s="10">
        <f t="shared" si="23"/>
        <v>450</v>
      </c>
      <c r="V410" s="2"/>
      <c r="W410" s="15"/>
      <c r="X410" s="15"/>
      <c r="Y410" s="15"/>
      <c r="Z410" s="15"/>
      <c r="AA410" s="1"/>
      <c r="AB410" s="15"/>
      <c r="AC410" s="15"/>
      <c r="AD410" s="15"/>
      <c r="AE410" s="15"/>
      <c r="AF410" s="2"/>
      <c r="AG410" s="10" t="s">
        <v>354</v>
      </c>
      <c r="AH410" s="12" t="s">
        <v>355</v>
      </c>
      <c r="AI410" s="10" t="s">
        <v>941</v>
      </c>
      <c r="AJ410" s="12" t="s">
        <v>942</v>
      </c>
      <c r="AK410" s="16" t="s">
        <v>45</v>
      </c>
      <c r="AL410" s="10" t="s">
        <v>49</v>
      </c>
      <c r="AM410" s="16" t="s">
        <v>45</v>
      </c>
      <c r="AN410" s="10" t="s">
        <v>320</v>
      </c>
    </row>
    <row r="411" ht="30.0" customHeight="1">
      <c r="A411" s="9" t="str">
        <f t="shared" si="1"/>
        <v>Ativo</v>
      </c>
      <c r="B411" s="9" t="str">
        <f t="shared" si="2"/>
        <v>N/I</v>
      </c>
      <c r="C411" s="9" t="str">
        <f t="shared" si="3"/>
        <v>N/I</v>
      </c>
      <c r="D411" s="10" t="s">
        <v>933</v>
      </c>
      <c r="E411" s="11" t="s">
        <v>934</v>
      </c>
      <c r="F411" s="11" t="s">
        <v>968</v>
      </c>
      <c r="G411" s="12" t="s">
        <v>55</v>
      </c>
      <c r="H411" s="34" t="s">
        <v>969</v>
      </c>
      <c r="I411" s="12" t="s">
        <v>970</v>
      </c>
      <c r="J411" s="10" t="s">
        <v>89</v>
      </c>
      <c r="K411" s="10" t="s">
        <v>41</v>
      </c>
      <c r="L411" s="10" t="s">
        <v>4</v>
      </c>
      <c r="M411" s="14">
        <v>45356.0</v>
      </c>
      <c r="N411" s="32" t="s">
        <v>971</v>
      </c>
      <c r="O411" s="10" t="s">
        <v>972</v>
      </c>
      <c r="P411" s="10" t="s">
        <v>940</v>
      </c>
      <c r="Q411" s="2"/>
      <c r="R411" s="10">
        <v>36.0</v>
      </c>
      <c r="S411" s="14">
        <v>45433.0</v>
      </c>
      <c r="T411" s="14">
        <v>46527.0</v>
      </c>
      <c r="U411" s="10">
        <f t="shared" si="23"/>
        <v>436</v>
      </c>
      <c r="V411" s="2"/>
      <c r="W411" s="15"/>
      <c r="X411" s="15"/>
      <c r="Y411" s="15"/>
      <c r="Z411" s="15"/>
      <c r="AA411" s="1"/>
      <c r="AB411" s="15"/>
      <c r="AC411" s="15"/>
      <c r="AD411" s="15"/>
      <c r="AE411" s="15"/>
      <c r="AF411" s="2"/>
      <c r="AG411" s="10" t="s">
        <v>354</v>
      </c>
      <c r="AH411" s="12" t="s">
        <v>355</v>
      </c>
      <c r="AI411" s="10" t="s">
        <v>941</v>
      </c>
      <c r="AJ411" s="12" t="s">
        <v>942</v>
      </c>
      <c r="AK411" s="16" t="s">
        <v>45</v>
      </c>
      <c r="AL411" s="10" t="s">
        <v>49</v>
      </c>
      <c r="AM411" s="16" t="s">
        <v>45</v>
      </c>
      <c r="AN411" s="10" t="s">
        <v>320</v>
      </c>
    </row>
    <row r="412" ht="30.0" customHeight="1">
      <c r="A412" s="9" t="str">
        <f t="shared" si="1"/>
        <v>Ativo</v>
      </c>
      <c r="B412" s="9" t="str">
        <f t="shared" si="2"/>
        <v>N/I</v>
      </c>
      <c r="C412" s="9" t="str">
        <f t="shared" si="3"/>
        <v>N/I</v>
      </c>
      <c r="D412" s="10" t="s">
        <v>933</v>
      </c>
      <c r="E412" s="11" t="s">
        <v>934</v>
      </c>
      <c r="F412" s="11" t="s">
        <v>973</v>
      </c>
      <c r="G412" s="12" t="s">
        <v>55</v>
      </c>
      <c r="H412" s="34" t="s">
        <v>974</v>
      </c>
      <c r="I412" s="12" t="s">
        <v>975</v>
      </c>
      <c r="J412" s="10" t="s">
        <v>610</v>
      </c>
      <c r="K412" s="10" t="s">
        <v>209</v>
      </c>
      <c r="L412" s="10" t="s">
        <v>4</v>
      </c>
      <c r="M412" s="22">
        <v>45491.0</v>
      </c>
      <c r="N412" s="32" t="s">
        <v>976</v>
      </c>
      <c r="O412" s="10" t="s">
        <v>977</v>
      </c>
      <c r="P412" s="10" t="s">
        <v>940</v>
      </c>
      <c r="Q412" s="2"/>
      <c r="R412" s="10">
        <v>36.0</v>
      </c>
      <c r="S412" s="14">
        <v>45547.0</v>
      </c>
      <c r="T412" s="14">
        <v>46641.0</v>
      </c>
      <c r="U412" s="10">
        <f t="shared" si="23"/>
        <v>550</v>
      </c>
      <c r="V412" s="2"/>
      <c r="W412" s="15"/>
      <c r="X412" s="15"/>
      <c r="Y412" s="15"/>
      <c r="Z412" s="15"/>
      <c r="AA412" s="1"/>
      <c r="AB412" s="15"/>
      <c r="AC412" s="15"/>
      <c r="AD412" s="15"/>
      <c r="AE412" s="15"/>
      <c r="AF412" s="2"/>
      <c r="AG412" s="10" t="s">
        <v>354</v>
      </c>
      <c r="AH412" s="12" t="s">
        <v>355</v>
      </c>
      <c r="AI412" s="10" t="s">
        <v>941</v>
      </c>
      <c r="AJ412" s="12" t="s">
        <v>942</v>
      </c>
      <c r="AK412" s="16" t="s">
        <v>45</v>
      </c>
      <c r="AL412" s="10" t="s">
        <v>49</v>
      </c>
      <c r="AM412" s="16" t="s">
        <v>45</v>
      </c>
      <c r="AN412" s="10" t="s">
        <v>320</v>
      </c>
    </row>
    <row r="413" ht="30.0" customHeight="1">
      <c r="A413" s="9" t="str">
        <f>IF(U406&lt;0,"Inativo",IF(U406&gt;0,"Ativo","N/I"))</f>
        <v>Ativo</v>
      </c>
      <c r="B413" s="9" t="str">
        <f>IF(Z406&lt;0,"Inativo",IF(Z406&gt;0,"Ativo","N/I"))</f>
        <v>N/I</v>
      </c>
      <c r="C413" s="9" t="str">
        <f>IF(AE406&lt;0,"Inativo",IF(AE406&gt;0,"Ativo","N/I"))</f>
        <v>N/I</v>
      </c>
      <c r="D413" s="10" t="s">
        <v>933</v>
      </c>
      <c r="E413" s="11" t="s">
        <v>934</v>
      </c>
      <c r="F413" s="11" t="s">
        <v>978</v>
      </c>
      <c r="G413" s="12" t="s">
        <v>55</v>
      </c>
      <c r="H413" s="34" t="s">
        <v>979</v>
      </c>
      <c r="I413" s="12" t="s">
        <v>980</v>
      </c>
      <c r="J413" s="10" t="s">
        <v>40</v>
      </c>
      <c r="K413" s="10" t="s">
        <v>41</v>
      </c>
      <c r="L413" s="10" t="s">
        <v>4</v>
      </c>
      <c r="M413" s="22">
        <v>45434.0</v>
      </c>
      <c r="N413" s="32" t="s">
        <v>981</v>
      </c>
      <c r="O413" s="10" t="s">
        <v>982</v>
      </c>
      <c r="P413" s="10" t="s">
        <v>940</v>
      </c>
      <c r="Q413" s="2"/>
      <c r="R413" s="10">
        <v>36.0</v>
      </c>
      <c r="S413" s="14">
        <v>45484.0</v>
      </c>
      <c r="T413" s="14">
        <v>46578.0</v>
      </c>
      <c r="U413" s="10">
        <f t="shared" si="23"/>
        <v>487</v>
      </c>
      <c r="V413" s="2"/>
      <c r="W413" s="15"/>
      <c r="X413" s="15"/>
      <c r="Y413" s="15"/>
      <c r="Z413" s="15"/>
      <c r="AA413" s="1"/>
      <c r="AB413" s="15"/>
      <c r="AC413" s="15"/>
      <c r="AD413" s="15"/>
      <c r="AE413" s="15"/>
      <c r="AF413" s="2"/>
      <c r="AG413" s="10" t="s">
        <v>354</v>
      </c>
      <c r="AH413" s="12" t="s">
        <v>355</v>
      </c>
      <c r="AI413" s="10" t="s">
        <v>941</v>
      </c>
      <c r="AJ413" s="12" t="s">
        <v>942</v>
      </c>
      <c r="AK413" s="16" t="s">
        <v>45</v>
      </c>
      <c r="AL413" s="10" t="s">
        <v>49</v>
      </c>
      <c r="AM413" s="16" t="s">
        <v>45</v>
      </c>
      <c r="AN413" s="10" t="s">
        <v>320</v>
      </c>
    </row>
    <row r="414" ht="30.0" customHeight="1">
      <c r="A414" s="9" t="str">
        <f t="shared" ref="A414:A424" si="24">IF(U414&lt;0,"Inativo",IF(U414&gt;0,"Ativo","N/I"))</f>
        <v>Ativo</v>
      </c>
      <c r="B414" s="9" t="str">
        <f t="shared" ref="B414:B424" si="25">IF(Z414&lt;0,"Inativo",IF(Z414&gt;0,"Ativo","N/I"))</f>
        <v>N/I</v>
      </c>
      <c r="C414" s="9" t="str">
        <f t="shared" ref="C414:C424" si="26">IF(AE414&lt;0,"Inativo",IF(AE414&gt;0,"Ativo","N/I"))</f>
        <v>N/I</v>
      </c>
      <c r="D414" s="10" t="s">
        <v>933</v>
      </c>
      <c r="E414" s="11" t="s">
        <v>934</v>
      </c>
      <c r="F414" s="11" t="s">
        <v>983</v>
      </c>
      <c r="G414" s="12" t="s">
        <v>55</v>
      </c>
      <c r="H414" s="34" t="s">
        <v>984</v>
      </c>
      <c r="I414" s="12" t="s">
        <v>985</v>
      </c>
      <c r="J414" s="10" t="s">
        <v>870</v>
      </c>
      <c r="K414" s="10" t="s">
        <v>209</v>
      </c>
      <c r="L414" s="10" t="s">
        <v>4</v>
      </c>
      <c r="M414" s="22">
        <v>45307.0</v>
      </c>
      <c r="N414" s="32" t="s">
        <v>986</v>
      </c>
      <c r="O414" s="10" t="s">
        <v>987</v>
      </c>
      <c r="P414" s="10" t="s">
        <v>940</v>
      </c>
      <c r="Q414" s="2"/>
      <c r="R414" s="10">
        <v>36.0</v>
      </c>
      <c r="S414" s="14">
        <v>45359.0</v>
      </c>
      <c r="T414" s="14">
        <v>46453.0</v>
      </c>
      <c r="U414" s="10">
        <f t="shared" si="23"/>
        <v>362</v>
      </c>
      <c r="V414" s="2"/>
      <c r="W414" s="15"/>
      <c r="X414" s="15"/>
      <c r="Y414" s="15"/>
      <c r="Z414" s="15"/>
      <c r="AA414" s="1"/>
      <c r="AB414" s="15"/>
      <c r="AC414" s="15"/>
      <c r="AD414" s="15"/>
      <c r="AE414" s="15"/>
      <c r="AF414" s="2"/>
      <c r="AG414" s="10" t="s">
        <v>354</v>
      </c>
      <c r="AH414" s="12" t="s">
        <v>355</v>
      </c>
      <c r="AI414" s="10" t="s">
        <v>941</v>
      </c>
      <c r="AJ414" s="12" t="s">
        <v>942</v>
      </c>
      <c r="AK414" s="16" t="s">
        <v>45</v>
      </c>
      <c r="AL414" s="10" t="s">
        <v>49</v>
      </c>
      <c r="AM414" s="16" t="s">
        <v>45</v>
      </c>
      <c r="AN414" s="10" t="s">
        <v>320</v>
      </c>
    </row>
    <row r="415" ht="30.0" customHeight="1">
      <c r="A415" s="9" t="str">
        <f t="shared" si="24"/>
        <v>Ativo</v>
      </c>
      <c r="B415" s="9" t="str">
        <f t="shared" si="25"/>
        <v>N/I</v>
      </c>
      <c r="C415" s="9" t="str">
        <f t="shared" si="26"/>
        <v>N/I</v>
      </c>
      <c r="D415" s="10" t="s">
        <v>933</v>
      </c>
      <c r="E415" s="11" t="s">
        <v>934</v>
      </c>
      <c r="F415" s="11" t="s">
        <v>988</v>
      </c>
      <c r="G415" s="12" t="s">
        <v>55</v>
      </c>
      <c r="H415" s="19" t="s">
        <v>989</v>
      </c>
      <c r="I415" s="12" t="s">
        <v>990</v>
      </c>
      <c r="J415" s="10" t="s">
        <v>583</v>
      </c>
      <c r="K415" s="10" t="s">
        <v>41</v>
      </c>
      <c r="L415" s="10" t="s">
        <v>4</v>
      </c>
      <c r="M415" s="22">
        <v>45191.0</v>
      </c>
      <c r="N415" s="32" t="s">
        <v>991</v>
      </c>
      <c r="O415" s="10" t="s">
        <v>319</v>
      </c>
      <c r="P415" s="10" t="s">
        <v>992</v>
      </c>
      <c r="Q415" s="2"/>
      <c r="R415" s="10">
        <v>36.0</v>
      </c>
      <c r="S415" s="14">
        <v>45218.0</v>
      </c>
      <c r="T415" s="14">
        <v>46313.0</v>
      </c>
      <c r="U415" s="10">
        <f t="shared" si="23"/>
        <v>222</v>
      </c>
      <c r="V415" s="2"/>
      <c r="W415" s="15"/>
      <c r="X415" s="15"/>
      <c r="Y415" s="15"/>
      <c r="Z415" s="15"/>
      <c r="AA415" s="1"/>
      <c r="AB415" s="15"/>
      <c r="AC415" s="15"/>
      <c r="AD415" s="15"/>
      <c r="AE415" s="15"/>
      <c r="AF415" s="2"/>
      <c r="AG415" s="10" t="s">
        <v>354</v>
      </c>
      <c r="AH415" s="12" t="s">
        <v>355</v>
      </c>
      <c r="AI415" s="10" t="s">
        <v>941</v>
      </c>
      <c r="AJ415" s="12" t="s">
        <v>942</v>
      </c>
      <c r="AK415" s="16" t="s">
        <v>45</v>
      </c>
      <c r="AL415" s="10" t="s">
        <v>49</v>
      </c>
      <c r="AM415" s="16" t="s">
        <v>45</v>
      </c>
      <c r="AN415" s="10" t="s">
        <v>320</v>
      </c>
    </row>
    <row r="416" ht="30.0" customHeight="1">
      <c r="A416" s="9" t="str">
        <f t="shared" si="24"/>
        <v>Ativo</v>
      </c>
      <c r="B416" s="9" t="str">
        <f t="shared" si="25"/>
        <v>N/I</v>
      </c>
      <c r="C416" s="9" t="str">
        <f t="shared" si="26"/>
        <v>N/I</v>
      </c>
      <c r="D416" s="10" t="s">
        <v>933</v>
      </c>
      <c r="E416" s="11" t="s">
        <v>934</v>
      </c>
      <c r="F416" s="11" t="s">
        <v>993</v>
      </c>
      <c r="G416" s="12" t="s">
        <v>55</v>
      </c>
      <c r="H416" s="34" t="s">
        <v>994</v>
      </c>
      <c r="I416" s="12" t="s">
        <v>995</v>
      </c>
      <c r="J416" s="10" t="s">
        <v>222</v>
      </c>
      <c r="K416" s="10" t="s">
        <v>40</v>
      </c>
      <c r="L416" s="10" t="s">
        <v>4</v>
      </c>
      <c r="M416" s="22">
        <v>45503.0</v>
      </c>
      <c r="N416" s="32" t="s">
        <v>996</v>
      </c>
      <c r="O416" s="10" t="s">
        <v>319</v>
      </c>
      <c r="P416" s="10" t="s">
        <v>940</v>
      </c>
      <c r="Q416" s="2"/>
      <c r="R416" s="10">
        <v>36.0</v>
      </c>
      <c r="S416" s="14">
        <v>45559.0</v>
      </c>
      <c r="T416" s="14">
        <v>46653.0</v>
      </c>
      <c r="U416" s="10">
        <f t="shared" si="23"/>
        <v>562</v>
      </c>
      <c r="V416" s="2"/>
      <c r="W416" s="15"/>
      <c r="X416" s="15"/>
      <c r="Y416" s="15"/>
      <c r="Z416" s="15"/>
      <c r="AA416" s="1"/>
      <c r="AB416" s="15"/>
      <c r="AC416" s="15"/>
      <c r="AD416" s="15"/>
      <c r="AE416" s="15"/>
      <c r="AF416" s="2"/>
      <c r="AG416" s="10" t="s">
        <v>354</v>
      </c>
      <c r="AH416" s="12" t="s">
        <v>355</v>
      </c>
      <c r="AI416" s="10" t="s">
        <v>941</v>
      </c>
      <c r="AJ416" s="12" t="s">
        <v>942</v>
      </c>
      <c r="AK416" s="16" t="s">
        <v>45</v>
      </c>
      <c r="AL416" s="10" t="s">
        <v>49</v>
      </c>
      <c r="AM416" s="16" t="s">
        <v>45</v>
      </c>
      <c r="AN416" s="10" t="s">
        <v>320</v>
      </c>
    </row>
    <row r="417" ht="30.0" customHeight="1">
      <c r="A417" s="9" t="str">
        <f t="shared" si="24"/>
        <v>Ativo</v>
      </c>
      <c r="B417" s="9" t="str">
        <f t="shared" si="25"/>
        <v>N/I</v>
      </c>
      <c r="C417" s="9" t="str">
        <f t="shared" si="26"/>
        <v>N/I</v>
      </c>
      <c r="D417" s="10" t="s">
        <v>933</v>
      </c>
      <c r="E417" s="11" t="s">
        <v>934</v>
      </c>
      <c r="F417" s="11" t="s">
        <v>997</v>
      </c>
      <c r="G417" s="12" t="s">
        <v>55</v>
      </c>
      <c r="H417" s="34" t="s">
        <v>998</v>
      </c>
      <c r="I417" s="12" t="s">
        <v>999</v>
      </c>
      <c r="J417" s="10" t="s">
        <v>610</v>
      </c>
      <c r="K417" s="10" t="s">
        <v>209</v>
      </c>
      <c r="L417" s="10" t="s">
        <v>4</v>
      </c>
      <c r="M417" s="22">
        <v>45315.0</v>
      </c>
      <c r="N417" s="32" t="s">
        <v>1000</v>
      </c>
      <c r="O417" s="10" t="s">
        <v>1001</v>
      </c>
      <c r="P417" s="10" t="s">
        <v>992</v>
      </c>
      <c r="Q417" s="2"/>
      <c r="R417" s="10">
        <v>36.0</v>
      </c>
      <c r="S417" s="14">
        <v>45315.0</v>
      </c>
      <c r="T417" s="14">
        <v>46410.0</v>
      </c>
      <c r="U417" s="10">
        <f t="shared" si="23"/>
        <v>319</v>
      </c>
      <c r="V417" s="2"/>
      <c r="W417" s="15"/>
      <c r="X417" s="15"/>
      <c r="Y417" s="15"/>
      <c r="Z417" s="15"/>
      <c r="AA417" s="1"/>
      <c r="AB417" s="15"/>
      <c r="AC417" s="15"/>
      <c r="AD417" s="15"/>
      <c r="AE417" s="15"/>
      <c r="AF417" s="2"/>
      <c r="AG417" s="10" t="s">
        <v>354</v>
      </c>
      <c r="AH417" s="12" t="s">
        <v>355</v>
      </c>
      <c r="AI417" s="10" t="s">
        <v>941</v>
      </c>
      <c r="AJ417" s="12" t="s">
        <v>942</v>
      </c>
      <c r="AK417" s="16" t="s">
        <v>45</v>
      </c>
      <c r="AL417" s="10" t="s">
        <v>49</v>
      </c>
      <c r="AM417" s="16" t="s">
        <v>45</v>
      </c>
      <c r="AN417" s="10" t="s">
        <v>320</v>
      </c>
    </row>
    <row r="418" ht="30.0" customHeight="1">
      <c r="A418" s="9" t="str">
        <f t="shared" si="24"/>
        <v>Ativo</v>
      </c>
      <c r="B418" s="9" t="str">
        <f t="shared" si="25"/>
        <v>N/I</v>
      </c>
      <c r="C418" s="9" t="str">
        <f t="shared" si="26"/>
        <v>N/I</v>
      </c>
      <c r="D418" s="10" t="s">
        <v>933</v>
      </c>
      <c r="E418" s="11" t="s">
        <v>934</v>
      </c>
      <c r="F418" s="11" t="s">
        <v>1002</v>
      </c>
      <c r="G418" s="12" t="s">
        <v>55</v>
      </c>
      <c r="H418" s="34" t="s">
        <v>1003</v>
      </c>
      <c r="I418" s="12" t="s">
        <v>790</v>
      </c>
      <c r="J418" s="10" t="s">
        <v>791</v>
      </c>
      <c r="K418" s="10" t="s">
        <v>209</v>
      </c>
      <c r="L418" s="10" t="s">
        <v>4</v>
      </c>
      <c r="M418" s="22">
        <v>45344.0</v>
      </c>
      <c r="N418" s="32" t="s">
        <v>1004</v>
      </c>
      <c r="O418" s="10" t="s">
        <v>1005</v>
      </c>
      <c r="P418" s="10" t="s">
        <v>940</v>
      </c>
      <c r="Q418" s="2"/>
      <c r="R418" s="10">
        <v>36.0</v>
      </c>
      <c r="S418" s="14">
        <v>45358.0</v>
      </c>
      <c r="T418" s="14">
        <v>46452.0</v>
      </c>
      <c r="U418" s="10">
        <f t="shared" si="23"/>
        <v>361</v>
      </c>
      <c r="V418" s="2"/>
      <c r="W418" s="15"/>
      <c r="X418" s="15"/>
      <c r="Y418" s="15"/>
      <c r="Z418" s="15"/>
      <c r="AA418" s="1"/>
      <c r="AB418" s="15"/>
      <c r="AC418" s="15"/>
      <c r="AD418" s="15"/>
      <c r="AE418" s="15"/>
      <c r="AF418" s="2"/>
      <c r="AG418" s="10" t="s">
        <v>354</v>
      </c>
      <c r="AH418" s="12" t="s">
        <v>355</v>
      </c>
      <c r="AI418" s="10" t="s">
        <v>941</v>
      </c>
      <c r="AJ418" s="12" t="s">
        <v>942</v>
      </c>
      <c r="AK418" s="16" t="s">
        <v>45</v>
      </c>
      <c r="AL418" s="10" t="s">
        <v>49</v>
      </c>
      <c r="AM418" s="16" t="s">
        <v>45</v>
      </c>
      <c r="AN418" s="10" t="s">
        <v>320</v>
      </c>
    </row>
    <row r="419" ht="30.0" customHeight="1">
      <c r="A419" s="9" t="str">
        <f t="shared" si="24"/>
        <v>Ativo</v>
      </c>
      <c r="B419" s="9" t="str">
        <f t="shared" si="25"/>
        <v>N/I</v>
      </c>
      <c r="C419" s="9" t="str">
        <f t="shared" si="26"/>
        <v>N/I</v>
      </c>
      <c r="D419" s="10" t="s">
        <v>933</v>
      </c>
      <c r="E419" s="11" t="s">
        <v>934</v>
      </c>
      <c r="F419" s="11" t="s">
        <v>1006</v>
      </c>
      <c r="G419" s="12" t="s">
        <v>55</v>
      </c>
      <c r="H419" s="34" t="s">
        <v>1007</v>
      </c>
      <c r="I419" s="12" t="s">
        <v>1008</v>
      </c>
      <c r="J419" s="10" t="s">
        <v>791</v>
      </c>
      <c r="K419" s="10" t="s">
        <v>209</v>
      </c>
      <c r="L419" s="10" t="s">
        <v>4</v>
      </c>
      <c r="M419" s="22">
        <v>45475.0</v>
      </c>
      <c r="N419" s="32" t="s">
        <v>1004</v>
      </c>
      <c r="O419" s="10" t="s">
        <v>1009</v>
      </c>
      <c r="P419" s="10" t="s">
        <v>940</v>
      </c>
      <c r="Q419" s="2"/>
      <c r="R419" s="10">
        <v>36.0</v>
      </c>
      <c r="S419" s="14">
        <v>45475.0</v>
      </c>
      <c r="T419" s="14">
        <v>46569.0</v>
      </c>
      <c r="U419" s="10">
        <f t="shared" si="23"/>
        <v>478</v>
      </c>
      <c r="V419" s="2"/>
      <c r="W419" s="15"/>
      <c r="X419" s="15"/>
      <c r="Y419" s="15"/>
      <c r="Z419" s="15"/>
      <c r="AA419" s="1"/>
      <c r="AB419" s="15"/>
      <c r="AC419" s="15"/>
      <c r="AD419" s="15"/>
      <c r="AE419" s="15"/>
      <c r="AF419" s="2"/>
      <c r="AG419" s="10" t="s">
        <v>354</v>
      </c>
      <c r="AH419" s="12" t="s">
        <v>355</v>
      </c>
      <c r="AI419" s="10" t="s">
        <v>941</v>
      </c>
      <c r="AJ419" s="12" t="s">
        <v>942</v>
      </c>
      <c r="AK419" s="16" t="s">
        <v>45</v>
      </c>
      <c r="AL419" s="10" t="s">
        <v>49</v>
      </c>
      <c r="AM419" s="16" t="s">
        <v>45</v>
      </c>
      <c r="AN419" s="10" t="s">
        <v>320</v>
      </c>
    </row>
    <row r="420" ht="30.0" customHeight="1">
      <c r="A420" s="9" t="str">
        <f t="shared" si="24"/>
        <v>Ativo</v>
      </c>
      <c r="B420" s="9" t="str">
        <f t="shared" si="25"/>
        <v>N/I</v>
      </c>
      <c r="C420" s="9" t="str">
        <f t="shared" si="26"/>
        <v>N/I</v>
      </c>
      <c r="D420" s="10" t="s">
        <v>933</v>
      </c>
      <c r="E420" s="11" t="s">
        <v>934</v>
      </c>
      <c r="F420" s="11" t="s">
        <v>1010</v>
      </c>
      <c r="G420" s="12" t="s">
        <v>55</v>
      </c>
      <c r="H420" s="34" t="s">
        <v>1011</v>
      </c>
      <c r="I420" s="12" t="s">
        <v>1008</v>
      </c>
      <c r="J420" s="10" t="s">
        <v>791</v>
      </c>
      <c r="K420" s="10" t="s">
        <v>209</v>
      </c>
      <c r="L420" s="10" t="s">
        <v>4</v>
      </c>
      <c r="M420" s="22">
        <v>45476.0</v>
      </c>
      <c r="N420" s="32" t="s">
        <v>1012</v>
      </c>
      <c r="O420" s="10" t="s">
        <v>1013</v>
      </c>
      <c r="P420" s="10" t="s">
        <v>940</v>
      </c>
      <c r="Q420" s="2"/>
      <c r="R420" s="10">
        <v>36.0</v>
      </c>
      <c r="S420" s="14">
        <v>45476.0</v>
      </c>
      <c r="T420" s="14">
        <v>46570.0</v>
      </c>
      <c r="U420" s="10">
        <f t="shared" si="23"/>
        <v>479</v>
      </c>
      <c r="V420" s="2"/>
      <c r="W420" s="15"/>
      <c r="X420" s="15"/>
      <c r="Y420" s="15"/>
      <c r="Z420" s="15"/>
      <c r="AA420" s="1"/>
      <c r="AB420" s="15"/>
      <c r="AC420" s="15"/>
      <c r="AD420" s="15"/>
      <c r="AE420" s="15"/>
      <c r="AF420" s="2"/>
      <c r="AG420" s="10" t="s">
        <v>354</v>
      </c>
      <c r="AH420" s="12" t="s">
        <v>355</v>
      </c>
      <c r="AI420" s="10" t="s">
        <v>941</v>
      </c>
      <c r="AJ420" s="12" t="s">
        <v>942</v>
      </c>
      <c r="AK420" s="16" t="s">
        <v>45</v>
      </c>
      <c r="AL420" s="10" t="s">
        <v>49</v>
      </c>
      <c r="AM420" s="16" t="s">
        <v>45</v>
      </c>
      <c r="AN420" s="10" t="s">
        <v>320</v>
      </c>
    </row>
    <row r="421" ht="30.0" customHeight="1">
      <c r="A421" s="9" t="str">
        <f t="shared" si="24"/>
        <v>Inativo</v>
      </c>
      <c r="B421" s="9" t="str">
        <f t="shared" si="25"/>
        <v>N/I</v>
      </c>
      <c r="C421" s="9" t="str">
        <f t="shared" si="26"/>
        <v>N/I</v>
      </c>
      <c r="D421" s="10" t="s">
        <v>933</v>
      </c>
      <c r="E421" s="11" t="s">
        <v>1014</v>
      </c>
      <c r="F421" s="11" t="s">
        <v>1015</v>
      </c>
      <c r="G421" s="12" t="s">
        <v>52</v>
      </c>
      <c r="H421" s="20" t="s">
        <v>1016</v>
      </c>
      <c r="I421" s="12" t="s">
        <v>246</v>
      </c>
      <c r="J421" s="10" t="s">
        <v>247</v>
      </c>
      <c r="K421" s="10" t="s">
        <v>190</v>
      </c>
      <c r="L421" s="10" t="s">
        <v>4</v>
      </c>
      <c r="M421" s="22">
        <v>44747.0</v>
      </c>
      <c r="N421" s="32" t="s">
        <v>1017</v>
      </c>
      <c r="O421" s="10" t="s">
        <v>1018</v>
      </c>
      <c r="P421" s="10" t="s">
        <v>1019</v>
      </c>
      <c r="Q421" s="2"/>
      <c r="R421" s="10">
        <v>12.0</v>
      </c>
      <c r="S421" s="14">
        <v>44747.0</v>
      </c>
      <c r="T421" s="14">
        <v>45112.0</v>
      </c>
      <c r="U421" s="10">
        <f t="shared" si="23"/>
        <v>-979</v>
      </c>
      <c r="V421" s="2"/>
      <c r="W421" s="15"/>
      <c r="X421" s="15"/>
      <c r="Y421" s="15"/>
      <c r="Z421" s="15"/>
      <c r="AA421" s="1"/>
      <c r="AB421" s="15"/>
      <c r="AC421" s="15"/>
      <c r="AD421" s="15"/>
      <c r="AE421" s="15"/>
      <c r="AF421" s="2"/>
      <c r="AG421" s="10" t="s">
        <v>354</v>
      </c>
      <c r="AH421" s="12" t="s">
        <v>355</v>
      </c>
      <c r="AI421" s="16" t="s">
        <v>45</v>
      </c>
      <c r="AJ421" s="12" t="s">
        <v>1020</v>
      </c>
      <c r="AK421" s="12" t="s">
        <v>1021</v>
      </c>
      <c r="AL421" s="12" t="s">
        <v>49</v>
      </c>
      <c r="AM421" s="12" t="s">
        <v>1021</v>
      </c>
      <c r="AN421" s="16" t="s">
        <v>45</v>
      </c>
    </row>
    <row r="422" ht="30.0" customHeight="1">
      <c r="A422" s="9" t="str">
        <f t="shared" si="24"/>
        <v>Inativo</v>
      </c>
      <c r="B422" s="9" t="str">
        <f t="shared" si="25"/>
        <v>N/I</v>
      </c>
      <c r="C422" s="9" t="str">
        <f t="shared" si="26"/>
        <v>N/I</v>
      </c>
      <c r="D422" s="10" t="s">
        <v>933</v>
      </c>
      <c r="E422" s="11" t="s">
        <v>1014</v>
      </c>
      <c r="F422" s="11" t="s">
        <v>1022</v>
      </c>
      <c r="G422" s="12" t="s">
        <v>52</v>
      </c>
      <c r="H422" s="20" t="s">
        <v>1023</v>
      </c>
      <c r="I422" s="12" t="s">
        <v>246</v>
      </c>
      <c r="J422" s="10" t="s">
        <v>247</v>
      </c>
      <c r="K422" s="10" t="s">
        <v>190</v>
      </c>
      <c r="L422" s="10" t="s">
        <v>4</v>
      </c>
      <c r="M422" s="22">
        <v>44750.0</v>
      </c>
      <c r="N422" s="32" t="s">
        <v>1017</v>
      </c>
      <c r="O422" s="10" t="s">
        <v>1018</v>
      </c>
      <c r="P422" s="10" t="s">
        <v>1019</v>
      </c>
      <c r="Q422" s="2"/>
      <c r="R422" s="10">
        <v>12.0</v>
      </c>
      <c r="S422" s="14">
        <v>44750.0</v>
      </c>
      <c r="T422" s="14">
        <v>45115.0</v>
      </c>
      <c r="U422" s="10">
        <f t="shared" si="23"/>
        <v>-976</v>
      </c>
      <c r="V422" s="2"/>
      <c r="W422" s="15"/>
      <c r="X422" s="15"/>
      <c r="Y422" s="15"/>
      <c r="Z422" s="15"/>
      <c r="AA422" s="1"/>
      <c r="AB422" s="15"/>
      <c r="AC422" s="15"/>
      <c r="AD422" s="15"/>
      <c r="AE422" s="15"/>
      <c r="AF422" s="2"/>
      <c r="AG422" s="10" t="s">
        <v>354</v>
      </c>
      <c r="AH422" s="12" t="s">
        <v>355</v>
      </c>
      <c r="AI422" s="16" t="s">
        <v>45</v>
      </c>
      <c r="AJ422" s="12" t="s">
        <v>1020</v>
      </c>
      <c r="AK422" s="12" t="s">
        <v>1021</v>
      </c>
      <c r="AL422" s="12" t="s">
        <v>49</v>
      </c>
      <c r="AM422" s="12" t="s">
        <v>1021</v>
      </c>
      <c r="AN422" s="16" t="s">
        <v>45</v>
      </c>
    </row>
    <row r="423" ht="30.0" customHeight="1">
      <c r="A423" s="9" t="str">
        <f t="shared" si="24"/>
        <v>Ativo</v>
      </c>
      <c r="B423" s="9" t="str">
        <f t="shared" si="25"/>
        <v>N/I</v>
      </c>
      <c r="C423" s="9" t="str">
        <f t="shared" si="26"/>
        <v>N/I</v>
      </c>
      <c r="D423" s="10" t="s">
        <v>933</v>
      </c>
      <c r="E423" s="11" t="s">
        <v>934</v>
      </c>
      <c r="F423" s="11" t="s">
        <v>1024</v>
      </c>
      <c r="G423" s="12" t="s">
        <v>55</v>
      </c>
      <c r="H423" s="34" t="s">
        <v>1025</v>
      </c>
      <c r="I423" s="12" t="s">
        <v>246</v>
      </c>
      <c r="J423" s="10" t="s">
        <v>247</v>
      </c>
      <c r="K423" s="10" t="s">
        <v>190</v>
      </c>
      <c r="L423" s="10" t="s">
        <v>4</v>
      </c>
      <c r="M423" s="14">
        <v>45365.0</v>
      </c>
      <c r="N423" s="11" t="s">
        <v>1017</v>
      </c>
      <c r="O423" s="10" t="s">
        <v>1018</v>
      </c>
      <c r="P423" s="10" t="s">
        <v>940</v>
      </c>
      <c r="Q423" s="2"/>
      <c r="R423" s="10">
        <v>36.0</v>
      </c>
      <c r="S423" s="14">
        <v>45398.0</v>
      </c>
      <c r="T423" s="14">
        <v>46492.0</v>
      </c>
      <c r="U423" s="10">
        <f t="shared" si="23"/>
        <v>401</v>
      </c>
      <c r="V423" s="2"/>
      <c r="W423" s="15"/>
      <c r="X423" s="15"/>
      <c r="Y423" s="15"/>
      <c r="Z423" s="15"/>
      <c r="AA423" s="1"/>
      <c r="AB423" s="15"/>
      <c r="AC423" s="15"/>
      <c r="AD423" s="15"/>
      <c r="AE423" s="15"/>
      <c r="AF423" s="2"/>
      <c r="AG423" s="10" t="s">
        <v>354</v>
      </c>
      <c r="AH423" s="12" t="s">
        <v>355</v>
      </c>
      <c r="AI423" s="10" t="s">
        <v>941</v>
      </c>
      <c r="AJ423" s="12" t="s">
        <v>942</v>
      </c>
      <c r="AK423" s="16" t="s">
        <v>45</v>
      </c>
      <c r="AL423" s="10" t="s">
        <v>49</v>
      </c>
      <c r="AM423" s="16" t="s">
        <v>45</v>
      </c>
      <c r="AN423" s="10" t="s">
        <v>320</v>
      </c>
    </row>
    <row r="424" ht="30.0" customHeight="1">
      <c r="A424" s="9" t="str">
        <f t="shared" si="24"/>
        <v>Ativo</v>
      </c>
      <c r="B424" s="9" t="str">
        <f t="shared" si="25"/>
        <v>N/I</v>
      </c>
      <c r="C424" s="9" t="str">
        <f t="shared" si="26"/>
        <v>N/I</v>
      </c>
      <c r="D424" s="10" t="s">
        <v>933</v>
      </c>
      <c r="E424" s="11" t="s">
        <v>934</v>
      </c>
      <c r="F424" s="32" t="s">
        <v>1026</v>
      </c>
      <c r="G424" s="12" t="s">
        <v>55</v>
      </c>
      <c r="H424" s="34" t="s">
        <v>1027</v>
      </c>
      <c r="I424" s="12" t="s">
        <v>1028</v>
      </c>
      <c r="J424" s="10" t="s">
        <v>583</v>
      </c>
      <c r="K424" s="10" t="s">
        <v>41</v>
      </c>
      <c r="L424" s="10" t="s">
        <v>4</v>
      </c>
      <c r="M424" s="14">
        <v>45573.0</v>
      </c>
      <c r="N424" s="32" t="s">
        <v>1029</v>
      </c>
      <c r="O424" s="10" t="s">
        <v>1030</v>
      </c>
      <c r="P424" s="10" t="s">
        <v>940</v>
      </c>
      <c r="Q424" s="2"/>
      <c r="R424" s="10">
        <v>36.0</v>
      </c>
      <c r="S424" s="14">
        <v>45645.0</v>
      </c>
      <c r="T424" s="14">
        <v>46739.0</v>
      </c>
      <c r="U424" s="10">
        <f t="shared" si="23"/>
        <v>648</v>
      </c>
      <c r="V424" s="2"/>
      <c r="W424" s="15"/>
      <c r="X424" s="15"/>
      <c r="Y424" s="15"/>
      <c r="Z424" s="15"/>
      <c r="AA424" s="1"/>
      <c r="AB424" s="15"/>
      <c r="AC424" s="15"/>
      <c r="AD424" s="15"/>
      <c r="AE424" s="15"/>
      <c r="AF424" s="2"/>
      <c r="AG424" s="10" t="s">
        <v>354</v>
      </c>
      <c r="AH424" s="12" t="s">
        <v>355</v>
      </c>
      <c r="AI424" s="10" t="s">
        <v>941</v>
      </c>
      <c r="AJ424" s="12" t="s">
        <v>942</v>
      </c>
      <c r="AK424" s="16" t="s">
        <v>45</v>
      </c>
      <c r="AL424" s="10" t="s">
        <v>49</v>
      </c>
      <c r="AM424" s="16" t="s">
        <v>45</v>
      </c>
      <c r="AN424" s="10" t="s">
        <v>320</v>
      </c>
    </row>
    <row r="425" ht="30.0" customHeight="1">
      <c r="A425" s="9" t="str">
        <f>IF(U431&lt;0,"Inativo",IF(U431&gt;0,"Ativo","N/I"))</f>
        <v>Inativo</v>
      </c>
      <c r="B425" s="9" t="str">
        <f>IF(Z431&lt;0,"Inativo",IF(Z431&gt;0,"Ativo","N/I"))</f>
        <v>N/I</v>
      </c>
      <c r="C425" s="9" t="str">
        <f>IF(AE431&lt;0,"Inativo",IF(AE431&gt;0,"Ativo","N/I"))</f>
        <v>N/I</v>
      </c>
      <c r="D425" s="10" t="s">
        <v>933</v>
      </c>
      <c r="E425" s="11" t="s">
        <v>934</v>
      </c>
      <c r="F425" s="11" t="s">
        <v>1031</v>
      </c>
      <c r="G425" s="12" t="s">
        <v>55</v>
      </c>
      <c r="H425" s="34" t="s">
        <v>1032</v>
      </c>
      <c r="I425" s="12" t="s">
        <v>1033</v>
      </c>
      <c r="J425" s="10" t="s">
        <v>234</v>
      </c>
      <c r="K425" s="10" t="s">
        <v>40</v>
      </c>
      <c r="L425" s="10" t="s">
        <v>4</v>
      </c>
      <c r="M425" s="14">
        <v>45418.0</v>
      </c>
      <c r="N425" s="11" t="s">
        <v>1034</v>
      </c>
      <c r="O425" s="10" t="s">
        <v>1035</v>
      </c>
      <c r="P425" s="10" t="s">
        <v>940</v>
      </c>
      <c r="Q425" s="2"/>
      <c r="R425" s="10">
        <v>36.0</v>
      </c>
      <c r="S425" s="14">
        <v>45461.0</v>
      </c>
      <c r="T425" s="14">
        <v>46555.0</v>
      </c>
      <c r="U425" s="10">
        <f t="shared" si="23"/>
        <v>464</v>
      </c>
      <c r="V425" s="2"/>
      <c r="W425" s="15"/>
      <c r="X425" s="15"/>
      <c r="Y425" s="15"/>
      <c r="Z425" s="15"/>
      <c r="AA425" s="1"/>
      <c r="AB425" s="15"/>
      <c r="AC425" s="15"/>
      <c r="AD425" s="15"/>
      <c r="AE425" s="15"/>
      <c r="AF425" s="2"/>
      <c r="AG425" s="10" t="s">
        <v>354</v>
      </c>
      <c r="AH425" s="12" t="s">
        <v>355</v>
      </c>
      <c r="AI425" s="10" t="s">
        <v>941</v>
      </c>
      <c r="AJ425" s="12" t="s">
        <v>942</v>
      </c>
      <c r="AK425" s="16" t="s">
        <v>45</v>
      </c>
      <c r="AL425" s="10" t="s">
        <v>49</v>
      </c>
      <c r="AM425" s="16" t="s">
        <v>45</v>
      </c>
      <c r="AN425" s="10" t="s">
        <v>320</v>
      </c>
    </row>
    <row r="426" ht="30.0" customHeight="1">
      <c r="A426" s="9" t="str">
        <f t="shared" ref="A426:A427" si="27">IF(U426&lt;0,"Inativo",IF(U426&gt;0,"Ativo","N/I"))</f>
        <v>Ativo</v>
      </c>
      <c r="B426" s="9" t="str">
        <f t="shared" ref="B426:B427" si="28">IF(Z426&lt;0,"Inativo",IF(Z426&gt;0,"Ativo","N/I"))</f>
        <v>N/I</v>
      </c>
      <c r="C426" s="9" t="str">
        <f t="shared" ref="C426:C427" si="29">IF(AE426&lt;0,"Inativo",IF(AE426&gt;0,"Ativo","N/I"))</f>
        <v>N/I</v>
      </c>
      <c r="D426" s="10" t="s">
        <v>933</v>
      </c>
      <c r="E426" s="11" t="s">
        <v>934</v>
      </c>
      <c r="F426" s="11" t="s">
        <v>1036</v>
      </c>
      <c r="G426" s="12" t="s">
        <v>55</v>
      </c>
      <c r="H426" s="34" t="s">
        <v>1037</v>
      </c>
      <c r="I426" s="12" t="s">
        <v>1038</v>
      </c>
      <c r="J426" s="10" t="s">
        <v>132</v>
      </c>
      <c r="K426" s="10" t="s">
        <v>41</v>
      </c>
      <c r="L426" s="10" t="s">
        <v>4</v>
      </c>
      <c r="M426" s="22">
        <v>45246.0</v>
      </c>
      <c r="N426" s="32" t="s">
        <v>1039</v>
      </c>
      <c r="O426" s="10" t="s">
        <v>1040</v>
      </c>
      <c r="P426" s="10" t="s">
        <v>940</v>
      </c>
      <c r="Q426" s="2"/>
      <c r="R426" s="10">
        <v>36.0</v>
      </c>
      <c r="S426" s="14">
        <v>45272.0</v>
      </c>
      <c r="T426" s="14">
        <v>46367.0</v>
      </c>
      <c r="U426" s="10">
        <f t="shared" si="23"/>
        <v>276</v>
      </c>
      <c r="V426" s="2"/>
      <c r="W426" s="15"/>
      <c r="X426" s="15"/>
      <c r="Y426" s="15"/>
      <c r="Z426" s="15"/>
      <c r="AA426" s="1"/>
      <c r="AB426" s="15"/>
      <c r="AC426" s="15"/>
      <c r="AD426" s="15"/>
      <c r="AE426" s="15"/>
      <c r="AF426" s="2"/>
      <c r="AG426" s="10" t="s">
        <v>354</v>
      </c>
      <c r="AH426" s="12" t="s">
        <v>355</v>
      </c>
      <c r="AI426" s="10" t="s">
        <v>941</v>
      </c>
      <c r="AJ426" s="12" t="s">
        <v>942</v>
      </c>
      <c r="AK426" s="16" t="s">
        <v>45</v>
      </c>
      <c r="AL426" s="10" t="s">
        <v>49</v>
      </c>
      <c r="AM426" s="16" t="s">
        <v>45</v>
      </c>
      <c r="AN426" s="10" t="s">
        <v>320</v>
      </c>
    </row>
    <row r="427" ht="30.0" customHeight="1">
      <c r="A427" s="9" t="str">
        <f t="shared" si="27"/>
        <v>Ativo</v>
      </c>
      <c r="B427" s="9" t="str">
        <f t="shared" si="28"/>
        <v>N/I</v>
      </c>
      <c r="C427" s="9" t="str">
        <f t="shared" si="29"/>
        <v>N/I</v>
      </c>
      <c r="D427" s="10" t="s">
        <v>933</v>
      </c>
      <c r="E427" s="11" t="s">
        <v>934</v>
      </c>
      <c r="F427" s="11" t="s">
        <v>1041</v>
      </c>
      <c r="G427" s="12" t="s">
        <v>55</v>
      </c>
      <c r="H427" s="34" t="s">
        <v>1042</v>
      </c>
      <c r="I427" s="12" t="s">
        <v>70</v>
      </c>
      <c r="J427" s="10" t="s">
        <v>63</v>
      </c>
      <c r="K427" s="10" t="s">
        <v>41</v>
      </c>
      <c r="L427" s="10" t="s">
        <v>4</v>
      </c>
      <c r="M427" s="22">
        <v>45236.0</v>
      </c>
      <c r="N427" s="32" t="s">
        <v>1043</v>
      </c>
      <c r="O427" s="10" t="s">
        <v>1044</v>
      </c>
      <c r="P427" s="10" t="s">
        <v>940</v>
      </c>
      <c r="Q427" s="2"/>
      <c r="R427" s="10">
        <v>36.0</v>
      </c>
      <c r="S427" s="14">
        <v>45282.0</v>
      </c>
      <c r="T427" s="14">
        <v>46377.0</v>
      </c>
      <c r="U427" s="10">
        <f t="shared" si="23"/>
        <v>286</v>
      </c>
      <c r="V427" s="2"/>
      <c r="W427" s="15"/>
      <c r="X427" s="15"/>
      <c r="Y427" s="15"/>
      <c r="Z427" s="15"/>
      <c r="AA427" s="1"/>
      <c r="AB427" s="15"/>
      <c r="AC427" s="15"/>
      <c r="AD427" s="15"/>
      <c r="AE427" s="15"/>
      <c r="AF427" s="2"/>
      <c r="AG427" s="10" t="s">
        <v>354</v>
      </c>
      <c r="AH427" s="12" t="s">
        <v>355</v>
      </c>
      <c r="AI427" s="10" t="s">
        <v>941</v>
      </c>
      <c r="AJ427" s="12" t="s">
        <v>942</v>
      </c>
      <c r="AK427" s="16" t="s">
        <v>45</v>
      </c>
      <c r="AL427" s="10" t="s">
        <v>49</v>
      </c>
      <c r="AM427" s="16" t="s">
        <v>45</v>
      </c>
      <c r="AN427" s="10" t="s">
        <v>320</v>
      </c>
    </row>
    <row r="428" ht="30.0" customHeight="1">
      <c r="A428" s="9" t="str">
        <f>IF(U427&lt;0,"Inativo",IF(U427&gt;0,"Ativo","N/I"))</f>
        <v>Ativo</v>
      </c>
      <c r="B428" s="9" t="str">
        <f>IF(Z427&lt;0,"Inativo",IF(Z427&gt;0,"Ativo","N/I"))</f>
        <v>N/I</v>
      </c>
      <c r="C428" s="9" t="str">
        <f>IF(AE427&lt;0,"Inativo",IF(AE427&gt;0,"Ativo","N/I"))</f>
        <v>N/I</v>
      </c>
      <c r="D428" s="10" t="s">
        <v>933</v>
      </c>
      <c r="E428" s="11" t="s">
        <v>934</v>
      </c>
      <c r="F428" s="11" t="s">
        <v>1045</v>
      </c>
      <c r="G428" s="12" t="s">
        <v>55</v>
      </c>
      <c r="H428" s="34" t="s">
        <v>1046</v>
      </c>
      <c r="I428" s="12" t="s">
        <v>62</v>
      </c>
      <c r="J428" s="10" t="s">
        <v>63</v>
      </c>
      <c r="K428" s="10" t="s">
        <v>41</v>
      </c>
      <c r="L428" s="10" t="s">
        <v>4</v>
      </c>
      <c r="M428" s="22">
        <v>45371.0</v>
      </c>
      <c r="N428" s="32" t="s">
        <v>1047</v>
      </c>
      <c r="O428" s="10" t="s">
        <v>1048</v>
      </c>
      <c r="P428" s="10" t="s">
        <v>940</v>
      </c>
      <c r="Q428" s="2"/>
      <c r="R428" s="10">
        <v>36.0</v>
      </c>
      <c r="S428" s="14">
        <v>45390.0</v>
      </c>
      <c r="T428" s="14">
        <v>46484.0</v>
      </c>
      <c r="U428" s="10">
        <f t="shared" si="23"/>
        <v>393</v>
      </c>
      <c r="V428" s="2"/>
      <c r="W428" s="15"/>
      <c r="X428" s="15"/>
      <c r="Y428" s="15"/>
      <c r="Z428" s="15"/>
      <c r="AA428" s="1"/>
      <c r="AB428" s="15"/>
      <c r="AC428" s="15"/>
      <c r="AD428" s="15"/>
      <c r="AE428" s="15"/>
      <c r="AF428" s="2"/>
      <c r="AG428" s="10" t="s">
        <v>354</v>
      </c>
      <c r="AH428" s="12" t="s">
        <v>355</v>
      </c>
      <c r="AI428" s="10" t="s">
        <v>941</v>
      </c>
      <c r="AJ428" s="12" t="s">
        <v>942</v>
      </c>
      <c r="AK428" s="16" t="s">
        <v>45</v>
      </c>
      <c r="AL428" s="10" t="s">
        <v>49</v>
      </c>
      <c r="AM428" s="16" t="s">
        <v>45</v>
      </c>
      <c r="AN428" s="10" t="s">
        <v>320</v>
      </c>
    </row>
    <row r="429" ht="30.0" customHeight="1">
      <c r="A429" s="9" t="str">
        <f>IF(U426&lt;0,"Inativo",IF(U426&gt;0,"Ativo","N/I"))</f>
        <v>Ativo</v>
      </c>
      <c r="B429" s="9" t="str">
        <f>IF(Z426&lt;0,"Inativo",IF(Z426&gt;0,"Ativo","N/I"))</f>
        <v>N/I</v>
      </c>
      <c r="C429" s="9" t="str">
        <f>IF(AE426&lt;0,"Inativo",IF(AE426&gt;0,"Ativo","N/I"))</f>
        <v>N/I</v>
      </c>
      <c r="D429" s="10" t="s">
        <v>933</v>
      </c>
      <c r="E429" s="11" t="s">
        <v>934</v>
      </c>
      <c r="F429" s="11" t="s">
        <v>1049</v>
      </c>
      <c r="G429" s="12" t="s">
        <v>55</v>
      </c>
      <c r="H429" s="34" t="s">
        <v>1050</v>
      </c>
      <c r="I429" s="12" t="s">
        <v>62</v>
      </c>
      <c r="J429" s="10" t="s">
        <v>63</v>
      </c>
      <c r="K429" s="10" t="s">
        <v>41</v>
      </c>
      <c r="L429" s="10" t="s">
        <v>4</v>
      </c>
      <c r="M429" s="22">
        <v>45373.0</v>
      </c>
      <c r="N429" s="32" t="s">
        <v>1047</v>
      </c>
      <c r="O429" s="10" t="s">
        <v>1048</v>
      </c>
      <c r="P429" s="10" t="s">
        <v>940</v>
      </c>
      <c r="Q429" s="2"/>
      <c r="R429" s="10">
        <v>36.0</v>
      </c>
      <c r="S429" s="14">
        <v>45390.0</v>
      </c>
      <c r="T429" s="14">
        <v>46484.0</v>
      </c>
      <c r="U429" s="10">
        <f t="shared" si="23"/>
        <v>393</v>
      </c>
      <c r="V429" s="2"/>
      <c r="W429" s="15"/>
      <c r="X429" s="15"/>
      <c r="Y429" s="15"/>
      <c r="Z429" s="15"/>
      <c r="AA429" s="1"/>
      <c r="AB429" s="15"/>
      <c r="AC429" s="15"/>
      <c r="AD429" s="15"/>
      <c r="AE429" s="15"/>
      <c r="AF429" s="2"/>
      <c r="AG429" s="10" t="s">
        <v>354</v>
      </c>
      <c r="AH429" s="12" t="s">
        <v>355</v>
      </c>
      <c r="AI429" s="10" t="s">
        <v>941</v>
      </c>
      <c r="AJ429" s="12" t="s">
        <v>942</v>
      </c>
      <c r="AK429" s="16" t="s">
        <v>45</v>
      </c>
      <c r="AL429" s="10" t="s">
        <v>49</v>
      </c>
      <c r="AM429" s="16" t="s">
        <v>45</v>
      </c>
      <c r="AN429" s="10" t="s">
        <v>320</v>
      </c>
    </row>
    <row r="430" ht="30.0" customHeight="1">
      <c r="A430" s="9" t="str">
        <f t="shared" ref="A430:A445" si="30">IF(U430&lt;0,"Inativo",IF(U430&gt;0,"Ativo","N/I"))</f>
        <v>Ativo</v>
      </c>
      <c r="B430" s="9" t="str">
        <f t="shared" ref="B430:B445" si="31">IF(Z430&lt;0,"Inativo",IF(Z430&gt;0,"Ativo","N/I"))</f>
        <v>N/I</v>
      </c>
      <c r="C430" s="9" t="str">
        <f t="shared" ref="C430:C445" si="32">IF(AE430&lt;0,"Inativo",IF(AE430&gt;0,"Ativo","N/I"))</f>
        <v>N/I</v>
      </c>
      <c r="D430" s="10" t="s">
        <v>933</v>
      </c>
      <c r="E430" s="11" t="s">
        <v>934</v>
      </c>
      <c r="F430" s="11" t="s">
        <v>1051</v>
      </c>
      <c r="G430" s="12" t="s">
        <v>55</v>
      </c>
      <c r="H430" s="34" t="s">
        <v>1052</v>
      </c>
      <c r="I430" s="12" t="s">
        <v>1053</v>
      </c>
      <c r="J430" s="10" t="s">
        <v>222</v>
      </c>
      <c r="K430" s="10" t="s">
        <v>40</v>
      </c>
      <c r="L430" s="10" t="s">
        <v>4</v>
      </c>
      <c r="M430" s="22">
        <v>45495.0</v>
      </c>
      <c r="N430" s="32" t="s">
        <v>1054</v>
      </c>
      <c r="O430" s="10" t="s">
        <v>1055</v>
      </c>
      <c r="P430" s="10" t="s">
        <v>940</v>
      </c>
      <c r="Q430" s="2"/>
      <c r="R430" s="10">
        <v>36.0</v>
      </c>
      <c r="S430" s="14">
        <v>45559.0</v>
      </c>
      <c r="T430" s="14">
        <v>46653.0</v>
      </c>
      <c r="U430" s="10">
        <f t="shared" si="23"/>
        <v>562</v>
      </c>
      <c r="V430" s="2"/>
      <c r="W430" s="15"/>
      <c r="X430" s="15"/>
      <c r="Y430" s="15"/>
      <c r="Z430" s="15"/>
      <c r="AA430" s="1"/>
      <c r="AB430" s="15"/>
      <c r="AC430" s="15"/>
      <c r="AD430" s="15"/>
      <c r="AE430" s="15"/>
      <c r="AF430" s="2"/>
      <c r="AG430" s="10" t="s">
        <v>354</v>
      </c>
      <c r="AH430" s="12" t="s">
        <v>355</v>
      </c>
      <c r="AI430" s="10" t="s">
        <v>941</v>
      </c>
      <c r="AJ430" s="12" t="s">
        <v>942</v>
      </c>
      <c r="AK430" s="16" t="s">
        <v>45</v>
      </c>
      <c r="AL430" s="10" t="s">
        <v>49</v>
      </c>
      <c r="AM430" s="16" t="s">
        <v>45</v>
      </c>
      <c r="AN430" s="10" t="s">
        <v>320</v>
      </c>
    </row>
    <row r="431" ht="30.0" customHeight="1">
      <c r="A431" s="9" t="str">
        <f t="shared" si="30"/>
        <v>Inativo</v>
      </c>
      <c r="B431" s="9" t="str">
        <f t="shared" si="31"/>
        <v>N/I</v>
      </c>
      <c r="C431" s="9" t="str">
        <f t="shared" si="32"/>
        <v>N/I</v>
      </c>
      <c r="D431" s="10" t="s">
        <v>933</v>
      </c>
      <c r="E431" s="11" t="s">
        <v>1014</v>
      </c>
      <c r="F431" s="11" t="s">
        <v>1056</v>
      </c>
      <c r="G431" s="12" t="s">
        <v>52</v>
      </c>
      <c r="H431" s="20" t="s">
        <v>1057</v>
      </c>
      <c r="I431" s="12" t="s">
        <v>188</v>
      </c>
      <c r="J431" s="10" t="s">
        <v>189</v>
      </c>
      <c r="K431" s="10" t="s">
        <v>190</v>
      </c>
      <c r="L431" s="10" t="s">
        <v>4</v>
      </c>
      <c r="M431" s="22">
        <v>44758.0</v>
      </c>
      <c r="N431" s="32" t="s">
        <v>1058</v>
      </c>
      <c r="O431" s="10" t="s">
        <v>1059</v>
      </c>
      <c r="P431" s="10" t="s">
        <v>1019</v>
      </c>
      <c r="Q431" s="2"/>
      <c r="R431" s="10">
        <v>12.0</v>
      </c>
      <c r="S431" s="14">
        <v>44758.0</v>
      </c>
      <c r="T431" s="14">
        <v>45123.0</v>
      </c>
      <c r="U431" s="10">
        <f t="shared" si="23"/>
        <v>-968</v>
      </c>
      <c r="V431" s="2"/>
      <c r="W431" s="15"/>
      <c r="X431" s="15"/>
      <c r="Y431" s="15"/>
      <c r="Z431" s="15"/>
      <c r="AA431" s="1"/>
      <c r="AB431" s="15"/>
      <c r="AC431" s="15"/>
      <c r="AD431" s="15"/>
      <c r="AE431" s="15"/>
      <c r="AF431" s="2"/>
      <c r="AG431" s="10" t="s">
        <v>354</v>
      </c>
      <c r="AH431" s="12" t="s">
        <v>355</v>
      </c>
      <c r="AI431" s="16" t="s">
        <v>45</v>
      </c>
      <c r="AJ431" s="12" t="s">
        <v>1020</v>
      </c>
      <c r="AK431" s="12" t="s">
        <v>1021</v>
      </c>
      <c r="AL431" s="12" t="s">
        <v>49</v>
      </c>
      <c r="AM431" s="12" t="s">
        <v>1021</v>
      </c>
      <c r="AN431" s="16" t="s">
        <v>45</v>
      </c>
    </row>
    <row r="432" ht="30.0" customHeight="1">
      <c r="A432" s="9" t="str">
        <f t="shared" si="30"/>
        <v>Ativo</v>
      </c>
      <c r="B432" s="9" t="str">
        <f t="shared" si="31"/>
        <v>N/I</v>
      </c>
      <c r="C432" s="9" t="str">
        <f t="shared" si="32"/>
        <v>N/I</v>
      </c>
      <c r="D432" s="10" t="s">
        <v>933</v>
      </c>
      <c r="E432" s="11" t="s">
        <v>934</v>
      </c>
      <c r="F432" s="11" t="s">
        <v>1060</v>
      </c>
      <c r="G432" s="12" t="s">
        <v>55</v>
      </c>
      <c r="H432" s="19" t="s">
        <v>1061</v>
      </c>
      <c r="I432" s="12" t="s">
        <v>188</v>
      </c>
      <c r="J432" s="10" t="s">
        <v>189</v>
      </c>
      <c r="K432" s="10" t="s">
        <v>190</v>
      </c>
      <c r="L432" s="10" t="s">
        <v>4</v>
      </c>
      <c r="M432" s="22">
        <v>45201.0</v>
      </c>
      <c r="N432" s="32" t="s">
        <v>1062</v>
      </c>
      <c r="O432" s="10" t="s">
        <v>1063</v>
      </c>
      <c r="P432" s="10" t="s">
        <v>992</v>
      </c>
      <c r="Q432" s="2"/>
      <c r="R432" s="10">
        <v>36.0</v>
      </c>
      <c r="S432" s="14">
        <v>45244.0</v>
      </c>
      <c r="T432" s="14">
        <v>46339.0</v>
      </c>
      <c r="U432" s="10">
        <f t="shared" si="23"/>
        <v>248</v>
      </c>
      <c r="V432" s="2"/>
      <c r="W432" s="15"/>
      <c r="X432" s="15"/>
      <c r="Y432" s="15"/>
      <c r="Z432" s="15"/>
      <c r="AA432" s="1"/>
      <c r="AB432" s="15"/>
      <c r="AC432" s="15"/>
      <c r="AD432" s="15"/>
      <c r="AE432" s="15"/>
      <c r="AF432" s="2"/>
      <c r="AG432" s="10" t="s">
        <v>354</v>
      </c>
      <c r="AH432" s="12" t="s">
        <v>355</v>
      </c>
      <c r="AI432" s="10" t="s">
        <v>941</v>
      </c>
      <c r="AJ432" s="12" t="s">
        <v>942</v>
      </c>
      <c r="AK432" s="16" t="s">
        <v>45</v>
      </c>
      <c r="AL432" s="10" t="s">
        <v>49</v>
      </c>
      <c r="AM432" s="16" t="s">
        <v>45</v>
      </c>
      <c r="AN432" s="10" t="s">
        <v>320</v>
      </c>
    </row>
    <row r="433" ht="30.0" customHeight="1">
      <c r="A433" s="9" t="str">
        <f t="shared" si="30"/>
        <v>Ativo</v>
      </c>
      <c r="B433" s="9" t="str">
        <f t="shared" si="31"/>
        <v>N/I</v>
      </c>
      <c r="C433" s="9" t="str">
        <f t="shared" si="32"/>
        <v>N/I</v>
      </c>
      <c r="D433" s="10" t="s">
        <v>933</v>
      </c>
      <c r="E433" s="11" t="s">
        <v>934</v>
      </c>
      <c r="F433" s="11" t="s">
        <v>1064</v>
      </c>
      <c r="G433" s="12" t="s">
        <v>55</v>
      </c>
      <c r="H433" s="19" t="s">
        <v>1065</v>
      </c>
      <c r="I433" s="12" t="s">
        <v>188</v>
      </c>
      <c r="J433" s="10" t="s">
        <v>189</v>
      </c>
      <c r="K433" s="10" t="s">
        <v>190</v>
      </c>
      <c r="L433" s="10" t="s">
        <v>4</v>
      </c>
      <c r="M433" s="22">
        <v>45201.0</v>
      </c>
      <c r="N433" s="32" t="s">
        <v>1062</v>
      </c>
      <c r="O433" s="10" t="s">
        <v>1063</v>
      </c>
      <c r="P433" s="10" t="s">
        <v>992</v>
      </c>
      <c r="Q433" s="2"/>
      <c r="R433" s="10">
        <v>36.0</v>
      </c>
      <c r="S433" s="14">
        <v>45244.0</v>
      </c>
      <c r="T433" s="14">
        <v>46339.0</v>
      </c>
      <c r="U433" s="10">
        <f t="shared" si="23"/>
        <v>248</v>
      </c>
      <c r="V433" s="2"/>
      <c r="W433" s="15"/>
      <c r="X433" s="15"/>
      <c r="Y433" s="15"/>
      <c r="Z433" s="15"/>
      <c r="AA433" s="1"/>
      <c r="AB433" s="15"/>
      <c r="AC433" s="15"/>
      <c r="AD433" s="15"/>
      <c r="AE433" s="15"/>
      <c r="AF433" s="2"/>
      <c r="AG433" s="10" t="s">
        <v>354</v>
      </c>
      <c r="AH433" s="12" t="s">
        <v>355</v>
      </c>
      <c r="AI433" s="10" t="s">
        <v>941</v>
      </c>
      <c r="AJ433" s="12" t="s">
        <v>942</v>
      </c>
      <c r="AK433" s="16" t="s">
        <v>45</v>
      </c>
      <c r="AL433" s="10" t="s">
        <v>49</v>
      </c>
      <c r="AM433" s="16" t="s">
        <v>45</v>
      </c>
      <c r="AN433" s="10" t="s">
        <v>320</v>
      </c>
    </row>
    <row r="434" ht="30.0" customHeight="1">
      <c r="A434" s="9" t="str">
        <f t="shared" si="30"/>
        <v>Ativo</v>
      </c>
      <c r="B434" s="9" t="str">
        <f t="shared" si="31"/>
        <v>N/I</v>
      </c>
      <c r="C434" s="9" t="str">
        <f t="shared" si="32"/>
        <v>N/I</v>
      </c>
      <c r="D434" s="10" t="s">
        <v>933</v>
      </c>
      <c r="E434" s="11" t="s">
        <v>934</v>
      </c>
      <c r="F434" s="11" t="s">
        <v>1066</v>
      </c>
      <c r="G434" s="12" t="s">
        <v>55</v>
      </c>
      <c r="H434" s="19" t="s">
        <v>1067</v>
      </c>
      <c r="I434" s="12" t="s">
        <v>188</v>
      </c>
      <c r="J434" s="10" t="s">
        <v>189</v>
      </c>
      <c r="K434" s="10" t="s">
        <v>190</v>
      </c>
      <c r="L434" s="10" t="s">
        <v>4</v>
      </c>
      <c r="M434" s="22">
        <v>45203.0</v>
      </c>
      <c r="N434" s="32" t="s">
        <v>1068</v>
      </c>
      <c r="O434" s="10" t="s">
        <v>1069</v>
      </c>
      <c r="P434" s="10" t="s">
        <v>992</v>
      </c>
      <c r="Q434" s="2"/>
      <c r="R434" s="10">
        <v>36.0</v>
      </c>
      <c r="S434" s="14">
        <v>45244.0</v>
      </c>
      <c r="T434" s="14">
        <v>46339.0</v>
      </c>
      <c r="U434" s="10">
        <f t="shared" si="23"/>
        <v>248</v>
      </c>
      <c r="V434" s="2"/>
      <c r="W434" s="15"/>
      <c r="X434" s="15"/>
      <c r="Y434" s="15"/>
      <c r="Z434" s="15"/>
      <c r="AA434" s="1"/>
      <c r="AB434" s="15"/>
      <c r="AC434" s="15"/>
      <c r="AD434" s="15"/>
      <c r="AE434" s="15"/>
      <c r="AF434" s="2"/>
      <c r="AG434" s="10" t="s">
        <v>354</v>
      </c>
      <c r="AH434" s="12" t="s">
        <v>355</v>
      </c>
      <c r="AI434" s="10" t="s">
        <v>941</v>
      </c>
      <c r="AJ434" s="12" t="s">
        <v>942</v>
      </c>
      <c r="AK434" s="16" t="s">
        <v>45</v>
      </c>
      <c r="AL434" s="10" t="s">
        <v>49</v>
      </c>
      <c r="AM434" s="16" t="s">
        <v>45</v>
      </c>
      <c r="AN434" s="10" t="s">
        <v>320</v>
      </c>
    </row>
    <row r="435" ht="30.0" customHeight="1">
      <c r="A435" s="9" t="str">
        <f t="shared" si="30"/>
        <v>Ativo</v>
      </c>
      <c r="B435" s="9" t="str">
        <f t="shared" si="31"/>
        <v>N/I</v>
      </c>
      <c r="C435" s="9" t="str">
        <f t="shared" si="32"/>
        <v>N/I</v>
      </c>
      <c r="D435" s="10" t="s">
        <v>933</v>
      </c>
      <c r="E435" s="11" t="s">
        <v>934</v>
      </c>
      <c r="F435" s="11" t="s">
        <v>1070</v>
      </c>
      <c r="G435" s="12" t="s">
        <v>55</v>
      </c>
      <c r="H435" s="19" t="s">
        <v>1071</v>
      </c>
      <c r="I435" s="12" t="s">
        <v>188</v>
      </c>
      <c r="J435" s="10" t="s">
        <v>189</v>
      </c>
      <c r="K435" s="10" t="s">
        <v>190</v>
      </c>
      <c r="L435" s="10" t="s">
        <v>4</v>
      </c>
      <c r="M435" s="22">
        <v>45203.0</v>
      </c>
      <c r="N435" s="32" t="s">
        <v>1068</v>
      </c>
      <c r="O435" s="10" t="s">
        <v>1069</v>
      </c>
      <c r="P435" s="10" t="s">
        <v>992</v>
      </c>
      <c r="Q435" s="2"/>
      <c r="R435" s="10">
        <v>36.0</v>
      </c>
      <c r="S435" s="14">
        <v>45244.0</v>
      </c>
      <c r="T435" s="14">
        <v>46339.0</v>
      </c>
      <c r="U435" s="10">
        <f t="shared" si="23"/>
        <v>248</v>
      </c>
      <c r="V435" s="2"/>
      <c r="W435" s="15"/>
      <c r="X435" s="15"/>
      <c r="Y435" s="15"/>
      <c r="Z435" s="15"/>
      <c r="AA435" s="1"/>
      <c r="AB435" s="15"/>
      <c r="AC435" s="15"/>
      <c r="AD435" s="15"/>
      <c r="AE435" s="15"/>
      <c r="AF435" s="2"/>
      <c r="AG435" s="10" t="s">
        <v>354</v>
      </c>
      <c r="AH435" s="12" t="s">
        <v>355</v>
      </c>
      <c r="AI435" s="10" t="s">
        <v>941</v>
      </c>
      <c r="AJ435" s="12" t="s">
        <v>942</v>
      </c>
      <c r="AK435" s="16" t="s">
        <v>45</v>
      </c>
      <c r="AL435" s="10" t="s">
        <v>49</v>
      </c>
      <c r="AM435" s="16" t="s">
        <v>45</v>
      </c>
      <c r="AN435" s="10" t="s">
        <v>320</v>
      </c>
    </row>
    <row r="436" ht="30.0" customHeight="1">
      <c r="A436" s="9" t="str">
        <f t="shared" si="30"/>
        <v>Ativo</v>
      </c>
      <c r="B436" s="9" t="str">
        <f t="shared" si="31"/>
        <v>N/I</v>
      </c>
      <c r="C436" s="9" t="str">
        <f t="shared" si="32"/>
        <v>N/I</v>
      </c>
      <c r="D436" s="10" t="s">
        <v>933</v>
      </c>
      <c r="E436" s="11" t="s">
        <v>934</v>
      </c>
      <c r="F436" s="11" t="s">
        <v>1072</v>
      </c>
      <c r="G436" s="12" t="s">
        <v>55</v>
      </c>
      <c r="H436" s="34" t="s">
        <v>1073</v>
      </c>
      <c r="I436" s="12" t="s">
        <v>1074</v>
      </c>
      <c r="J436" s="10" t="s">
        <v>521</v>
      </c>
      <c r="K436" s="10" t="s">
        <v>263</v>
      </c>
      <c r="L436" s="10" t="s">
        <v>4</v>
      </c>
      <c r="M436" s="22">
        <v>45628.0</v>
      </c>
      <c r="N436" s="32" t="s">
        <v>1075</v>
      </c>
      <c r="O436" s="10" t="s">
        <v>1076</v>
      </c>
      <c r="P436" s="10" t="s">
        <v>940</v>
      </c>
      <c r="Q436" s="2"/>
      <c r="R436" s="10">
        <v>36.0</v>
      </c>
      <c r="S436" s="14">
        <v>45648.0</v>
      </c>
      <c r="T436" s="14">
        <v>46742.0</v>
      </c>
      <c r="U436" s="10">
        <f t="shared" si="23"/>
        <v>651</v>
      </c>
      <c r="V436" s="2"/>
      <c r="W436" s="15"/>
      <c r="X436" s="15"/>
      <c r="Y436" s="15"/>
      <c r="Z436" s="15"/>
      <c r="AA436" s="1"/>
      <c r="AB436" s="15"/>
      <c r="AC436" s="15"/>
      <c r="AD436" s="15"/>
      <c r="AE436" s="15"/>
      <c r="AF436" s="2"/>
      <c r="AG436" s="10" t="s">
        <v>354</v>
      </c>
      <c r="AH436" s="12" t="s">
        <v>355</v>
      </c>
      <c r="AI436" s="10" t="s">
        <v>941</v>
      </c>
      <c r="AJ436" s="12" t="s">
        <v>942</v>
      </c>
      <c r="AK436" s="16" t="s">
        <v>45</v>
      </c>
      <c r="AL436" s="10" t="s">
        <v>49</v>
      </c>
      <c r="AM436" s="16" t="s">
        <v>45</v>
      </c>
      <c r="AN436" s="10" t="s">
        <v>320</v>
      </c>
    </row>
    <row r="437" ht="30.0" customHeight="1">
      <c r="A437" s="9" t="str">
        <f t="shared" si="30"/>
        <v>Ativo</v>
      </c>
      <c r="B437" s="9" t="str">
        <f t="shared" si="31"/>
        <v>N/I</v>
      </c>
      <c r="C437" s="9" t="str">
        <f t="shared" si="32"/>
        <v>N/I</v>
      </c>
      <c r="D437" s="10" t="s">
        <v>933</v>
      </c>
      <c r="E437" s="11" t="s">
        <v>934</v>
      </c>
      <c r="F437" s="11" t="s">
        <v>1077</v>
      </c>
      <c r="G437" s="12" t="s">
        <v>55</v>
      </c>
      <c r="H437" s="34" t="s">
        <v>1078</v>
      </c>
      <c r="I437" s="12" t="s">
        <v>1079</v>
      </c>
      <c r="J437" s="10" t="s">
        <v>610</v>
      </c>
      <c r="K437" s="10" t="s">
        <v>209</v>
      </c>
      <c r="L437" s="10" t="s">
        <v>4</v>
      </c>
      <c r="M437" s="22">
        <v>45307.0</v>
      </c>
      <c r="N437" s="32" t="s">
        <v>1080</v>
      </c>
      <c r="O437" s="10">
        <v>7.7453E7</v>
      </c>
      <c r="P437" s="10" t="s">
        <v>940</v>
      </c>
      <c r="Q437" s="2"/>
      <c r="R437" s="10">
        <v>36.0</v>
      </c>
      <c r="S437" s="14">
        <v>45357.0</v>
      </c>
      <c r="T437" s="14">
        <v>46451.0</v>
      </c>
      <c r="U437" s="10">
        <f t="shared" si="23"/>
        <v>360</v>
      </c>
      <c r="V437" s="2"/>
      <c r="W437" s="15"/>
      <c r="X437" s="15"/>
      <c r="Y437" s="15"/>
      <c r="Z437" s="15"/>
      <c r="AA437" s="1"/>
      <c r="AB437" s="15"/>
      <c r="AC437" s="15"/>
      <c r="AD437" s="15"/>
      <c r="AE437" s="15"/>
      <c r="AF437" s="2"/>
      <c r="AG437" s="10" t="s">
        <v>354</v>
      </c>
      <c r="AH437" s="12" t="s">
        <v>355</v>
      </c>
      <c r="AI437" s="10" t="s">
        <v>941</v>
      </c>
      <c r="AJ437" s="12" t="s">
        <v>942</v>
      </c>
      <c r="AK437" s="16" t="s">
        <v>45</v>
      </c>
      <c r="AL437" s="10" t="s">
        <v>49</v>
      </c>
      <c r="AM437" s="16" t="s">
        <v>45</v>
      </c>
      <c r="AN437" s="10" t="s">
        <v>320</v>
      </c>
    </row>
    <row r="438" ht="30.0" customHeight="1">
      <c r="A438" s="9" t="str">
        <f t="shared" si="30"/>
        <v>Ativo</v>
      </c>
      <c r="B438" s="9" t="str">
        <f t="shared" si="31"/>
        <v>N/I</v>
      </c>
      <c r="C438" s="9" t="str">
        <f t="shared" si="32"/>
        <v>N/I</v>
      </c>
      <c r="D438" s="10" t="s">
        <v>933</v>
      </c>
      <c r="E438" s="11" t="s">
        <v>934</v>
      </c>
      <c r="F438" s="11" t="s">
        <v>1041</v>
      </c>
      <c r="G438" s="12" t="s">
        <v>55</v>
      </c>
      <c r="H438" s="34" t="s">
        <v>1081</v>
      </c>
      <c r="I438" s="12" t="s">
        <v>70</v>
      </c>
      <c r="J438" s="10" t="s">
        <v>63</v>
      </c>
      <c r="K438" s="10" t="s">
        <v>41</v>
      </c>
      <c r="L438" s="10" t="s">
        <v>4</v>
      </c>
      <c r="M438" s="22">
        <v>45238.0</v>
      </c>
      <c r="N438" s="32" t="s">
        <v>1043</v>
      </c>
      <c r="O438" s="10" t="s">
        <v>1044</v>
      </c>
      <c r="P438" s="10" t="s">
        <v>940</v>
      </c>
      <c r="Q438" s="2"/>
      <c r="R438" s="10">
        <v>36.0</v>
      </c>
      <c r="S438" s="14">
        <v>45282.0</v>
      </c>
      <c r="T438" s="14">
        <v>46377.0</v>
      </c>
      <c r="U438" s="10">
        <f t="shared" si="23"/>
        <v>286</v>
      </c>
      <c r="V438" s="2"/>
      <c r="W438" s="15"/>
      <c r="X438" s="15"/>
      <c r="Y438" s="15"/>
      <c r="Z438" s="15"/>
      <c r="AA438" s="1"/>
      <c r="AB438" s="15"/>
      <c r="AC438" s="15"/>
      <c r="AD438" s="15"/>
      <c r="AE438" s="15"/>
      <c r="AF438" s="2"/>
      <c r="AG438" s="10" t="s">
        <v>354</v>
      </c>
      <c r="AH438" s="12" t="s">
        <v>355</v>
      </c>
      <c r="AI438" s="10" t="s">
        <v>941</v>
      </c>
      <c r="AJ438" s="12" t="s">
        <v>942</v>
      </c>
      <c r="AK438" s="16" t="s">
        <v>45</v>
      </c>
      <c r="AL438" s="10" t="s">
        <v>49</v>
      </c>
      <c r="AM438" s="16" t="s">
        <v>45</v>
      </c>
      <c r="AN438" s="10" t="s">
        <v>320</v>
      </c>
    </row>
    <row r="439" ht="30.0" customHeight="1">
      <c r="A439" s="9" t="str">
        <f t="shared" si="30"/>
        <v>Ativo</v>
      </c>
      <c r="B439" s="9" t="str">
        <f t="shared" si="31"/>
        <v>N/I</v>
      </c>
      <c r="C439" s="9" t="str">
        <f t="shared" si="32"/>
        <v>N/I</v>
      </c>
      <c r="D439" s="10" t="s">
        <v>933</v>
      </c>
      <c r="E439" s="11" t="s">
        <v>934</v>
      </c>
      <c r="F439" s="11" t="s">
        <v>1082</v>
      </c>
      <c r="G439" s="12" t="s">
        <v>55</v>
      </c>
      <c r="H439" s="34" t="s">
        <v>1083</v>
      </c>
      <c r="I439" s="12" t="s">
        <v>1084</v>
      </c>
      <c r="J439" s="10" t="s">
        <v>870</v>
      </c>
      <c r="K439" s="10" t="s">
        <v>209</v>
      </c>
      <c r="L439" s="10" t="s">
        <v>4</v>
      </c>
      <c r="M439" s="22">
        <v>45454.0</v>
      </c>
      <c r="N439" s="32" t="s">
        <v>1085</v>
      </c>
      <c r="O439" s="10" t="s">
        <v>1086</v>
      </c>
      <c r="P439" s="10" t="s">
        <v>940</v>
      </c>
      <c r="Q439" s="2"/>
      <c r="R439" s="10">
        <v>36.0</v>
      </c>
      <c r="S439" s="14">
        <v>45454.0</v>
      </c>
      <c r="T439" s="14">
        <v>46548.0</v>
      </c>
      <c r="U439" s="10">
        <f t="shared" si="23"/>
        <v>457</v>
      </c>
      <c r="V439" s="2"/>
      <c r="W439" s="15"/>
      <c r="X439" s="15"/>
      <c r="Y439" s="15"/>
      <c r="Z439" s="15"/>
      <c r="AA439" s="1"/>
      <c r="AB439" s="15"/>
      <c r="AC439" s="15"/>
      <c r="AD439" s="15"/>
      <c r="AE439" s="15"/>
      <c r="AF439" s="2"/>
      <c r="AG439" s="10" t="s">
        <v>354</v>
      </c>
      <c r="AH439" s="12" t="s">
        <v>355</v>
      </c>
      <c r="AI439" s="10" t="s">
        <v>941</v>
      </c>
      <c r="AJ439" s="12" t="s">
        <v>942</v>
      </c>
      <c r="AK439" s="16" t="s">
        <v>45</v>
      </c>
      <c r="AL439" s="10" t="s">
        <v>49</v>
      </c>
      <c r="AM439" s="16" t="s">
        <v>45</v>
      </c>
      <c r="AN439" s="10" t="s">
        <v>320</v>
      </c>
    </row>
    <row r="440" ht="30.0" customHeight="1">
      <c r="A440" s="9" t="str">
        <f t="shared" si="30"/>
        <v>Ativo</v>
      </c>
      <c r="B440" s="9" t="str">
        <f t="shared" si="31"/>
        <v>N/I</v>
      </c>
      <c r="C440" s="9" t="str">
        <f t="shared" si="32"/>
        <v>N/I</v>
      </c>
      <c r="D440" s="10" t="s">
        <v>933</v>
      </c>
      <c r="E440" s="11" t="s">
        <v>934</v>
      </c>
      <c r="F440" s="11" t="s">
        <v>1087</v>
      </c>
      <c r="G440" s="12" t="s">
        <v>55</v>
      </c>
      <c r="H440" s="34" t="s">
        <v>1088</v>
      </c>
      <c r="I440" s="12" t="s">
        <v>1089</v>
      </c>
      <c r="J440" s="10" t="s">
        <v>262</v>
      </c>
      <c r="K440" s="10" t="s">
        <v>263</v>
      </c>
      <c r="L440" s="10" t="s">
        <v>4</v>
      </c>
      <c r="M440" s="22">
        <v>45446.0</v>
      </c>
      <c r="N440" s="32" t="s">
        <v>522</v>
      </c>
      <c r="O440" s="10" t="s">
        <v>523</v>
      </c>
      <c r="P440" s="10" t="s">
        <v>940</v>
      </c>
      <c r="Q440" s="2"/>
      <c r="R440" s="10">
        <v>36.0</v>
      </c>
      <c r="S440" s="14">
        <v>45446.0</v>
      </c>
      <c r="T440" s="14">
        <v>46540.0</v>
      </c>
      <c r="U440" s="10">
        <f t="shared" si="23"/>
        <v>449</v>
      </c>
      <c r="V440" s="2"/>
      <c r="W440" s="15"/>
      <c r="X440" s="15"/>
      <c r="Y440" s="15"/>
      <c r="Z440" s="15"/>
      <c r="AA440" s="1"/>
      <c r="AB440" s="15"/>
      <c r="AC440" s="15"/>
      <c r="AD440" s="15"/>
      <c r="AE440" s="15"/>
      <c r="AF440" s="2"/>
      <c r="AG440" s="10" t="s">
        <v>354</v>
      </c>
      <c r="AH440" s="12" t="s">
        <v>355</v>
      </c>
      <c r="AI440" s="10" t="s">
        <v>941</v>
      </c>
      <c r="AJ440" s="12" t="s">
        <v>942</v>
      </c>
      <c r="AK440" s="16" t="s">
        <v>45</v>
      </c>
      <c r="AL440" s="10" t="s">
        <v>49</v>
      </c>
      <c r="AM440" s="16" t="s">
        <v>45</v>
      </c>
      <c r="AN440" s="10" t="s">
        <v>320</v>
      </c>
    </row>
    <row r="441" ht="30.0" customHeight="1">
      <c r="A441" s="9" t="str">
        <f t="shared" si="30"/>
        <v>Ativo</v>
      </c>
      <c r="B441" s="9" t="str">
        <f t="shared" si="31"/>
        <v>N/I</v>
      </c>
      <c r="C441" s="9" t="str">
        <f t="shared" si="32"/>
        <v>N/I</v>
      </c>
      <c r="D441" s="10" t="s">
        <v>933</v>
      </c>
      <c r="E441" s="11" t="s">
        <v>934</v>
      </c>
      <c r="F441" s="11" t="s">
        <v>1090</v>
      </c>
      <c r="G441" s="12" t="s">
        <v>55</v>
      </c>
      <c r="H441" s="34" t="s">
        <v>1091</v>
      </c>
      <c r="I441" s="12" t="s">
        <v>1092</v>
      </c>
      <c r="J441" s="10" t="s">
        <v>521</v>
      </c>
      <c r="K441" s="10" t="s">
        <v>263</v>
      </c>
      <c r="L441" s="10" t="s">
        <v>4</v>
      </c>
      <c r="M441" s="22">
        <v>45629.0</v>
      </c>
      <c r="N441" s="32" t="s">
        <v>1093</v>
      </c>
      <c r="O441" s="10" t="s">
        <v>1094</v>
      </c>
      <c r="P441" s="10" t="s">
        <v>940</v>
      </c>
      <c r="Q441" s="2"/>
      <c r="R441" s="10">
        <v>36.0</v>
      </c>
      <c r="S441" s="14">
        <v>45648.0</v>
      </c>
      <c r="T441" s="14">
        <v>46742.0</v>
      </c>
      <c r="U441" s="10">
        <f t="shared" si="23"/>
        <v>651</v>
      </c>
      <c r="V441" s="2"/>
      <c r="W441" s="15"/>
      <c r="X441" s="15"/>
      <c r="Y441" s="15"/>
      <c r="Z441" s="15"/>
      <c r="AA441" s="1"/>
      <c r="AB441" s="15"/>
      <c r="AC441" s="15"/>
      <c r="AD441" s="15"/>
      <c r="AE441" s="15"/>
      <c r="AF441" s="2"/>
      <c r="AG441" s="10" t="s">
        <v>354</v>
      </c>
      <c r="AH441" s="12" t="s">
        <v>355</v>
      </c>
      <c r="AI441" s="10" t="s">
        <v>941</v>
      </c>
      <c r="AJ441" s="12" t="s">
        <v>942</v>
      </c>
      <c r="AK441" s="16" t="s">
        <v>45</v>
      </c>
      <c r="AL441" s="10" t="s">
        <v>49</v>
      </c>
      <c r="AM441" s="16" t="s">
        <v>45</v>
      </c>
      <c r="AN441" s="10" t="s">
        <v>320</v>
      </c>
    </row>
    <row r="442" ht="30.0" customHeight="1">
      <c r="A442" s="9" t="str">
        <f t="shared" si="30"/>
        <v>Ativo</v>
      </c>
      <c r="B442" s="9" t="str">
        <f t="shared" si="31"/>
        <v>N/I</v>
      </c>
      <c r="C442" s="9" t="str">
        <f t="shared" si="32"/>
        <v>N/I</v>
      </c>
      <c r="D442" s="10" t="s">
        <v>933</v>
      </c>
      <c r="E442" s="11" t="s">
        <v>934</v>
      </c>
      <c r="F442" s="11" t="s">
        <v>1002</v>
      </c>
      <c r="G442" s="12" t="s">
        <v>55</v>
      </c>
      <c r="H442" s="34" t="s">
        <v>1095</v>
      </c>
      <c r="I442" s="12" t="s">
        <v>1096</v>
      </c>
      <c r="J442" s="10" t="s">
        <v>1097</v>
      </c>
      <c r="K442" s="10" t="s">
        <v>190</v>
      </c>
      <c r="L442" s="10" t="s">
        <v>4</v>
      </c>
      <c r="M442" s="22">
        <v>45491.0</v>
      </c>
      <c r="N442" s="32" t="s">
        <v>1098</v>
      </c>
      <c r="O442" s="10" t="s">
        <v>1099</v>
      </c>
      <c r="P442" s="10" t="s">
        <v>940</v>
      </c>
      <c r="Q442" s="2"/>
      <c r="R442" s="10">
        <v>36.0</v>
      </c>
      <c r="S442" s="14">
        <v>45566.0</v>
      </c>
      <c r="T442" s="14">
        <v>46660.0</v>
      </c>
      <c r="U442" s="10">
        <f t="shared" si="23"/>
        <v>569</v>
      </c>
      <c r="V442" s="2"/>
      <c r="W442" s="15"/>
      <c r="X442" s="15"/>
      <c r="Y442" s="15"/>
      <c r="Z442" s="15"/>
      <c r="AA442" s="1"/>
      <c r="AB442" s="15"/>
      <c r="AC442" s="15"/>
      <c r="AD442" s="15"/>
      <c r="AE442" s="15"/>
      <c r="AF442" s="2"/>
      <c r="AG442" s="10" t="s">
        <v>354</v>
      </c>
      <c r="AH442" s="12" t="s">
        <v>355</v>
      </c>
      <c r="AI442" s="10" t="s">
        <v>941</v>
      </c>
      <c r="AJ442" s="12" t="s">
        <v>942</v>
      </c>
      <c r="AK442" s="16" t="s">
        <v>45</v>
      </c>
      <c r="AL442" s="10" t="s">
        <v>49</v>
      </c>
      <c r="AM442" s="16" t="s">
        <v>45</v>
      </c>
      <c r="AN442" s="10" t="s">
        <v>320</v>
      </c>
    </row>
    <row r="443" ht="30.0" customHeight="1">
      <c r="A443" s="9" t="str">
        <f t="shared" si="30"/>
        <v>Ativo</v>
      </c>
      <c r="B443" s="9" t="str">
        <f t="shared" si="31"/>
        <v>N/I</v>
      </c>
      <c r="C443" s="9" t="str">
        <f t="shared" si="32"/>
        <v>N/I</v>
      </c>
      <c r="D443" s="10" t="s">
        <v>933</v>
      </c>
      <c r="E443" s="11" t="s">
        <v>934</v>
      </c>
      <c r="F443" s="11" t="s">
        <v>1100</v>
      </c>
      <c r="G443" s="12" t="s">
        <v>55</v>
      </c>
      <c r="H443" s="34" t="s">
        <v>1101</v>
      </c>
      <c r="I443" s="12" t="s">
        <v>1102</v>
      </c>
      <c r="J443" s="10" t="s">
        <v>189</v>
      </c>
      <c r="K443" s="10" t="s">
        <v>190</v>
      </c>
      <c r="L443" s="10" t="s">
        <v>4</v>
      </c>
      <c r="M443" s="22">
        <v>45561.0</v>
      </c>
      <c r="N443" s="32" t="s">
        <v>1103</v>
      </c>
      <c r="O443" s="10" t="s">
        <v>1104</v>
      </c>
      <c r="P443" s="10" t="s">
        <v>940</v>
      </c>
      <c r="Q443" s="2"/>
      <c r="R443" s="10">
        <v>36.0</v>
      </c>
      <c r="S443" s="14">
        <v>45561.0</v>
      </c>
      <c r="T443" s="14">
        <v>46655.0</v>
      </c>
      <c r="U443" s="10">
        <f t="shared" si="23"/>
        <v>564</v>
      </c>
      <c r="V443" s="2"/>
      <c r="W443" s="15"/>
      <c r="X443" s="15"/>
      <c r="Y443" s="15"/>
      <c r="Z443" s="15"/>
      <c r="AA443" s="1"/>
      <c r="AB443" s="15"/>
      <c r="AC443" s="15"/>
      <c r="AD443" s="15"/>
      <c r="AE443" s="15"/>
      <c r="AF443" s="2"/>
      <c r="AG443" s="10" t="s">
        <v>354</v>
      </c>
      <c r="AH443" s="12" t="s">
        <v>355</v>
      </c>
      <c r="AI443" s="10" t="s">
        <v>941</v>
      </c>
      <c r="AJ443" s="12" t="s">
        <v>942</v>
      </c>
      <c r="AK443" s="16" t="s">
        <v>45</v>
      </c>
      <c r="AL443" s="10" t="s">
        <v>49</v>
      </c>
      <c r="AM443" s="16" t="s">
        <v>45</v>
      </c>
      <c r="AN443" s="10" t="s">
        <v>320</v>
      </c>
    </row>
    <row r="444" ht="30.0" customHeight="1">
      <c r="A444" s="9" t="str">
        <f t="shared" si="30"/>
        <v>Ativo</v>
      </c>
      <c r="B444" s="9" t="str">
        <f t="shared" si="31"/>
        <v>N/I</v>
      </c>
      <c r="C444" s="9" t="str">
        <f t="shared" si="32"/>
        <v>N/I</v>
      </c>
      <c r="D444" s="10" t="s">
        <v>933</v>
      </c>
      <c r="E444" s="11" t="s">
        <v>934</v>
      </c>
      <c r="F444" s="11" t="s">
        <v>1105</v>
      </c>
      <c r="G444" s="12" t="s">
        <v>55</v>
      </c>
      <c r="H444" s="34" t="s">
        <v>1106</v>
      </c>
      <c r="I444" s="12" t="s">
        <v>1107</v>
      </c>
      <c r="J444" s="10" t="s">
        <v>895</v>
      </c>
      <c r="K444" s="10" t="s">
        <v>41</v>
      </c>
      <c r="L444" s="10" t="s">
        <v>4</v>
      </c>
      <c r="M444" s="14">
        <v>45370.0</v>
      </c>
      <c r="N444" s="32" t="s">
        <v>1108</v>
      </c>
      <c r="O444" s="10" t="s">
        <v>1109</v>
      </c>
      <c r="P444" s="10" t="s">
        <v>940</v>
      </c>
      <c r="Q444" s="2"/>
      <c r="R444" s="10">
        <v>36.0</v>
      </c>
      <c r="S444" s="14">
        <v>45370.0</v>
      </c>
      <c r="T444" s="14">
        <v>46464.0</v>
      </c>
      <c r="U444" s="10">
        <f t="shared" si="23"/>
        <v>373</v>
      </c>
      <c r="V444" s="2"/>
      <c r="W444" s="15"/>
      <c r="X444" s="15"/>
      <c r="Y444" s="15"/>
      <c r="Z444" s="15"/>
      <c r="AA444" s="1"/>
      <c r="AB444" s="15"/>
      <c r="AC444" s="15"/>
      <c r="AD444" s="15"/>
      <c r="AE444" s="15"/>
      <c r="AF444" s="2"/>
      <c r="AG444" s="10" t="s">
        <v>354</v>
      </c>
      <c r="AH444" s="12" t="s">
        <v>355</v>
      </c>
      <c r="AI444" s="10" t="s">
        <v>941</v>
      </c>
      <c r="AJ444" s="12" t="s">
        <v>942</v>
      </c>
      <c r="AK444" s="16" t="s">
        <v>45</v>
      </c>
      <c r="AL444" s="10" t="s">
        <v>49</v>
      </c>
      <c r="AM444" s="16" t="s">
        <v>45</v>
      </c>
      <c r="AN444" s="10" t="s">
        <v>320</v>
      </c>
    </row>
    <row r="445" ht="30.0" customHeight="1">
      <c r="A445" s="9" t="str">
        <f t="shared" si="30"/>
        <v>Ativo</v>
      </c>
      <c r="B445" s="9" t="str">
        <f t="shared" si="31"/>
        <v>N/I</v>
      </c>
      <c r="C445" s="9" t="str">
        <f t="shared" si="32"/>
        <v>N/I</v>
      </c>
      <c r="D445" s="10" t="s">
        <v>933</v>
      </c>
      <c r="E445" s="11" t="s">
        <v>934</v>
      </c>
      <c r="F445" s="32" t="s">
        <v>1110</v>
      </c>
      <c r="G445" s="12" t="s">
        <v>55</v>
      </c>
      <c r="H445" s="34" t="s">
        <v>1111</v>
      </c>
      <c r="I445" s="12" t="s">
        <v>1112</v>
      </c>
      <c r="J445" s="10" t="s">
        <v>889</v>
      </c>
      <c r="K445" s="10" t="s">
        <v>209</v>
      </c>
      <c r="L445" s="10" t="s">
        <v>4</v>
      </c>
      <c r="M445" s="14">
        <v>45407.0</v>
      </c>
      <c r="N445" s="32" t="s">
        <v>1113</v>
      </c>
      <c r="O445" s="10" t="s">
        <v>1114</v>
      </c>
      <c r="P445" s="10" t="s">
        <v>940</v>
      </c>
      <c r="Q445" s="2"/>
      <c r="R445" s="10">
        <v>36.0</v>
      </c>
      <c r="S445" s="14">
        <v>45510.0</v>
      </c>
      <c r="T445" s="14">
        <v>46604.0</v>
      </c>
      <c r="U445" s="10">
        <f t="shared" si="23"/>
        <v>513</v>
      </c>
      <c r="V445" s="2"/>
      <c r="W445" s="15"/>
      <c r="X445" s="15"/>
      <c r="Y445" s="15"/>
      <c r="Z445" s="15"/>
      <c r="AA445" s="1"/>
      <c r="AB445" s="15"/>
      <c r="AC445" s="15"/>
      <c r="AD445" s="15"/>
      <c r="AE445" s="15"/>
      <c r="AF445" s="2"/>
      <c r="AG445" s="10" t="s">
        <v>354</v>
      </c>
      <c r="AH445" s="12" t="s">
        <v>355</v>
      </c>
      <c r="AI445" s="10" t="s">
        <v>941</v>
      </c>
      <c r="AJ445" s="12" t="s">
        <v>942</v>
      </c>
      <c r="AK445" s="16" t="s">
        <v>45</v>
      </c>
      <c r="AL445" s="10" t="s">
        <v>49</v>
      </c>
      <c r="AM445" s="16" t="s">
        <v>45</v>
      </c>
      <c r="AN445" s="10" t="s">
        <v>320</v>
      </c>
    </row>
    <row r="446" ht="30.0" customHeight="1">
      <c r="A446" s="9" t="str">
        <f>IF(U442&lt;0,"Inativo",IF(U442&gt;0,"Ativo","N/I"))</f>
        <v>Ativo</v>
      </c>
      <c r="B446" s="9" t="str">
        <f>IF(Z442&lt;0,"Inativo",IF(Z442&gt;0,"Ativo","N/I"))</f>
        <v>N/I</v>
      </c>
      <c r="C446" s="9" t="str">
        <f>IF(AE442&lt;0,"Inativo",IF(AE442&gt;0,"Ativo","N/I"))</f>
        <v>N/I</v>
      </c>
      <c r="D446" s="10" t="s">
        <v>933</v>
      </c>
      <c r="E446" s="11" t="s">
        <v>934</v>
      </c>
      <c r="F446" s="32" t="s">
        <v>1115</v>
      </c>
      <c r="G446" s="12" t="s">
        <v>55</v>
      </c>
      <c r="H446" s="34" t="s">
        <v>1116</v>
      </c>
      <c r="I446" s="12" t="s">
        <v>1117</v>
      </c>
      <c r="J446" s="10" t="s">
        <v>216</v>
      </c>
      <c r="K446" s="10" t="s">
        <v>40</v>
      </c>
      <c r="L446" s="10" t="s">
        <v>4</v>
      </c>
      <c r="M446" s="14">
        <v>45373.0</v>
      </c>
      <c r="N446" s="32" t="s">
        <v>1118</v>
      </c>
      <c r="O446" s="10" t="s">
        <v>1119</v>
      </c>
      <c r="P446" s="10" t="s">
        <v>940</v>
      </c>
      <c r="Q446" s="2"/>
      <c r="R446" s="10">
        <v>36.0</v>
      </c>
      <c r="S446" s="14">
        <v>45373.0</v>
      </c>
      <c r="T446" s="14">
        <v>46467.0</v>
      </c>
      <c r="U446" s="10">
        <f t="shared" si="23"/>
        <v>376</v>
      </c>
      <c r="V446" s="2"/>
      <c r="W446" s="15"/>
      <c r="X446" s="15"/>
      <c r="Y446" s="15"/>
      <c r="Z446" s="15"/>
      <c r="AA446" s="1"/>
      <c r="AB446" s="15"/>
      <c r="AC446" s="15"/>
      <c r="AD446" s="15"/>
      <c r="AE446" s="15"/>
      <c r="AF446" s="2"/>
      <c r="AG446" s="10" t="s">
        <v>354</v>
      </c>
      <c r="AH446" s="12" t="s">
        <v>355</v>
      </c>
      <c r="AI446" s="10" t="s">
        <v>941</v>
      </c>
      <c r="AJ446" s="12" t="s">
        <v>942</v>
      </c>
      <c r="AK446" s="16" t="s">
        <v>45</v>
      </c>
      <c r="AL446" s="10" t="s">
        <v>49</v>
      </c>
      <c r="AM446" s="16" t="s">
        <v>45</v>
      </c>
      <c r="AN446" s="10" t="s">
        <v>320</v>
      </c>
    </row>
    <row r="447" ht="30.0" customHeight="1">
      <c r="A447" s="9" t="str">
        <f t="shared" ref="A447:A465" si="33">IF(U447&lt;0,"Inativo",IF(U447&gt;0,"Ativo","N/I"))</f>
        <v>Ativo</v>
      </c>
      <c r="B447" s="9" t="str">
        <f t="shared" ref="B447:B465" si="34">IF(Z447&lt;0,"Inativo",IF(Z447&gt;0,"Ativo","N/I"))</f>
        <v>N/I</v>
      </c>
      <c r="C447" s="9" t="str">
        <f t="shared" ref="C447:C465" si="35">IF(AE447&lt;0,"Inativo",IF(AE447&gt;0,"Ativo","N/I"))</f>
        <v>N/I</v>
      </c>
      <c r="D447" s="10" t="s">
        <v>933</v>
      </c>
      <c r="E447" s="11" t="s">
        <v>934</v>
      </c>
      <c r="F447" s="11" t="s">
        <v>1120</v>
      </c>
      <c r="G447" s="12" t="s">
        <v>55</v>
      </c>
      <c r="H447" s="34" t="s">
        <v>1121</v>
      </c>
      <c r="I447" s="12" t="s">
        <v>1122</v>
      </c>
      <c r="J447" s="10" t="s">
        <v>197</v>
      </c>
      <c r="K447" s="10" t="s">
        <v>40</v>
      </c>
      <c r="L447" s="10" t="s">
        <v>4</v>
      </c>
      <c r="M447" s="22">
        <v>45433.0</v>
      </c>
      <c r="N447" s="32" t="s">
        <v>1123</v>
      </c>
      <c r="O447" s="10" t="s">
        <v>1124</v>
      </c>
      <c r="P447" s="10" t="s">
        <v>940</v>
      </c>
      <c r="Q447" s="2"/>
      <c r="R447" s="10">
        <v>36.0</v>
      </c>
      <c r="S447" s="14">
        <v>45433.0</v>
      </c>
      <c r="T447" s="14">
        <v>46527.0</v>
      </c>
      <c r="U447" s="10">
        <f t="shared" si="23"/>
        <v>436</v>
      </c>
      <c r="V447" s="2"/>
      <c r="W447" s="15"/>
      <c r="X447" s="15"/>
      <c r="Y447" s="15"/>
      <c r="Z447" s="15"/>
      <c r="AA447" s="1"/>
      <c r="AB447" s="15"/>
      <c r="AC447" s="15"/>
      <c r="AD447" s="15"/>
      <c r="AE447" s="15"/>
      <c r="AF447" s="2"/>
      <c r="AG447" s="10" t="s">
        <v>354</v>
      </c>
      <c r="AH447" s="12" t="s">
        <v>355</v>
      </c>
      <c r="AI447" s="10" t="s">
        <v>941</v>
      </c>
      <c r="AJ447" s="12" t="s">
        <v>942</v>
      </c>
      <c r="AK447" s="16" t="s">
        <v>45</v>
      </c>
      <c r="AL447" s="10" t="s">
        <v>49</v>
      </c>
      <c r="AM447" s="16" t="s">
        <v>45</v>
      </c>
      <c r="AN447" s="10" t="s">
        <v>320</v>
      </c>
    </row>
    <row r="448" ht="30.0" customHeight="1">
      <c r="A448" s="9" t="str">
        <f t="shared" si="33"/>
        <v>Ativo</v>
      </c>
      <c r="B448" s="9" t="str">
        <f t="shared" si="34"/>
        <v>N/I</v>
      </c>
      <c r="C448" s="9" t="str">
        <f t="shared" si="35"/>
        <v>N/I</v>
      </c>
      <c r="D448" s="10" t="s">
        <v>933</v>
      </c>
      <c r="E448" s="11" t="s">
        <v>934</v>
      </c>
      <c r="F448" s="11" t="s">
        <v>1125</v>
      </c>
      <c r="G448" s="12" t="s">
        <v>55</v>
      </c>
      <c r="H448" s="34" t="s">
        <v>1126</v>
      </c>
      <c r="I448" s="12" t="s">
        <v>1127</v>
      </c>
      <c r="J448" s="10" t="s">
        <v>222</v>
      </c>
      <c r="K448" s="10" t="s">
        <v>40</v>
      </c>
      <c r="L448" s="10" t="s">
        <v>4</v>
      </c>
      <c r="M448" s="22">
        <v>45489.0</v>
      </c>
      <c r="N448" s="32" t="s">
        <v>1128</v>
      </c>
      <c r="O448" s="10" t="s">
        <v>1129</v>
      </c>
      <c r="P448" s="10" t="s">
        <v>940</v>
      </c>
      <c r="Q448" s="2"/>
      <c r="R448" s="10">
        <v>36.0</v>
      </c>
      <c r="S448" s="14">
        <v>45559.0</v>
      </c>
      <c r="T448" s="14">
        <v>46653.0</v>
      </c>
      <c r="U448" s="10">
        <f t="shared" si="23"/>
        <v>562</v>
      </c>
      <c r="V448" s="2"/>
      <c r="W448" s="15"/>
      <c r="X448" s="15"/>
      <c r="Y448" s="15"/>
      <c r="Z448" s="15"/>
      <c r="AA448" s="1"/>
      <c r="AB448" s="15"/>
      <c r="AC448" s="15"/>
      <c r="AD448" s="15"/>
      <c r="AE448" s="15"/>
      <c r="AF448" s="2"/>
      <c r="AG448" s="10" t="s">
        <v>354</v>
      </c>
      <c r="AH448" s="12" t="s">
        <v>355</v>
      </c>
      <c r="AI448" s="10" t="s">
        <v>941</v>
      </c>
      <c r="AJ448" s="12" t="s">
        <v>942</v>
      </c>
      <c r="AK448" s="16" t="s">
        <v>45</v>
      </c>
      <c r="AL448" s="10" t="s">
        <v>49</v>
      </c>
      <c r="AM448" s="16" t="s">
        <v>45</v>
      </c>
      <c r="AN448" s="10" t="s">
        <v>320</v>
      </c>
    </row>
    <row r="449" ht="30.0" customHeight="1">
      <c r="A449" s="9" t="str">
        <f t="shared" si="33"/>
        <v>Ativo</v>
      </c>
      <c r="B449" s="9" t="str">
        <f t="shared" si="34"/>
        <v>N/I</v>
      </c>
      <c r="C449" s="9" t="str">
        <f t="shared" si="35"/>
        <v>N/I</v>
      </c>
      <c r="D449" s="10" t="s">
        <v>933</v>
      </c>
      <c r="E449" s="11" t="s">
        <v>934</v>
      </c>
      <c r="F449" s="11" t="s">
        <v>1130</v>
      </c>
      <c r="G449" s="12" t="s">
        <v>55</v>
      </c>
      <c r="H449" s="34" t="s">
        <v>1131</v>
      </c>
      <c r="I449" s="12" t="s">
        <v>1127</v>
      </c>
      <c r="J449" s="10" t="s">
        <v>222</v>
      </c>
      <c r="K449" s="10" t="s">
        <v>40</v>
      </c>
      <c r="L449" s="10" t="s">
        <v>4</v>
      </c>
      <c r="M449" s="22">
        <v>45491.0</v>
      </c>
      <c r="N449" s="32" t="s">
        <v>1128</v>
      </c>
      <c r="O449" s="10" t="s">
        <v>1129</v>
      </c>
      <c r="P449" s="10" t="s">
        <v>940</v>
      </c>
      <c r="Q449" s="2"/>
      <c r="R449" s="10">
        <v>36.0</v>
      </c>
      <c r="S449" s="14">
        <v>45559.0</v>
      </c>
      <c r="T449" s="14">
        <v>46653.0</v>
      </c>
      <c r="U449" s="10">
        <f t="shared" si="23"/>
        <v>562</v>
      </c>
      <c r="V449" s="2"/>
      <c r="W449" s="15"/>
      <c r="X449" s="15"/>
      <c r="Y449" s="15"/>
      <c r="Z449" s="15"/>
      <c r="AA449" s="1"/>
      <c r="AB449" s="15"/>
      <c r="AC449" s="15"/>
      <c r="AD449" s="15"/>
      <c r="AE449" s="15"/>
      <c r="AF449" s="2"/>
      <c r="AG449" s="10" t="s">
        <v>354</v>
      </c>
      <c r="AH449" s="12" t="s">
        <v>355</v>
      </c>
      <c r="AI449" s="10" t="s">
        <v>941</v>
      </c>
      <c r="AJ449" s="12" t="s">
        <v>942</v>
      </c>
      <c r="AK449" s="16" t="s">
        <v>45</v>
      </c>
      <c r="AL449" s="10" t="s">
        <v>49</v>
      </c>
      <c r="AM449" s="16" t="s">
        <v>45</v>
      </c>
      <c r="AN449" s="10" t="s">
        <v>320</v>
      </c>
    </row>
    <row r="450" ht="30.0" customHeight="1">
      <c r="A450" s="9" t="str">
        <f t="shared" si="33"/>
        <v>Ativo</v>
      </c>
      <c r="B450" s="9" t="str">
        <f t="shared" si="34"/>
        <v>N/I</v>
      </c>
      <c r="C450" s="9" t="str">
        <f t="shared" si="35"/>
        <v>N/I</v>
      </c>
      <c r="D450" s="10" t="s">
        <v>933</v>
      </c>
      <c r="E450" s="11" t="s">
        <v>934</v>
      </c>
      <c r="F450" s="11" t="s">
        <v>1132</v>
      </c>
      <c r="G450" s="12" t="s">
        <v>55</v>
      </c>
      <c r="H450" s="34" t="s">
        <v>1133</v>
      </c>
      <c r="I450" s="12" t="s">
        <v>1134</v>
      </c>
      <c r="J450" s="10" t="s">
        <v>234</v>
      </c>
      <c r="K450" s="10" t="s">
        <v>40</v>
      </c>
      <c r="L450" s="10" t="s">
        <v>4</v>
      </c>
      <c r="M450" s="22">
        <v>45363.0</v>
      </c>
      <c r="N450" s="32" t="s">
        <v>1135</v>
      </c>
      <c r="O450" s="10" t="s">
        <v>1136</v>
      </c>
      <c r="P450" s="10" t="s">
        <v>992</v>
      </c>
      <c r="Q450" s="2"/>
      <c r="R450" s="10">
        <v>36.0</v>
      </c>
      <c r="S450" s="14">
        <v>45363.0</v>
      </c>
      <c r="T450" s="14">
        <v>46457.0</v>
      </c>
      <c r="U450" s="10">
        <f t="shared" si="23"/>
        <v>366</v>
      </c>
      <c r="V450" s="2"/>
      <c r="W450" s="15"/>
      <c r="X450" s="15"/>
      <c r="Y450" s="15"/>
      <c r="Z450" s="15"/>
      <c r="AA450" s="1"/>
      <c r="AB450" s="15"/>
      <c r="AC450" s="15"/>
      <c r="AD450" s="15"/>
      <c r="AE450" s="15"/>
      <c r="AF450" s="2"/>
      <c r="AG450" s="10" t="s">
        <v>354</v>
      </c>
      <c r="AH450" s="12" t="s">
        <v>355</v>
      </c>
      <c r="AI450" s="10" t="s">
        <v>941</v>
      </c>
      <c r="AJ450" s="12" t="s">
        <v>942</v>
      </c>
      <c r="AK450" s="16" t="s">
        <v>45</v>
      </c>
      <c r="AL450" s="10" t="s">
        <v>49</v>
      </c>
      <c r="AM450" s="16" t="s">
        <v>45</v>
      </c>
      <c r="AN450" s="10" t="s">
        <v>320</v>
      </c>
    </row>
    <row r="451" ht="30.0" customHeight="1">
      <c r="A451" s="9" t="str">
        <f t="shared" si="33"/>
        <v>Ativo</v>
      </c>
      <c r="B451" s="9" t="str">
        <f t="shared" si="34"/>
        <v>N/I</v>
      </c>
      <c r="C451" s="9" t="str">
        <f t="shared" si="35"/>
        <v>N/I</v>
      </c>
      <c r="D451" s="10" t="s">
        <v>933</v>
      </c>
      <c r="E451" s="11" t="s">
        <v>934</v>
      </c>
      <c r="F451" s="11" t="s">
        <v>1137</v>
      </c>
      <c r="G451" s="12" t="s">
        <v>55</v>
      </c>
      <c r="H451" s="34" t="s">
        <v>1138</v>
      </c>
      <c r="I451" s="12" t="s">
        <v>1139</v>
      </c>
      <c r="J451" s="10" t="s">
        <v>89</v>
      </c>
      <c r="K451" s="10" t="s">
        <v>41</v>
      </c>
      <c r="L451" s="10" t="s">
        <v>4</v>
      </c>
      <c r="M451" s="14">
        <v>45385.0</v>
      </c>
      <c r="N451" s="32" t="s">
        <v>1140</v>
      </c>
      <c r="O451" s="10" t="s">
        <v>1141</v>
      </c>
      <c r="P451" s="10" t="s">
        <v>940</v>
      </c>
      <c r="Q451" s="2"/>
      <c r="R451" s="10">
        <v>36.0</v>
      </c>
      <c r="S451" s="14">
        <v>45433.0</v>
      </c>
      <c r="T451" s="14">
        <v>46527.0</v>
      </c>
      <c r="U451" s="10">
        <f t="shared" si="23"/>
        <v>436</v>
      </c>
      <c r="V451" s="2"/>
      <c r="W451" s="15"/>
      <c r="X451" s="15"/>
      <c r="Y451" s="15"/>
      <c r="Z451" s="15"/>
      <c r="AA451" s="1"/>
      <c r="AB451" s="15"/>
      <c r="AC451" s="15"/>
      <c r="AD451" s="15"/>
      <c r="AE451" s="15"/>
      <c r="AF451" s="2"/>
      <c r="AG451" s="10" t="s">
        <v>354</v>
      </c>
      <c r="AH451" s="12" t="s">
        <v>355</v>
      </c>
      <c r="AI451" s="10" t="s">
        <v>941</v>
      </c>
      <c r="AJ451" s="12" t="s">
        <v>942</v>
      </c>
      <c r="AK451" s="16" t="s">
        <v>45</v>
      </c>
      <c r="AL451" s="10" t="s">
        <v>49</v>
      </c>
      <c r="AM451" s="16" t="s">
        <v>45</v>
      </c>
      <c r="AN451" s="10" t="s">
        <v>320</v>
      </c>
    </row>
    <row r="452" ht="30.0" customHeight="1">
      <c r="A452" s="9" t="str">
        <f t="shared" si="33"/>
        <v>Ativo</v>
      </c>
      <c r="B452" s="9" t="str">
        <f t="shared" si="34"/>
        <v>N/I</v>
      </c>
      <c r="C452" s="9" t="str">
        <f t="shared" si="35"/>
        <v>N/I</v>
      </c>
      <c r="D452" s="10" t="s">
        <v>933</v>
      </c>
      <c r="E452" s="11" t="s">
        <v>934</v>
      </c>
      <c r="F452" s="11" t="s">
        <v>1142</v>
      </c>
      <c r="G452" s="12" t="s">
        <v>55</v>
      </c>
      <c r="H452" s="34" t="s">
        <v>1143</v>
      </c>
      <c r="I452" s="12" t="s">
        <v>1144</v>
      </c>
      <c r="J452" s="10" t="s">
        <v>132</v>
      </c>
      <c r="K452" s="10" t="s">
        <v>41</v>
      </c>
      <c r="L452" s="10" t="s">
        <v>4</v>
      </c>
      <c r="M452" s="22">
        <v>45553.0</v>
      </c>
      <c r="N452" s="32" t="s">
        <v>1145</v>
      </c>
      <c r="O452" s="10" t="s">
        <v>1146</v>
      </c>
      <c r="P452" s="10" t="s">
        <v>940</v>
      </c>
      <c r="Q452" s="2"/>
      <c r="R452" s="10">
        <v>36.0</v>
      </c>
      <c r="S452" s="14">
        <v>45567.0</v>
      </c>
      <c r="T452" s="14">
        <v>46661.0</v>
      </c>
      <c r="U452" s="10">
        <f t="shared" si="23"/>
        <v>570</v>
      </c>
      <c r="V452" s="2"/>
      <c r="W452" s="15"/>
      <c r="X452" s="15"/>
      <c r="Y452" s="15"/>
      <c r="Z452" s="15"/>
      <c r="AA452" s="1"/>
      <c r="AB452" s="15"/>
      <c r="AC452" s="15"/>
      <c r="AD452" s="15"/>
      <c r="AE452" s="15"/>
      <c r="AF452" s="2"/>
      <c r="AG452" s="10" t="s">
        <v>354</v>
      </c>
      <c r="AH452" s="12" t="s">
        <v>355</v>
      </c>
      <c r="AI452" s="10" t="s">
        <v>941</v>
      </c>
      <c r="AJ452" s="12" t="s">
        <v>942</v>
      </c>
      <c r="AK452" s="16" t="s">
        <v>45</v>
      </c>
      <c r="AL452" s="10" t="s">
        <v>49</v>
      </c>
      <c r="AM452" s="16" t="s">
        <v>45</v>
      </c>
      <c r="AN452" s="10" t="s">
        <v>320</v>
      </c>
    </row>
    <row r="453" ht="30.0" customHeight="1">
      <c r="A453" s="9" t="str">
        <f t="shared" si="33"/>
        <v>Ativo</v>
      </c>
      <c r="B453" s="9" t="str">
        <f t="shared" si="34"/>
        <v>N/I</v>
      </c>
      <c r="C453" s="9" t="str">
        <f t="shared" si="35"/>
        <v>N/I</v>
      </c>
      <c r="D453" s="10" t="s">
        <v>933</v>
      </c>
      <c r="E453" s="11" t="s">
        <v>934</v>
      </c>
      <c r="F453" s="11" t="s">
        <v>1147</v>
      </c>
      <c r="G453" s="12" t="s">
        <v>55</v>
      </c>
      <c r="H453" s="19" t="s">
        <v>1148</v>
      </c>
      <c r="I453" s="12" t="s">
        <v>1149</v>
      </c>
      <c r="J453" s="10" t="s">
        <v>132</v>
      </c>
      <c r="K453" s="10" t="s">
        <v>41</v>
      </c>
      <c r="L453" s="10" t="s">
        <v>4</v>
      </c>
      <c r="M453" s="22">
        <v>45146.0</v>
      </c>
      <c r="N453" s="32" t="s">
        <v>1150</v>
      </c>
      <c r="O453" s="10" t="s">
        <v>1151</v>
      </c>
      <c r="P453" s="10" t="s">
        <v>992</v>
      </c>
      <c r="Q453" s="2"/>
      <c r="R453" s="10">
        <v>36.0</v>
      </c>
      <c r="S453" s="14">
        <v>45198.0</v>
      </c>
      <c r="T453" s="14">
        <v>46293.0</v>
      </c>
      <c r="U453" s="10">
        <f t="shared" si="23"/>
        <v>202</v>
      </c>
      <c r="V453" s="2"/>
      <c r="W453" s="15"/>
      <c r="X453" s="15"/>
      <c r="Y453" s="15"/>
      <c r="Z453" s="15"/>
      <c r="AA453" s="1"/>
      <c r="AB453" s="15"/>
      <c r="AC453" s="15"/>
      <c r="AD453" s="15"/>
      <c r="AE453" s="15"/>
      <c r="AF453" s="2"/>
      <c r="AG453" s="10" t="s">
        <v>354</v>
      </c>
      <c r="AH453" s="12" t="s">
        <v>355</v>
      </c>
      <c r="AI453" s="10" t="s">
        <v>941</v>
      </c>
      <c r="AJ453" s="12" t="s">
        <v>942</v>
      </c>
      <c r="AK453" s="16" t="s">
        <v>45</v>
      </c>
      <c r="AL453" s="10" t="s">
        <v>49</v>
      </c>
      <c r="AM453" s="16" t="s">
        <v>45</v>
      </c>
      <c r="AN453" s="10" t="s">
        <v>320</v>
      </c>
    </row>
    <row r="454" ht="30.0" customHeight="1">
      <c r="A454" s="9" t="str">
        <f t="shared" si="33"/>
        <v>Ativo</v>
      </c>
      <c r="B454" s="9" t="str">
        <f t="shared" si="34"/>
        <v>N/I</v>
      </c>
      <c r="C454" s="9" t="str">
        <f t="shared" si="35"/>
        <v>N/I</v>
      </c>
      <c r="D454" s="10" t="s">
        <v>933</v>
      </c>
      <c r="E454" s="11" t="s">
        <v>934</v>
      </c>
      <c r="F454" s="11" t="s">
        <v>1152</v>
      </c>
      <c r="G454" s="12" t="s">
        <v>55</v>
      </c>
      <c r="H454" s="34" t="s">
        <v>1153</v>
      </c>
      <c r="I454" s="12" t="s">
        <v>1154</v>
      </c>
      <c r="J454" s="10" t="s">
        <v>208</v>
      </c>
      <c r="K454" s="10" t="s">
        <v>209</v>
      </c>
      <c r="L454" s="10" t="s">
        <v>4</v>
      </c>
      <c r="M454" s="22">
        <v>45406.0</v>
      </c>
      <c r="N454" s="32" t="s">
        <v>1155</v>
      </c>
      <c r="O454" s="10" t="s">
        <v>1156</v>
      </c>
      <c r="P454" s="10" t="s">
        <v>940</v>
      </c>
      <c r="Q454" s="2"/>
      <c r="R454" s="10">
        <v>36.0</v>
      </c>
      <c r="S454" s="14">
        <v>45406.0</v>
      </c>
      <c r="T454" s="14">
        <v>46500.0</v>
      </c>
      <c r="U454" s="10">
        <f t="shared" si="23"/>
        <v>409</v>
      </c>
      <c r="V454" s="2"/>
      <c r="W454" s="15"/>
      <c r="X454" s="15"/>
      <c r="Y454" s="15"/>
      <c r="Z454" s="15"/>
      <c r="AA454" s="1"/>
      <c r="AB454" s="15"/>
      <c r="AC454" s="15"/>
      <c r="AD454" s="15"/>
      <c r="AE454" s="15"/>
      <c r="AF454" s="2"/>
      <c r="AG454" s="10" t="s">
        <v>354</v>
      </c>
      <c r="AH454" s="12" t="s">
        <v>355</v>
      </c>
      <c r="AI454" s="10" t="s">
        <v>941</v>
      </c>
      <c r="AJ454" s="12" t="s">
        <v>942</v>
      </c>
      <c r="AK454" s="16" t="s">
        <v>45</v>
      </c>
      <c r="AL454" s="10" t="s">
        <v>49</v>
      </c>
      <c r="AM454" s="16" t="s">
        <v>45</v>
      </c>
      <c r="AN454" s="10" t="s">
        <v>320</v>
      </c>
    </row>
    <row r="455" ht="30.0" customHeight="1">
      <c r="A455" s="9" t="str">
        <f t="shared" si="33"/>
        <v>Ativo</v>
      </c>
      <c r="B455" s="9" t="str">
        <f t="shared" si="34"/>
        <v>N/I</v>
      </c>
      <c r="C455" s="9" t="str">
        <f t="shared" si="35"/>
        <v>N/I</v>
      </c>
      <c r="D455" s="10" t="s">
        <v>933</v>
      </c>
      <c r="E455" s="11" t="s">
        <v>934</v>
      </c>
      <c r="F455" s="11" t="s">
        <v>1157</v>
      </c>
      <c r="G455" s="12" t="s">
        <v>55</v>
      </c>
      <c r="H455" s="34" t="s">
        <v>1158</v>
      </c>
      <c r="I455" s="12" t="s">
        <v>1159</v>
      </c>
      <c r="J455" s="10" t="s">
        <v>562</v>
      </c>
      <c r="K455" s="10" t="s">
        <v>190</v>
      </c>
      <c r="L455" s="10" t="s">
        <v>4</v>
      </c>
      <c r="M455" s="14">
        <v>45391.0</v>
      </c>
      <c r="N455" s="32" t="s">
        <v>1160</v>
      </c>
      <c r="O455" s="10" t="s">
        <v>1161</v>
      </c>
      <c r="P455" s="10" t="s">
        <v>940</v>
      </c>
      <c r="Q455" s="2"/>
      <c r="R455" s="10">
        <v>36.0</v>
      </c>
      <c r="S455" s="14">
        <v>45447.0</v>
      </c>
      <c r="T455" s="14">
        <v>46541.0</v>
      </c>
      <c r="U455" s="10">
        <f t="shared" si="23"/>
        <v>450</v>
      </c>
      <c r="V455" s="2"/>
      <c r="W455" s="15"/>
      <c r="X455" s="15"/>
      <c r="Y455" s="15"/>
      <c r="Z455" s="15"/>
      <c r="AA455" s="1"/>
      <c r="AB455" s="15"/>
      <c r="AC455" s="15"/>
      <c r="AD455" s="15"/>
      <c r="AE455" s="15"/>
      <c r="AF455" s="2"/>
      <c r="AG455" s="10" t="s">
        <v>354</v>
      </c>
      <c r="AH455" s="12" t="s">
        <v>355</v>
      </c>
      <c r="AI455" s="10" t="s">
        <v>941</v>
      </c>
      <c r="AJ455" s="12" t="s">
        <v>942</v>
      </c>
      <c r="AK455" s="16" t="s">
        <v>45</v>
      </c>
      <c r="AL455" s="10" t="s">
        <v>49</v>
      </c>
      <c r="AM455" s="16" t="s">
        <v>45</v>
      </c>
      <c r="AN455" s="10" t="s">
        <v>320</v>
      </c>
    </row>
    <row r="456" ht="30.0" customHeight="1">
      <c r="A456" s="9" t="str">
        <f t="shared" si="33"/>
        <v>Ativo</v>
      </c>
      <c r="B456" s="9" t="str">
        <f t="shared" si="34"/>
        <v>N/I</v>
      </c>
      <c r="C456" s="9" t="str">
        <f t="shared" si="35"/>
        <v>N/I</v>
      </c>
      <c r="D456" s="10" t="s">
        <v>933</v>
      </c>
      <c r="E456" s="11" t="s">
        <v>934</v>
      </c>
      <c r="F456" s="32" t="s">
        <v>1162</v>
      </c>
      <c r="G456" s="12" t="s">
        <v>55</v>
      </c>
      <c r="H456" s="34" t="s">
        <v>1163</v>
      </c>
      <c r="I456" s="12" t="s">
        <v>1164</v>
      </c>
      <c r="J456" s="10" t="s">
        <v>89</v>
      </c>
      <c r="K456" s="10" t="s">
        <v>41</v>
      </c>
      <c r="L456" s="10" t="s">
        <v>4</v>
      </c>
      <c r="M456" s="14">
        <v>45348.0</v>
      </c>
      <c r="N456" s="32" t="s">
        <v>1165</v>
      </c>
      <c r="O456" s="10" t="s">
        <v>972</v>
      </c>
      <c r="P456" s="10" t="s">
        <v>940</v>
      </c>
      <c r="Q456" s="2"/>
      <c r="R456" s="10">
        <v>36.0</v>
      </c>
      <c r="S456" s="14">
        <v>45433.0</v>
      </c>
      <c r="T456" s="14">
        <v>46527.0</v>
      </c>
      <c r="U456" s="10">
        <f t="shared" si="23"/>
        <v>436</v>
      </c>
      <c r="V456" s="2"/>
      <c r="W456" s="15"/>
      <c r="X456" s="15"/>
      <c r="Y456" s="15"/>
      <c r="Z456" s="15"/>
      <c r="AA456" s="1"/>
      <c r="AB456" s="15"/>
      <c r="AC456" s="15"/>
      <c r="AD456" s="15"/>
      <c r="AE456" s="15"/>
      <c r="AF456" s="2"/>
      <c r="AG456" s="10" t="s">
        <v>354</v>
      </c>
      <c r="AH456" s="12" t="s">
        <v>355</v>
      </c>
      <c r="AI456" s="10" t="s">
        <v>941</v>
      </c>
      <c r="AJ456" s="12" t="s">
        <v>942</v>
      </c>
      <c r="AK456" s="16" t="s">
        <v>45</v>
      </c>
      <c r="AL456" s="10" t="s">
        <v>49</v>
      </c>
      <c r="AM456" s="16" t="s">
        <v>45</v>
      </c>
      <c r="AN456" s="10" t="s">
        <v>320</v>
      </c>
    </row>
    <row r="457" ht="30.0" customHeight="1">
      <c r="A457" s="9" t="str">
        <f t="shared" si="33"/>
        <v>Ativo</v>
      </c>
      <c r="B457" s="9" t="str">
        <f t="shared" si="34"/>
        <v>N/I</v>
      </c>
      <c r="C457" s="9" t="str">
        <f t="shared" si="35"/>
        <v>N/I</v>
      </c>
      <c r="D457" s="10" t="s">
        <v>933</v>
      </c>
      <c r="E457" s="11" t="s">
        <v>934</v>
      </c>
      <c r="F457" s="11" t="s">
        <v>1166</v>
      </c>
      <c r="G457" s="12" t="s">
        <v>55</v>
      </c>
      <c r="H457" s="34" t="s">
        <v>1167</v>
      </c>
      <c r="I457" s="12" t="s">
        <v>1164</v>
      </c>
      <c r="J457" s="10" t="s">
        <v>89</v>
      </c>
      <c r="K457" s="10" t="s">
        <v>41</v>
      </c>
      <c r="L457" s="10" t="s">
        <v>4</v>
      </c>
      <c r="M457" s="14">
        <v>45348.0</v>
      </c>
      <c r="N457" s="32" t="s">
        <v>1165</v>
      </c>
      <c r="O457" s="10" t="s">
        <v>1168</v>
      </c>
      <c r="P457" s="10" t="s">
        <v>940</v>
      </c>
      <c r="Q457" s="2"/>
      <c r="R457" s="10">
        <v>36.0</v>
      </c>
      <c r="S457" s="14">
        <v>45433.0</v>
      </c>
      <c r="T457" s="14">
        <v>46527.0</v>
      </c>
      <c r="U457" s="10">
        <f t="shared" si="23"/>
        <v>436</v>
      </c>
      <c r="V457" s="2"/>
      <c r="W457" s="15"/>
      <c r="X457" s="15"/>
      <c r="Y457" s="15"/>
      <c r="Z457" s="15"/>
      <c r="AA457" s="1"/>
      <c r="AB457" s="15"/>
      <c r="AC457" s="15"/>
      <c r="AD457" s="15"/>
      <c r="AE457" s="15"/>
      <c r="AF457" s="2"/>
      <c r="AG457" s="10" t="s">
        <v>354</v>
      </c>
      <c r="AH457" s="12" t="s">
        <v>355</v>
      </c>
      <c r="AI457" s="10" t="s">
        <v>941</v>
      </c>
      <c r="AJ457" s="12" t="s">
        <v>942</v>
      </c>
      <c r="AK457" s="16" t="s">
        <v>45</v>
      </c>
      <c r="AL457" s="10" t="s">
        <v>49</v>
      </c>
      <c r="AM457" s="16" t="s">
        <v>45</v>
      </c>
      <c r="AN457" s="10" t="s">
        <v>320</v>
      </c>
    </row>
    <row r="458" ht="30.0" customHeight="1">
      <c r="A458" s="9" t="str">
        <f t="shared" si="33"/>
        <v>Ativo</v>
      </c>
      <c r="B458" s="9" t="str">
        <f t="shared" si="34"/>
        <v>N/I</v>
      </c>
      <c r="C458" s="9" t="str">
        <f t="shared" si="35"/>
        <v>N/I</v>
      </c>
      <c r="D458" s="10" t="s">
        <v>933</v>
      </c>
      <c r="E458" s="11" t="s">
        <v>934</v>
      </c>
      <c r="F458" s="11" t="s">
        <v>1142</v>
      </c>
      <c r="G458" s="12" t="s">
        <v>55</v>
      </c>
      <c r="H458" s="19" t="s">
        <v>1169</v>
      </c>
      <c r="I458" s="12" t="s">
        <v>1170</v>
      </c>
      <c r="J458" s="10" t="s">
        <v>132</v>
      </c>
      <c r="K458" s="10" t="s">
        <v>41</v>
      </c>
      <c r="L458" s="10" t="s">
        <v>4</v>
      </c>
      <c r="M458" s="22">
        <v>45145.0</v>
      </c>
      <c r="N458" s="32" t="s">
        <v>1171</v>
      </c>
      <c r="O458" s="10" t="s">
        <v>1172</v>
      </c>
      <c r="P458" s="10" t="s">
        <v>992</v>
      </c>
      <c r="Q458" s="2"/>
      <c r="R458" s="10">
        <v>36.0</v>
      </c>
      <c r="S458" s="14">
        <v>45198.0</v>
      </c>
      <c r="T458" s="14">
        <v>46293.0</v>
      </c>
      <c r="U458" s="10">
        <f t="shared" si="23"/>
        <v>202</v>
      </c>
      <c r="V458" s="2"/>
      <c r="W458" s="15"/>
      <c r="X458" s="15"/>
      <c r="Y458" s="15"/>
      <c r="Z458" s="15"/>
      <c r="AA458" s="1"/>
      <c r="AB458" s="15"/>
      <c r="AC458" s="15"/>
      <c r="AD458" s="15"/>
      <c r="AE458" s="15"/>
      <c r="AF458" s="2"/>
      <c r="AG458" s="10" t="s">
        <v>354</v>
      </c>
      <c r="AH458" s="12" t="s">
        <v>355</v>
      </c>
      <c r="AI458" s="10" t="s">
        <v>941</v>
      </c>
      <c r="AJ458" s="12" t="s">
        <v>942</v>
      </c>
      <c r="AK458" s="16" t="s">
        <v>45</v>
      </c>
      <c r="AL458" s="10" t="s">
        <v>49</v>
      </c>
      <c r="AM458" s="16" t="s">
        <v>45</v>
      </c>
      <c r="AN458" s="10" t="s">
        <v>320</v>
      </c>
    </row>
    <row r="459" ht="30.0" customHeight="1">
      <c r="A459" s="9" t="str">
        <f t="shared" si="33"/>
        <v>Ativo</v>
      </c>
      <c r="B459" s="9" t="str">
        <f t="shared" si="34"/>
        <v>N/I</v>
      </c>
      <c r="C459" s="9" t="str">
        <f t="shared" si="35"/>
        <v>N/I</v>
      </c>
      <c r="D459" s="10" t="s">
        <v>933</v>
      </c>
      <c r="E459" s="11" t="s">
        <v>1173</v>
      </c>
      <c r="F459" s="11" t="s">
        <v>1174</v>
      </c>
      <c r="G459" s="12" t="s">
        <v>55</v>
      </c>
      <c r="H459" s="19" t="s">
        <v>1175</v>
      </c>
      <c r="I459" s="12" t="s">
        <v>1176</v>
      </c>
      <c r="J459" s="10" t="s">
        <v>132</v>
      </c>
      <c r="K459" s="10" t="s">
        <v>41</v>
      </c>
      <c r="L459" s="10" t="s">
        <v>4</v>
      </c>
      <c r="M459" s="22">
        <v>45141.0</v>
      </c>
      <c r="N459" s="32" t="s">
        <v>1177</v>
      </c>
      <c r="O459" s="10" t="s">
        <v>1178</v>
      </c>
      <c r="P459" s="10" t="s">
        <v>992</v>
      </c>
      <c r="Q459" s="2"/>
      <c r="R459" s="10">
        <v>36.0</v>
      </c>
      <c r="S459" s="14">
        <v>45198.0</v>
      </c>
      <c r="T459" s="14">
        <v>46293.0</v>
      </c>
      <c r="U459" s="10">
        <f t="shared" si="23"/>
        <v>202</v>
      </c>
      <c r="V459" s="2"/>
      <c r="W459" s="15"/>
      <c r="X459" s="15"/>
      <c r="Y459" s="15"/>
      <c r="Z459" s="15"/>
      <c r="AA459" s="1"/>
      <c r="AB459" s="15"/>
      <c r="AC459" s="15"/>
      <c r="AD459" s="15"/>
      <c r="AE459" s="15"/>
      <c r="AF459" s="2"/>
      <c r="AG459" s="10" t="s">
        <v>354</v>
      </c>
      <c r="AH459" s="12" t="s">
        <v>355</v>
      </c>
      <c r="AI459" s="10" t="s">
        <v>941</v>
      </c>
      <c r="AJ459" s="12" t="s">
        <v>942</v>
      </c>
      <c r="AK459" s="16" t="s">
        <v>45</v>
      </c>
      <c r="AL459" s="10" t="s">
        <v>49</v>
      </c>
      <c r="AM459" s="10" t="s">
        <v>1179</v>
      </c>
      <c r="AN459" s="10" t="s">
        <v>320</v>
      </c>
    </row>
    <row r="460" ht="30.0" customHeight="1">
      <c r="A460" s="9" t="str">
        <f t="shared" si="33"/>
        <v>Ativo</v>
      </c>
      <c r="B460" s="9" t="str">
        <f t="shared" si="34"/>
        <v>N/I</v>
      </c>
      <c r="C460" s="9" t="str">
        <f t="shared" si="35"/>
        <v>N/I</v>
      </c>
      <c r="D460" s="10" t="s">
        <v>933</v>
      </c>
      <c r="E460" s="11" t="s">
        <v>934</v>
      </c>
      <c r="F460" s="11" t="s">
        <v>1180</v>
      </c>
      <c r="G460" s="12" t="s">
        <v>55</v>
      </c>
      <c r="H460" s="19" t="s">
        <v>1181</v>
      </c>
      <c r="I460" s="12" t="s">
        <v>1176</v>
      </c>
      <c r="J460" s="10" t="s">
        <v>132</v>
      </c>
      <c r="K460" s="10" t="s">
        <v>41</v>
      </c>
      <c r="L460" s="10" t="s">
        <v>4</v>
      </c>
      <c r="M460" s="22">
        <v>45141.0</v>
      </c>
      <c r="N460" s="32" t="s">
        <v>669</v>
      </c>
      <c r="O460" s="10" t="s">
        <v>1178</v>
      </c>
      <c r="P460" s="10" t="s">
        <v>992</v>
      </c>
      <c r="Q460" s="2"/>
      <c r="R460" s="10">
        <v>36.0</v>
      </c>
      <c r="S460" s="14">
        <v>45198.0</v>
      </c>
      <c r="T460" s="14">
        <v>46293.0</v>
      </c>
      <c r="U460" s="10">
        <f t="shared" si="23"/>
        <v>202</v>
      </c>
      <c r="V460" s="2"/>
      <c r="W460" s="15"/>
      <c r="X460" s="15"/>
      <c r="Y460" s="15"/>
      <c r="Z460" s="15"/>
      <c r="AA460" s="1"/>
      <c r="AB460" s="15"/>
      <c r="AC460" s="15"/>
      <c r="AD460" s="15"/>
      <c r="AE460" s="15"/>
      <c r="AF460" s="2"/>
      <c r="AG460" s="10" t="s">
        <v>354</v>
      </c>
      <c r="AH460" s="12" t="s">
        <v>355</v>
      </c>
      <c r="AI460" s="10" t="s">
        <v>941</v>
      </c>
      <c r="AJ460" s="12" t="s">
        <v>942</v>
      </c>
      <c r="AK460" s="16" t="s">
        <v>45</v>
      </c>
      <c r="AL460" s="10" t="s">
        <v>49</v>
      </c>
      <c r="AM460" s="16" t="s">
        <v>45</v>
      </c>
      <c r="AN460" s="10" t="s">
        <v>320</v>
      </c>
    </row>
    <row r="461" ht="30.0" customHeight="1">
      <c r="A461" s="9" t="str">
        <f t="shared" si="33"/>
        <v>Ativo</v>
      </c>
      <c r="B461" s="9" t="str">
        <f t="shared" si="34"/>
        <v>N/I</v>
      </c>
      <c r="C461" s="9" t="str">
        <f t="shared" si="35"/>
        <v>N/I</v>
      </c>
      <c r="D461" s="10" t="s">
        <v>933</v>
      </c>
      <c r="E461" s="11" t="s">
        <v>934</v>
      </c>
      <c r="F461" s="11" t="s">
        <v>1182</v>
      </c>
      <c r="G461" s="12" t="s">
        <v>55</v>
      </c>
      <c r="H461" s="34" t="s">
        <v>1183</v>
      </c>
      <c r="I461" s="12" t="s">
        <v>1184</v>
      </c>
      <c r="J461" s="10" t="s">
        <v>189</v>
      </c>
      <c r="K461" s="10" t="s">
        <v>190</v>
      </c>
      <c r="L461" s="10" t="s">
        <v>4</v>
      </c>
      <c r="M461" s="22">
        <v>45562.0</v>
      </c>
      <c r="N461" s="32" t="s">
        <v>1185</v>
      </c>
      <c r="O461" s="10" t="s">
        <v>1186</v>
      </c>
      <c r="P461" s="10" t="s">
        <v>940</v>
      </c>
      <c r="Q461" s="2"/>
      <c r="R461" s="10">
        <v>36.0</v>
      </c>
      <c r="S461" s="14">
        <v>45562.0</v>
      </c>
      <c r="T461" s="14">
        <v>46656.0</v>
      </c>
      <c r="U461" s="10">
        <f t="shared" si="23"/>
        <v>565</v>
      </c>
      <c r="V461" s="2"/>
      <c r="W461" s="15"/>
      <c r="X461" s="15"/>
      <c r="Y461" s="15"/>
      <c r="Z461" s="15"/>
      <c r="AA461" s="1"/>
      <c r="AB461" s="15"/>
      <c r="AC461" s="15"/>
      <c r="AD461" s="15"/>
      <c r="AE461" s="15"/>
      <c r="AF461" s="2"/>
      <c r="AG461" s="10" t="s">
        <v>354</v>
      </c>
      <c r="AH461" s="12" t="s">
        <v>355</v>
      </c>
      <c r="AI461" s="10" t="s">
        <v>941</v>
      </c>
      <c r="AJ461" s="12" t="s">
        <v>942</v>
      </c>
      <c r="AK461" s="16" t="s">
        <v>45</v>
      </c>
      <c r="AL461" s="10" t="s">
        <v>49</v>
      </c>
      <c r="AM461" s="16" t="s">
        <v>45</v>
      </c>
      <c r="AN461" s="10" t="s">
        <v>320</v>
      </c>
    </row>
    <row r="462" ht="30.0" customHeight="1">
      <c r="A462" s="9" t="str">
        <f t="shared" si="33"/>
        <v>Ativo</v>
      </c>
      <c r="B462" s="9" t="str">
        <f t="shared" si="34"/>
        <v>N/I</v>
      </c>
      <c r="C462" s="9" t="str">
        <f t="shared" si="35"/>
        <v>N/I</v>
      </c>
      <c r="D462" s="10" t="s">
        <v>933</v>
      </c>
      <c r="E462" s="11" t="s">
        <v>934</v>
      </c>
      <c r="F462" s="11" t="s">
        <v>1187</v>
      </c>
      <c r="G462" s="12" t="s">
        <v>55</v>
      </c>
      <c r="H462" s="34" t="s">
        <v>1188</v>
      </c>
      <c r="I462" s="12" t="s">
        <v>70</v>
      </c>
      <c r="J462" s="10" t="s">
        <v>63</v>
      </c>
      <c r="K462" s="10" t="s">
        <v>41</v>
      </c>
      <c r="L462" s="10" t="s">
        <v>4</v>
      </c>
      <c r="M462" s="22">
        <v>45247.0</v>
      </c>
      <c r="N462" s="32" t="s">
        <v>1189</v>
      </c>
      <c r="O462" s="10" t="s">
        <v>1190</v>
      </c>
      <c r="P462" s="10" t="s">
        <v>940</v>
      </c>
      <c r="Q462" s="2"/>
      <c r="R462" s="10">
        <v>36.0</v>
      </c>
      <c r="S462" s="14">
        <v>45282.0</v>
      </c>
      <c r="T462" s="14">
        <v>46377.0</v>
      </c>
      <c r="U462" s="10">
        <f t="shared" si="23"/>
        <v>286</v>
      </c>
      <c r="V462" s="2"/>
      <c r="W462" s="15"/>
      <c r="X462" s="15"/>
      <c r="Y462" s="15"/>
      <c r="Z462" s="15"/>
      <c r="AA462" s="1"/>
      <c r="AB462" s="15"/>
      <c r="AC462" s="15"/>
      <c r="AD462" s="15"/>
      <c r="AE462" s="15"/>
      <c r="AF462" s="2"/>
      <c r="AG462" s="10" t="s">
        <v>354</v>
      </c>
      <c r="AH462" s="12" t="s">
        <v>355</v>
      </c>
      <c r="AI462" s="10" t="s">
        <v>941</v>
      </c>
      <c r="AJ462" s="12" t="s">
        <v>942</v>
      </c>
      <c r="AK462" s="16" t="s">
        <v>45</v>
      </c>
      <c r="AL462" s="10" t="s">
        <v>49</v>
      </c>
      <c r="AM462" s="16" t="s">
        <v>45</v>
      </c>
      <c r="AN462" s="10" t="s">
        <v>320</v>
      </c>
    </row>
    <row r="463" ht="30.0" customHeight="1">
      <c r="A463" s="9" t="str">
        <f t="shared" si="33"/>
        <v>Ativo</v>
      </c>
      <c r="B463" s="9" t="str">
        <f t="shared" si="34"/>
        <v>N/I</v>
      </c>
      <c r="C463" s="9" t="str">
        <f t="shared" si="35"/>
        <v>N/I</v>
      </c>
      <c r="D463" s="10" t="s">
        <v>933</v>
      </c>
      <c r="E463" s="11" t="s">
        <v>934</v>
      </c>
      <c r="F463" s="11" t="s">
        <v>1191</v>
      </c>
      <c r="G463" s="12" t="s">
        <v>55</v>
      </c>
      <c r="H463" s="34" t="s">
        <v>1192</v>
      </c>
      <c r="I463" s="12" t="s">
        <v>88</v>
      </c>
      <c r="J463" s="10" t="s">
        <v>89</v>
      </c>
      <c r="K463" s="10" t="s">
        <v>41</v>
      </c>
      <c r="L463" s="10" t="s">
        <v>4</v>
      </c>
      <c r="M463" s="14">
        <v>45411.0</v>
      </c>
      <c r="N463" s="32" t="s">
        <v>1193</v>
      </c>
      <c r="O463" s="10" t="s">
        <v>1194</v>
      </c>
      <c r="P463" s="10" t="s">
        <v>940</v>
      </c>
      <c r="Q463" s="2"/>
      <c r="R463" s="10">
        <v>36.0</v>
      </c>
      <c r="S463" s="14">
        <v>45433.0</v>
      </c>
      <c r="T463" s="14">
        <v>46527.0</v>
      </c>
      <c r="U463" s="10">
        <f t="shared" si="23"/>
        <v>436</v>
      </c>
      <c r="V463" s="2"/>
      <c r="W463" s="15"/>
      <c r="X463" s="15"/>
      <c r="Y463" s="15"/>
      <c r="Z463" s="15"/>
      <c r="AA463" s="1"/>
      <c r="AB463" s="15"/>
      <c r="AC463" s="15"/>
      <c r="AD463" s="15"/>
      <c r="AE463" s="15"/>
      <c r="AF463" s="2"/>
      <c r="AG463" s="10" t="s">
        <v>354</v>
      </c>
      <c r="AH463" s="12" t="s">
        <v>355</v>
      </c>
      <c r="AI463" s="10" t="s">
        <v>941</v>
      </c>
      <c r="AJ463" s="12" t="s">
        <v>942</v>
      </c>
      <c r="AK463" s="16" t="s">
        <v>45</v>
      </c>
      <c r="AL463" s="10" t="s">
        <v>49</v>
      </c>
      <c r="AM463" s="16" t="s">
        <v>45</v>
      </c>
      <c r="AN463" s="10" t="s">
        <v>320</v>
      </c>
    </row>
    <row r="464" ht="30.0" customHeight="1">
      <c r="A464" s="9" t="str">
        <f t="shared" si="33"/>
        <v>Ativo</v>
      </c>
      <c r="B464" s="9" t="str">
        <f t="shared" si="34"/>
        <v>N/I</v>
      </c>
      <c r="C464" s="9" t="str">
        <f t="shared" si="35"/>
        <v>N/I</v>
      </c>
      <c r="D464" s="10" t="s">
        <v>933</v>
      </c>
      <c r="E464" s="11" t="s">
        <v>934</v>
      </c>
      <c r="F464" s="11" t="s">
        <v>1195</v>
      </c>
      <c r="G464" s="12" t="s">
        <v>55</v>
      </c>
      <c r="H464" s="34" t="s">
        <v>1196</v>
      </c>
      <c r="I464" s="12" t="s">
        <v>1197</v>
      </c>
      <c r="J464" s="10" t="s">
        <v>521</v>
      </c>
      <c r="K464" s="10" t="s">
        <v>263</v>
      </c>
      <c r="L464" s="10" t="s">
        <v>4</v>
      </c>
      <c r="M464" s="22">
        <v>45628.0</v>
      </c>
      <c r="N464" s="32" t="s">
        <v>1198</v>
      </c>
      <c r="O464" s="10" t="s">
        <v>1199</v>
      </c>
      <c r="P464" s="10" t="s">
        <v>940</v>
      </c>
      <c r="Q464" s="2"/>
      <c r="R464" s="10">
        <v>36.0</v>
      </c>
      <c r="S464" s="14">
        <v>45648.0</v>
      </c>
      <c r="T464" s="14">
        <v>46742.0</v>
      </c>
      <c r="U464" s="10">
        <f t="shared" si="23"/>
        <v>651</v>
      </c>
      <c r="V464" s="2"/>
      <c r="W464" s="15"/>
      <c r="X464" s="15"/>
      <c r="Y464" s="15"/>
      <c r="Z464" s="15"/>
      <c r="AA464" s="1"/>
      <c r="AB464" s="15"/>
      <c r="AC464" s="15"/>
      <c r="AD464" s="15"/>
      <c r="AE464" s="15"/>
      <c r="AF464" s="2"/>
      <c r="AG464" s="10" t="s">
        <v>354</v>
      </c>
      <c r="AH464" s="12" t="s">
        <v>355</v>
      </c>
      <c r="AI464" s="10" t="s">
        <v>941</v>
      </c>
      <c r="AJ464" s="12" t="s">
        <v>942</v>
      </c>
      <c r="AK464" s="16" t="s">
        <v>45</v>
      </c>
      <c r="AL464" s="10" t="s">
        <v>49</v>
      </c>
      <c r="AM464" s="16" t="s">
        <v>45</v>
      </c>
      <c r="AN464" s="10" t="s">
        <v>320</v>
      </c>
    </row>
    <row r="465" ht="30.0" customHeight="1">
      <c r="A465" s="9" t="str">
        <f t="shared" si="33"/>
        <v>Ativo</v>
      </c>
      <c r="B465" s="9" t="str">
        <f t="shared" si="34"/>
        <v>N/I</v>
      </c>
      <c r="C465" s="9" t="str">
        <f t="shared" si="35"/>
        <v>N/I</v>
      </c>
      <c r="D465" s="10" t="s">
        <v>933</v>
      </c>
      <c r="E465" s="11" t="s">
        <v>934</v>
      </c>
      <c r="F465" s="11" t="s">
        <v>1200</v>
      </c>
      <c r="G465" s="12" t="s">
        <v>55</v>
      </c>
      <c r="H465" s="34" t="s">
        <v>1201</v>
      </c>
      <c r="I465" s="12" t="s">
        <v>1202</v>
      </c>
      <c r="J465" s="10" t="s">
        <v>132</v>
      </c>
      <c r="K465" s="10" t="s">
        <v>41</v>
      </c>
      <c r="L465" s="10" t="s">
        <v>4</v>
      </c>
      <c r="M465" s="22">
        <v>45238.0</v>
      </c>
      <c r="N465" s="32" t="s">
        <v>1203</v>
      </c>
      <c r="O465" s="10" t="s">
        <v>1204</v>
      </c>
      <c r="P465" s="10" t="s">
        <v>940</v>
      </c>
      <c r="Q465" s="2"/>
      <c r="R465" s="10">
        <v>36.0</v>
      </c>
      <c r="S465" s="14">
        <v>45272.0</v>
      </c>
      <c r="T465" s="14">
        <v>46367.0</v>
      </c>
      <c r="U465" s="10">
        <f t="shared" si="23"/>
        <v>276</v>
      </c>
      <c r="V465" s="2"/>
      <c r="W465" s="15"/>
      <c r="X465" s="15"/>
      <c r="Y465" s="15"/>
      <c r="Z465" s="15"/>
      <c r="AA465" s="1"/>
      <c r="AB465" s="15"/>
      <c r="AC465" s="15"/>
      <c r="AD465" s="15"/>
      <c r="AE465" s="15"/>
      <c r="AF465" s="2"/>
      <c r="AG465" s="10" t="s">
        <v>354</v>
      </c>
      <c r="AH465" s="12" t="s">
        <v>355</v>
      </c>
      <c r="AI465" s="10" t="s">
        <v>941</v>
      </c>
      <c r="AJ465" s="12" t="s">
        <v>942</v>
      </c>
      <c r="AK465" s="16" t="s">
        <v>45</v>
      </c>
      <c r="AL465" s="10" t="s">
        <v>49</v>
      </c>
      <c r="AM465" s="16" t="s">
        <v>45</v>
      </c>
      <c r="AN465" s="10" t="s">
        <v>320</v>
      </c>
    </row>
    <row r="466" ht="30.0" customHeight="1">
      <c r="A466" s="9" t="str">
        <f>IF(U467&lt;0,"Inativo",IF(U467&gt;0,"Ativo","N/I"))</f>
        <v>Ativo</v>
      </c>
      <c r="B466" s="9" t="str">
        <f>IF(Z467&lt;0,"Inativo",IF(Z467&gt;0,"Ativo","N/I"))</f>
        <v>N/I</v>
      </c>
      <c r="C466" s="9" t="str">
        <f>IF(AE467&lt;0,"Inativo",IF(AE467&gt;0,"Ativo","N/I"))</f>
        <v>N/I</v>
      </c>
      <c r="D466" s="10" t="s">
        <v>933</v>
      </c>
      <c r="E466" s="11" t="s">
        <v>934</v>
      </c>
      <c r="F466" s="11" t="s">
        <v>1205</v>
      </c>
      <c r="G466" s="12" t="s">
        <v>55</v>
      </c>
      <c r="H466" s="34" t="s">
        <v>1206</v>
      </c>
      <c r="I466" s="12" t="s">
        <v>1207</v>
      </c>
      <c r="J466" s="10" t="s">
        <v>234</v>
      </c>
      <c r="K466" s="10" t="s">
        <v>40</v>
      </c>
      <c r="L466" s="10" t="s">
        <v>4</v>
      </c>
      <c r="M466" s="14">
        <v>45420.0</v>
      </c>
      <c r="N466" s="11" t="s">
        <v>1208</v>
      </c>
      <c r="O466" s="10" t="s">
        <v>1209</v>
      </c>
      <c r="P466" s="10" t="s">
        <v>940</v>
      </c>
      <c r="Q466" s="2"/>
      <c r="R466" s="10">
        <v>36.0</v>
      </c>
      <c r="S466" s="14">
        <v>45461.0</v>
      </c>
      <c r="T466" s="14">
        <v>46555.0</v>
      </c>
      <c r="U466" s="10">
        <f t="shared" si="23"/>
        <v>464</v>
      </c>
      <c r="V466" s="2"/>
      <c r="W466" s="15"/>
      <c r="X466" s="15"/>
      <c r="Y466" s="15"/>
      <c r="Z466" s="15"/>
      <c r="AA466" s="1"/>
      <c r="AB466" s="15"/>
      <c r="AC466" s="15"/>
      <c r="AD466" s="15"/>
      <c r="AE466" s="15"/>
      <c r="AF466" s="2"/>
      <c r="AG466" s="10" t="s">
        <v>354</v>
      </c>
      <c r="AH466" s="12" t="s">
        <v>355</v>
      </c>
      <c r="AI466" s="10" t="s">
        <v>941</v>
      </c>
      <c r="AJ466" s="12" t="s">
        <v>942</v>
      </c>
      <c r="AK466" s="16" t="s">
        <v>45</v>
      </c>
      <c r="AL466" s="10" t="s">
        <v>49</v>
      </c>
      <c r="AM466" s="16" t="s">
        <v>45</v>
      </c>
      <c r="AN466" s="10" t="s">
        <v>320</v>
      </c>
    </row>
    <row r="467" ht="30.0" customHeight="1">
      <c r="A467" s="9" t="str">
        <f t="shared" ref="A467:A493" si="36">IF(U467&lt;0,"Inativo",IF(U467&gt;0,"Ativo","N/I"))</f>
        <v>Ativo</v>
      </c>
      <c r="B467" s="9" t="str">
        <f t="shared" ref="B467:B493" si="37">IF(Z467&lt;0,"Inativo",IF(Z467&gt;0,"Ativo","N/I"))</f>
        <v>N/I</v>
      </c>
      <c r="C467" s="9" t="str">
        <f t="shared" ref="C467:C493" si="38">IF(AE467&lt;0,"Inativo",IF(AE467&gt;0,"Ativo","N/I"))</f>
        <v>N/I</v>
      </c>
      <c r="D467" s="10" t="s">
        <v>933</v>
      </c>
      <c r="E467" s="11" t="s">
        <v>934</v>
      </c>
      <c r="F467" s="11" t="s">
        <v>1210</v>
      </c>
      <c r="G467" s="12" t="s">
        <v>55</v>
      </c>
      <c r="H467" s="34" t="s">
        <v>1211</v>
      </c>
      <c r="I467" s="12" t="s">
        <v>1212</v>
      </c>
      <c r="J467" s="10" t="s">
        <v>1097</v>
      </c>
      <c r="K467" s="10" t="s">
        <v>190</v>
      </c>
      <c r="L467" s="10" t="s">
        <v>4</v>
      </c>
      <c r="M467" s="22">
        <v>45244.0</v>
      </c>
      <c r="N467" s="32" t="s">
        <v>1213</v>
      </c>
      <c r="O467" s="10" t="s">
        <v>1214</v>
      </c>
      <c r="P467" s="10" t="s">
        <v>940</v>
      </c>
      <c r="Q467" s="2"/>
      <c r="R467" s="10">
        <v>36.0</v>
      </c>
      <c r="S467" s="14">
        <v>45327.0</v>
      </c>
      <c r="T467" s="14">
        <v>46422.0</v>
      </c>
      <c r="U467" s="10">
        <f t="shared" si="23"/>
        <v>331</v>
      </c>
      <c r="V467" s="2"/>
      <c r="W467" s="15"/>
      <c r="X467" s="15"/>
      <c r="Y467" s="15"/>
      <c r="Z467" s="15"/>
      <c r="AA467" s="1"/>
      <c r="AB467" s="15"/>
      <c r="AC467" s="15"/>
      <c r="AD467" s="15"/>
      <c r="AE467" s="15"/>
      <c r="AF467" s="2"/>
      <c r="AG467" s="10" t="s">
        <v>354</v>
      </c>
      <c r="AH467" s="12" t="s">
        <v>355</v>
      </c>
      <c r="AI467" s="10" t="s">
        <v>941</v>
      </c>
      <c r="AJ467" s="12" t="s">
        <v>942</v>
      </c>
      <c r="AK467" s="16" t="s">
        <v>45</v>
      </c>
      <c r="AL467" s="10" t="s">
        <v>49</v>
      </c>
      <c r="AM467" s="16" t="s">
        <v>45</v>
      </c>
      <c r="AN467" s="10" t="s">
        <v>320</v>
      </c>
    </row>
    <row r="468" ht="30.0" customHeight="1">
      <c r="A468" s="9" t="str">
        <f t="shared" si="36"/>
        <v>Ativo</v>
      </c>
      <c r="B468" s="9" t="str">
        <f t="shared" si="37"/>
        <v>N/I</v>
      </c>
      <c r="C468" s="9" t="str">
        <f t="shared" si="38"/>
        <v>N/I</v>
      </c>
      <c r="D468" s="10" t="s">
        <v>933</v>
      </c>
      <c r="E468" s="11" t="s">
        <v>934</v>
      </c>
      <c r="F468" s="11" t="s">
        <v>1215</v>
      </c>
      <c r="G468" s="12" t="s">
        <v>55</v>
      </c>
      <c r="H468" s="19" t="s">
        <v>1216</v>
      </c>
      <c r="I468" s="12" t="s">
        <v>836</v>
      </c>
      <c r="J468" s="10" t="s">
        <v>837</v>
      </c>
      <c r="K468" s="10" t="s">
        <v>209</v>
      </c>
      <c r="L468" s="10" t="s">
        <v>4</v>
      </c>
      <c r="M468" s="22">
        <v>45146.0</v>
      </c>
      <c r="N468" s="32" t="s">
        <v>1217</v>
      </c>
      <c r="O468" s="10" t="s">
        <v>1218</v>
      </c>
      <c r="P468" s="10" t="s">
        <v>992</v>
      </c>
      <c r="Q468" s="2"/>
      <c r="R468" s="10">
        <v>36.0</v>
      </c>
      <c r="S468" s="14">
        <v>45198.0</v>
      </c>
      <c r="T468" s="14">
        <v>46293.0</v>
      </c>
      <c r="U468" s="10">
        <f t="shared" si="23"/>
        <v>202</v>
      </c>
      <c r="V468" s="2"/>
      <c r="W468" s="15"/>
      <c r="X468" s="15"/>
      <c r="Y468" s="15"/>
      <c r="Z468" s="15"/>
      <c r="AA468" s="1"/>
      <c r="AB468" s="15"/>
      <c r="AC468" s="15"/>
      <c r="AD468" s="15"/>
      <c r="AE468" s="15"/>
      <c r="AF468" s="2"/>
      <c r="AG468" s="10" t="s">
        <v>354</v>
      </c>
      <c r="AH468" s="12" t="s">
        <v>355</v>
      </c>
      <c r="AI468" s="10" t="s">
        <v>941</v>
      </c>
      <c r="AJ468" s="12" t="s">
        <v>942</v>
      </c>
      <c r="AK468" s="16" t="s">
        <v>45</v>
      </c>
      <c r="AL468" s="10" t="s">
        <v>49</v>
      </c>
      <c r="AM468" s="16" t="s">
        <v>45</v>
      </c>
      <c r="AN468" s="10" t="s">
        <v>320</v>
      </c>
    </row>
    <row r="469" ht="30.0" customHeight="1">
      <c r="A469" s="9" t="str">
        <f t="shared" si="36"/>
        <v>Ativo</v>
      </c>
      <c r="B469" s="9" t="str">
        <f t="shared" si="37"/>
        <v>N/I</v>
      </c>
      <c r="C469" s="9" t="str">
        <f t="shared" si="38"/>
        <v>N/I</v>
      </c>
      <c r="D469" s="10" t="s">
        <v>933</v>
      </c>
      <c r="E469" s="11" t="s">
        <v>934</v>
      </c>
      <c r="F469" s="11" t="s">
        <v>1219</v>
      </c>
      <c r="G469" s="12" t="s">
        <v>55</v>
      </c>
      <c r="H469" s="19" t="s">
        <v>1220</v>
      </c>
      <c r="I469" s="12" t="s">
        <v>836</v>
      </c>
      <c r="J469" s="10" t="s">
        <v>837</v>
      </c>
      <c r="K469" s="10" t="s">
        <v>209</v>
      </c>
      <c r="L469" s="10" t="s">
        <v>4</v>
      </c>
      <c r="M469" s="22">
        <v>45147.0</v>
      </c>
      <c r="N469" s="32" t="s">
        <v>1221</v>
      </c>
      <c r="O469" s="10" t="s">
        <v>1222</v>
      </c>
      <c r="P469" s="10" t="s">
        <v>992</v>
      </c>
      <c r="Q469" s="2"/>
      <c r="R469" s="10">
        <v>36.0</v>
      </c>
      <c r="S469" s="14">
        <v>45198.0</v>
      </c>
      <c r="T469" s="14">
        <v>46293.0</v>
      </c>
      <c r="U469" s="10">
        <f t="shared" si="23"/>
        <v>202</v>
      </c>
      <c r="V469" s="2"/>
      <c r="W469" s="15"/>
      <c r="X469" s="15"/>
      <c r="Y469" s="15"/>
      <c r="Z469" s="15"/>
      <c r="AA469" s="1"/>
      <c r="AB469" s="15"/>
      <c r="AC469" s="15"/>
      <c r="AD469" s="15"/>
      <c r="AE469" s="15"/>
      <c r="AF469" s="2"/>
      <c r="AG469" s="10" t="s">
        <v>354</v>
      </c>
      <c r="AH469" s="12" t="s">
        <v>355</v>
      </c>
      <c r="AI469" s="10" t="s">
        <v>941</v>
      </c>
      <c r="AJ469" s="12" t="s">
        <v>942</v>
      </c>
      <c r="AK469" s="16" t="s">
        <v>45</v>
      </c>
      <c r="AL469" s="10" t="s">
        <v>49</v>
      </c>
      <c r="AM469" s="16" t="s">
        <v>45</v>
      </c>
      <c r="AN469" s="10" t="s">
        <v>320</v>
      </c>
    </row>
    <row r="470" ht="30.0" customHeight="1">
      <c r="A470" s="9" t="str">
        <f t="shared" si="36"/>
        <v>Ativo</v>
      </c>
      <c r="B470" s="9" t="str">
        <f t="shared" si="37"/>
        <v>N/I</v>
      </c>
      <c r="C470" s="9" t="str">
        <f t="shared" si="38"/>
        <v>N/I</v>
      </c>
      <c r="D470" s="10" t="s">
        <v>933</v>
      </c>
      <c r="E470" s="11" t="s">
        <v>934</v>
      </c>
      <c r="F470" s="11" t="s">
        <v>1223</v>
      </c>
      <c r="G470" s="12" t="s">
        <v>55</v>
      </c>
      <c r="H470" s="19" t="s">
        <v>1224</v>
      </c>
      <c r="I470" s="12" t="s">
        <v>836</v>
      </c>
      <c r="J470" s="10" t="s">
        <v>837</v>
      </c>
      <c r="K470" s="10" t="s">
        <v>209</v>
      </c>
      <c r="L470" s="10" t="s">
        <v>4</v>
      </c>
      <c r="M470" s="22">
        <v>45149.0</v>
      </c>
      <c r="N470" s="32" t="s">
        <v>1221</v>
      </c>
      <c r="O470" s="10" t="s">
        <v>1222</v>
      </c>
      <c r="P470" s="10" t="s">
        <v>992</v>
      </c>
      <c r="Q470" s="2"/>
      <c r="R470" s="10">
        <v>36.0</v>
      </c>
      <c r="S470" s="14">
        <v>45198.0</v>
      </c>
      <c r="T470" s="14">
        <v>46293.0</v>
      </c>
      <c r="U470" s="10">
        <f t="shared" si="23"/>
        <v>202</v>
      </c>
      <c r="V470" s="2"/>
      <c r="W470" s="15"/>
      <c r="X470" s="15"/>
      <c r="Y470" s="15"/>
      <c r="Z470" s="15"/>
      <c r="AA470" s="1"/>
      <c r="AB470" s="15"/>
      <c r="AC470" s="15"/>
      <c r="AD470" s="15"/>
      <c r="AE470" s="15"/>
      <c r="AF470" s="2"/>
      <c r="AG470" s="10" t="s">
        <v>354</v>
      </c>
      <c r="AH470" s="12" t="s">
        <v>355</v>
      </c>
      <c r="AI470" s="10" t="s">
        <v>941</v>
      </c>
      <c r="AJ470" s="12" t="s">
        <v>942</v>
      </c>
      <c r="AK470" s="16" t="s">
        <v>45</v>
      </c>
      <c r="AL470" s="10" t="s">
        <v>49</v>
      </c>
      <c r="AM470" s="16" t="s">
        <v>45</v>
      </c>
      <c r="AN470" s="10" t="s">
        <v>320</v>
      </c>
    </row>
    <row r="471" ht="30.0" customHeight="1">
      <c r="A471" s="9" t="str">
        <f t="shared" si="36"/>
        <v>Ativo</v>
      </c>
      <c r="B471" s="9" t="str">
        <f t="shared" si="37"/>
        <v>N/I</v>
      </c>
      <c r="C471" s="9" t="str">
        <f t="shared" si="38"/>
        <v>N/I</v>
      </c>
      <c r="D471" s="10" t="s">
        <v>933</v>
      </c>
      <c r="E471" s="11" t="s">
        <v>934</v>
      </c>
      <c r="F471" s="11" t="s">
        <v>1225</v>
      </c>
      <c r="G471" s="12" t="s">
        <v>55</v>
      </c>
      <c r="H471" s="19" t="s">
        <v>1226</v>
      </c>
      <c r="I471" s="12" t="s">
        <v>836</v>
      </c>
      <c r="J471" s="10" t="s">
        <v>837</v>
      </c>
      <c r="K471" s="10" t="s">
        <v>209</v>
      </c>
      <c r="L471" s="10" t="s">
        <v>4</v>
      </c>
      <c r="M471" s="22">
        <v>45149.0</v>
      </c>
      <c r="N471" s="32" t="s">
        <v>1221</v>
      </c>
      <c r="O471" s="10" t="s">
        <v>1222</v>
      </c>
      <c r="P471" s="10" t="s">
        <v>992</v>
      </c>
      <c r="Q471" s="2"/>
      <c r="R471" s="10">
        <v>36.0</v>
      </c>
      <c r="S471" s="14">
        <v>45198.0</v>
      </c>
      <c r="T471" s="14">
        <v>46293.0</v>
      </c>
      <c r="U471" s="10">
        <f t="shared" si="23"/>
        <v>202</v>
      </c>
      <c r="V471" s="2"/>
      <c r="W471" s="15"/>
      <c r="X471" s="15"/>
      <c r="Y471" s="15"/>
      <c r="Z471" s="15"/>
      <c r="AA471" s="1"/>
      <c r="AB471" s="15"/>
      <c r="AC471" s="15"/>
      <c r="AD471" s="15"/>
      <c r="AE471" s="15"/>
      <c r="AF471" s="2"/>
      <c r="AG471" s="10" t="s">
        <v>354</v>
      </c>
      <c r="AH471" s="12" t="s">
        <v>355</v>
      </c>
      <c r="AI471" s="10" t="s">
        <v>941</v>
      </c>
      <c r="AJ471" s="12" t="s">
        <v>942</v>
      </c>
      <c r="AK471" s="16" t="s">
        <v>45</v>
      </c>
      <c r="AL471" s="10" t="s">
        <v>49</v>
      </c>
      <c r="AM471" s="16" t="s">
        <v>45</v>
      </c>
      <c r="AN471" s="10" t="s">
        <v>320</v>
      </c>
    </row>
    <row r="472" ht="30.0" customHeight="1">
      <c r="A472" s="9" t="str">
        <f t="shared" si="36"/>
        <v>Ativo</v>
      </c>
      <c r="B472" s="9" t="str">
        <f t="shared" si="37"/>
        <v>N/I</v>
      </c>
      <c r="C472" s="9" t="str">
        <f t="shared" si="38"/>
        <v>N/I</v>
      </c>
      <c r="D472" s="10" t="s">
        <v>933</v>
      </c>
      <c r="E472" s="11" t="s">
        <v>934</v>
      </c>
      <c r="F472" s="32" t="s">
        <v>1227</v>
      </c>
      <c r="G472" s="12" t="s">
        <v>55</v>
      </c>
      <c r="H472" s="34" t="s">
        <v>1228</v>
      </c>
      <c r="I472" s="12" t="s">
        <v>836</v>
      </c>
      <c r="J472" s="10" t="s">
        <v>837</v>
      </c>
      <c r="K472" s="10" t="s">
        <v>209</v>
      </c>
      <c r="L472" s="10" t="s">
        <v>4</v>
      </c>
      <c r="M472" s="14">
        <v>45322.0</v>
      </c>
      <c r="N472" s="11" t="s">
        <v>1229</v>
      </c>
      <c r="O472" s="10" t="s">
        <v>1230</v>
      </c>
      <c r="P472" s="10" t="s">
        <v>940</v>
      </c>
      <c r="Q472" s="2"/>
      <c r="R472" s="10">
        <v>36.0</v>
      </c>
      <c r="S472" s="14">
        <v>45322.0</v>
      </c>
      <c r="T472" s="14">
        <v>46417.0</v>
      </c>
      <c r="U472" s="10">
        <f t="shared" si="23"/>
        <v>326</v>
      </c>
      <c r="V472" s="2"/>
      <c r="W472" s="15"/>
      <c r="X472" s="15"/>
      <c r="Y472" s="15"/>
      <c r="Z472" s="15"/>
      <c r="AA472" s="1"/>
      <c r="AB472" s="15"/>
      <c r="AC472" s="15"/>
      <c r="AD472" s="15"/>
      <c r="AE472" s="15"/>
      <c r="AF472" s="2"/>
      <c r="AG472" s="10" t="s">
        <v>354</v>
      </c>
      <c r="AH472" s="12" t="s">
        <v>355</v>
      </c>
      <c r="AI472" s="10" t="s">
        <v>941</v>
      </c>
      <c r="AJ472" s="12" t="s">
        <v>942</v>
      </c>
      <c r="AK472" s="16" t="s">
        <v>45</v>
      </c>
      <c r="AL472" s="10" t="s">
        <v>49</v>
      </c>
      <c r="AM472" s="16" t="s">
        <v>45</v>
      </c>
      <c r="AN472" s="10" t="s">
        <v>320</v>
      </c>
    </row>
    <row r="473" ht="30.0" customHeight="1">
      <c r="A473" s="9" t="str">
        <f t="shared" si="36"/>
        <v>Ativo</v>
      </c>
      <c r="B473" s="9" t="str">
        <f t="shared" si="37"/>
        <v>N/I</v>
      </c>
      <c r="C473" s="9" t="str">
        <f t="shared" si="38"/>
        <v>N/I</v>
      </c>
      <c r="D473" s="10" t="s">
        <v>933</v>
      </c>
      <c r="E473" s="11" t="s">
        <v>934</v>
      </c>
      <c r="F473" s="32" t="s">
        <v>1231</v>
      </c>
      <c r="G473" s="12" t="s">
        <v>55</v>
      </c>
      <c r="H473" s="34" t="s">
        <v>1232</v>
      </c>
      <c r="I473" s="12" t="s">
        <v>836</v>
      </c>
      <c r="J473" s="10" t="s">
        <v>837</v>
      </c>
      <c r="K473" s="10" t="s">
        <v>209</v>
      </c>
      <c r="L473" s="10" t="s">
        <v>4</v>
      </c>
      <c r="M473" s="14">
        <v>45411.0</v>
      </c>
      <c r="N473" s="11" t="s">
        <v>1233</v>
      </c>
      <c r="O473" s="10" t="s">
        <v>1234</v>
      </c>
      <c r="P473" s="10" t="s">
        <v>940</v>
      </c>
      <c r="Q473" s="2"/>
      <c r="R473" s="10">
        <v>36.0</v>
      </c>
      <c r="S473" s="14">
        <v>45411.0</v>
      </c>
      <c r="T473" s="14">
        <v>46505.0</v>
      </c>
      <c r="U473" s="10">
        <f t="shared" si="23"/>
        <v>414</v>
      </c>
      <c r="V473" s="2"/>
      <c r="W473" s="15"/>
      <c r="X473" s="15"/>
      <c r="Y473" s="15"/>
      <c r="Z473" s="15"/>
      <c r="AA473" s="1"/>
      <c r="AB473" s="15"/>
      <c r="AC473" s="15"/>
      <c r="AD473" s="15"/>
      <c r="AE473" s="15"/>
      <c r="AF473" s="2"/>
      <c r="AG473" s="10" t="s">
        <v>354</v>
      </c>
      <c r="AH473" s="12" t="s">
        <v>355</v>
      </c>
      <c r="AI473" s="10" t="s">
        <v>941</v>
      </c>
      <c r="AJ473" s="12" t="s">
        <v>942</v>
      </c>
      <c r="AK473" s="16" t="s">
        <v>45</v>
      </c>
      <c r="AL473" s="10" t="s">
        <v>49</v>
      </c>
      <c r="AM473" s="16" t="s">
        <v>45</v>
      </c>
      <c r="AN473" s="10" t="s">
        <v>320</v>
      </c>
    </row>
    <row r="474" ht="30.0" customHeight="1">
      <c r="A474" s="9" t="str">
        <f t="shared" si="36"/>
        <v>Ativo</v>
      </c>
      <c r="B474" s="9" t="str">
        <f t="shared" si="37"/>
        <v>N/I</v>
      </c>
      <c r="C474" s="9" t="str">
        <f t="shared" si="38"/>
        <v>N/I</v>
      </c>
      <c r="D474" s="10" t="s">
        <v>933</v>
      </c>
      <c r="E474" s="11" t="s">
        <v>934</v>
      </c>
      <c r="F474" s="32" t="s">
        <v>1235</v>
      </c>
      <c r="G474" s="12" t="s">
        <v>55</v>
      </c>
      <c r="H474" s="34" t="s">
        <v>1236</v>
      </c>
      <c r="I474" s="12" t="s">
        <v>836</v>
      </c>
      <c r="J474" s="10" t="s">
        <v>837</v>
      </c>
      <c r="K474" s="10" t="s">
        <v>209</v>
      </c>
      <c r="L474" s="10" t="s">
        <v>4</v>
      </c>
      <c r="M474" s="14">
        <v>45412.0</v>
      </c>
      <c r="N474" s="11" t="s">
        <v>1237</v>
      </c>
      <c r="O474" s="10" t="s">
        <v>1238</v>
      </c>
      <c r="P474" s="10" t="s">
        <v>940</v>
      </c>
      <c r="Q474" s="2"/>
      <c r="R474" s="10">
        <v>36.0</v>
      </c>
      <c r="S474" s="14">
        <v>45412.0</v>
      </c>
      <c r="T474" s="14">
        <v>46506.0</v>
      </c>
      <c r="U474" s="10">
        <f t="shared" si="23"/>
        <v>415</v>
      </c>
      <c r="V474" s="2"/>
      <c r="W474" s="15"/>
      <c r="X474" s="15"/>
      <c r="Y474" s="15"/>
      <c r="Z474" s="15"/>
      <c r="AA474" s="1"/>
      <c r="AB474" s="15"/>
      <c r="AC474" s="15"/>
      <c r="AD474" s="15"/>
      <c r="AE474" s="15"/>
      <c r="AF474" s="2"/>
      <c r="AG474" s="10" t="s">
        <v>354</v>
      </c>
      <c r="AH474" s="12" t="s">
        <v>355</v>
      </c>
      <c r="AI474" s="10" t="s">
        <v>941</v>
      </c>
      <c r="AJ474" s="12" t="s">
        <v>942</v>
      </c>
      <c r="AK474" s="16" t="s">
        <v>45</v>
      </c>
      <c r="AL474" s="10" t="s">
        <v>49</v>
      </c>
      <c r="AM474" s="16" t="s">
        <v>45</v>
      </c>
      <c r="AN474" s="10" t="s">
        <v>320</v>
      </c>
    </row>
    <row r="475" ht="30.0" customHeight="1">
      <c r="A475" s="9" t="str">
        <f t="shared" si="36"/>
        <v>Ativo</v>
      </c>
      <c r="B475" s="9" t="str">
        <f t="shared" si="37"/>
        <v>N/I</v>
      </c>
      <c r="C475" s="9" t="str">
        <f t="shared" si="38"/>
        <v>N/I</v>
      </c>
      <c r="D475" s="10" t="s">
        <v>933</v>
      </c>
      <c r="E475" s="11" t="s">
        <v>934</v>
      </c>
      <c r="F475" s="11" t="s">
        <v>1239</v>
      </c>
      <c r="G475" s="12" t="s">
        <v>55</v>
      </c>
      <c r="H475" s="34" t="s">
        <v>1240</v>
      </c>
      <c r="I475" s="12" t="s">
        <v>100</v>
      </c>
      <c r="J475" s="10" t="s">
        <v>101</v>
      </c>
      <c r="K475" s="10" t="s">
        <v>41</v>
      </c>
      <c r="L475" s="10" t="s">
        <v>4</v>
      </c>
      <c r="M475" s="22">
        <v>45356.0</v>
      </c>
      <c r="N475" s="32" t="s">
        <v>1241</v>
      </c>
      <c r="O475" s="10" t="s">
        <v>1242</v>
      </c>
      <c r="P475" s="10" t="s">
        <v>940</v>
      </c>
      <c r="Q475" s="2"/>
      <c r="R475" s="10">
        <v>36.0</v>
      </c>
      <c r="S475" s="14">
        <v>45390.0</v>
      </c>
      <c r="T475" s="14">
        <v>46484.0</v>
      </c>
      <c r="U475" s="10">
        <f t="shared" si="23"/>
        <v>393</v>
      </c>
      <c r="V475" s="2"/>
      <c r="W475" s="15"/>
      <c r="X475" s="15"/>
      <c r="Y475" s="15"/>
      <c r="Z475" s="15"/>
      <c r="AA475" s="1"/>
      <c r="AB475" s="15"/>
      <c r="AC475" s="15"/>
      <c r="AD475" s="15"/>
      <c r="AE475" s="15"/>
      <c r="AF475" s="2"/>
      <c r="AG475" s="10" t="s">
        <v>354</v>
      </c>
      <c r="AH475" s="12" t="s">
        <v>355</v>
      </c>
      <c r="AI475" s="10" t="s">
        <v>941</v>
      </c>
      <c r="AJ475" s="12" t="s">
        <v>942</v>
      </c>
      <c r="AK475" s="16" t="s">
        <v>45</v>
      </c>
      <c r="AL475" s="10" t="s">
        <v>49</v>
      </c>
      <c r="AM475" s="16" t="s">
        <v>45</v>
      </c>
      <c r="AN475" s="10" t="s">
        <v>320</v>
      </c>
    </row>
    <row r="476" ht="30.0" customHeight="1">
      <c r="A476" s="9" t="str">
        <f t="shared" si="36"/>
        <v>Ativo</v>
      </c>
      <c r="B476" s="9" t="str">
        <f t="shared" si="37"/>
        <v>N/I</v>
      </c>
      <c r="C476" s="9" t="str">
        <f t="shared" si="38"/>
        <v>N/I</v>
      </c>
      <c r="D476" s="10" t="s">
        <v>933</v>
      </c>
      <c r="E476" s="11" t="s">
        <v>934</v>
      </c>
      <c r="F476" s="11" t="s">
        <v>1243</v>
      </c>
      <c r="G476" s="12" t="s">
        <v>55</v>
      </c>
      <c r="H476" s="34" t="s">
        <v>1244</v>
      </c>
      <c r="I476" s="12" t="s">
        <v>100</v>
      </c>
      <c r="J476" s="10" t="s">
        <v>101</v>
      </c>
      <c r="K476" s="10" t="s">
        <v>41</v>
      </c>
      <c r="L476" s="10" t="s">
        <v>4</v>
      </c>
      <c r="M476" s="22">
        <v>45356.0</v>
      </c>
      <c r="N476" s="32" t="s">
        <v>1241</v>
      </c>
      <c r="O476" s="10" t="s">
        <v>1242</v>
      </c>
      <c r="P476" s="10" t="s">
        <v>940</v>
      </c>
      <c r="Q476" s="2"/>
      <c r="R476" s="10">
        <v>36.0</v>
      </c>
      <c r="S476" s="14">
        <v>45436.0</v>
      </c>
      <c r="T476" s="14">
        <v>46530.0</v>
      </c>
      <c r="U476" s="10">
        <f t="shared" si="23"/>
        <v>439</v>
      </c>
      <c r="V476" s="2"/>
      <c r="W476" s="15"/>
      <c r="X476" s="15"/>
      <c r="Y476" s="15"/>
      <c r="Z476" s="15"/>
      <c r="AA476" s="1"/>
      <c r="AB476" s="15"/>
      <c r="AC476" s="15"/>
      <c r="AD476" s="15"/>
      <c r="AE476" s="15"/>
      <c r="AF476" s="2"/>
      <c r="AG476" s="10" t="s">
        <v>354</v>
      </c>
      <c r="AH476" s="12" t="s">
        <v>355</v>
      </c>
      <c r="AI476" s="10" t="s">
        <v>941</v>
      </c>
      <c r="AJ476" s="12" t="s">
        <v>942</v>
      </c>
      <c r="AK476" s="16" t="s">
        <v>45</v>
      </c>
      <c r="AL476" s="10" t="s">
        <v>49</v>
      </c>
      <c r="AM476" s="16" t="s">
        <v>45</v>
      </c>
      <c r="AN476" s="10" t="s">
        <v>320</v>
      </c>
    </row>
    <row r="477" ht="30.0" customHeight="1">
      <c r="A477" s="9" t="str">
        <f t="shared" si="36"/>
        <v>Ativo</v>
      </c>
      <c r="B477" s="9" t="str">
        <f t="shared" si="37"/>
        <v>N/I</v>
      </c>
      <c r="C477" s="9" t="str">
        <f t="shared" si="38"/>
        <v>N/I</v>
      </c>
      <c r="D477" s="10" t="s">
        <v>933</v>
      </c>
      <c r="E477" s="11" t="s">
        <v>934</v>
      </c>
      <c r="F477" s="11" t="s">
        <v>1245</v>
      </c>
      <c r="G477" s="12" t="s">
        <v>55</v>
      </c>
      <c r="H477" s="34" t="s">
        <v>1246</v>
      </c>
      <c r="I477" s="12" t="s">
        <v>100</v>
      </c>
      <c r="J477" s="10" t="s">
        <v>101</v>
      </c>
      <c r="K477" s="10" t="s">
        <v>41</v>
      </c>
      <c r="L477" s="10" t="s">
        <v>4</v>
      </c>
      <c r="M477" s="22">
        <v>45356.0</v>
      </c>
      <c r="N477" s="32" t="s">
        <v>1241</v>
      </c>
      <c r="O477" s="10" t="s">
        <v>1242</v>
      </c>
      <c r="P477" s="10" t="s">
        <v>940</v>
      </c>
      <c r="Q477" s="2"/>
      <c r="R477" s="10">
        <v>36.0</v>
      </c>
      <c r="S477" s="14">
        <v>45390.0</v>
      </c>
      <c r="T477" s="14">
        <v>46484.0</v>
      </c>
      <c r="U477" s="10">
        <f t="shared" si="23"/>
        <v>393</v>
      </c>
      <c r="V477" s="2"/>
      <c r="W477" s="15"/>
      <c r="X477" s="15"/>
      <c r="Y477" s="15"/>
      <c r="Z477" s="15"/>
      <c r="AA477" s="1"/>
      <c r="AB477" s="15"/>
      <c r="AC477" s="15"/>
      <c r="AD477" s="15"/>
      <c r="AE477" s="15"/>
      <c r="AF477" s="2"/>
      <c r="AG477" s="10" t="s">
        <v>354</v>
      </c>
      <c r="AH477" s="12" t="s">
        <v>355</v>
      </c>
      <c r="AI477" s="10" t="s">
        <v>941</v>
      </c>
      <c r="AJ477" s="12" t="s">
        <v>942</v>
      </c>
      <c r="AK477" s="16" t="s">
        <v>45</v>
      </c>
      <c r="AL477" s="10" t="s">
        <v>49</v>
      </c>
      <c r="AM477" s="16" t="s">
        <v>45</v>
      </c>
      <c r="AN477" s="10" t="s">
        <v>320</v>
      </c>
    </row>
    <row r="478" ht="30.0" customHeight="1">
      <c r="A478" s="9" t="str">
        <f t="shared" si="36"/>
        <v>Ativo</v>
      </c>
      <c r="B478" s="9" t="str">
        <f t="shared" si="37"/>
        <v>N/I</v>
      </c>
      <c r="C478" s="9" t="str">
        <f t="shared" si="38"/>
        <v>N/I</v>
      </c>
      <c r="D478" s="10" t="s">
        <v>933</v>
      </c>
      <c r="E478" s="11" t="s">
        <v>934</v>
      </c>
      <c r="F478" s="11" t="s">
        <v>1247</v>
      </c>
      <c r="G478" s="12" t="s">
        <v>55</v>
      </c>
      <c r="H478" s="34" t="s">
        <v>1248</v>
      </c>
      <c r="I478" s="12" t="s">
        <v>100</v>
      </c>
      <c r="J478" s="10" t="s">
        <v>101</v>
      </c>
      <c r="K478" s="10" t="s">
        <v>41</v>
      </c>
      <c r="L478" s="10" t="s">
        <v>4</v>
      </c>
      <c r="M478" s="22">
        <v>45414.0</v>
      </c>
      <c r="N478" s="32" t="s">
        <v>1241</v>
      </c>
      <c r="O478" s="10" t="s">
        <v>1242</v>
      </c>
      <c r="P478" s="10" t="s">
        <v>940</v>
      </c>
      <c r="Q478" s="2"/>
      <c r="R478" s="10">
        <v>36.0</v>
      </c>
      <c r="S478" s="14">
        <v>45436.0</v>
      </c>
      <c r="T478" s="14">
        <v>46530.0</v>
      </c>
      <c r="U478" s="10">
        <f t="shared" si="23"/>
        <v>439</v>
      </c>
      <c r="V478" s="2"/>
      <c r="W478" s="15"/>
      <c r="X478" s="15"/>
      <c r="Y478" s="15"/>
      <c r="Z478" s="15"/>
      <c r="AA478" s="1"/>
      <c r="AB478" s="15"/>
      <c r="AC478" s="15"/>
      <c r="AD478" s="15"/>
      <c r="AE478" s="15"/>
      <c r="AF478" s="2"/>
      <c r="AG478" s="10" t="s">
        <v>354</v>
      </c>
      <c r="AH478" s="12" t="s">
        <v>355</v>
      </c>
      <c r="AI478" s="10" t="s">
        <v>941</v>
      </c>
      <c r="AJ478" s="12" t="s">
        <v>942</v>
      </c>
      <c r="AK478" s="16" t="s">
        <v>45</v>
      </c>
      <c r="AL478" s="10" t="s">
        <v>49</v>
      </c>
      <c r="AM478" s="16" t="s">
        <v>45</v>
      </c>
      <c r="AN478" s="10" t="s">
        <v>320</v>
      </c>
    </row>
    <row r="479" ht="30.0" customHeight="1">
      <c r="A479" s="9" t="str">
        <f t="shared" si="36"/>
        <v>Ativo</v>
      </c>
      <c r="B479" s="9" t="str">
        <f t="shared" si="37"/>
        <v>N/I</v>
      </c>
      <c r="C479" s="9" t="str">
        <f t="shared" si="38"/>
        <v>N/I</v>
      </c>
      <c r="D479" s="10" t="s">
        <v>933</v>
      </c>
      <c r="E479" s="11" t="s">
        <v>934</v>
      </c>
      <c r="F479" s="11" t="s">
        <v>1249</v>
      </c>
      <c r="G479" s="12" t="s">
        <v>55</v>
      </c>
      <c r="H479" s="19" t="s">
        <v>1250</v>
      </c>
      <c r="I479" s="12" t="s">
        <v>720</v>
      </c>
      <c r="J479" s="10" t="s">
        <v>721</v>
      </c>
      <c r="K479" s="10" t="s">
        <v>209</v>
      </c>
      <c r="L479" s="10" t="s">
        <v>4</v>
      </c>
      <c r="M479" s="22">
        <v>45148.0</v>
      </c>
      <c r="N479" s="32" t="s">
        <v>1251</v>
      </c>
      <c r="O479" s="10" t="s">
        <v>1252</v>
      </c>
      <c r="P479" s="10" t="s">
        <v>992</v>
      </c>
      <c r="Q479" s="2"/>
      <c r="R479" s="10">
        <v>36.0</v>
      </c>
      <c r="S479" s="14">
        <v>45198.0</v>
      </c>
      <c r="T479" s="14">
        <v>46293.0</v>
      </c>
      <c r="U479" s="10">
        <f t="shared" si="23"/>
        <v>202</v>
      </c>
      <c r="V479" s="2"/>
      <c r="W479" s="15"/>
      <c r="X479" s="15"/>
      <c r="Y479" s="15"/>
      <c r="Z479" s="15"/>
      <c r="AA479" s="1"/>
      <c r="AB479" s="15"/>
      <c r="AC479" s="15"/>
      <c r="AD479" s="15"/>
      <c r="AE479" s="15"/>
      <c r="AF479" s="2"/>
      <c r="AG479" s="10" t="s">
        <v>354</v>
      </c>
      <c r="AH479" s="12" t="s">
        <v>355</v>
      </c>
      <c r="AI479" s="10" t="s">
        <v>941</v>
      </c>
      <c r="AJ479" s="12" t="s">
        <v>942</v>
      </c>
      <c r="AK479" s="16" t="s">
        <v>45</v>
      </c>
      <c r="AL479" s="10" t="s">
        <v>49</v>
      </c>
      <c r="AM479" s="16" t="s">
        <v>45</v>
      </c>
      <c r="AN479" s="10" t="s">
        <v>320</v>
      </c>
    </row>
    <row r="480" ht="30.0" customHeight="1">
      <c r="A480" s="9" t="str">
        <f t="shared" si="36"/>
        <v>Ativo</v>
      </c>
      <c r="B480" s="9" t="str">
        <f t="shared" si="37"/>
        <v>N/I</v>
      </c>
      <c r="C480" s="9" t="str">
        <f t="shared" si="38"/>
        <v>N/I</v>
      </c>
      <c r="D480" s="10" t="s">
        <v>933</v>
      </c>
      <c r="E480" s="11" t="s">
        <v>934</v>
      </c>
      <c r="F480" s="11" t="s">
        <v>1253</v>
      </c>
      <c r="G480" s="12" t="s">
        <v>55</v>
      </c>
      <c r="H480" s="19" t="s">
        <v>1254</v>
      </c>
      <c r="I480" s="12" t="s">
        <v>720</v>
      </c>
      <c r="J480" s="10" t="s">
        <v>721</v>
      </c>
      <c r="K480" s="10" t="s">
        <v>209</v>
      </c>
      <c r="L480" s="10" t="s">
        <v>4</v>
      </c>
      <c r="M480" s="22">
        <v>45149.0</v>
      </c>
      <c r="N480" s="32" t="s">
        <v>1251</v>
      </c>
      <c r="O480" s="10" t="s">
        <v>1252</v>
      </c>
      <c r="P480" s="10" t="s">
        <v>992</v>
      </c>
      <c r="Q480" s="2"/>
      <c r="R480" s="10">
        <v>36.0</v>
      </c>
      <c r="S480" s="14">
        <v>45198.0</v>
      </c>
      <c r="T480" s="14">
        <v>46293.0</v>
      </c>
      <c r="U480" s="10">
        <f t="shared" si="23"/>
        <v>202</v>
      </c>
      <c r="V480" s="2"/>
      <c r="W480" s="15"/>
      <c r="X480" s="15"/>
      <c r="Y480" s="15"/>
      <c r="Z480" s="15"/>
      <c r="AA480" s="1"/>
      <c r="AB480" s="15"/>
      <c r="AC480" s="15"/>
      <c r="AD480" s="15"/>
      <c r="AE480" s="15"/>
      <c r="AF480" s="2"/>
      <c r="AG480" s="10" t="s">
        <v>354</v>
      </c>
      <c r="AH480" s="12" t="s">
        <v>355</v>
      </c>
      <c r="AI480" s="10" t="s">
        <v>941</v>
      </c>
      <c r="AJ480" s="12" t="s">
        <v>942</v>
      </c>
      <c r="AK480" s="16" t="s">
        <v>45</v>
      </c>
      <c r="AL480" s="10" t="s">
        <v>49</v>
      </c>
      <c r="AM480" s="16" t="s">
        <v>45</v>
      </c>
      <c r="AN480" s="10" t="s">
        <v>320</v>
      </c>
    </row>
    <row r="481" ht="30.0" customHeight="1">
      <c r="A481" s="9" t="str">
        <f t="shared" si="36"/>
        <v>Ativo</v>
      </c>
      <c r="B481" s="9" t="str">
        <f t="shared" si="37"/>
        <v>N/I</v>
      </c>
      <c r="C481" s="9" t="str">
        <f t="shared" si="38"/>
        <v>N/I</v>
      </c>
      <c r="D481" s="10" t="s">
        <v>933</v>
      </c>
      <c r="E481" s="11" t="s">
        <v>934</v>
      </c>
      <c r="F481" s="11" t="s">
        <v>1255</v>
      </c>
      <c r="G481" s="12" t="s">
        <v>55</v>
      </c>
      <c r="H481" s="34" t="s">
        <v>1256</v>
      </c>
      <c r="I481" s="12" t="s">
        <v>720</v>
      </c>
      <c r="J481" s="10" t="s">
        <v>721</v>
      </c>
      <c r="K481" s="10" t="s">
        <v>209</v>
      </c>
      <c r="L481" s="10" t="s">
        <v>4</v>
      </c>
      <c r="M481" s="22">
        <v>45700.0</v>
      </c>
      <c r="N481" s="32" t="s">
        <v>1257</v>
      </c>
      <c r="O481" s="10" t="s">
        <v>319</v>
      </c>
      <c r="P481" s="10" t="s">
        <v>940</v>
      </c>
      <c r="Q481" s="2"/>
      <c r="R481" s="10">
        <v>36.0</v>
      </c>
      <c r="S481" s="14">
        <v>45722.0</v>
      </c>
      <c r="T481" s="14">
        <v>46818.0</v>
      </c>
      <c r="U481" s="10">
        <f t="shared" si="23"/>
        <v>727</v>
      </c>
      <c r="V481" s="2"/>
      <c r="W481" s="15"/>
      <c r="X481" s="15"/>
      <c r="Y481" s="15"/>
      <c r="Z481" s="15"/>
      <c r="AA481" s="1"/>
      <c r="AB481" s="15"/>
      <c r="AC481" s="15"/>
      <c r="AD481" s="15"/>
      <c r="AE481" s="15"/>
      <c r="AF481" s="2"/>
      <c r="AG481" s="10" t="s">
        <v>354</v>
      </c>
      <c r="AH481" s="12" t="s">
        <v>355</v>
      </c>
      <c r="AI481" s="10" t="s">
        <v>941</v>
      </c>
      <c r="AJ481" s="12" t="s">
        <v>942</v>
      </c>
      <c r="AK481" s="16" t="s">
        <v>45</v>
      </c>
      <c r="AL481" s="10" t="s">
        <v>49</v>
      </c>
      <c r="AM481" s="16" t="s">
        <v>45</v>
      </c>
      <c r="AN481" s="10" t="s">
        <v>320</v>
      </c>
    </row>
    <row r="482" ht="30.0" customHeight="1">
      <c r="A482" s="9" t="str">
        <f t="shared" si="36"/>
        <v>Ativo</v>
      </c>
      <c r="B482" s="9" t="str">
        <f t="shared" si="37"/>
        <v>N/I</v>
      </c>
      <c r="C482" s="9" t="str">
        <f t="shared" si="38"/>
        <v>N/I</v>
      </c>
      <c r="D482" s="10" t="s">
        <v>933</v>
      </c>
      <c r="E482" s="11" t="s">
        <v>934</v>
      </c>
      <c r="F482" s="11" t="s">
        <v>1258</v>
      </c>
      <c r="G482" s="12" t="s">
        <v>55</v>
      </c>
      <c r="H482" s="34" t="s">
        <v>1259</v>
      </c>
      <c r="I482" s="12" t="s">
        <v>720</v>
      </c>
      <c r="J482" s="10" t="s">
        <v>721</v>
      </c>
      <c r="K482" s="10" t="s">
        <v>209</v>
      </c>
      <c r="L482" s="10" t="s">
        <v>4</v>
      </c>
      <c r="M482" s="22">
        <v>45698.0</v>
      </c>
      <c r="N482" s="32" t="s">
        <v>1260</v>
      </c>
      <c r="O482" s="10" t="s">
        <v>319</v>
      </c>
      <c r="P482" s="10" t="s">
        <v>940</v>
      </c>
      <c r="Q482" s="2"/>
      <c r="R482" s="10">
        <v>36.0</v>
      </c>
      <c r="S482" s="14">
        <v>45722.0</v>
      </c>
      <c r="T482" s="14">
        <v>46818.0</v>
      </c>
      <c r="U482" s="10">
        <f t="shared" si="23"/>
        <v>727</v>
      </c>
      <c r="V482" s="2"/>
      <c r="W482" s="15"/>
      <c r="X482" s="15"/>
      <c r="Y482" s="15"/>
      <c r="Z482" s="15"/>
      <c r="AA482" s="1"/>
      <c r="AB482" s="15"/>
      <c r="AC482" s="15"/>
      <c r="AD482" s="15"/>
      <c r="AE482" s="15"/>
      <c r="AF482" s="2"/>
      <c r="AG482" s="10" t="s">
        <v>354</v>
      </c>
      <c r="AH482" s="12" t="s">
        <v>355</v>
      </c>
      <c r="AI482" s="10" t="s">
        <v>941</v>
      </c>
      <c r="AJ482" s="12" t="s">
        <v>942</v>
      </c>
      <c r="AK482" s="16" t="s">
        <v>45</v>
      </c>
      <c r="AL482" s="10" t="s">
        <v>49</v>
      </c>
      <c r="AM482" s="16" t="s">
        <v>45</v>
      </c>
      <c r="AN482" s="10" t="s">
        <v>320</v>
      </c>
    </row>
    <row r="483" ht="30.0" customHeight="1">
      <c r="A483" s="9" t="str">
        <f t="shared" si="36"/>
        <v>Ativo</v>
      </c>
      <c r="B483" s="9" t="str">
        <f t="shared" si="37"/>
        <v>N/I</v>
      </c>
      <c r="C483" s="9" t="str">
        <f t="shared" si="38"/>
        <v>N/I</v>
      </c>
      <c r="D483" s="10" t="s">
        <v>933</v>
      </c>
      <c r="E483" s="11" t="s">
        <v>934</v>
      </c>
      <c r="F483" s="11" t="s">
        <v>1261</v>
      </c>
      <c r="G483" s="12" t="s">
        <v>55</v>
      </c>
      <c r="H483" s="34" t="s">
        <v>1262</v>
      </c>
      <c r="I483" s="12" t="s">
        <v>1263</v>
      </c>
      <c r="J483" s="10" t="s">
        <v>208</v>
      </c>
      <c r="K483" s="10" t="s">
        <v>209</v>
      </c>
      <c r="L483" s="10" t="s">
        <v>4</v>
      </c>
      <c r="M483" s="22">
        <v>45404.0</v>
      </c>
      <c r="N483" s="32" t="s">
        <v>1264</v>
      </c>
      <c r="O483" s="10" t="s">
        <v>1265</v>
      </c>
      <c r="P483" s="10" t="s">
        <v>940</v>
      </c>
      <c r="Q483" s="2"/>
      <c r="R483" s="10">
        <v>36.0</v>
      </c>
      <c r="S483" s="14">
        <v>45404.0</v>
      </c>
      <c r="T483" s="14">
        <v>46498.0</v>
      </c>
      <c r="U483" s="10">
        <f t="shared" si="23"/>
        <v>407</v>
      </c>
      <c r="V483" s="2"/>
      <c r="W483" s="15"/>
      <c r="X483" s="15"/>
      <c r="Y483" s="15"/>
      <c r="Z483" s="15"/>
      <c r="AA483" s="1"/>
      <c r="AB483" s="15"/>
      <c r="AC483" s="15"/>
      <c r="AD483" s="15"/>
      <c r="AE483" s="15"/>
      <c r="AF483" s="2"/>
      <c r="AG483" s="10" t="s">
        <v>354</v>
      </c>
      <c r="AH483" s="12" t="s">
        <v>355</v>
      </c>
      <c r="AI483" s="10" t="s">
        <v>941</v>
      </c>
      <c r="AJ483" s="12" t="s">
        <v>942</v>
      </c>
      <c r="AK483" s="16" t="s">
        <v>45</v>
      </c>
      <c r="AL483" s="10" t="s">
        <v>49</v>
      </c>
      <c r="AM483" s="16" t="s">
        <v>45</v>
      </c>
      <c r="AN483" s="10" t="s">
        <v>320</v>
      </c>
    </row>
    <row r="484" ht="30.0" customHeight="1">
      <c r="A484" s="9" t="str">
        <f t="shared" si="36"/>
        <v>Inativo</v>
      </c>
      <c r="B484" s="9" t="str">
        <f t="shared" si="37"/>
        <v>N/I</v>
      </c>
      <c r="C484" s="9" t="str">
        <f t="shared" si="38"/>
        <v>N/I</v>
      </c>
      <c r="D484" s="10" t="s">
        <v>933</v>
      </c>
      <c r="E484" s="11" t="s">
        <v>1014</v>
      </c>
      <c r="F484" s="11" t="s">
        <v>1266</v>
      </c>
      <c r="G484" s="12" t="s">
        <v>52</v>
      </c>
      <c r="H484" s="20" t="s">
        <v>1267</v>
      </c>
      <c r="I484" s="12" t="s">
        <v>1268</v>
      </c>
      <c r="J484" s="10" t="s">
        <v>858</v>
      </c>
      <c r="K484" s="10" t="s">
        <v>209</v>
      </c>
      <c r="L484" s="10" t="s">
        <v>4</v>
      </c>
      <c r="M484" s="22">
        <v>44778.0</v>
      </c>
      <c r="N484" s="32" t="s">
        <v>1269</v>
      </c>
      <c r="O484" s="10" t="s">
        <v>1270</v>
      </c>
      <c r="P484" s="10" t="s">
        <v>1019</v>
      </c>
      <c r="Q484" s="2"/>
      <c r="R484" s="10">
        <v>12.0</v>
      </c>
      <c r="S484" s="14">
        <v>44778.0</v>
      </c>
      <c r="T484" s="14">
        <v>45143.0</v>
      </c>
      <c r="U484" s="10">
        <f t="shared" si="23"/>
        <v>-948</v>
      </c>
      <c r="V484" s="2"/>
      <c r="W484" s="15"/>
      <c r="X484" s="15"/>
      <c r="Y484" s="15"/>
      <c r="Z484" s="15"/>
      <c r="AA484" s="1"/>
      <c r="AB484" s="15"/>
      <c r="AC484" s="15"/>
      <c r="AD484" s="15"/>
      <c r="AE484" s="15"/>
      <c r="AF484" s="2"/>
      <c r="AG484" s="10" t="s">
        <v>354</v>
      </c>
      <c r="AH484" s="12" t="s">
        <v>355</v>
      </c>
      <c r="AI484" s="16" t="s">
        <v>45</v>
      </c>
      <c r="AJ484" s="12" t="s">
        <v>1020</v>
      </c>
      <c r="AK484" s="12" t="s">
        <v>1021</v>
      </c>
      <c r="AL484" s="12" t="s">
        <v>49</v>
      </c>
      <c r="AM484" s="12" t="s">
        <v>1021</v>
      </c>
      <c r="AN484" s="16" t="s">
        <v>45</v>
      </c>
    </row>
    <row r="485" ht="30.0" customHeight="1">
      <c r="A485" s="9" t="str">
        <f t="shared" si="36"/>
        <v>Ativo</v>
      </c>
      <c r="B485" s="9" t="str">
        <f t="shared" si="37"/>
        <v>N/I</v>
      </c>
      <c r="C485" s="9" t="str">
        <f t="shared" si="38"/>
        <v>N/I</v>
      </c>
      <c r="D485" s="10" t="s">
        <v>933</v>
      </c>
      <c r="E485" s="11" t="s">
        <v>934</v>
      </c>
      <c r="F485" s="11" t="s">
        <v>1271</v>
      </c>
      <c r="G485" s="12" t="s">
        <v>55</v>
      </c>
      <c r="H485" s="19" t="s">
        <v>1272</v>
      </c>
      <c r="I485" s="12" t="s">
        <v>857</v>
      </c>
      <c r="J485" s="10" t="s">
        <v>858</v>
      </c>
      <c r="K485" s="10" t="s">
        <v>209</v>
      </c>
      <c r="L485" s="10" t="s">
        <v>4</v>
      </c>
      <c r="M485" s="22">
        <v>45167.0</v>
      </c>
      <c r="N485" s="32" t="s">
        <v>1273</v>
      </c>
      <c r="O485" s="10" t="s">
        <v>1274</v>
      </c>
      <c r="P485" s="10" t="s">
        <v>992</v>
      </c>
      <c r="Q485" s="2"/>
      <c r="R485" s="10">
        <v>36.0</v>
      </c>
      <c r="S485" s="14">
        <v>45218.0</v>
      </c>
      <c r="T485" s="14">
        <v>46313.0</v>
      </c>
      <c r="U485" s="10">
        <f t="shared" si="23"/>
        <v>222</v>
      </c>
      <c r="V485" s="2"/>
      <c r="W485" s="15"/>
      <c r="X485" s="15"/>
      <c r="Y485" s="15"/>
      <c r="Z485" s="15"/>
      <c r="AA485" s="1"/>
      <c r="AB485" s="15"/>
      <c r="AC485" s="15"/>
      <c r="AD485" s="15"/>
      <c r="AE485" s="15"/>
      <c r="AF485" s="2"/>
      <c r="AG485" s="10" t="s">
        <v>354</v>
      </c>
      <c r="AH485" s="12" t="s">
        <v>355</v>
      </c>
      <c r="AI485" s="10" t="s">
        <v>941</v>
      </c>
      <c r="AJ485" s="12" t="s">
        <v>942</v>
      </c>
      <c r="AK485" s="16" t="s">
        <v>45</v>
      </c>
      <c r="AL485" s="10" t="s">
        <v>49</v>
      </c>
      <c r="AM485" s="16" t="s">
        <v>45</v>
      </c>
      <c r="AN485" s="10" t="s">
        <v>320</v>
      </c>
    </row>
    <row r="486" ht="30.0" customHeight="1">
      <c r="A486" s="9" t="str">
        <f t="shared" si="36"/>
        <v>Ativo</v>
      </c>
      <c r="B486" s="9" t="str">
        <f t="shared" si="37"/>
        <v>N/I</v>
      </c>
      <c r="C486" s="9" t="str">
        <f t="shared" si="38"/>
        <v>N/I</v>
      </c>
      <c r="D486" s="10" t="s">
        <v>933</v>
      </c>
      <c r="E486" s="11" t="s">
        <v>934</v>
      </c>
      <c r="F486" s="11" t="s">
        <v>1275</v>
      </c>
      <c r="G486" s="12" t="s">
        <v>55</v>
      </c>
      <c r="H486" s="34" t="s">
        <v>1276</v>
      </c>
      <c r="I486" s="12" t="s">
        <v>857</v>
      </c>
      <c r="J486" s="10" t="s">
        <v>858</v>
      </c>
      <c r="K486" s="10" t="s">
        <v>209</v>
      </c>
      <c r="L486" s="10" t="s">
        <v>4</v>
      </c>
      <c r="M486" s="22">
        <v>45350.0</v>
      </c>
      <c r="N486" s="32" t="s">
        <v>1273</v>
      </c>
      <c r="O486" s="10" t="s">
        <v>1277</v>
      </c>
      <c r="P486" s="10" t="s">
        <v>992</v>
      </c>
      <c r="Q486" s="2"/>
      <c r="R486" s="10">
        <v>36.0</v>
      </c>
      <c r="S486" s="14">
        <v>45350.0</v>
      </c>
      <c r="T486" s="14">
        <v>46445.0</v>
      </c>
      <c r="U486" s="10">
        <f t="shared" si="23"/>
        <v>354</v>
      </c>
      <c r="V486" s="2"/>
      <c r="W486" s="15"/>
      <c r="X486" s="15"/>
      <c r="Y486" s="15"/>
      <c r="Z486" s="15"/>
      <c r="AA486" s="1"/>
      <c r="AB486" s="15"/>
      <c r="AC486" s="15"/>
      <c r="AD486" s="15"/>
      <c r="AE486" s="15"/>
      <c r="AF486" s="2"/>
      <c r="AG486" s="10" t="s">
        <v>354</v>
      </c>
      <c r="AH486" s="12" t="s">
        <v>355</v>
      </c>
      <c r="AI486" s="10" t="s">
        <v>941</v>
      </c>
      <c r="AJ486" s="12" t="s">
        <v>942</v>
      </c>
      <c r="AK486" s="16" t="s">
        <v>45</v>
      </c>
      <c r="AL486" s="10" t="s">
        <v>49</v>
      </c>
      <c r="AM486" s="16" t="s">
        <v>45</v>
      </c>
      <c r="AN486" s="10" t="s">
        <v>320</v>
      </c>
    </row>
    <row r="487" ht="30.0" customHeight="1">
      <c r="A487" s="9" t="str">
        <f t="shared" si="36"/>
        <v>Ativo</v>
      </c>
      <c r="B487" s="9" t="str">
        <f t="shared" si="37"/>
        <v>N/I</v>
      </c>
      <c r="C487" s="9" t="str">
        <f t="shared" si="38"/>
        <v>N/I</v>
      </c>
      <c r="D487" s="10" t="s">
        <v>933</v>
      </c>
      <c r="E487" s="11" t="s">
        <v>934</v>
      </c>
      <c r="F487" s="11" t="s">
        <v>1278</v>
      </c>
      <c r="G487" s="12" t="s">
        <v>55</v>
      </c>
      <c r="H487" s="19" t="s">
        <v>1279</v>
      </c>
      <c r="I487" s="12" t="s">
        <v>1280</v>
      </c>
      <c r="J487" s="10" t="s">
        <v>858</v>
      </c>
      <c r="K487" s="10" t="s">
        <v>209</v>
      </c>
      <c r="L487" s="10" t="s">
        <v>4</v>
      </c>
      <c r="M487" s="22">
        <v>45166.0</v>
      </c>
      <c r="N487" s="32" t="s">
        <v>1281</v>
      </c>
      <c r="O487" s="10" t="s">
        <v>1274</v>
      </c>
      <c r="P487" s="10" t="s">
        <v>992</v>
      </c>
      <c r="Q487" s="2"/>
      <c r="R487" s="10">
        <v>36.0</v>
      </c>
      <c r="S487" s="14">
        <v>45166.0</v>
      </c>
      <c r="T487" s="14">
        <v>46261.0</v>
      </c>
      <c r="U487" s="10">
        <f t="shared" si="23"/>
        <v>170</v>
      </c>
      <c r="V487" s="2"/>
      <c r="W487" s="15"/>
      <c r="X487" s="15"/>
      <c r="Y487" s="15"/>
      <c r="Z487" s="15"/>
      <c r="AA487" s="1"/>
      <c r="AB487" s="15"/>
      <c r="AC487" s="15"/>
      <c r="AD487" s="15"/>
      <c r="AE487" s="15"/>
      <c r="AF487" s="2"/>
      <c r="AG487" s="10" t="s">
        <v>354</v>
      </c>
      <c r="AH487" s="12" t="s">
        <v>355</v>
      </c>
      <c r="AI487" s="10" t="s">
        <v>941</v>
      </c>
      <c r="AJ487" s="12" t="s">
        <v>942</v>
      </c>
      <c r="AK487" s="16" t="s">
        <v>45</v>
      </c>
      <c r="AL487" s="10" t="s">
        <v>49</v>
      </c>
      <c r="AM487" s="16" t="s">
        <v>45</v>
      </c>
      <c r="AN487" s="10" t="s">
        <v>320</v>
      </c>
    </row>
    <row r="488" ht="30.0" customHeight="1">
      <c r="A488" s="9" t="str">
        <f t="shared" si="36"/>
        <v>Ativo</v>
      </c>
      <c r="B488" s="9" t="str">
        <f t="shared" si="37"/>
        <v>N/I</v>
      </c>
      <c r="C488" s="9" t="str">
        <f t="shared" si="38"/>
        <v>N/I</v>
      </c>
      <c r="D488" s="10" t="s">
        <v>933</v>
      </c>
      <c r="E488" s="11" t="s">
        <v>934</v>
      </c>
      <c r="F488" s="11" t="s">
        <v>1282</v>
      </c>
      <c r="G488" s="12" t="s">
        <v>55</v>
      </c>
      <c r="H488" s="34" t="s">
        <v>1283</v>
      </c>
      <c r="I488" s="12" t="s">
        <v>1284</v>
      </c>
      <c r="J488" s="10" t="s">
        <v>222</v>
      </c>
      <c r="K488" s="10" t="s">
        <v>40</v>
      </c>
      <c r="L488" s="10" t="s">
        <v>4</v>
      </c>
      <c r="M488" s="22">
        <v>45497.0</v>
      </c>
      <c r="N488" s="32" t="s">
        <v>1285</v>
      </c>
      <c r="O488" s="10" t="s">
        <v>1286</v>
      </c>
      <c r="P488" s="10" t="s">
        <v>940</v>
      </c>
      <c r="Q488" s="2"/>
      <c r="R488" s="10">
        <v>36.0</v>
      </c>
      <c r="S488" s="14">
        <v>45559.0</v>
      </c>
      <c r="T488" s="14">
        <v>46653.0</v>
      </c>
      <c r="U488" s="10">
        <f t="shared" si="23"/>
        <v>562</v>
      </c>
      <c r="V488" s="2"/>
      <c r="W488" s="15"/>
      <c r="X488" s="15"/>
      <c r="Y488" s="15"/>
      <c r="Z488" s="15"/>
      <c r="AA488" s="1"/>
      <c r="AB488" s="15"/>
      <c r="AC488" s="15"/>
      <c r="AD488" s="15"/>
      <c r="AE488" s="15"/>
      <c r="AF488" s="2"/>
      <c r="AG488" s="10" t="s">
        <v>354</v>
      </c>
      <c r="AH488" s="12" t="s">
        <v>355</v>
      </c>
      <c r="AI488" s="10" t="s">
        <v>941</v>
      </c>
      <c r="AJ488" s="12" t="s">
        <v>942</v>
      </c>
      <c r="AK488" s="16" t="s">
        <v>45</v>
      </c>
      <c r="AL488" s="10" t="s">
        <v>49</v>
      </c>
      <c r="AM488" s="16" t="s">
        <v>45</v>
      </c>
      <c r="AN488" s="10" t="s">
        <v>320</v>
      </c>
    </row>
    <row r="489" ht="30.0" customHeight="1">
      <c r="A489" s="9" t="str">
        <f t="shared" si="36"/>
        <v>Ativo</v>
      </c>
      <c r="B489" s="9" t="str">
        <f t="shared" si="37"/>
        <v>N/I</v>
      </c>
      <c r="C489" s="9" t="str">
        <f t="shared" si="38"/>
        <v>N/I</v>
      </c>
      <c r="D489" s="10" t="s">
        <v>933</v>
      </c>
      <c r="E489" s="11" t="s">
        <v>934</v>
      </c>
      <c r="F489" s="11" t="s">
        <v>1287</v>
      </c>
      <c r="G489" s="12" t="s">
        <v>55</v>
      </c>
      <c r="H489" s="34" t="s">
        <v>1288</v>
      </c>
      <c r="I489" s="12" t="s">
        <v>1289</v>
      </c>
      <c r="J489" s="10" t="s">
        <v>132</v>
      </c>
      <c r="K489" s="10" t="s">
        <v>41</v>
      </c>
      <c r="L489" s="10" t="s">
        <v>4</v>
      </c>
      <c r="M489" s="22">
        <v>45435.0</v>
      </c>
      <c r="N489" s="32" t="s">
        <v>1290</v>
      </c>
      <c r="O489" s="10" t="s">
        <v>1291</v>
      </c>
      <c r="P489" s="10" t="s">
        <v>940</v>
      </c>
      <c r="Q489" s="2"/>
      <c r="R489" s="10">
        <v>36.0</v>
      </c>
      <c r="S489" s="14">
        <v>45567.0</v>
      </c>
      <c r="T489" s="14">
        <v>46661.0</v>
      </c>
      <c r="U489" s="10">
        <f t="shared" si="23"/>
        <v>570</v>
      </c>
      <c r="V489" s="2"/>
      <c r="W489" s="15"/>
      <c r="X489" s="15"/>
      <c r="Y489" s="15"/>
      <c r="Z489" s="15"/>
      <c r="AA489" s="1"/>
      <c r="AB489" s="15"/>
      <c r="AC489" s="15"/>
      <c r="AD489" s="15"/>
      <c r="AE489" s="15"/>
      <c r="AF489" s="2"/>
      <c r="AG489" s="10" t="s">
        <v>354</v>
      </c>
      <c r="AH489" s="12" t="s">
        <v>355</v>
      </c>
      <c r="AI489" s="10" t="s">
        <v>941</v>
      </c>
      <c r="AJ489" s="12" t="s">
        <v>942</v>
      </c>
      <c r="AK489" s="16" t="s">
        <v>45</v>
      </c>
      <c r="AL489" s="10" t="s">
        <v>49</v>
      </c>
      <c r="AM489" s="16" t="s">
        <v>45</v>
      </c>
      <c r="AN489" s="10" t="s">
        <v>320</v>
      </c>
    </row>
    <row r="490" ht="30.0" customHeight="1">
      <c r="A490" s="9" t="str">
        <f t="shared" si="36"/>
        <v>Ativo</v>
      </c>
      <c r="B490" s="9" t="str">
        <f t="shared" si="37"/>
        <v>N/I</v>
      </c>
      <c r="C490" s="9" t="str">
        <f t="shared" si="38"/>
        <v>N/I</v>
      </c>
      <c r="D490" s="10" t="s">
        <v>933</v>
      </c>
      <c r="E490" s="11" t="s">
        <v>934</v>
      </c>
      <c r="F490" s="11" t="s">
        <v>1292</v>
      </c>
      <c r="G490" s="12" t="s">
        <v>55</v>
      </c>
      <c r="H490" s="34" t="s">
        <v>1293</v>
      </c>
      <c r="I490" s="12" t="s">
        <v>609</v>
      </c>
      <c r="J490" s="10" t="s">
        <v>610</v>
      </c>
      <c r="K490" s="10" t="s">
        <v>209</v>
      </c>
      <c r="L490" s="10" t="s">
        <v>4</v>
      </c>
      <c r="M490" s="22">
        <v>45313.0</v>
      </c>
      <c r="N490" s="32" t="s">
        <v>1294</v>
      </c>
      <c r="O490" s="10" t="s">
        <v>1295</v>
      </c>
      <c r="P490" s="10" t="s">
        <v>940</v>
      </c>
      <c r="Q490" s="2"/>
      <c r="R490" s="10">
        <v>36.0</v>
      </c>
      <c r="S490" s="14">
        <v>45357.0</v>
      </c>
      <c r="T490" s="14">
        <v>46451.0</v>
      </c>
      <c r="U490" s="10">
        <f t="shared" si="23"/>
        <v>360</v>
      </c>
      <c r="V490" s="2"/>
      <c r="W490" s="15"/>
      <c r="X490" s="15"/>
      <c r="Y490" s="15"/>
      <c r="Z490" s="15"/>
      <c r="AA490" s="1"/>
      <c r="AB490" s="15"/>
      <c r="AC490" s="15"/>
      <c r="AD490" s="15"/>
      <c r="AE490" s="15"/>
      <c r="AF490" s="2"/>
      <c r="AG490" s="10" t="s">
        <v>354</v>
      </c>
      <c r="AH490" s="12" t="s">
        <v>355</v>
      </c>
      <c r="AI490" s="10" t="s">
        <v>941</v>
      </c>
      <c r="AJ490" s="12" t="s">
        <v>942</v>
      </c>
      <c r="AK490" s="16" t="s">
        <v>45</v>
      </c>
      <c r="AL490" s="10" t="s">
        <v>49</v>
      </c>
      <c r="AM490" s="16" t="s">
        <v>45</v>
      </c>
      <c r="AN490" s="10" t="s">
        <v>320</v>
      </c>
    </row>
    <row r="491" ht="30.0" customHeight="1">
      <c r="A491" s="9" t="str">
        <f t="shared" si="36"/>
        <v>Ativo</v>
      </c>
      <c r="B491" s="9" t="str">
        <f t="shared" si="37"/>
        <v>N/I</v>
      </c>
      <c r="C491" s="9" t="str">
        <f t="shared" si="38"/>
        <v>N/I</v>
      </c>
      <c r="D491" s="10" t="s">
        <v>933</v>
      </c>
      <c r="E491" s="11" t="s">
        <v>934</v>
      </c>
      <c r="F491" s="11" t="s">
        <v>1296</v>
      </c>
      <c r="G491" s="12" t="s">
        <v>55</v>
      </c>
      <c r="H491" s="34" t="s">
        <v>1297</v>
      </c>
      <c r="I491" s="12" t="s">
        <v>1298</v>
      </c>
      <c r="J491" s="10" t="s">
        <v>610</v>
      </c>
      <c r="K491" s="10" t="s">
        <v>209</v>
      </c>
      <c r="L491" s="10" t="s">
        <v>4</v>
      </c>
      <c r="M491" s="22">
        <v>45309.0</v>
      </c>
      <c r="N491" s="32" t="s">
        <v>1299</v>
      </c>
      <c r="O491" s="10">
        <v>7.76E7</v>
      </c>
      <c r="P491" s="10" t="s">
        <v>940</v>
      </c>
      <c r="Q491" s="2"/>
      <c r="R491" s="10">
        <v>36.0</v>
      </c>
      <c r="S491" s="14">
        <v>45357.0</v>
      </c>
      <c r="T491" s="14">
        <v>46451.0</v>
      </c>
      <c r="U491" s="10">
        <f t="shared" si="23"/>
        <v>360</v>
      </c>
      <c r="V491" s="2"/>
      <c r="W491" s="15"/>
      <c r="X491" s="15"/>
      <c r="Y491" s="15"/>
      <c r="Z491" s="15"/>
      <c r="AA491" s="1"/>
      <c r="AB491" s="15"/>
      <c r="AC491" s="15"/>
      <c r="AD491" s="15"/>
      <c r="AE491" s="15"/>
      <c r="AF491" s="2"/>
      <c r="AG491" s="10" t="s">
        <v>354</v>
      </c>
      <c r="AH491" s="12" t="s">
        <v>355</v>
      </c>
      <c r="AI491" s="10" t="s">
        <v>941</v>
      </c>
      <c r="AJ491" s="12" t="s">
        <v>942</v>
      </c>
      <c r="AK491" s="16" t="s">
        <v>45</v>
      </c>
      <c r="AL491" s="10" t="s">
        <v>49</v>
      </c>
      <c r="AM491" s="16" t="s">
        <v>45</v>
      </c>
      <c r="AN491" s="10" t="s">
        <v>320</v>
      </c>
    </row>
    <row r="492" ht="30.0" customHeight="1">
      <c r="A492" s="9" t="str">
        <f t="shared" si="36"/>
        <v>Ativo</v>
      </c>
      <c r="B492" s="9" t="str">
        <f t="shared" si="37"/>
        <v>N/I</v>
      </c>
      <c r="C492" s="9" t="str">
        <f t="shared" si="38"/>
        <v>N/I</v>
      </c>
      <c r="D492" s="10" t="s">
        <v>933</v>
      </c>
      <c r="E492" s="11" t="s">
        <v>934</v>
      </c>
      <c r="F492" s="11" t="s">
        <v>1300</v>
      </c>
      <c r="G492" s="12" t="s">
        <v>55</v>
      </c>
      <c r="H492" s="19" t="s">
        <v>1301</v>
      </c>
      <c r="I492" s="12" t="s">
        <v>1302</v>
      </c>
      <c r="J492" s="10" t="s">
        <v>858</v>
      </c>
      <c r="K492" s="10" t="s">
        <v>209</v>
      </c>
      <c r="L492" s="10" t="s">
        <v>4</v>
      </c>
      <c r="M492" s="22">
        <v>45167.0</v>
      </c>
      <c r="N492" s="32" t="s">
        <v>1303</v>
      </c>
      <c r="O492" s="10" t="s">
        <v>1304</v>
      </c>
      <c r="P492" s="10" t="s">
        <v>992</v>
      </c>
      <c r="Q492" s="2"/>
      <c r="R492" s="10">
        <v>36.0</v>
      </c>
      <c r="S492" s="14">
        <v>45218.0</v>
      </c>
      <c r="T492" s="14">
        <v>46313.0</v>
      </c>
      <c r="U492" s="10">
        <f t="shared" si="23"/>
        <v>222</v>
      </c>
      <c r="V492" s="2"/>
      <c r="W492" s="15"/>
      <c r="X492" s="15"/>
      <c r="Y492" s="15"/>
      <c r="Z492" s="15"/>
      <c r="AA492" s="1"/>
      <c r="AB492" s="15"/>
      <c r="AC492" s="15"/>
      <c r="AD492" s="15"/>
      <c r="AE492" s="15"/>
      <c r="AF492" s="2"/>
      <c r="AG492" s="10" t="s">
        <v>354</v>
      </c>
      <c r="AH492" s="12" t="s">
        <v>355</v>
      </c>
      <c r="AI492" s="10" t="s">
        <v>941</v>
      </c>
      <c r="AJ492" s="12" t="s">
        <v>942</v>
      </c>
      <c r="AK492" s="16" t="s">
        <v>45</v>
      </c>
      <c r="AL492" s="10" t="s">
        <v>49</v>
      </c>
      <c r="AM492" s="16" t="s">
        <v>45</v>
      </c>
      <c r="AN492" s="10" t="s">
        <v>320</v>
      </c>
    </row>
    <row r="493" ht="30.0" customHeight="1">
      <c r="A493" s="9" t="str">
        <f t="shared" si="36"/>
        <v>Ativo</v>
      </c>
      <c r="B493" s="9" t="str">
        <f t="shared" si="37"/>
        <v>N/I</v>
      </c>
      <c r="C493" s="9" t="str">
        <f t="shared" si="38"/>
        <v>N/I</v>
      </c>
      <c r="D493" s="10" t="s">
        <v>933</v>
      </c>
      <c r="E493" s="11" t="s">
        <v>934</v>
      </c>
      <c r="F493" s="11" t="s">
        <v>1305</v>
      </c>
      <c r="G493" s="12" t="s">
        <v>55</v>
      </c>
      <c r="H493" s="34" t="s">
        <v>1306</v>
      </c>
      <c r="I493" s="12" t="s">
        <v>1307</v>
      </c>
      <c r="J493" s="10" t="s">
        <v>63</v>
      </c>
      <c r="K493" s="10" t="s">
        <v>41</v>
      </c>
      <c r="L493" s="10" t="s">
        <v>4</v>
      </c>
      <c r="M493" s="22">
        <v>45237.0</v>
      </c>
      <c r="N493" s="32" t="s">
        <v>1308</v>
      </c>
      <c r="O493" s="10" t="s">
        <v>1309</v>
      </c>
      <c r="P493" s="10" t="s">
        <v>940</v>
      </c>
      <c r="Q493" s="2"/>
      <c r="R493" s="10">
        <v>36.0</v>
      </c>
      <c r="S493" s="14">
        <v>45282.0</v>
      </c>
      <c r="T493" s="14">
        <v>46377.0</v>
      </c>
      <c r="U493" s="10">
        <f t="shared" si="23"/>
        <v>286</v>
      </c>
      <c r="V493" s="2"/>
      <c r="W493" s="15"/>
      <c r="X493" s="15"/>
      <c r="Y493" s="15"/>
      <c r="Z493" s="15"/>
      <c r="AA493" s="1"/>
      <c r="AB493" s="15"/>
      <c r="AC493" s="15"/>
      <c r="AD493" s="15"/>
      <c r="AE493" s="15"/>
      <c r="AF493" s="2"/>
      <c r="AG493" s="10" t="s">
        <v>354</v>
      </c>
      <c r="AH493" s="12" t="s">
        <v>355</v>
      </c>
      <c r="AI493" s="10" t="s">
        <v>941</v>
      </c>
      <c r="AJ493" s="12" t="s">
        <v>942</v>
      </c>
      <c r="AK493" s="16" t="s">
        <v>45</v>
      </c>
      <c r="AL493" s="10" t="s">
        <v>49</v>
      </c>
      <c r="AM493" s="16" t="s">
        <v>45</v>
      </c>
      <c r="AN493" s="10" t="s">
        <v>320</v>
      </c>
    </row>
    <row r="494" ht="30.0" customHeight="1">
      <c r="A494" s="9" t="str">
        <f>IF(U493&lt;0,"Inativo",IF(U493&gt;0,"Ativo","N/I"))</f>
        <v>Ativo</v>
      </c>
      <c r="B494" s="9" t="str">
        <f>IF(Z493&lt;0,"Inativo",IF(Z493&gt;0,"Ativo","N/I"))</f>
        <v>N/I</v>
      </c>
      <c r="C494" s="9" t="str">
        <f>IF(AE493&lt;0,"Inativo",IF(AE493&gt;0,"Ativo","N/I"))</f>
        <v>N/I</v>
      </c>
      <c r="D494" s="10" t="s">
        <v>933</v>
      </c>
      <c r="E494" s="11" t="s">
        <v>934</v>
      </c>
      <c r="F494" s="11" t="s">
        <v>1310</v>
      </c>
      <c r="G494" s="12" t="s">
        <v>55</v>
      </c>
      <c r="H494" s="34" t="s">
        <v>1311</v>
      </c>
      <c r="I494" s="12" t="s">
        <v>1312</v>
      </c>
      <c r="J494" s="10" t="s">
        <v>895</v>
      </c>
      <c r="K494" s="10" t="s">
        <v>41</v>
      </c>
      <c r="L494" s="10" t="s">
        <v>4</v>
      </c>
      <c r="M494" s="14">
        <v>45372.0</v>
      </c>
      <c r="N494" s="32" t="s">
        <v>1313</v>
      </c>
      <c r="O494" s="10" t="s">
        <v>1314</v>
      </c>
      <c r="P494" s="10" t="s">
        <v>940</v>
      </c>
      <c r="Q494" s="2"/>
      <c r="R494" s="10">
        <v>36.0</v>
      </c>
      <c r="S494" s="14">
        <v>45372.0</v>
      </c>
      <c r="T494" s="14">
        <v>46466.0</v>
      </c>
      <c r="U494" s="10">
        <f t="shared" si="23"/>
        <v>375</v>
      </c>
      <c r="V494" s="2"/>
      <c r="W494" s="15"/>
      <c r="X494" s="15"/>
      <c r="Y494" s="15"/>
      <c r="Z494" s="15"/>
      <c r="AA494" s="1"/>
      <c r="AB494" s="15"/>
      <c r="AC494" s="15"/>
      <c r="AD494" s="15"/>
      <c r="AE494" s="15"/>
      <c r="AF494" s="2"/>
      <c r="AG494" s="10" t="s">
        <v>354</v>
      </c>
      <c r="AH494" s="12" t="s">
        <v>355</v>
      </c>
      <c r="AI494" s="10" t="s">
        <v>941</v>
      </c>
      <c r="AJ494" s="12" t="s">
        <v>942</v>
      </c>
      <c r="AK494" s="16" t="s">
        <v>45</v>
      </c>
      <c r="AL494" s="10" t="s">
        <v>49</v>
      </c>
      <c r="AM494" s="16" t="s">
        <v>45</v>
      </c>
      <c r="AN494" s="10" t="s">
        <v>320</v>
      </c>
    </row>
    <row r="495" ht="30.0" customHeight="1">
      <c r="A495" s="9" t="str">
        <f t="shared" ref="A495:A511" si="39">IF(U495&lt;0,"Inativo",IF(U495&gt;0,"Ativo","N/I"))</f>
        <v>Ativo</v>
      </c>
      <c r="B495" s="9" t="str">
        <f t="shared" ref="B495:B511" si="40">IF(Z495&lt;0,"Inativo",IF(Z495&gt;0,"Ativo","N/I"))</f>
        <v>N/I</v>
      </c>
      <c r="C495" s="9" t="str">
        <f t="shared" ref="C495:C511" si="41">IF(AE495&lt;0,"Inativo",IF(AE495&gt;0,"Ativo","N/I"))</f>
        <v>N/I</v>
      </c>
      <c r="D495" s="10" t="s">
        <v>933</v>
      </c>
      <c r="E495" s="11" t="s">
        <v>934</v>
      </c>
      <c r="F495" s="11" t="s">
        <v>1315</v>
      </c>
      <c r="G495" s="12" t="s">
        <v>55</v>
      </c>
      <c r="H495" s="34" t="s">
        <v>1316</v>
      </c>
      <c r="I495" s="12" t="s">
        <v>1317</v>
      </c>
      <c r="J495" s="10" t="s">
        <v>1097</v>
      </c>
      <c r="K495" s="10" t="s">
        <v>190</v>
      </c>
      <c r="L495" s="10" t="s">
        <v>4</v>
      </c>
      <c r="M495" s="22">
        <v>45245.0</v>
      </c>
      <c r="N495" s="32" t="s">
        <v>1318</v>
      </c>
      <c r="O495" s="10" t="s">
        <v>1319</v>
      </c>
      <c r="P495" s="10" t="s">
        <v>940</v>
      </c>
      <c r="Q495" s="2"/>
      <c r="R495" s="10">
        <v>36.0</v>
      </c>
      <c r="S495" s="14">
        <v>45327.0</v>
      </c>
      <c r="T495" s="14">
        <v>46422.0</v>
      </c>
      <c r="U495" s="10">
        <f t="shared" si="23"/>
        <v>331</v>
      </c>
      <c r="V495" s="2"/>
      <c r="W495" s="15"/>
      <c r="X495" s="15"/>
      <c r="Y495" s="15"/>
      <c r="Z495" s="15"/>
      <c r="AA495" s="1"/>
      <c r="AB495" s="15"/>
      <c r="AC495" s="15"/>
      <c r="AD495" s="15"/>
      <c r="AE495" s="15"/>
      <c r="AF495" s="2"/>
      <c r="AG495" s="10" t="s">
        <v>354</v>
      </c>
      <c r="AH495" s="12" t="s">
        <v>355</v>
      </c>
      <c r="AI495" s="10" t="s">
        <v>941</v>
      </c>
      <c r="AJ495" s="12" t="s">
        <v>942</v>
      </c>
      <c r="AK495" s="16" t="s">
        <v>45</v>
      </c>
      <c r="AL495" s="10" t="s">
        <v>49</v>
      </c>
      <c r="AM495" s="16" t="s">
        <v>45</v>
      </c>
      <c r="AN495" s="10" t="s">
        <v>320</v>
      </c>
    </row>
    <row r="496" ht="30.0" customHeight="1">
      <c r="A496" s="9" t="str">
        <f t="shared" si="39"/>
        <v>Ativo</v>
      </c>
      <c r="B496" s="9" t="str">
        <f t="shared" si="40"/>
        <v>N/I</v>
      </c>
      <c r="C496" s="9" t="str">
        <f t="shared" si="41"/>
        <v>N/I</v>
      </c>
      <c r="D496" s="10" t="s">
        <v>933</v>
      </c>
      <c r="E496" s="11" t="s">
        <v>934</v>
      </c>
      <c r="F496" s="11" t="s">
        <v>1320</v>
      </c>
      <c r="G496" s="12" t="s">
        <v>55</v>
      </c>
      <c r="H496" s="34" t="s">
        <v>1321</v>
      </c>
      <c r="I496" s="12" t="s">
        <v>621</v>
      </c>
      <c r="J496" s="10" t="s">
        <v>132</v>
      </c>
      <c r="K496" s="10" t="s">
        <v>41</v>
      </c>
      <c r="L496" s="10" t="s">
        <v>4</v>
      </c>
      <c r="M496" s="22">
        <v>45236.0</v>
      </c>
      <c r="N496" s="32" t="s">
        <v>1322</v>
      </c>
      <c r="O496" s="10" t="s">
        <v>1323</v>
      </c>
      <c r="P496" s="10" t="s">
        <v>940</v>
      </c>
      <c r="Q496" s="2"/>
      <c r="R496" s="10">
        <v>36.0</v>
      </c>
      <c r="S496" s="14">
        <v>45272.0</v>
      </c>
      <c r="T496" s="14">
        <v>46367.0</v>
      </c>
      <c r="U496" s="10">
        <f t="shared" si="23"/>
        <v>276</v>
      </c>
      <c r="V496" s="2"/>
      <c r="W496" s="15"/>
      <c r="X496" s="15"/>
      <c r="Y496" s="15"/>
      <c r="Z496" s="15"/>
      <c r="AA496" s="1"/>
      <c r="AB496" s="15"/>
      <c r="AC496" s="15"/>
      <c r="AD496" s="15"/>
      <c r="AE496" s="15"/>
      <c r="AF496" s="2"/>
      <c r="AG496" s="10" t="s">
        <v>354</v>
      </c>
      <c r="AH496" s="12" t="s">
        <v>355</v>
      </c>
      <c r="AI496" s="10" t="s">
        <v>941</v>
      </c>
      <c r="AJ496" s="12" t="s">
        <v>942</v>
      </c>
      <c r="AK496" s="16" t="s">
        <v>45</v>
      </c>
      <c r="AL496" s="10" t="s">
        <v>49</v>
      </c>
      <c r="AM496" s="16" t="s">
        <v>45</v>
      </c>
      <c r="AN496" s="10" t="s">
        <v>320</v>
      </c>
    </row>
    <row r="497" ht="30.0" customHeight="1">
      <c r="A497" s="9" t="str">
        <f t="shared" si="39"/>
        <v>Ativo</v>
      </c>
      <c r="B497" s="9" t="str">
        <f t="shared" si="40"/>
        <v>N/I</v>
      </c>
      <c r="C497" s="9" t="str">
        <f t="shared" si="41"/>
        <v>N/I</v>
      </c>
      <c r="D497" s="10" t="s">
        <v>933</v>
      </c>
      <c r="E497" s="11" t="s">
        <v>934</v>
      </c>
      <c r="F497" s="11" t="s">
        <v>1324</v>
      </c>
      <c r="G497" s="12" t="s">
        <v>55</v>
      </c>
      <c r="H497" s="34" t="s">
        <v>1325</v>
      </c>
      <c r="I497" s="12" t="s">
        <v>1326</v>
      </c>
      <c r="J497" s="10" t="s">
        <v>652</v>
      </c>
      <c r="K497" s="10" t="s">
        <v>41</v>
      </c>
      <c r="L497" s="10" t="s">
        <v>4</v>
      </c>
      <c r="M497" s="22">
        <v>45377.0</v>
      </c>
      <c r="N497" s="32" t="s">
        <v>1327</v>
      </c>
      <c r="O497" s="10" t="s">
        <v>1328</v>
      </c>
      <c r="P497" s="10" t="s">
        <v>940</v>
      </c>
      <c r="Q497" s="2"/>
      <c r="R497" s="10">
        <v>36.0</v>
      </c>
      <c r="S497" s="14">
        <v>45447.0</v>
      </c>
      <c r="T497" s="14">
        <v>46541.0</v>
      </c>
      <c r="U497" s="10">
        <f t="shared" si="23"/>
        <v>450</v>
      </c>
      <c r="V497" s="2"/>
      <c r="W497" s="15"/>
      <c r="X497" s="15"/>
      <c r="Y497" s="15"/>
      <c r="Z497" s="15"/>
      <c r="AA497" s="1"/>
      <c r="AB497" s="15"/>
      <c r="AC497" s="15"/>
      <c r="AD497" s="15"/>
      <c r="AE497" s="15"/>
      <c r="AF497" s="2"/>
      <c r="AG497" s="10" t="s">
        <v>354</v>
      </c>
      <c r="AH497" s="12" t="s">
        <v>355</v>
      </c>
      <c r="AI497" s="10" t="s">
        <v>941</v>
      </c>
      <c r="AJ497" s="12" t="s">
        <v>942</v>
      </c>
      <c r="AK497" s="16" t="s">
        <v>45</v>
      </c>
      <c r="AL497" s="10" t="s">
        <v>49</v>
      </c>
      <c r="AM497" s="16" t="s">
        <v>45</v>
      </c>
      <c r="AN497" s="10" t="s">
        <v>320</v>
      </c>
    </row>
    <row r="498" ht="30.0" customHeight="1">
      <c r="A498" s="9" t="str">
        <f t="shared" si="39"/>
        <v>Ativo</v>
      </c>
      <c r="B498" s="9" t="str">
        <f t="shared" si="40"/>
        <v>N/I</v>
      </c>
      <c r="C498" s="9" t="str">
        <f t="shared" si="41"/>
        <v>N/I</v>
      </c>
      <c r="D498" s="10" t="s">
        <v>933</v>
      </c>
      <c r="E498" s="11" t="s">
        <v>934</v>
      </c>
      <c r="F498" s="11" t="s">
        <v>1329</v>
      </c>
      <c r="G498" s="12" t="s">
        <v>55</v>
      </c>
      <c r="H498" s="34" t="s">
        <v>1330</v>
      </c>
      <c r="I498" s="12" t="s">
        <v>1331</v>
      </c>
      <c r="J498" s="10" t="s">
        <v>870</v>
      </c>
      <c r="K498" s="10" t="s">
        <v>209</v>
      </c>
      <c r="L498" s="10" t="s">
        <v>4</v>
      </c>
      <c r="M498" s="22">
        <v>45456.0</v>
      </c>
      <c r="N498" s="32" t="s">
        <v>1332</v>
      </c>
      <c r="O498" s="10" t="s">
        <v>1333</v>
      </c>
      <c r="P498" s="10" t="s">
        <v>940</v>
      </c>
      <c r="Q498" s="2"/>
      <c r="R498" s="10">
        <v>36.0</v>
      </c>
      <c r="S498" s="14">
        <v>45456.0</v>
      </c>
      <c r="T498" s="14">
        <v>46550.0</v>
      </c>
      <c r="U498" s="10">
        <f t="shared" si="23"/>
        <v>459</v>
      </c>
      <c r="V498" s="2"/>
      <c r="W498" s="15"/>
      <c r="X498" s="15"/>
      <c r="Y498" s="15"/>
      <c r="Z498" s="15"/>
      <c r="AA498" s="1"/>
      <c r="AB498" s="15"/>
      <c r="AC498" s="15"/>
      <c r="AD498" s="15"/>
      <c r="AE498" s="15"/>
      <c r="AF498" s="2"/>
      <c r="AG498" s="10" t="s">
        <v>354</v>
      </c>
      <c r="AH498" s="12" t="s">
        <v>355</v>
      </c>
      <c r="AI498" s="10" t="s">
        <v>941</v>
      </c>
      <c r="AJ498" s="12" t="s">
        <v>942</v>
      </c>
      <c r="AK498" s="16" t="s">
        <v>45</v>
      </c>
      <c r="AL498" s="10" t="s">
        <v>49</v>
      </c>
      <c r="AM498" s="16" t="s">
        <v>45</v>
      </c>
      <c r="AN498" s="10" t="s">
        <v>320</v>
      </c>
    </row>
    <row r="499" ht="30.0" customHeight="1">
      <c r="A499" s="9" t="str">
        <f t="shared" si="39"/>
        <v>Ativo</v>
      </c>
      <c r="B499" s="9" t="str">
        <f t="shared" si="40"/>
        <v>N/I</v>
      </c>
      <c r="C499" s="9" t="str">
        <f t="shared" si="41"/>
        <v>N/I</v>
      </c>
      <c r="D499" s="10" t="s">
        <v>933</v>
      </c>
      <c r="E499" s="11" t="s">
        <v>934</v>
      </c>
      <c r="F499" s="11" t="s">
        <v>1334</v>
      </c>
      <c r="G499" s="12" t="s">
        <v>55</v>
      </c>
      <c r="H499" s="34" t="s">
        <v>1335</v>
      </c>
      <c r="I499" s="12" t="s">
        <v>1336</v>
      </c>
      <c r="J499" s="10" t="s">
        <v>283</v>
      </c>
      <c r="K499" s="10" t="s">
        <v>263</v>
      </c>
      <c r="L499" s="10" t="s">
        <v>4</v>
      </c>
      <c r="M499" s="22">
        <v>45364.0</v>
      </c>
      <c r="N499" s="32" t="s">
        <v>1337</v>
      </c>
      <c r="O499" s="10" t="s">
        <v>1338</v>
      </c>
      <c r="P499" s="10" t="s">
        <v>992</v>
      </c>
      <c r="Q499" s="2"/>
      <c r="R499" s="10">
        <v>36.0</v>
      </c>
      <c r="S499" s="14">
        <v>45364.0</v>
      </c>
      <c r="T499" s="14">
        <v>46458.0</v>
      </c>
      <c r="U499" s="10">
        <f t="shared" si="23"/>
        <v>367</v>
      </c>
      <c r="V499" s="2"/>
      <c r="W499" s="15"/>
      <c r="X499" s="15"/>
      <c r="Y499" s="15"/>
      <c r="Z499" s="15"/>
      <c r="AA499" s="1"/>
      <c r="AB499" s="15"/>
      <c r="AC499" s="15"/>
      <c r="AD499" s="15"/>
      <c r="AE499" s="15"/>
      <c r="AF499" s="2"/>
      <c r="AG499" s="10" t="s">
        <v>354</v>
      </c>
      <c r="AH499" s="12" t="s">
        <v>355</v>
      </c>
      <c r="AI499" s="10" t="s">
        <v>941</v>
      </c>
      <c r="AJ499" s="12" t="s">
        <v>942</v>
      </c>
      <c r="AK499" s="16" t="s">
        <v>45</v>
      </c>
      <c r="AL499" s="10" t="s">
        <v>49</v>
      </c>
      <c r="AM499" s="16" t="s">
        <v>45</v>
      </c>
      <c r="AN499" s="10" t="s">
        <v>320</v>
      </c>
    </row>
    <row r="500" ht="30.0" customHeight="1">
      <c r="A500" s="9" t="str">
        <f t="shared" si="39"/>
        <v>Ativo</v>
      </c>
      <c r="B500" s="9" t="str">
        <f t="shared" si="40"/>
        <v>N/I</v>
      </c>
      <c r="C500" s="9" t="str">
        <f t="shared" si="41"/>
        <v>N/I</v>
      </c>
      <c r="D500" s="10" t="s">
        <v>933</v>
      </c>
      <c r="E500" s="11" t="s">
        <v>934</v>
      </c>
      <c r="F500" s="11" t="s">
        <v>1339</v>
      </c>
      <c r="G500" s="12" t="s">
        <v>55</v>
      </c>
      <c r="H500" s="34" t="s">
        <v>1340</v>
      </c>
      <c r="I500" s="12" t="s">
        <v>1336</v>
      </c>
      <c r="J500" s="10" t="s">
        <v>283</v>
      </c>
      <c r="K500" s="10" t="s">
        <v>263</v>
      </c>
      <c r="L500" s="10" t="s">
        <v>4</v>
      </c>
      <c r="M500" s="22">
        <v>45372.0</v>
      </c>
      <c r="N500" s="32" t="s">
        <v>1341</v>
      </c>
      <c r="O500" s="10" t="s">
        <v>1342</v>
      </c>
      <c r="P500" s="10" t="s">
        <v>992</v>
      </c>
      <c r="Q500" s="2"/>
      <c r="R500" s="10">
        <v>36.0</v>
      </c>
      <c r="S500" s="14">
        <v>45372.0</v>
      </c>
      <c r="T500" s="14">
        <v>46466.0</v>
      </c>
      <c r="U500" s="10">
        <f t="shared" si="23"/>
        <v>375</v>
      </c>
      <c r="V500" s="2"/>
      <c r="W500" s="15"/>
      <c r="X500" s="15"/>
      <c r="Y500" s="15"/>
      <c r="Z500" s="15"/>
      <c r="AA500" s="1"/>
      <c r="AB500" s="15"/>
      <c r="AC500" s="15"/>
      <c r="AD500" s="15"/>
      <c r="AE500" s="15"/>
      <c r="AF500" s="2"/>
      <c r="AG500" s="10" t="s">
        <v>354</v>
      </c>
      <c r="AH500" s="12" t="s">
        <v>355</v>
      </c>
      <c r="AI500" s="10" t="s">
        <v>941</v>
      </c>
      <c r="AJ500" s="12" t="s">
        <v>942</v>
      </c>
      <c r="AK500" s="16" t="s">
        <v>45</v>
      </c>
      <c r="AL500" s="10" t="s">
        <v>49</v>
      </c>
      <c r="AM500" s="16" t="s">
        <v>45</v>
      </c>
      <c r="AN500" s="10" t="s">
        <v>320</v>
      </c>
    </row>
    <row r="501" ht="30.0" customHeight="1">
      <c r="A501" s="9" t="str">
        <f t="shared" si="39"/>
        <v>Ativo</v>
      </c>
      <c r="B501" s="9" t="str">
        <f t="shared" si="40"/>
        <v>N/I</v>
      </c>
      <c r="C501" s="9" t="str">
        <f t="shared" si="41"/>
        <v>N/I</v>
      </c>
      <c r="D501" s="10" t="s">
        <v>933</v>
      </c>
      <c r="E501" s="11" t="s">
        <v>934</v>
      </c>
      <c r="F501" s="11" t="s">
        <v>1343</v>
      </c>
      <c r="G501" s="12" t="s">
        <v>55</v>
      </c>
      <c r="H501" s="34" t="s">
        <v>1344</v>
      </c>
      <c r="I501" s="12" t="s">
        <v>1345</v>
      </c>
      <c r="J501" s="10" t="s">
        <v>521</v>
      </c>
      <c r="K501" s="10" t="s">
        <v>263</v>
      </c>
      <c r="L501" s="10" t="s">
        <v>4</v>
      </c>
      <c r="M501" s="22">
        <v>45629.0</v>
      </c>
      <c r="N501" s="32" t="s">
        <v>1346</v>
      </c>
      <c r="O501" s="10" t="s">
        <v>1347</v>
      </c>
      <c r="P501" s="10" t="s">
        <v>940</v>
      </c>
      <c r="Q501" s="2"/>
      <c r="R501" s="10">
        <v>36.0</v>
      </c>
      <c r="S501" s="14">
        <v>45648.0</v>
      </c>
      <c r="T501" s="14">
        <v>46742.0</v>
      </c>
      <c r="U501" s="10">
        <f t="shared" si="23"/>
        <v>651</v>
      </c>
      <c r="V501" s="2"/>
      <c r="W501" s="15"/>
      <c r="X501" s="15"/>
      <c r="Y501" s="15"/>
      <c r="Z501" s="15"/>
      <c r="AA501" s="1"/>
      <c r="AB501" s="15"/>
      <c r="AC501" s="15"/>
      <c r="AD501" s="15"/>
      <c r="AE501" s="15"/>
      <c r="AF501" s="2"/>
      <c r="AG501" s="10" t="s">
        <v>354</v>
      </c>
      <c r="AH501" s="12" t="s">
        <v>355</v>
      </c>
      <c r="AI501" s="10" t="s">
        <v>941</v>
      </c>
      <c r="AJ501" s="12" t="s">
        <v>942</v>
      </c>
      <c r="AK501" s="16" t="s">
        <v>45</v>
      </c>
      <c r="AL501" s="10" t="s">
        <v>49</v>
      </c>
      <c r="AM501" s="16" t="s">
        <v>45</v>
      </c>
      <c r="AN501" s="10" t="s">
        <v>320</v>
      </c>
    </row>
    <row r="502" ht="30.0" customHeight="1">
      <c r="A502" s="9" t="str">
        <f t="shared" si="39"/>
        <v>Ativo</v>
      </c>
      <c r="B502" s="9" t="str">
        <f t="shared" si="40"/>
        <v>N/I</v>
      </c>
      <c r="C502" s="9" t="str">
        <f t="shared" si="41"/>
        <v>N/I</v>
      </c>
      <c r="D502" s="10" t="s">
        <v>933</v>
      </c>
      <c r="E502" s="11" t="s">
        <v>934</v>
      </c>
      <c r="F502" s="11" t="s">
        <v>1343</v>
      </c>
      <c r="G502" s="12" t="s">
        <v>55</v>
      </c>
      <c r="H502" s="34" t="s">
        <v>1348</v>
      </c>
      <c r="I502" s="12" t="s">
        <v>1345</v>
      </c>
      <c r="J502" s="10" t="s">
        <v>521</v>
      </c>
      <c r="K502" s="10" t="s">
        <v>263</v>
      </c>
      <c r="L502" s="10" t="s">
        <v>4</v>
      </c>
      <c r="M502" s="22">
        <v>45629.0</v>
      </c>
      <c r="N502" s="32" t="s">
        <v>1346</v>
      </c>
      <c r="O502" s="10" t="s">
        <v>1347</v>
      </c>
      <c r="P502" s="10" t="s">
        <v>940</v>
      </c>
      <c r="Q502" s="2"/>
      <c r="R502" s="10">
        <v>36.0</v>
      </c>
      <c r="S502" s="14">
        <v>45648.0</v>
      </c>
      <c r="T502" s="14">
        <v>46742.0</v>
      </c>
      <c r="U502" s="10">
        <f t="shared" si="23"/>
        <v>651</v>
      </c>
      <c r="V502" s="2"/>
      <c r="W502" s="15"/>
      <c r="X502" s="15"/>
      <c r="Y502" s="15"/>
      <c r="Z502" s="15"/>
      <c r="AA502" s="1"/>
      <c r="AB502" s="15"/>
      <c r="AC502" s="15"/>
      <c r="AD502" s="15"/>
      <c r="AE502" s="15"/>
      <c r="AF502" s="2"/>
      <c r="AG502" s="10" t="s">
        <v>354</v>
      </c>
      <c r="AH502" s="12" t="s">
        <v>355</v>
      </c>
      <c r="AI502" s="10" t="s">
        <v>941</v>
      </c>
      <c r="AJ502" s="12" t="s">
        <v>942</v>
      </c>
      <c r="AK502" s="16" t="s">
        <v>45</v>
      </c>
      <c r="AL502" s="10" t="s">
        <v>49</v>
      </c>
      <c r="AM502" s="16" t="s">
        <v>45</v>
      </c>
      <c r="AN502" s="10" t="s">
        <v>320</v>
      </c>
    </row>
    <row r="503" ht="30.0" customHeight="1">
      <c r="A503" s="9" t="str">
        <f t="shared" si="39"/>
        <v>Inativo</v>
      </c>
      <c r="B503" s="9" t="str">
        <f t="shared" si="40"/>
        <v>N/I</v>
      </c>
      <c r="C503" s="9" t="str">
        <f t="shared" si="41"/>
        <v>N/I</v>
      </c>
      <c r="D503" s="10" t="s">
        <v>933</v>
      </c>
      <c r="E503" s="11" t="s">
        <v>1014</v>
      </c>
      <c r="F503" s="11" t="s">
        <v>1349</v>
      </c>
      <c r="G503" s="12" t="s">
        <v>52</v>
      </c>
      <c r="H503" s="20" t="s">
        <v>1350</v>
      </c>
      <c r="I503" s="12" t="s">
        <v>869</v>
      </c>
      <c r="J503" s="10" t="s">
        <v>870</v>
      </c>
      <c r="K503" s="10" t="s">
        <v>209</v>
      </c>
      <c r="L503" s="10" t="s">
        <v>4</v>
      </c>
      <c r="M503" s="22">
        <v>44781.0</v>
      </c>
      <c r="N503" s="32" t="s">
        <v>1351</v>
      </c>
      <c r="O503" s="10" t="s">
        <v>1352</v>
      </c>
      <c r="P503" s="10" t="s">
        <v>1019</v>
      </c>
      <c r="Q503" s="2"/>
      <c r="R503" s="10">
        <v>12.0</v>
      </c>
      <c r="S503" s="14">
        <v>44781.0</v>
      </c>
      <c r="T503" s="14">
        <v>45146.0</v>
      </c>
      <c r="U503" s="10">
        <f t="shared" si="23"/>
        <v>-945</v>
      </c>
      <c r="V503" s="2"/>
      <c r="W503" s="15"/>
      <c r="X503" s="15"/>
      <c r="Y503" s="15"/>
      <c r="Z503" s="15"/>
      <c r="AA503" s="1"/>
      <c r="AB503" s="15"/>
      <c r="AC503" s="15"/>
      <c r="AD503" s="15"/>
      <c r="AE503" s="15"/>
      <c r="AF503" s="2"/>
      <c r="AG503" s="10" t="s">
        <v>354</v>
      </c>
      <c r="AH503" s="12" t="s">
        <v>355</v>
      </c>
      <c r="AI503" s="16" t="s">
        <v>45</v>
      </c>
      <c r="AJ503" s="12" t="s">
        <v>1020</v>
      </c>
      <c r="AK503" s="12" t="s">
        <v>1021</v>
      </c>
      <c r="AL503" s="12" t="s">
        <v>49</v>
      </c>
      <c r="AM503" s="12" t="s">
        <v>1021</v>
      </c>
      <c r="AN503" s="16" t="s">
        <v>45</v>
      </c>
    </row>
    <row r="504" ht="30.0" customHeight="1">
      <c r="A504" s="9" t="str">
        <f t="shared" si="39"/>
        <v>Ativo</v>
      </c>
      <c r="B504" s="9" t="str">
        <f t="shared" si="40"/>
        <v>N/I</v>
      </c>
      <c r="C504" s="9" t="str">
        <f t="shared" si="41"/>
        <v>N/I</v>
      </c>
      <c r="D504" s="10" t="s">
        <v>933</v>
      </c>
      <c r="E504" s="11" t="s">
        <v>934</v>
      </c>
      <c r="F504" s="11" t="s">
        <v>1353</v>
      </c>
      <c r="G504" s="12" t="s">
        <v>55</v>
      </c>
      <c r="H504" s="34" t="s">
        <v>1354</v>
      </c>
      <c r="I504" s="12" t="s">
        <v>1355</v>
      </c>
      <c r="J504" s="10" t="s">
        <v>132</v>
      </c>
      <c r="K504" s="10" t="s">
        <v>41</v>
      </c>
      <c r="L504" s="10" t="s">
        <v>4</v>
      </c>
      <c r="M504" s="22">
        <v>45433.0</v>
      </c>
      <c r="N504" s="32" t="s">
        <v>1356</v>
      </c>
      <c r="O504" s="10" t="s">
        <v>1357</v>
      </c>
      <c r="P504" s="10" t="s">
        <v>940</v>
      </c>
      <c r="Q504" s="2"/>
      <c r="R504" s="10">
        <v>36.0</v>
      </c>
      <c r="S504" s="14">
        <v>45433.0</v>
      </c>
      <c r="T504" s="14">
        <v>46527.0</v>
      </c>
      <c r="U504" s="10">
        <f t="shared" si="23"/>
        <v>436</v>
      </c>
      <c r="V504" s="2"/>
      <c r="W504" s="15"/>
      <c r="X504" s="15"/>
      <c r="Y504" s="15"/>
      <c r="Z504" s="15"/>
      <c r="AA504" s="1"/>
      <c r="AB504" s="15"/>
      <c r="AC504" s="15"/>
      <c r="AD504" s="15"/>
      <c r="AE504" s="15"/>
      <c r="AF504" s="2"/>
      <c r="AG504" s="10" t="s">
        <v>354</v>
      </c>
      <c r="AH504" s="12" t="s">
        <v>355</v>
      </c>
      <c r="AI504" s="10" t="s">
        <v>941</v>
      </c>
      <c r="AJ504" s="12" t="s">
        <v>942</v>
      </c>
      <c r="AK504" s="16" t="s">
        <v>45</v>
      </c>
      <c r="AL504" s="10" t="s">
        <v>49</v>
      </c>
      <c r="AM504" s="16" t="s">
        <v>45</v>
      </c>
      <c r="AN504" s="10" t="s">
        <v>320</v>
      </c>
    </row>
    <row r="505" ht="30.0" customHeight="1">
      <c r="A505" s="9" t="str">
        <f t="shared" si="39"/>
        <v>Ativo</v>
      </c>
      <c r="B505" s="9" t="str">
        <f t="shared" si="40"/>
        <v>N/I</v>
      </c>
      <c r="C505" s="9" t="str">
        <f t="shared" si="41"/>
        <v>N/I</v>
      </c>
      <c r="D505" s="10" t="s">
        <v>933</v>
      </c>
      <c r="E505" s="11" t="s">
        <v>934</v>
      </c>
      <c r="F505" s="11" t="s">
        <v>1358</v>
      </c>
      <c r="G505" s="12" t="s">
        <v>55</v>
      </c>
      <c r="H505" s="34" t="s">
        <v>1359</v>
      </c>
      <c r="I505" s="12" t="s">
        <v>131</v>
      </c>
      <c r="J505" s="10" t="s">
        <v>132</v>
      </c>
      <c r="K505" s="10" t="s">
        <v>41</v>
      </c>
      <c r="L505" s="10" t="s">
        <v>4</v>
      </c>
      <c r="M505" s="22">
        <v>45239.0</v>
      </c>
      <c r="N505" s="32" t="s">
        <v>1360</v>
      </c>
      <c r="O505" s="10" t="s">
        <v>1361</v>
      </c>
      <c r="P505" s="10" t="s">
        <v>940</v>
      </c>
      <c r="Q505" s="2"/>
      <c r="R505" s="10">
        <v>36.0</v>
      </c>
      <c r="S505" s="14">
        <v>45272.0</v>
      </c>
      <c r="T505" s="14">
        <v>46367.0</v>
      </c>
      <c r="U505" s="10">
        <f t="shared" si="23"/>
        <v>276</v>
      </c>
      <c r="V505" s="2"/>
      <c r="W505" s="15"/>
      <c r="X505" s="15"/>
      <c r="Y505" s="15"/>
      <c r="Z505" s="15"/>
      <c r="AA505" s="1"/>
      <c r="AB505" s="15"/>
      <c r="AC505" s="15"/>
      <c r="AD505" s="15"/>
      <c r="AE505" s="15"/>
      <c r="AF505" s="2"/>
      <c r="AG505" s="10" t="s">
        <v>354</v>
      </c>
      <c r="AH505" s="12" t="s">
        <v>355</v>
      </c>
      <c r="AI505" s="10" t="s">
        <v>941</v>
      </c>
      <c r="AJ505" s="12" t="s">
        <v>942</v>
      </c>
      <c r="AK505" s="16" t="s">
        <v>45</v>
      </c>
      <c r="AL505" s="10" t="s">
        <v>49</v>
      </c>
      <c r="AM505" s="16" t="s">
        <v>45</v>
      </c>
      <c r="AN505" s="10" t="s">
        <v>320</v>
      </c>
    </row>
    <row r="506" ht="30.0" customHeight="1">
      <c r="A506" s="9" t="str">
        <f t="shared" si="39"/>
        <v>Ativo</v>
      </c>
      <c r="B506" s="9" t="str">
        <f t="shared" si="40"/>
        <v>N/I</v>
      </c>
      <c r="C506" s="9" t="str">
        <f t="shared" si="41"/>
        <v>N/I</v>
      </c>
      <c r="D506" s="10" t="s">
        <v>933</v>
      </c>
      <c r="E506" s="11" t="s">
        <v>934</v>
      </c>
      <c r="F506" s="11" t="s">
        <v>1362</v>
      </c>
      <c r="G506" s="12" t="s">
        <v>55</v>
      </c>
      <c r="H506" s="34" t="s">
        <v>1363</v>
      </c>
      <c r="I506" s="12" t="s">
        <v>131</v>
      </c>
      <c r="J506" s="10" t="s">
        <v>132</v>
      </c>
      <c r="K506" s="10" t="s">
        <v>41</v>
      </c>
      <c r="L506" s="10" t="s">
        <v>4</v>
      </c>
      <c r="M506" s="22">
        <v>45552.0</v>
      </c>
      <c r="N506" s="32" t="s">
        <v>1364</v>
      </c>
      <c r="O506" s="10" t="s">
        <v>1361</v>
      </c>
      <c r="P506" s="10" t="s">
        <v>940</v>
      </c>
      <c r="Q506" s="2"/>
      <c r="R506" s="10">
        <v>36.0</v>
      </c>
      <c r="S506" s="14">
        <v>45567.0</v>
      </c>
      <c r="T506" s="14">
        <v>46661.0</v>
      </c>
      <c r="U506" s="10">
        <f t="shared" si="23"/>
        <v>570</v>
      </c>
      <c r="V506" s="2"/>
      <c r="W506" s="15"/>
      <c r="X506" s="15"/>
      <c r="Y506" s="15"/>
      <c r="Z506" s="15"/>
      <c r="AA506" s="1"/>
      <c r="AB506" s="15"/>
      <c r="AC506" s="15"/>
      <c r="AD506" s="15"/>
      <c r="AE506" s="15"/>
      <c r="AF506" s="2"/>
      <c r="AG506" s="10" t="s">
        <v>354</v>
      </c>
      <c r="AH506" s="12" t="s">
        <v>355</v>
      </c>
      <c r="AI506" s="10" t="s">
        <v>941</v>
      </c>
      <c r="AJ506" s="12" t="s">
        <v>942</v>
      </c>
      <c r="AK506" s="16" t="s">
        <v>45</v>
      </c>
      <c r="AL506" s="10" t="s">
        <v>49</v>
      </c>
      <c r="AM506" s="16" t="s">
        <v>45</v>
      </c>
      <c r="AN506" s="10" t="s">
        <v>320</v>
      </c>
    </row>
    <row r="507" ht="30.0" customHeight="1">
      <c r="A507" s="9" t="str">
        <f t="shared" si="39"/>
        <v>Ativo</v>
      </c>
      <c r="B507" s="9" t="str">
        <f t="shared" si="40"/>
        <v>N/I</v>
      </c>
      <c r="C507" s="9" t="str">
        <f t="shared" si="41"/>
        <v>N/I</v>
      </c>
      <c r="D507" s="10" t="s">
        <v>933</v>
      </c>
      <c r="E507" s="11" t="s">
        <v>934</v>
      </c>
      <c r="F507" s="32" t="s">
        <v>1365</v>
      </c>
      <c r="G507" s="12" t="s">
        <v>55</v>
      </c>
      <c r="H507" s="34" t="s">
        <v>1366</v>
      </c>
      <c r="I507" s="12" t="s">
        <v>1367</v>
      </c>
      <c r="J507" s="10" t="s">
        <v>216</v>
      </c>
      <c r="K507" s="10" t="s">
        <v>40</v>
      </c>
      <c r="L507" s="10" t="s">
        <v>4</v>
      </c>
      <c r="M507" s="14">
        <v>45370.0</v>
      </c>
      <c r="N507" s="32" t="s">
        <v>1368</v>
      </c>
      <c r="O507" s="10" t="s">
        <v>1369</v>
      </c>
      <c r="P507" s="10" t="s">
        <v>940</v>
      </c>
      <c r="Q507" s="2"/>
      <c r="R507" s="10">
        <v>36.0</v>
      </c>
      <c r="S507" s="14">
        <v>45370.0</v>
      </c>
      <c r="T507" s="14">
        <v>46464.0</v>
      </c>
      <c r="U507" s="10">
        <f t="shared" si="23"/>
        <v>373</v>
      </c>
      <c r="V507" s="2"/>
      <c r="W507" s="15"/>
      <c r="X507" s="15"/>
      <c r="Y507" s="15"/>
      <c r="Z507" s="15"/>
      <c r="AA507" s="1"/>
      <c r="AB507" s="15"/>
      <c r="AC507" s="15"/>
      <c r="AD507" s="15"/>
      <c r="AE507" s="15"/>
      <c r="AF507" s="2"/>
      <c r="AG507" s="10" t="s">
        <v>354</v>
      </c>
      <c r="AH507" s="12" t="s">
        <v>355</v>
      </c>
      <c r="AI507" s="10" t="s">
        <v>941</v>
      </c>
      <c r="AJ507" s="12" t="s">
        <v>942</v>
      </c>
      <c r="AK507" s="16" t="s">
        <v>45</v>
      </c>
      <c r="AL507" s="10" t="s">
        <v>49</v>
      </c>
      <c r="AM507" s="16" t="s">
        <v>45</v>
      </c>
      <c r="AN507" s="10" t="s">
        <v>320</v>
      </c>
    </row>
    <row r="508" ht="30.0" customHeight="1">
      <c r="A508" s="9" t="str">
        <f t="shared" si="39"/>
        <v>Ativo</v>
      </c>
      <c r="B508" s="9" t="str">
        <f t="shared" si="40"/>
        <v>N/I</v>
      </c>
      <c r="C508" s="9" t="str">
        <f t="shared" si="41"/>
        <v>N/I</v>
      </c>
      <c r="D508" s="10" t="s">
        <v>933</v>
      </c>
      <c r="E508" s="11" t="s">
        <v>934</v>
      </c>
      <c r="F508" s="11" t="s">
        <v>1370</v>
      </c>
      <c r="G508" s="12" t="s">
        <v>55</v>
      </c>
      <c r="H508" s="34" t="s">
        <v>1371</v>
      </c>
      <c r="I508" s="12" t="s">
        <v>463</v>
      </c>
      <c r="J508" s="10" t="s">
        <v>222</v>
      </c>
      <c r="K508" s="10" t="s">
        <v>40</v>
      </c>
      <c r="L508" s="10" t="s">
        <v>4</v>
      </c>
      <c r="M508" s="22">
        <v>45489.0</v>
      </c>
      <c r="N508" s="32" t="s">
        <v>1128</v>
      </c>
      <c r="O508" s="10" t="s">
        <v>1129</v>
      </c>
      <c r="P508" s="10" t="s">
        <v>940</v>
      </c>
      <c r="Q508" s="2"/>
      <c r="R508" s="10">
        <v>36.0</v>
      </c>
      <c r="S508" s="14">
        <v>45559.0</v>
      </c>
      <c r="T508" s="14">
        <v>46653.0</v>
      </c>
      <c r="U508" s="10">
        <f t="shared" si="23"/>
        <v>562</v>
      </c>
      <c r="V508" s="2"/>
      <c r="W508" s="15"/>
      <c r="X508" s="15"/>
      <c r="Y508" s="15"/>
      <c r="Z508" s="15"/>
      <c r="AA508" s="1"/>
      <c r="AB508" s="15"/>
      <c r="AC508" s="15"/>
      <c r="AD508" s="15"/>
      <c r="AE508" s="15"/>
      <c r="AF508" s="2"/>
      <c r="AG508" s="10" t="s">
        <v>354</v>
      </c>
      <c r="AH508" s="12" t="s">
        <v>355</v>
      </c>
      <c r="AI508" s="10" t="s">
        <v>941</v>
      </c>
      <c r="AJ508" s="12" t="s">
        <v>942</v>
      </c>
      <c r="AK508" s="16" t="s">
        <v>45</v>
      </c>
      <c r="AL508" s="10" t="s">
        <v>49</v>
      </c>
      <c r="AM508" s="16" t="s">
        <v>45</v>
      </c>
      <c r="AN508" s="10" t="s">
        <v>320</v>
      </c>
    </row>
    <row r="509" ht="30.0" customHeight="1">
      <c r="A509" s="9" t="str">
        <f t="shared" si="39"/>
        <v>Ativo</v>
      </c>
      <c r="B509" s="9" t="str">
        <f t="shared" si="40"/>
        <v>N/I</v>
      </c>
      <c r="C509" s="9" t="str">
        <f t="shared" si="41"/>
        <v>N/I</v>
      </c>
      <c r="D509" s="10" t="s">
        <v>933</v>
      </c>
      <c r="E509" s="11" t="s">
        <v>934</v>
      </c>
      <c r="F509" s="11" t="s">
        <v>518</v>
      </c>
      <c r="G509" s="12" t="s">
        <v>55</v>
      </c>
      <c r="H509" s="34" t="s">
        <v>1372</v>
      </c>
      <c r="I509" s="12" t="s">
        <v>1373</v>
      </c>
      <c r="J509" s="10" t="s">
        <v>521</v>
      </c>
      <c r="K509" s="10" t="s">
        <v>263</v>
      </c>
      <c r="L509" s="10" t="s">
        <v>4</v>
      </c>
      <c r="M509" s="22">
        <v>45446.0</v>
      </c>
      <c r="N509" s="32" t="s">
        <v>522</v>
      </c>
      <c r="O509" s="10" t="s">
        <v>523</v>
      </c>
      <c r="P509" s="10" t="s">
        <v>940</v>
      </c>
      <c r="Q509" s="2"/>
      <c r="R509" s="10">
        <v>36.0</v>
      </c>
      <c r="S509" s="14">
        <v>45617.0</v>
      </c>
      <c r="T509" s="14">
        <v>46711.0</v>
      </c>
      <c r="U509" s="10">
        <f t="shared" si="23"/>
        <v>620</v>
      </c>
      <c r="V509" s="2"/>
      <c r="W509" s="15"/>
      <c r="X509" s="15"/>
      <c r="Y509" s="15"/>
      <c r="Z509" s="15"/>
      <c r="AA509" s="1"/>
      <c r="AB509" s="15"/>
      <c r="AC509" s="15"/>
      <c r="AD509" s="15"/>
      <c r="AE509" s="15"/>
      <c r="AF509" s="2"/>
      <c r="AG509" s="10" t="s">
        <v>354</v>
      </c>
      <c r="AH509" s="12" t="s">
        <v>355</v>
      </c>
      <c r="AI509" s="10" t="s">
        <v>941</v>
      </c>
      <c r="AJ509" s="12" t="s">
        <v>942</v>
      </c>
      <c r="AK509" s="16" t="s">
        <v>45</v>
      </c>
      <c r="AL509" s="10" t="s">
        <v>49</v>
      </c>
      <c r="AM509" s="16" t="s">
        <v>45</v>
      </c>
      <c r="AN509" s="10" t="s">
        <v>320</v>
      </c>
    </row>
    <row r="510" ht="30.0" customHeight="1">
      <c r="A510" s="9" t="str">
        <f t="shared" si="39"/>
        <v>Ativo</v>
      </c>
      <c r="B510" s="9" t="str">
        <f t="shared" si="40"/>
        <v>N/I</v>
      </c>
      <c r="C510" s="9" t="str">
        <f t="shared" si="41"/>
        <v>N/I</v>
      </c>
      <c r="D510" s="10" t="s">
        <v>933</v>
      </c>
      <c r="E510" s="11" t="s">
        <v>934</v>
      </c>
      <c r="F510" s="11" t="s">
        <v>1374</v>
      </c>
      <c r="G510" s="12" t="s">
        <v>55</v>
      </c>
      <c r="H510" s="34" t="s">
        <v>1375</v>
      </c>
      <c r="I510" s="12" t="s">
        <v>894</v>
      </c>
      <c r="J510" s="10" t="s">
        <v>895</v>
      </c>
      <c r="K510" s="10" t="s">
        <v>41</v>
      </c>
      <c r="L510" s="10" t="s">
        <v>4</v>
      </c>
      <c r="M510" s="14">
        <v>45370.0</v>
      </c>
      <c r="N510" s="32" t="s">
        <v>1376</v>
      </c>
      <c r="O510" s="10" t="s">
        <v>1377</v>
      </c>
      <c r="P510" s="10" t="s">
        <v>940</v>
      </c>
      <c r="Q510" s="2"/>
      <c r="R510" s="10">
        <v>36.0</v>
      </c>
      <c r="S510" s="14">
        <v>45370.0</v>
      </c>
      <c r="T510" s="14">
        <v>46464.0</v>
      </c>
      <c r="U510" s="10">
        <f t="shared" si="23"/>
        <v>373</v>
      </c>
      <c r="V510" s="2"/>
      <c r="W510" s="15"/>
      <c r="X510" s="15"/>
      <c r="Y510" s="15"/>
      <c r="Z510" s="15"/>
      <c r="AA510" s="1"/>
      <c r="AB510" s="15"/>
      <c r="AC510" s="15"/>
      <c r="AD510" s="15"/>
      <c r="AE510" s="15"/>
      <c r="AF510" s="2"/>
      <c r="AG510" s="10" t="s">
        <v>354</v>
      </c>
      <c r="AH510" s="12" t="s">
        <v>355</v>
      </c>
      <c r="AI510" s="10" t="s">
        <v>941</v>
      </c>
      <c r="AJ510" s="12" t="s">
        <v>942</v>
      </c>
      <c r="AK510" s="16" t="s">
        <v>45</v>
      </c>
      <c r="AL510" s="10" t="s">
        <v>49</v>
      </c>
      <c r="AM510" s="16" t="s">
        <v>45</v>
      </c>
      <c r="AN510" s="10" t="s">
        <v>320</v>
      </c>
    </row>
    <row r="511" ht="30.0" customHeight="1">
      <c r="A511" s="9" t="str">
        <f t="shared" si="39"/>
        <v>Ativo</v>
      </c>
      <c r="B511" s="9" t="str">
        <f t="shared" si="40"/>
        <v>N/I</v>
      </c>
      <c r="C511" s="9" t="str">
        <f t="shared" si="41"/>
        <v>N/I</v>
      </c>
      <c r="D511" s="10" t="s">
        <v>933</v>
      </c>
      <c r="E511" s="11" t="s">
        <v>934</v>
      </c>
      <c r="F511" s="11" t="s">
        <v>1378</v>
      </c>
      <c r="G511" s="12" t="s">
        <v>55</v>
      </c>
      <c r="H511" s="34" t="s">
        <v>1379</v>
      </c>
      <c r="I511" s="12" t="s">
        <v>894</v>
      </c>
      <c r="J511" s="10" t="s">
        <v>895</v>
      </c>
      <c r="K511" s="10" t="s">
        <v>41</v>
      </c>
      <c r="L511" s="10" t="s">
        <v>4</v>
      </c>
      <c r="M511" s="14">
        <v>45370.0</v>
      </c>
      <c r="N511" s="32" t="s">
        <v>1376</v>
      </c>
      <c r="O511" s="10" t="s">
        <v>1377</v>
      </c>
      <c r="P511" s="10" t="s">
        <v>940</v>
      </c>
      <c r="Q511" s="2"/>
      <c r="R511" s="10">
        <v>36.0</v>
      </c>
      <c r="S511" s="14">
        <v>45370.0</v>
      </c>
      <c r="T511" s="14">
        <v>46464.0</v>
      </c>
      <c r="U511" s="10">
        <f t="shared" si="23"/>
        <v>373</v>
      </c>
      <c r="V511" s="2"/>
      <c r="W511" s="15"/>
      <c r="X511" s="15"/>
      <c r="Y511" s="15"/>
      <c r="Z511" s="15"/>
      <c r="AA511" s="1"/>
      <c r="AB511" s="15"/>
      <c r="AC511" s="15"/>
      <c r="AD511" s="15"/>
      <c r="AE511" s="15"/>
      <c r="AF511" s="2"/>
      <c r="AG511" s="10" t="s">
        <v>354</v>
      </c>
      <c r="AH511" s="12" t="s">
        <v>355</v>
      </c>
      <c r="AI511" s="10" t="s">
        <v>941</v>
      </c>
      <c r="AJ511" s="12" t="s">
        <v>942</v>
      </c>
      <c r="AK511" s="16" t="s">
        <v>45</v>
      </c>
      <c r="AL511" s="10" t="s">
        <v>49</v>
      </c>
      <c r="AM511" s="16" t="s">
        <v>45</v>
      </c>
      <c r="AN511" s="10" t="s">
        <v>320</v>
      </c>
    </row>
    <row r="512" ht="30.0" customHeight="1">
      <c r="A512" s="9" t="str">
        <f>IF(U511&lt;0,"Inativo",IF(U511&gt;0,"Ativo","N/I"))</f>
        <v>Ativo</v>
      </c>
      <c r="B512" s="9" t="str">
        <f>IF(Z511&lt;0,"Inativo",IF(Z511&gt;0,"Ativo","N/I"))</f>
        <v>N/I</v>
      </c>
      <c r="C512" s="9" t="str">
        <f>IF(AE511&lt;0,"Inativo",IF(AE511&gt;0,"Ativo","N/I"))</f>
        <v>N/I</v>
      </c>
      <c r="D512" s="10" t="s">
        <v>933</v>
      </c>
      <c r="E512" s="11" t="s">
        <v>934</v>
      </c>
      <c r="F512" s="11" t="s">
        <v>1380</v>
      </c>
      <c r="G512" s="12" t="s">
        <v>55</v>
      </c>
      <c r="H512" s="34" t="s">
        <v>1381</v>
      </c>
      <c r="I512" s="12" t="s">
        <v>894</v>
      </c>
      <c r="J512" s="10" t="s">
        <v>895</v>
      </c>
      <c r="K512" s="10" t="s">
        <v>41</v>
      </c>
      <c r="L512" s="10" t="s">
        <v>4</v>
      </c>
      <c r="M512" s="14">
        <v>45373.0</v>
      </c>
      <c r="N512" s="32" t="s">
        <v>1376</v>
      </c>
      <c r="O512" s="10" t="s">
        <v>1377</v>
      </c>
      <c r="P512" s="10" t="s">
        <v>940</v>
      </c>
      <c r="Q512" s="2"/>
      <c r="R512" s="10">
        <v>36.0</v>
      </c>
      <c r="S512" s="14">
        <v>45373.0</v>
      </c>
      <c r="T512" s="14">
        <v>46467.0</v>
      </c>
      <c r="U512" s="10">
        <f t="shared" si="23"/>
        <v>376</v>
      </c>
      <c r="V512" s="2"/>
      <c r="W512" s="15"/>
      <c r="X512" s="15"/>
      <c r="Y512" s="15"/>
      <c r="Z512" s="15"/>
      <c r="AA512" s="1"/>
      <c r="AB512" s="15"/>
      <c r="AC512" s="15"/>
      <c r="AD512" s="15"/>
      <c r="AE512" s="15"/>
      <c r="AF512" s="2"/>
      <c r="AG512" s="10" t="s">
        <v>354</v>
      </c>
      <c r="AH512" s="12" t="s">
        <v>355</v>
      </c>
      <c r="AI512" s="10" t="s">
        <v>941</v>
      </c>
      <c r="AJ512" s="12" t="s">
        <v>942</v>
      </c>
      <c r="AK512" s="16" t="s">
        <v>45</v>
      </c>
      <c r="AL512" s="10" t="s">
        <v>49</v>
      </c>
      <c r="AM512" s="16" t="s">
        <v>45</v>
      </c>
      <c r="AN512" s="10" t="s">
        <v>320</v>
      </c>
    </row>
    <row r="513" ht="30.0" customHeight="1">
      <c r="A513" s="9" t="str">
        <f t="shared" ref="A513:A516" si="42">IF(U513&lt;0,"Inativo",IF(U513&gt;0,"Ativo","N/I"))</f>
        <v>Ativo</v>
      </c>
      <c r="B513" s="9" t="str">
        <f t="shared" ref="B513:B516" si="43">IF(Z513&lt;0,"Inativo",IF(Z513&gt;0,"Ativo","N/I"))</f>
        <v>N/I</v>
      </c>
      <c r="C513" s="9" t="str">
        <f t="shared" ref="C513:C516" si="44">IF(AE513&lt;0,"Inativo",IF(AE513&gt;0,"Ativo","N/I"))</f>
        <v>N/I</v>
      </c>
      <c r="D513" s="10" t="s">
        <v>933</v>
      </c>
      <c r="E513" s="11" t="s">
        <v>934</v>
      </c>
      <c r="F513" s="11" t="s">
        <v>1382</v>
      </c>
      <c r="G513" s="12" t="s">
        <v>55</v>
      </c>
      <c r="H513" s="34" t="s">
        <v>1383</v>
      </c>
      <c r="I513" s="12" t="s">
        <v>894</v>
      </c>
      <c r="J513" s="10" t="s">
        <v>895</v>
      </c>
      <c r="K513" s="10" t="s">
        <v>41</v>
      </c>
      <c r="L513" s="10" t="s">
        <v>4</v>
      </c>
      <c r="M513" s="14">
        <v>45377.0</v>
      </c>
      <c r="N513" s="32" t="s">
        <v>1376</v>
      </c>
      <c r="O513" s="10" t="s">
        <v>1384</v>
      </c>
      <c r="P513" s="10" t="s">
        <v>940</v>
      </c>
      <c r="Q513" s="2"/>
      <c r="R513" s="10">
        <v>36.0</v>
      </c>
      <c r="S513" s="14">
        <v>45377.0</v>
      </c>
      <c r="T513" s="14">
        <v>46471.0</v>
      </c>
      <c r="U513" s="10">
        <f t="shared" si="23"/>
        <v>380</v>
      </c>
      <c r="V513" s="2"/>
      <c r="W513" s="15"/>
      <c r="X513" s="15"/>
      <c r="Y513" s="15"/>
      <c r="Z513" s="15"/>
      <c r="AA513" s="1"/>
      <c r="AB513" s="15"/>
      <c r="AC513" s="15"/>
      <c r="AD513" s="15"/>
      <c r="AE513" s="15"/>
      <c r="AF513" s="2"/>
      <c r="AG513" s="10" t="s">
        <v>354</v>
      </c>
      <c r="AH513" s="12" t="s">
        <v>355</v>
      </c>
      <c r="AI513" s="10" t="s">
        <v>941</v>
      </c>
      <c r="AJ513" s="12" t="s">
        <v>942</v>
      </c>
      <c r="AK513" s="16" t="s">
        <v>45</v>
      </c>
      <c r="AL513" s="10" t="s">
        <v>49</v>
      </c>
      <c r="AM513" s="16" t="s">
        <v>45</v>
      </c>
      <c r="AN513" s="10" t="s">
        <v>320</v>
      </c>
    </row>
    <row r="514" ht="30.0" customHeight="1">
      <c r="A514" s="9" t="str">
        <f t="shared" si="42"/>
        <v>Ativo</v>
      </c>
      <c r="B514" s="9" t="str">
        <f t="shared" si="43"/>
        <v>N/I</v>
      </c>
      <c r="C514" s="9" t="str">
        <f t="shared" si="44"/>
        <v>N/I</v>
      </c>
      <c r="D514" s="10" t="s">
        <v>933</v>
      </c>
      <c r="E514" s="11" t="s">
        <v>934</v>
      </c>
      <c r="F514" s="11" t="s">
        <v>1385</v>
      </c>
      <c r="G514" s="12" t="s">
        <v>55</v>
      </c>
      <c r="H514" s="34" t="s">
        <v>1386</v>
      </c>
      <c r="I514" s="12" t="s">
        <v>1387</v>
      </c>
      <c r="J514" s="10" t="s">
        <v>208</v>
      </c>
      <c r="K514" s="10" t="s">
        <v>209</v>
      </c>
      <c r="L514" s="10" t="s">
        <v>4</v>
      </c>
      <c r="M514" s="22">
        <v>45405.0</v>
      </c>
      <c r="N514" s="32" t="s">
        <v>1155</v>
      </c>
      <c r="O514" s="10" t="s">
        <v>1388</v>
      </c>
      <c r="P514" s="10" t="s">
        <v>940</v>
      </c>
      <c r="Q514" s="2"/>
      <c r="R514" s="10">
        <v>36.0</v>
      </c>
      <c r="S514" s="14">
        <v>45405.0</v>
      </c>
      <c r="T514" s="14">
        <v>46499.0</v>
      </c>
      <c r="U514" s="10">
        <f t="shared" si="23"/>
        <v>408</v>
      </c>
      <c r="V514" s="2"/>
      <c r="W514" s="15"/>
      <c r="X514" s="15"/>
      <c r="Y514" s="15"/>
      <c r="Z514" s="15"/>
      <c r="AA514" s="1"/>
      <c r="AB514" s="15"/>
      <c r="AC514" s="15"/>
      <c r="AD514" s="15"/>
      <c r="AE514" s="15"/>
      <c r="AF514" s="2"/>
      <c r="AG514" s="10" t="s">
        <v>354</v>
      </c>
      <c r="AH514" s="12" t="s">
        <v>355</v>
      </c>
      <c r="AI514" s="10" t="s">
        <v>941</v>
      </c>
      <c r="AJ514" s="12" t="s">
        <v>942</v>
      </c>
      <c r="AK514" s="16" t="s">
        <v>45</v>
      </c>
      <c r="AL514" s="10" t="s">
        <v>49</v>
      </c>
      <c r="AM514" s="16" t="s">
        <v>45</v>
      </c>
      <c r="AN514" s="10" t="s">
        <v>320</v>
      </c>
    </row>
    <row r="515" ht="30.0" customHeight="1">
      <c r="A515" s="9" t="str">
        <f t="shared" si="42"/>
        <v>Ativo</v>
      </c>
      <c r="B515" s="9" t="str">
        <f t="shared" si="43"/>
        <v>N/I</v>
      </c>
      <c r="C515" s="9" t="str">
        <f t="shared" si="44"/>
        <v>N/I</v>
      </c>
      <c r="D515" s="10" t="s">
        <v>933</v>
      </c>
      <c r="E515" s="11" t="s">
        <v>934</v>
      </c>
      <c r="F515" s="11" t="s">
        <v>1389</v>
      </c>
      <c r="G515" s="12" t="s">
        <v>55</v>
      </c>
      <c r="H515" s="34" t="s">
        <v>1390</v>
      </c>
      <c r="I515" s="12" t="s">
        <v>1391</v>
      </c>
      <c r="J515" s="10" t="s">
        <v>521</v>
      </c>
      <c r="K515" s="10" t="s">
        <v>263</v>
      </c>
      <c r="L515" s="10" t="s">
        <v>4</v>
      </c>
      <c r="M515" s="22">
        <v>45631.0</v>
      </c>
      <c r="N515" s="32" t="s">
        <v>1392</v>
      </c>
      <c r="O515" s="10" t="s">
        <v>319</v>
      </c>
      <c r="P515" s="10" t="s">
        <v>940</v>
      </c>
      <c r="Q515" s="2"/>
      <c r="R515" s="10">
        <v>36.0</v>
      </c>
      <c r="S515" s="14">
        <v>45648.0</v>
      </c>
      <c r="T515" s="14">
        <v>46742.0</v>
      </c>
      <c r="U515" s="10">
        <f t="shared" si="23"/>
        <v>651</v>
      </c>
      <c r="V515" s="2"/>
      <c r="W515" s="15"/>
      <c r="X515" s="15"/>
      <c r="Y515" s="15"/>
      <c r="Z515" s="15"/>
      <c r="AA515" s="1"/>
      <c r="AB515" s="15"/>
      <c r="AC515" s="15"/>
      <c r="AD515" s="15"/>
      <c r="AE515" s="15"/>
      <c r="AF515" s="2"/>
      <c r="AG515" s="10" t="s">
        <v>354</v>
      </c>
      <c r="AH515" s="12" t="s">
        <v>355</v>
      </c>
      <c r="AI515" s="10" t="s">
        <v>941</v>
      </c>
      <c r="AJ515" s="12" t="s">
        <v>942</v>
      </c>
      <c r="AK515" s="16" t="s">
        <v>45</v>
      </c>
      <c r="AL515" s="10" t="s">
        <v>49</v>
      </c>
      <c r="AM515" s="16" t="s">
        <v>45</v>
      </c>
      <c r="AN515" s="10" t="s">
        <v>320</v>
      </c>
    </row>
    <row r="516" ht="30.0" customHeight="1">
      <c r="A516" s="9" t="str">
        <f t="shared" si="42"/>
        <v>Ativo</v>
      </c>
      <c r="B516" s="9" t="str">
        <f t="shared" si="43"/>
        <v>N/I</v>
      </c>
      <c r="C516" s="9" t="str">
        <f t="shared" si="44"/>
        <v>N/I</v>
      </c>
      <c r="D516" s="10" t="s">
        <v>933</v>
      </c>
      <c r="E516" s="11" t="s">
        <v>934</v>
      </c>
      <c r="F516" s="11" t="s">
        <v>1393</v>
      </c>
      <c r="G516" s="12" t="s">
        <v>55</v>
      </c>
      <c r="H516" s="34" t="s">
        <v>1394</v>
      </c>
      <c r="I516" s="12" t="s">
        <v>213</v>
      </c>
      <c r="J516" s="10" t="s">
        <v>208</v>
      </c>
      <c r="K516" s="10" t="s">
        <v>209</v>
      </c>
      <c r="L516" s="10" t="s">
        <v>4</v>
      </c>
      <c r="M516" s="22">
        <v>45398.0</v>
      </c>
      <c r="N516" s="32" t="s">
        <v>1395</v>
      </c>
      <c r="O516" s="10" t="s">
        <v>1396</v>
      </c>
      <c r="P516" s="10" t="s">
        <v>940</v>
      </c>
      <c r="Q516" s="2"/>
      <c r="R516" s="10">
        <v>36.0</v>
      </c>
      <c r="S516" s="14">
        <v>45398.0</v>
      </c>
      <c r="T516" s="14">
        <v>46492.0</v>
      </c>
      <c r="U516" s="10">
        <f t="shared" si="23"/>
        <v>401</v>
      </c>
      <c r="V516" s="2"/>
      <c r="W516" s="15"/>
      <c r="X516" s="15"/>
      <c r="Y516" s="15"/>
      <c r="Z516" s="15"/>
      <c r="AA516" s="1"/>
      <c r="AB516" s="15"/>
      <c r="AC516" s="15"/>
      <c r="AD516" s="15"/>
      <c r="AE516" s="15"/>
      <c r="AF516" s="2"/>
      <c r="AG516" s="10" t="s">
        <v>354</v>
      </c>
      <c r="AH516" s="12" t="s">
        <v>355</v>
      </c>
      <c r="AI516" s="10" t="s">
        <v>941</v>
      </c>
      <c r="AJ516" s="12" t="s">
        <v>942</v>
      </c>
      <c r="AK516" s="16" t="s">
        <v>45</v>
      </c>
      <c r="AL516" s="10" t="s">
        <v>49</v>
      </c>
      <c r="AM516" s="16" t="s">
        <v>45</v>
      </c>
      <c r="AN516" s="10" t="s">
        <v>320</v>
      </c>
    </row>
    <row r="517" ht="30.0" customHeight="1">
      <c r="A517" s="9" t="str">
        <f>IF(U511&lt;0,"Inativo",IF(U511&gt;0,"Ativo","N/I"))</f>
        <v>Ativo</v>
      </c>
      <c r="B517" s="9" t="str">
        <f>IF(Z511&lt;0,"Inativo",IF(Z511&gt;0,"Ativo","N/I"))</f>
        <v>N/I</v>
      </c>
      <c r="C517" s="9" t="str">
        <f>IF(AE511&lt;0,"Inativo",IF(AE511&gt;0,"Ativo","N/I"))</f>
        <v>N/I</v>
      </c>
      <c r="D517" s="10" t="s">
        <v>933</v>
      </c>
      <c r="E517" s="11" t="s">
        <v>934</v>
      </c>
      <c r="F517" s="11" t="s">
        <v>1397</v>
      </c>
      <c r="G517" s="12" t="s">
        <v>55</v>
      </c>
      <c r="H517" s="34" t="s">
        <v>1398</v>
      </c>
      <c r="I517" s="12" t="s">
        <v>1399</v>
      </c>
      <c r="J517" s="10" t="s">
        <v>40</v>
      </c>
      <c r="K517" s="10" t="s">
        <v>41</v>
      </c>
      <c r="L517" s="10" t="s">
        <v>4</v>
      </c>
      <c r="M517" s="22">
        <v>45434.0</v>
      </c>
      <c r="N517" s="32" t="s">
        <v>1400</v>
      </c>
      <c r="O517" s="10" t="s">
        <v>1401</v>
      </c>
      <c r="P517" s="10" t="s">
        <v>940</v>
      </c>
      <c r="Q517" s="2"/>
      <c r="R517" s="10">
        <v>36.0</v>
      </c>
      <c r="S517" s="14">
        <v>45484.0</v>
      </c>
      <c r="T517" s="14">
        <v>46578.0</v>
      </c>
      <c r="U517" s="10">
        <f t="shared" si="23"/>
        <v>487</v>
      </c>
      <c r="V517" s="2"/>
      <c r="W517" s="15"/>
      <c r="X517" s="15"/>
      <c r="Y517" s="15"/>
      <c r="Z517" s="15"/>
      <c r="AA517" s="1"/>
      <c r="AB517" s="15"/>
      <c r="AC517" s="15"/>
      <c r="AD517" s="15"/>
      <c r="AE517" s="15"/>
      <c r="AF517" s="2"/>
      <c r="AG517" s="10" t="s">
        <v>354</v>
      </c>
      <c r="AH517" s="12" t="s">
        <v>355</v>
      </c>
      <c r="AI517" s="10" t="s">
        <v>941</v>
      </c>
      <c r="AJ517" s="12" t="s">
        <v>942</v>
      </c>
      <c r="AK517" s="16" t="s">
        <v>45</v>
      </c>
      <c r="AL517" s="10" t="s">
        <v>49</v>
      </c>
      <c r="AM517" s="16" t="s">
        <v>45</v>
      </c>
      <c r="AN517" s="10" t="s">
        <v>320</v>
      </c>
    </row>
    <row r="518" ht="30.0" customHeight="1">
      <c r="A518" s="9" t="str">
        <f t="shared" ref="A518:A531" si="45">IF(U518&lt;0,"Inativo",IF(U518&gt;0,"Ativo","N/I"))</f>
        <v>Ativo</v>
      </c>
      <c r="B518" s="9" t="str">
        <f t="shared" ref="B518:B531" si="46">IF(Z518&lt;0,"Inativo",IF(Z518&gt;0,"Ativo","N/I"))</f>
        <v>N/I</v>
      </c>
      <c r="C518" s="9" t="str">
        <f t="shared" ref="C518:C531" si="47">IF(AE518&lt;0,"Inativo",IF(AE518&gt;0,"Ativo","N/I"))</f>
        <v>N/I</v>
      </c>
      <c r="D518" s="10" t="s">
        <v>933</v>
      </c>
      <c r="E518" s="11" t="s">
        <v>934</v>
      </c>
      <c r="F518" s="11" t="s">
        <v>1397</v>
      </c>
      <c r="G518" s="12" t="s">
        <v>55</v>
      </c>
      <c r="H518" s="34" t="s">
        <v>1402</v>
      </c>
      <c r="I518" s="12" t="s">
        <v>1399</v>
      </c>
      <c r="J518" s="10" t="s">
        <v>40</v>
      </c>
      <c r="K518" s="10" t="s">
        <v>40</v>
      </c>
      <c r="L518" s="10" t="s">
        <v>4</v>
      </c>
      <c r="M518" s="22">
        <v>45435.0</v>
      </c>
      <c r="N518" s="32" t="s">
        <v>1400</v>
      </c>
      <c r="O518" s="10" t="s">
        <v>1401</v>
      </c>
      <c r="P518" s="10" t="s">
        <v>940</v>
      </c>
      <c r="Q518" s="2"/>
      <c r="R518" s="10">
        <v>36.0</v>
      </c>
      <c r="S518" s="14">
        <v>45484.0</v>
      </c>
      <c r="T518" s="14">
        <v>46578.0</v>
      </c>
      <c r="U518" s="10">
        <f t="shared" si="23"/>
        <v>487</v>
      </c>
      <c r="V518" s="2"/>
      <c r="W518" s="15"/>
      <c r="X518" s="15"/>
      <c r="Y518" s="15"/>
      <c r="Z518" s="15"/>
      <c r="AA518" s="1"/>
      <c r="AB518" s="15"/>
      <c r="AC518" s="15"/>
      <c r="AD518" s="15"/>
      <c r="AE518" s="15"/>
      <c r="AF518" s="2"/>
      <c r="AG518" s="10" t="s">
        <v>354</v>
      </c>
      <c r="AH518" s="12" t="s">
        <v>355</v>
      </c>
      <c r="AI518" s="10" t="s">
        <v>941</v>
      </c>
      <c r="AJ518" s="12" t="s">
        <v>942</v>
      </c>
      <c r="AK518" s="16" t="s">
        <v>45</v>
      </c>
      <c r="AL518" s="10" t="s">
        <v>49</v>
      </c>
      <c r="AM518" s="16" t="s">
        <v>45</v>
      </c>
      <c r="AN518" s="10" t="s">
        <v>320</v>
      </c>
    </row>
    <row r="519" ht="30.0" customHeight="1">
      <c r="A519" s="9" t="str">
        <f t="shared" si="45"/>
        <v>Ativo</v>
      </c>
      <c r="B519" s="9" t="str">
        <f t="shared" si="46"/>
        <v>N/I</v>
      </c>
      <c r="C519" s="9" t="str">
        <f t="shared" si="47"/>
        <v>N/I</v>
      </c>
      <c r="D519" s="10" t="s">
        <v>933</v>
      </c>
      <c r="E519" s="11" t="s">
        <v>934</v>
      </c>
      <c r="F519" s="11" t="s">
        <v>1403</v>
      </c>
      <c r="G519" s="12" t="s">
        <v>55</v>
      </c>
      <c r="H519" s="34" t="s">
        <v>1404</v>
      </c>
      <c r="I519" s="12" t="s">
        <v>1405</v>
      </c>
      <c r="J519" s="10" t="s">
        <v>521</v>
      </c>
      <c r="K519" s="10" t="s">
        <v>263</v>
      </c>
      <c r="L519" s="10" t="s">
        <v>4</v>
      </c>
      <c r="M519" s="22">
        <v>45632.0</v>
      </c>
      <c r="N519" s="32" t="s">
        <v>1406</v>
      </c>
      <c r="O519" s="10" t="s">
        <v>1407</v>
      </c>
      <c r="P519" s="10" t="s">
        <v>940</v>
      </c>
      <c r="Q519" s="2"/>
      <c r="R519" s="10">
        <v>36.0</v>
      </c>
      <c r="S519" s="14">
        <v>45648.0</v>
      </c>
      <c r="T519" s="14">
        <v>46742.0</v>
      </c>
      <c r="U519" s="10">
        <f t="shared" si="23"/>
        <v>651</v>
      </c>
      <c r="V519" s="2"/>
      <c r="W519" s="15"/>
      <c r="X519" s="15"/>
      <c r="Y519" s="15"/>
      <c r="Z519" s="15"/>
      <c r="AA519" s="1"/>
      <c r="AB519" s="15"/>
      <c r="AC519" s="15"/>
      <c r="AD519" s="15"/>
      <c r="AE519" s="15"/>
      <c r="AF519" s="2"/>
      <c r="AG519" s="10" t="s">
        <v>354</v>
      </c>
      <c r="AH519" s="12" t="s">
        <v>355</v>
      </c>
      <c r="AI519" s="10" t="s">
        <v>941</v>
      </c>
      <c r="AJ519" s="12" t="s">
        <v>942</v>
      </c>
      <c r="AK519" s="16" t="s">
        <v>45</v>
      </c>
      <c r="AL519" s="10" t="s">
        <v>49</v>
      </c>
      <c r="AM519" s="16" t="s">
        <v>45</v>
      </c>
      <c r="AN519" s="10" t="s">
        <v>320</v>
      </c>
    </row>
    <row r="520" ht="30.0" customHeight="1">
      <c r="A520" s="9" t="str">
        <f t="shared" si="45"/>
        <v>Ativo</v>
      </c>
      <c r="B520" s="9" t="str">
        <f t="shared" si="46"/>
        <v>N/I</v>
      </c>
      <c r="C520" s="9" t="str">
        <f t="shared" si="47"/>
        <v>N/I</v>
      </c>
      <c r="D520" s="10" t="s">
        <v>933</v>
      </c>
      <c r="E520" s="11" t="s">
        <v>934</v>
      </c>
      <c r="F520" s="11" t="s">
        <v>1408</v>
      </c>
      <c r="G520" s="12" t="s">
        <v>55</v>
      </c>
      <c r="H520" s="19" t="s">
        <v>1409</v>
      </c>
      <c r="I520" s="12" t="s">
        <v>643</v>
      </c>
      <c r="J520" s="10" t="s">
        <v>583</v>
      </c>
      <c r="K520" s="10" t="s">
        <v>41</v>
      </c>
      <c r="L520" s="10" t="s">
        <v>4</v>
      </c>
      <c r="M520" s="22">
        <v>45194.0</v>
      </c>
      <c r="N520" s="32" t="s">
        <v>1410</v>
      </c>
      <c r="O520" s="10" t="s">
        <v>1411</v>
      </c>
      <c r="P520" s="10" t="s">
        <v>992</v>
      </c>
      <c r="Q520" s="2"/>
      <c r="R520" s="10">
        <v>36.0</v>
      </c>
      <c r="S520" s="14">
        <v>45244.0</v>
      </c>
      <c r="T520" s="14">
        <v>46339.0</v>
      </c>
      <c r="U520" s="10">
        <f t="shared" si="23"/>
        <v>248</v>
      </c>
      <c r="V520" s="2"/>
      <c r="W520" s="15"/>
      <c r="X520" s="15"/>
      <c r="Y520" s="15"/>
      <c r="Z520" s="15"/>
      <c r="AA520" s="1"/>
      <c r="AB520" s="15"/>
      <c r="AC520" s="15"/>
      <c r="AD520" s="15"/>
      <c r="AE520" s="15"/>
      <c r="AF520" s="2"/>
      <c r="AG520" s="10" t="s">
        <v>354</v>
      </c>
      <c r="AH520" s="12" t="s">
        <v>355</v>
      </c>
      <c r="AI520" s="10" t="s">
        <v>941</v>
      </c>
      <c r="AJ520" s="12" t="s">
        <v>942</v>
      </c>
      <c r="AK520" s="16" t="s">
        <v>45</v>
      </c>
      <c r="AL520" s="10" t="s">
        <v>49</v>
      </c>
      <c r="AM520" s="16" t="s">
        <v>45</v>
      </c>
      <c r="AN520" s="10" t="s">
        <v>320</v>
      </c>
    </row>
    <row r="521" ht="30.0" customHeight="1">
      <c r="A521" s="9" t="str">
        <f t="shared" si="45"/>
        <v>Ativo</v>
      </c>
      <c r="B521" s="9" t="str">
        <f t="shared" si="46"/>
        <v>N/I</v>
      </c>
      <c r="C521" s="9" t="str">
        <f t="shared" si="47"/>
        <v>N/I</v>
      </c>
      <c r="D521" s="10" t="s">
        <v>933</v>
      </c>
      <c r="E521" s="11" t="s">
        <v>934</v>
      </c>
      <c r="F521" s="11" t="s">
        <v>1412</v>
      </c>
      <c r="G521" s="12" t="s">
        <v>55</v>
      </c>
      <c r="H521" s="19" t="s">
        <v>1413</v>
      </c>
      <c r="I521" s="12" t="s">
        <v>643</v>
      </c>
      <c r="J521" s="10" t="s">
        <v>583</v>
      </c>
      <c r="K521" s="10" t="s">
        <v>41</v>
      </c>
      <c r="L521" s="10" t="s">
        <v>4</v>
      </c>
      <c r="M521" s="22">
        <v>45196.0</v>
      </c>
      <c r="N521" s="32" t="s">
        <v>1410</v>
      </c>
      <c r="O521" s="10" t="s">
        <v>1414</v>
      </c>
      <c r="P521" s="10" t="s">
        <v>992</v>
      </c>
      <c r="Q521" s="2"/>
      <c r="R521" s="10">
        <v>36.0</v>
      </c>
      <c r="S521" s="14">
        <v>45244.0</v>
      </c>
      <c r="T521" s="14">
        <v>46339.0</v>
      </c>
      <c r="U521" s="10">
        <f t="shared" si="23"/>
        <v>248</v>
      </c>
      <c r="V521" s="2"/>
      <c r="W521" s="15"/>
      <c r="X521" s="15"/>
      <c r="Y521" s="15"/>
      <c r="Z521" s="15"/>
      <c r="AA521" s="1"/>
      <c r="AB521" s="15"/>
      <c r="AC521" s="15"/>
      <c r="AD521" s="15"/>
      <c r="AE521" s="15"/>
      <c r="AF521" s="2"/>
      <c r="AG521" s="10" t="s">
        <v>354</v>
      </c>
      <c r="AH521" s="12" t="s">
        <v>355</v>
      </c>
      <c r="AI521" s="10" t="s">
        <v>941</v>
      </c>
      <c r="AJ521" s="12" t="s">
        <v>942</v>
      </c>
      <c r="AK521" s="16" t="s">
        <v>45</v>
      </c>
      <c r="AL521" s="10" t="s">
        <v>49</v>
      </c>
      <c r="AM521" s="16" t="s">
        <v>45</v>
      </c>
      <c r="AN521" s="10" t="s">
        <v>320</v>
      </c>
    </row>
    <row r="522" ht="30.0" customHeight="1">
      <c r="A522" s="9" t="str">
        <f t="shared" si="45"/>
        <v>Ativo</v>
      </c>
      <c r="B522" s="9" t="str">
        <f t="shared" si="46"/>
        <v>N/I</v>
      </c>
      <c r="C522" s="9" t="str">
        <f t="shared" si="47"/>
        <v>N/I</v>
      </c>
      <c r="D522" s="10" t="s">
        <v>933</v>
      </c>
      <c r="E522" s="11" t="s">
        <v>934</v>
      </c>
      <c r="F522" s="32" t="s">
        <v>1415</v>
      </c>
      <c r="G522" s="12" t="s">
        <v>55</v>
      </c>
      <c r="H522" s="34" t="s">
        <v>1416</v>
      </c>
      <c r="I522" s="12" t="s">
        <v>643</v>
      </c>
      <c r="J522" s="10" t="s">
        <v>583</v>
      </c>
      <c r="K522" s="10" t="s">
        <v>41</v>
      </c>
      <c r="L522" s="10" t="s">
        <v>4</v>
      </c>
      <c r="M522" s="14">
        <v>45559.0</v>
      </c>
      <c r="N522" s="32" t="s">
        <v>1417</v>
      </c>
      <c r="O522" s="10" t="s">
        <v>1418</v>
      </c>
      <c r="P522" s="10" t="s">
        <v>940</v>
      </c>
      <c r="Q522" s="2"/>
      <c r="R522" s="10">
        <v>36.0</v>
      </c>
      <c r="S522" s="14">
        <v>45645.0</v>
      </c>
      <c r="T522" s="14">
        <v>46739.0</v>
      </c>
      <c r="U522" s="10">
        <f t="shared" si="23"/>
        <v>648</v>
      </c>
      <c r="V522" s="2"/>
      <c r="W522" s="15"/>
      <c r="X522" s="15"/>
      <c r="Y522" s="15"/>
      <c r="Z522" s="15"/>
      <c r="AA522" s="1"/>
      <c r="AB522" s="15"/>
      <c r="AC522" s="15"/>
      <c r="AD522" s="15"/>
      <c r="AE522" s="15"/>
      <c r="AF522" s="2"/>
      <c r="AG522" s="10" t="s">
        <v>354</v>
      </c>
      <c r="AH522" s="12" t="s">
        <v>355</v>
      </c>
      <c r="AI522" s="10" t="s">
        <v>941</v>
      </c>
      <c r="AJ522" s="12" t="s">
        <v>942</v>
      </c>
      <c r="AK522" s="16" t="s">
        <v>45</v>
      </c>
      <c r="AL522" s="10" t="s">
        <v>49</v>
      </c>
      <c r="AM522" s="16" t="s">
        <v>45</v>
      </c>
      <c r="AN522" s="10" t="s">
        <v>320</v>
      </c>
    </row>
    <row r="523" ht="30.0" customHeight="1">
      <c r="A523" s="9" t="str">
        <f t="shared" si="45"/>
        <v>Ativo</v>
      </c>
      <c r="B523" s="9" t="str">
        <f t="shared" si="46"/>
        <v>N/I</v>
      </c>
      <c r="C523" s="9" t="str">
        <f t="shared" si="47"/>
        <v>N/I</v>
      </c>
      <c r="D523" s="10" t="s">
        <v>933</v>
      </c>
      <c r="E523" s="11" t="s">
        <v>934</v>
      </c>
      <c r="F523" s="11" t="s">
        <v>1419</v>
      </c>
      <c r="G523" s="12" t="s">
        <v>55</v>
      </c>
      <c r="H523" s="34" t="s">
        <v>1420</v>
      </c>
      <c r="I523" s="12" t="s">
        <v>1421</v>
      </c>
      <c r="J523" s="10" t="s">
        <v>652</v>
      </c>
      <c r="K523" s="10" t="s">
        <v>41</v>
      </c>
      <c r="L523" s="10" t="s">
        <v>4</v>
      </c>
      <c r="M523" s="22">
        <v>45378.0</v>
      </c>
      <c r="N523" s="32" t="s">
        <v>1422</v>
      </c>
      <c r="O523" s="10" t="s">
        <v>1423</v>
      </c>
      <c r="P523" s="10" t="s">
        <v>940</v>
      </c>
      <c r="Q523" s="2"/>
      <c r="R523" s="10">
        <v>36.0</v>
      </c>
      <c r="S523" s="14">
        <v>45447.0</v>
      </c>
      <c r="T523" s="14">
        <v>46541.0</v>
      </c>
      <c r="U523" s="10">
        <f t="shared" si="23"/>
        <v>450</v>
      </c>
      <c r="V523" s="2"/>
      <c r="W523" s="15"/>
      <c r="X523" s="15"/>
      <c r="Y523" s="15"/>
      <c r="Z523" s="15"/>
      <c r="AA523" s="1"/>
      <c r="AB523" s="15"/>
      <c r="AC523" s="15"/>
      <c r="AD523" s="15"/>
      <c r="AE523" s="15"/>
      <c r="AF523" s="2"/>
      <c r="AG523" s="10" t="s">
        <v>354</v>
      </c>
      <c r="AH523" s="12" t="s">
        <v>355</v>
      </c>
      <c r="AI523" s="10" t="s">
        <v>941</v>
      </c>
      <c r="AJ523" s="12" t="s">
        <v>942</v>
      </c>
      <c r="AK523" s="16" t="s">
        <v>45</v>
      </c>
      <c r="AL523" s="10" t="s">
        <v>49</v>
      </c>
      <c r="AM523" s="16" t="s">
        <v>45</v>
      </c>
      <c r="AN523" s="10" t="s">
        <v>320</v>
      </c>
    </row>
    <row r="524" ht="30.0" customHeight="1">
      <c r="A524" s="9" t="str">
        <f t="shared" si="45"/>
        <v>Ativo</v>
      </c>
      <c r="B524" s="9" t="str">
        <f t="shared" si="46"/>
        <v>N/I</v>
      </c>
      <c r="C524" s="9" t="str">
        <f t="shared" si="47"/>
        <v>N/I</v>
      </c>
      <c r="D524" s="10" t="s">
        <v>933</v>
      </c>
      <c r="E524" s="11" t="s">
        <v>934</v>
      </c>
      <c r="F524" s="32" t="s">
        <v>1424</v>
      </c>
      <c r="G524" s="12" t="s">
        <v>55</v>
      </c>
      <c r="H524" s="34" t="s">
        <v>1425</v>
      </c>
      <c r="I524" s="12" t="s">
        <v>1426</v>
      </c>
      <c r="J524" s="10" t="s">
        <v>889</v>
      </c>
      <c r="K524" s="10" t="s">
        <v>209</v>
      </c>
      <c r="L524" s="10" t="s">
        <v>4</v>
      </c>
      <c r="M524" s="14">
        <v>45405.0</v>
      </c>
      <c r="N524" s="32" t="s">
        <v>1427</v>
      </c>
      <c r="O524" s="10" t="s">
        <v>1428</v>
      </c>
      <c r="P524" s="10" t="s">
        <v>940</v>
      </c>
      <c r="Q524" s="2"/>
      <c r="R524" s="10">
        <v>36.0</v>
      </c>
      <c r="S524" s="14">
        <v>45510.0</v>
      </c>
      <c r="T524" s="14">
        <v>46604.0</v>
      </c>
      <c r="U524" s="10">
        <f t="shared" si="23"/>
        <v>513</v>
      </c>
      <c r="V524" s="2"/>
      <c r="W524" s="15"/>
      <c r="X524" s="15"/>
      <c r="Y524" s="15"/>
      <c r="Z524" s="15"/>
      <c r="AA524" s="1"/>
      <c r="AB524" s="15"/>
      <c r="AC524" s="15"/>
      <c r="AD524" s="15"/>
      <c r="AE524" s="15"/>
      <c r="AF524" s="2"/>
      <c r="AG524" s="10" t="s">
        <v>354</v>
      </c>
      <c r="AH524" s="12" t="s">
        <v>355</v>
      </c>
      <c r="AI524" s="10" t="s">
        <v>941</v>
      </c>
      <c r="AJ524" s="12" t="s">
        <v>942</v>
      </c>
      <c r="AK524" s="16" t="s">
        <v>45</v>
      </c>
      <c r="AL524" s="10" t="s">
        <v>49</v>
      </c>
      <c r="AM524" s="16" t="s">
        <v>45</v>
      </c>
      <c r="AN524" s="10" t="s">
        <v>320</v>
      </c>
    </row>
    <row r="525" ht="30.0" customHeight="1">
      <c r="A525" s="9" t="str">
        <f t="shared" si="45"/>
        <v>Ativo</v>
      </c>
      <c r="B525" s="9" t="str">
        <f t="shared" si="46"/>
        <v>N/I</v>
      </c>
      <c r="C525" s="9" t="str">
        <f t="shared" si="47"/>
        <v>N/I</v>
      </c>
      <c r="D525" s="10" t="s">
        <v>933</v>
      </c>
      <c r="E525" s="11" t="s">
        <v>934</v>
      </c>
      <c r="F525" s="11" t="s">
        <v>1429</v>
      </c>
      <c r="G525" s="12" t="s">
        <v>55</v>
      </c>
      <c r="H525" s="34" t="s">
        <v>1430</v>
      </c>
      <c r="I525" s="12" t="s">
        <v>1431</v>
      </c>
      <c r="J525" s="10" t="s">
        <v>521</v>
      </c>
      <c r="K525" s="10" t="s">
        <v>263</v>
      </c>
      <c r="L525" s="10" t="s">
        <v>4</v>
      </c>
      <c r="M525" s="22">
        <v>45630.0</v>
      </c>
      <c r="N525" s="32" t="s">
        <v>1432</v>
      </c>
      <c r="O525" s="10" t="s">
        <v>1433</v>
      </c>
      <c r="P525" s="10" t="s">
        <v>940</v>
      </c>
      <c r="Q525" s="2"/>
      <c r="R525" s="10">
        <v>36.0</v>
      </c>
      <c r="S525" s="14">
        <v>45648.0</v>
      </c>
      <c r="T525" s="14">
        <v>46742.0</v>
      </c>
      <c r="U525" s="10">
        <f t="shared" si="23"/>
        <v>651</v>
      </c>
      <c r="V525" s="2"/>
      <c r="W525" s="15"/>
      <c r="X525" s="15"/>
      <c r="Y525" s="15"/>
      <c r="Z525" s="15"/>
      <c r="AA525" s="1"/>
      <c r="AB525" s="15"/>
      <c r="AC525" s="15"/>
      <c r="AD525" s="15"/>
      <c r="AE525" s="15"/>
      <c r="AF525" s="2"/>
      <c r="AG525" s="10" t="s">
        <v>354</v>
      </c>
      <c r="AH525" s="12" t="s">
        <v>355</v>
      </c>
      <c r="AI525" s="10" t="s">
        <v>941</v>
      </c>
      <c r="AJ525" s="12" t="s">
        <v>942</v>
      </c>
      <c r="AK525" s="16" t="s">
        <v>45</v>
      </c>
      <c r="AL525" s="10" t="s">
        <v>49</v>
      </c>
      <c r="AM525" s="16" t="s">
        <v>45</v>
      </c>
      <c r="AN525" s="10" t="s">
        <v>320</v>
      </c>
    </row>
    <row r="526" ht="30.0" customHeight="1">
      <c r="A526" s="9" t="str">
        <f t="shared" si="45"/>
        <v>Ativo</v>
      </c>
      <c r="B526" s="9" t="str">
        <f t="shared" si="46"/>
        <v>N/I</v>
      </c>
      <c r="C526" s="9" t="str">
        <f t="shared" si="47"/>
        <v>N/I</v>
      </c>
      <c r="D526" s="10" t="s">
        <v>933</v>
      </c>
      <c r="E526" s="11" t="s">
        <v>934</v>
      </c>
      <c r="F526" s="11" t="s">
        <v>1434</v>
      </c>
      <c r="G526" s="12" t="s">
        <v>55</v>
      </c>
      <c r="H526" s="34" t="s">
        <v>1435</v>
      </c>
      <c r="I526" s="12" t="s">
        <v>1436</v>
      </c>
      <c r="J526" s="10" t="s">
        <v>132</v>
      </c>
      <c r="K526" s="10" t="s">
        <v>41</v>
      </c>
      <c r="L526" s="10" t="s">
        <v>4</v>
      </c>
      <c r="M526" s="22">
        <v>45433.0</v>
      </c>
      <c r="N526" s="32" t="s">
        <v>1437</v>
      </c>
      <c r="O526" s="10" t="s">
        <v>1438</v>
      </c>
      <c r="P526" s="10" t="s">
        <v>940</v>
      </c>
      <c r="Q526" s="2"/>
      <c r="R526" s="10">
        <v>36.0</v>
      </c>
      <c r="S526" s="14">
        <v>45433.0</v>
      </c>
      <c r="T526" s="14">
        <v>46527.0</v>
      </c>
      <c r="U526" s="10">
        <f t="shared" si="23"/>
        <v>436</v>
      </c>
      <c r="V526" s="2"/>
      <c r="W526" s="15"/>
      <c r="X526" s="15"/>
      <c r="Y526" s="15"/>
      <c r="Z526" s="15"/>
      <c r="AA526" s="1"/>
      <c r="AB526" s="15"/>
      <c r="AC526" s="15"/>
      <c r="AD526" s="15"/>
      <c r="AE526" s="15"/>
      <c r="AF526" s="2"/>
      <c r="AG526" s="10" t="s">
        <v>354</v>
      </c>
      <c r="AH526" s="12" t="s">
        <v>355</v>
      </c>
      <c r="AI526" s="10" t="s">
        <v>941</v>
      </c>
      <c r="AJ526" s="12" t="s">
        <v>942</v>
      </c>
      <c r="AK526" s="16" t="s">
        <v>45</v>
      </c>
      <c r="AL526" s="10" t="s">
        <v>49</v>
      </c>
      <c r="AM526" s="16" t="s">
        <v>45</v>
      </c>
      <c r="AN526" s="10" t="s">
        <v>320</v>
      </c>
    </row>
    <row r="527" ht="30.0" customHeight="1">
      <c r="A527" s="9" t="str">
        <f t="shared" si="45"/>
        <v>Ativo</v>
      </c>
      <c r="B527" s="9" t="str">
        <f t="shared" si="46"/>
        <v>N/I</v>
      </c>
      <c r="C527" s="9" t="str">
        <f t="shared" si="47"/>
        <v>N/I</v>
      </c>
      <c r="D527" s="10" t="s">
        <v>933</v>
      </c>
      <c r="E527" s="11" t="s">
        <v>934</v>
      </c>
      <c r="F527" s="11" t="s">
        <v>1439</v>
      </c>
      <c r="G527" s="12" t="s">
        <v>55</v>
      </c>
      <c r="H527" s="34" t="s">
        <v>1440</v>
      </c>
      <c r="I527" s="12" t="s">
        <v>1441</v>
      </c>
      <c r="J527" s="10" t="s">
        <v>1097</v>
      </c>
      <c r="K527" s="10" t="s">
        <v>190</v>
      </c>
      <c r="L527" s="10" t="s">
        <v>4</v>
      </c>
      <c r="M527" s="22">
        <v>45244.0</v>
      </c>
      <c r="N527" s="32" t="s">
        <v>1442</v>
      </c>
      <c r="O527" s="10" t="s">
        <v>1443</v>
      </c>
      <c r="P527" s="10" t="s">
        <v>940</v>
      </c>
      <c r="Q527" s="2"/>
      <c r="R527" s="10">
        <v>36.0</v>
      </c>
      <c r="S527" s="14">
        <v>45327.0</v>
      </c>
      <c r="T527" s="14">
        <v>46422.0</v>
      </c>
      <c r="U527" s="10">
        <f t="shared" si="23"/>
        <v>331</v>
      </c>
      <c r="V527" s="2"/>
      <c r="W527" s="15"/>
      <c r="X527" s="15"/>
      <c r="Y527" s="15"/>
      <c r="Z527" s="15"/>
      <c r="AA527" s="1"/>
      <c r="AB527" s="15"/>
      <c r="AC527" s="15"/>
      <c r="AD527" s="15"/>
      <c r="AE527" s="15"/>
      <c r="AF527" s="2"/>
      <c r="AG527" s="10" t="s">
        <v>354</v>
      </c>
      <c r="AH527" s="12" t="s">
        <v>355</v>
      </c>
      <c r="AI527" s="10" t="s">
        <v>941</v>
      </c>
      <c r="AJ527" s="12" t="s">
        <v>942</v>
      </c>
      <c r="AK527" s="16" t="s">
        <v>45</v>
      </c>
      <c r="AL527" s="10" t="s">
        <v>49</v>
      </c>
      <c r="AM527" s="16" t="s">
        <v>45</v>
      </c>
      <c r="AN527" s="10" t="s">
        <v>320</v>
      </c>
    </row>
    <row r="528" ht="30.0" customHeight="1">
      <c r="A528" s="9" t="str">
        <f t="shared" si="45"/>
        <v>Ativo</v>
      </c>
      <c r="B528" s="9" t="str">
        <f t="shared" si="46"/>
        <v>N/I</v>
      </c>
      <c r="C528" s="9" t="str">
        <f t="shared" si="47"/>
        <v>N/I</v>
      </c>
      <c r="D528" s="10" t="s">
        <v>933</v>
      </c>
      <c r="E528" s="11" t="s">
        <v>934</v>
      </c>
      <c r="F528" s="11" t="s">
        <v>1444</v>
      </c>
      <c r="G528" s="12" t="s">
        <v>55</v>
      </c>
      <c r="H528" s="34" t="s">
        <v>1445</v>
      </c>
      <c r="I528" s="12" t="s">
        <v>651</v>
      </c>
      <c r="J528" s="10" t="s">
        <v>652</v>
      </c>
      <c r="K528" s="10" t="s">
        <v>41</v>
      </c>
      <c r="L528" s="10" t="s">
        <v>4</v>
      </c>
      <c r="M528" s="22">
        <v>45384.0</v>
      </c>
      <c r="N528" s="32" t="s">
        <v>1446</v>
      </c>
      <c r="O528" s="10" t="s">
        <v>1447</v>
      </c>
      <c r="P528" s="10" t="s">
        <v>940</v>
      </c>
      <c r="Q528" s="2"/>
      <c r="R528" s="10">
        <v>36.0</v>
      </c>
      <c r="S528" s="14">
        <v>45447.0</v>
      </c>
      <c r="T528" s="14">
        <v>46541.0</v>
      </c>
      <c r="U528" s="10">
        <f t="shared" si="23"/>
        <v>450</v>
      </c>
      <c r="V528" s="2"/>
      <c r="W528" s="15"/>
      <c r="X528" s="15"/>
      <c r="Y528" s="15"/>
      <c r="Z528" s="15"/>
      <c r="AA528" s="1"/>
      <c r="AB528" s="15"/>
      <c r="AC528" s="15"/>
      <c r="AD528" s="15"/>
      <c r="AE528" s="15"/>
      <c r="AF528" s="2"/>
      <c r="AG528" s="10" t="s">
        <v>354</v>
      </c>
      <c r="AH528" s="12" t="s">
        <v>355</v>
      </c>
      <c r="AI528" s="10" t="s">
        <v>941</v>
      </c>
      <c r="AJ528" s="12" t="s">
        <v>942</v>
      </c>
      <c r="AK528" s="16" t="s">
        <v>45</v>
      </c>
      <c r="AL528" s="10" t="s">
        <v>49</v>
      </c>
      <c r="AM528" s="16" t="s">
        <v>45</v>
      </c>
      <c r="AN528" s="10" t="s">
        <v>320</v>
      </c>
    </row>
    <row r="529" ht="30.0" customHeight="1">
      <c r="A529" s="9" t="str">
        <f t="shared" si="45"/>
        <v>Ativo</v>
      </c>
      <c r="B529" s="9" t="str">
        <f t="shared" si="46"/>
        <v>N/I</v>
      </c>
      <c r="C529" s="9" t="str">
        <f t="shared" si="47"/>
        <v>N/I</v>
      </c>
      <c r="D529" s="10" t="s">
        <v>933</v>
      </c>
      <c r="E529" s="11" t="s">
        <v>934</v>
      </c>
      <c r="F529" s="11" t="s">
        <v>1448</v>
      </c>
      <c r="G529" s="12" t="s">
        <v>55</v>
      </c>
      <c r="H529" s="34" t="s">
        <v>1449</v>
      </c>
      <c r="I529" s="12" t="s">
        <v>1450</v>
      </c>
      <c r="J529" s="10" t="s">
        <v>89</v>
      </c>
      <c r="K529" s="10" t="s">
        <v>41</v>
      </c>
      <c r="L529" s="10" t="s">
        <v>4</v>
      </c>
      <c r="M529" s="14">
        <v>45407.0</v>
      </c>
      <c r="N529" s="32" t="s">
        <v>1451</v>
      </c>
      <c r="O529" s="10" t="s">
        <v>1452</v>
      </c>
      <c r="P529" s="10" t="s">
        <v>940</v>
      </c>
      <c r="Q529" s="2"/>
      <c r="R529" s="10">
        <v>36.0</v>
      </c>
      <c r="S529" s="14">
        <v>45433.0</v>
      </c>
      <c r="T529" s="14">
        <v>46527.0</v>
      </c>
      <c r="U529" s="10">
        <f t="shared" si="23"/>
        <v>436</v>
      </c>
      <c r="V529" s="2"/>
      <c r="W529" s="15"/>
      <c r="X529" s="15"/>
      <c r="Y529" s="15"/>
      <c r="Z529" s="15"/>
      <c r="AA529" s="1"/>
      <c r="AB529" s="15"/>
      <c r="AC529" s="15"/>
      <c r="AD529" s="15"/>
      <c r="AE529" s="15"/>
      <c r="AF529" s="2"/>
      <c r="AG529" s="10" t="s">
        <v>354</v>
      </c>
      <c r="AH529" s="12" t="s">
        <v>355</v>
      </c>
      <c r="AI529" s="10" t="s">
        <v>941</v>
      </c>
      <c r="AJ529" s="12" t="s">
        <v>942</v>
      </c>
      <c r="AK529" s="16" t="s">
        <v>45</v>
      </c>
      <c r="AL529" s="10" t="s">
        <v>49</v>
      </c>
      <c r="AM529" s="16" t="s">
        <v>45</v>
      </c>
      <c r="AN529" s="10" t="s">
        <v>320</v>
      </c>
    </row>
    <row r="530" ht="30.0" customHeight="1">
      <c r="A530" s="9" t="str">
        <f t="shared" si="45"/>
        <v>Ativo</v>
      </c>
      <c r="B530" s="9" t="str">
        <f t="shared" si="46"/>
        <v>N/I</v>
      </c>
      <c r="C530" s="9" t="str">
        <f t="shared" si="47"/>
        <v>N/I</v>
      </c>
      <c r="D530" s="10" t="s">
        <v>933</v>
      </c>
      <c r="E530" s="11" t="s">
        <v>934</v>
      </c>
      <c r="F530" s="11" t="s">
        <v>1453</v>
      </c>
      <c r="G530" s="12" t="s">
        <v>55</v>
      </c>
      <c r="H530" s="19" t="s">
        <v>1454</v>
      </c>
      <c r="I530" s="12" t="s">
        <v>1455</v>
      </c>
      <c r="J530" s="10" t="s">
        <v>583</v>
      </c>
      <c r="K530" s="10" t="s">
        <v>41</v>
      </c>
      <c r="L530" s="10" t="s">
        <v>4</v>
      </c>
      <c r="M530" s="22">
        <v>45194.0</v>
      </c>
      <c r="N530" s="32" t="s">
        <v>1456</v>
      </c>
      <c r="O530" s="10" t="s">
        <v>1457</v>
      </c>
      <c r="P530" s="10" t="s">
        <v>992</v>
      </c>
      <c r="Q530" s="2"/>
      <c r="R530" s="10">
        <v>36.0</v>
      </c>
      <c r="S530" s="14">
        <v>45244.0</v>
      </c>
      <c r="T530" s="14">
        <v>46339.0</v>
      </c>
      <c r="U530" s="10">
        <f t="shared" si="23"/>
        <v>248</v>
      </c>
      <c r="V530" s="2"/>
      <c r="W530" s="15"/>
      <c r="X530" s="15"/>
      <c r="Y530" s="15"/>
      <c r="Z530" s="15"/>
      <c r="AA530" s="1"/>
      <c r="AB530" s="15"/>
      <c r="AC530" s="15"/>
      <c r="AD530" s="15"/>
      <c r="AE530" s="15"/>
      <c r="AF530" s="2"/>
      <c r="AG530" s="10" t="s">
        <v>354</v>
      </c>
      <c r="AH530" s="12" t="s">
        <v>355</v>
      </c>
      <c r="AI530" s="10" t="s">
        <v>941</v>
      </c>
      <c r="AJ530" s="12" t="s">
        <v>942</v>
      </c>
      <c r="AK530" s="16" t="s">
        <v>45</v>
      </c>
      <c r="AL530" s="10" t="s">
        <v>49</v>
      </c>
      <c r="AM530" s="16" t="s">
        <v>45</v>
      </c>
      <c r="AN530" s="10" t="s">
        <v>320</v>
      </c>
    </row>
    <row r="531" ht="30.0" customHeight="1">
      <c r="A531" s="9" t="str">
        <f t="shared" si="45"/>
        <v>Ativo</v>
      </c>
      <c r="B531" s="9" t="str">
        <f t="shared" si="46"/>
        <v>N/I</v>
      </c>
      <c r="C531" s="9" t="str">
        <f t="shared" si="47"/>
        <v>N/I</v>
      </c>
      <c r="D531" s="10" t="s">
        <v>933</v>
      </c>
      <c r="E531" s="11" t="s">
        <v>934</v>
      </c>
      <c r="F531" s="32" t="s">
        <v>1458</v>
      </c>
      <c r="G531" s="12" t="s">
        <v>55</v>
      </c>
      <c r="H531" s="34" t="s">
        <v>1459</v>
      </c>
      <c r="I531" s="12" t="s">
        <v>1455</v>
      </c>
      <c r="J531" s="10" t="s">
        <v>583</v>
      </c>
      <c r="K531" s="10" t="s">
        <v>41</v>
      </c>
      <c r="L531" s="10" t="s">
        <v>4</v>
      </c>
      <c r="M531" s="14">
        <v>45558.0</v>
      </c>
      <c r="N531" s="32" t="s">
        <v>1460</v>
      </c>
      <c r="O531" s="10" t="s">
        <v>1461</v>
      </c>
      <c r="P531" s="10" t="s">
        <v>940</v>
      </c>
      <c r="Q531" s="2"/>
      <c r="R531" s="10">
        <v>36.0</v>
      </c>
      <c r="S531" s="14">
        <v>45645.0</v>
      </c>
      <c r="T531" s="14">
        <v>46739.0</v>
      </c>
      <c r="U531" s="10">
        <f t="shared" si="23"/>
        <v>648</v>
      </c>
      <c r="V531" s="2"/>
      <c r="W531" s="15"/>
      <c r="X531" s="15"/>
      <c r="Y531" s="15"/>
      <c r="Z531" s="15"/>
      <c r="AA531" s="1"/>
      <c r="AB531" s="15"/>
      <c r="AC531" s="15"/>
      <c r="AD531" s="15"/>
      <c r="AE531" s="15"/>
      <c r="AF531" s="2"/>
      <c r="AG531" s="10" t="s">
        <v>354</v>
      </c>
      <c r="AH531" s="12" t="s">
        <v>355</v>
      </c>
      <c r="AI531" s="10" t="s">
        <v>941</v>
      </c>
      <c r="AJ531" s="12" t="s">
        <v>942</v>
      </c>
      <c r="AK531" s="16" t="s">
        <v>45</v>
      </c>
      <c r="AL531" s="10" t="s">
        <v>49</v>
      </c>
      <c r="AM531" s="16" t="s">
        <v>45</v>
      </c>
      <c r="AN531" s="10" t="s">
        <v>320</v>
      </c>
    </row>
    <row r="532" ht="30.0" customHeight="1">
      <c r="A532" s="9" t="str">
        <f>IF(U530&lt;0,"Inativo",IF(U530&gt;0,"Ativo","N/I"))</f>
        <v>Ativo</v>
      </c>
      <c r="B532" s="9" t="str">
        <f>IF(Z530&lt;0,"Inativo",IF(Z530&gt;0,"Ativo","N/I"))</f>
        <v>N/I</v>
      </c>
      <c r="C532" s="9" t="str">
        <f>IF(AE530&lt;0,"Inativo",IF(AE530&gt;0,"Ativo","N/I"))</f>
        <v>N/I</v>
      </c>
      <c r="D532" s="10" t="s">
        <v>933</v>
      </c>
      <c r="E532" s="11" t="s">
        <v>934</v>
      </c>
      <c r="F532" s="11" t="s">
        <v>1462</v>
      </c>
      <c r="G532" s="12" t="s">
        <v>55</v>
      </c>
      <c r="H532" s="34" t="s">
        <v>1463</v>
      </c>
      <c r="I532" s="12" t="s">
        <v>1464</v>
      </c>
      <c r="J532" s="10" t="s">
        <v>40</v>
      </c>
      <c r="K532" s="10" t="s">
        <v>41</v>
      </c>
      <c r="L532" s="10" t="s">
        <v>4</v>
      </c>
      <c r="M532" s="22">
        <v>45432.0</v>
      </c>
      <c r="N532" s="32" t="s">
        <v>1465</v>
      </c>
      <c r="O532" s="10" t="s">
        <v>1466</v>
      </c>
      <c r="P532" s="10" t="s">
        <v>940</v>
      </c>
      <c r="Q532" s="2"/>
      <c r="R532" s="10">
        <v>36.0</v>
      </c>
      <c r="S532" s="14">
        <v>45484.0</v>
      </c>
      <c r="T532" s="14">
        <v>46578.0</v>
      </c>
      <c r="U532" s="10">
        <f t="shared" si="23"/>
        <v>487</v>
      </c>
      <c r="V532" s="2"/>
      <c r="W532" s="15"/>
      <c r="X532" s="15"/>
      <c r="Y532" s="15"/>
      <c r="Z532" s="15"/>
      <c r="AA532" s="1"/>
      <c r="AB532" s="15"/>
      <c r="AC532" s="15"/>
      <c r="AD532" s="15"/>
      <c r="AE532" s="15"/>
      <c r="AF532" s="2"/>
      <c r="AG532" s="10" t="s">
        <v>354</v>
      </c>
      <c r="AH532" s="12" t="s">
        <v>355</v>
      </c>
      <c r="AI532" s="10" t="s">
        <v>941</v>
      </c>
      <c r="AJ532" s="12" t="s">
        <v>942</v>
      </c>
      <c r="AK532" s="16" t="s">
        <v>45</v>
      </c>
      <c r="AL532" s="10" t="s">
        <v>49</v>
      </c>
      <c r="AM532" s="16" t="s">
        <v>45</v>
      </c>
      <c r="AN532" s="10" t="s">
        <v>320</v>
      </c>
    </row>
    <row r="533" ht="30.0" customHeight="1">
      <c r="A533" s="9" t="str">
        <f t="shared" ref="A533:A1671" si="48">IF(U533&lt;0,"Inativo",IF(U533&gt;0,"Ativo","N/I"))</f>
        <v>Ativo</v>
      </c>
      <c r="B533" s="9" t="str">
        <f t="shared" ref="B533:B1671" si="49">IF(Z533&lt;0,"Inativo",IF(Z533&gt;0,"Ativo","N/I"))</f>
        <v>N/I</v>
      </c>
      <c r="C533" s="9" t="str">
        <f t="shared" ref="C533:C666" si="50">IF(AE533&lt;0,"Inativo",IF(AE533&gt;0,"Ativo","N/I"))</f>
        <v>N/I</v>
      </c>
      <c r="D533" s="10" t="s">
        <v>933</v>
      </c>
      <c r="E533" s="11" t="s">
        <v>934</v>
      </c>
      <c r="F533" s="11" t="s">
        <v>1467</v>
      </c>
      <c r="G533" s="12" t="s">
        <v>55</v>
      </c>
      <c r="H533" s="34" t="s">
        <v>1468</v>
      </c>
      <c r="I533" s="12" t="s">
        <v>1469</v>
      </c>
      <c r="J533" s="10" t="s">
        <v>208</v>
      </c>
      <c r="K533" s="10" t="s">
        <v>209</v>
      </c>
      <c r="L533" s="10" t="s">
        <v>4</v>
      </c>
      <c r="M533" s="22">
        <v>45397.0</v>
      </c>
      <c r="N533" s="32" t="s">
        <v>1470</v>
      </c>
      <c r="O533" s="10" t="s">
        <v>1471</v>
      </c>
      <c r="P533" s="10" t="s">
        <v>940</v>
      </c>
      <c r="Q533" s="2"/>
      <c r="R533" s="10">
        <v>36.0</v>
      </c>
      <c r="S533" s="14">
        <v>45397.0</v>
      </c>
      <c r="T533" s="14">
        <v>46491.0</v>
      </c>
      <c r="U533" s="10">
        <f t="shared" si="23"/>
        <v>400</v>
      </c>
      <c r="V533" s="2"/>
      <c r="W533" s="15"/>
      <c r="X533" s="15"/>
      <c r="Y533" s="15"/>
      <c r="Z533" s="15"/>
      <c r="AA533" s="1"/>
      <c r="AB533" s="15"/>
      <c r="AC533" s="15"/>
      <c r="AD533" s="15"/>
      <c r="AE533" s="15"/>
      <c r="AF533" s="2"/>
      <c r="AG533" s="10" t="s">
        <v>354</v>
      </c>
      <c r="AH533" s="12" t="s">
        <v>355</v>
      </c>
      <c r="AI533" s="10" t="s">
        <v>941</v>
      </c>
      <c r="AJ533" s="12" t="s">
        <v>942</v>
      </c>
      <c r="AK533" s="16" t="s">
        <v>45</v>
      </c>
      <c r="AL533" s="10" t="s">
        <v>49</v>
      </c>
      <c r="AM533" s="16" t="s">
        <v>45</v>
      </c>
      <c r="AN533" s="10" t="s">
        <v>320</v>
      </c>
    </row>
    <row r="534" ht="30.0" customHeight="1">
      <c r="A534" s="9" t="str">
        <f t="shared" si="48"/>
        <v>Ativo</v>
      </c>
      <c r="B534" s="9" t="str">
        <f t="shared" si="49"/>
        <v>N/I</v>
      </c>
      <c r="C534" s="9" t="str">
        <f t="shared" si="50"/>
        <v>N/I</v>
      </c>
      <c r="D534" s="10" t="s">
        <v>933</v>
      </c>
      <c r="E534" s="11" t="s">
        <v>934</v>
      </c>
      <c r="F534" s="11" t="s">
        <v>1472</v>
      </c>
      <c r="G534" s="12" t="s">
        <v>55</v>
      </c>
      <c r="H534" s="34" t="s">
        <v>1473</v>
      </c>
      <c r="I534" s="12" t="s">
        <v>1474</v>
      </c>
      <c r="J534" s="10" t="s">
        <v>1097</v>
      </c>
      <c r="K534" s="10" t="s">
        <v>190</v>
      </c>
      <c r="L534" s="10" t="s">
        <v>4</v>
      </c>
      <c r="M534" s="22">
        <v>45245.0</v>
      </c>
      <c r="N534" s="32" t="s">
        <v>1475</v>
      </c>
      <c r="O534" s="10" t="s">
        <v>1476</v>
      </c>
      <c r="P534" s="10" t="s">
        <v>940</v>
      </c>
      <c r="Q534" s="2"/>
      <c r="R534" s="10">
        <v>36.0</v>
      </c>
      <c r="S534" s="14">
        <v>45327.0</v>
      </c>
      <c r="T534" s="14">
        <v>46422.0</v>
      </c>
      <c r="U534" s="10">
        <f t="shared" si="23"/>
        <v>331</v>
      </c>
      <c r="V534" s="2"/>
      <c r="W534" s="15"/>
      <c r="X534" s="15"/>
      <c r="Y534" s="15"/>
      <c r="Z534" s="15"/>
      <c r="AA534" s="1"/>
      <c r="AB534" s="15"/>
      <c r="AC534" s="15"/>
      <c r="AD534" s="15"/>
      <c r="AE534" s="15"/>
      <c r="AF534" s="2"/>
      <c r="AG534" s="10" t="s">
        <v>354</v>
      </c>
      <c r="AH534" s="12" t="s">
        <v>355</v>
      </c>
      <c r="AI534" s="10" t="s">
        <v>941</v>
      </c>
      <c r="AJ534" s="12" t="s">
        <v>942</v>
      </c>
      <c r="AK534" s="16" t="s">
        <v>45</v>
      </c>
      <c r="AL534" s="10" t="s">
        <v>49</v>
      </c>
      <c r="AM534" s="16" t="s">
        <v>45</v>
      </c>
      <c r="AN534" s="10" t="s">
        <v>320</v>
      </c>
    </row>
    <row r="535" ht="30.0" customHeight="1">
      <c r="A535" s="9" t="str">
        <f t="shared" si="48"/>
        <v>Ativo</v>
      </c>
      <c r="B535" s="9" t="str">
        <f t="shared" si="49"/>
        <v>N/I</v>
      </c>
      <c r="C535" s="9" t="str">
        <f t="shared" si="50"/>
        <v>N/I</v>
      </c>
      <c r="D535" s="10" t="s">
        <v>933</v>
      </c>
      <c r="E535" s="11" t="s">
        <v>934</v>
      </c>
      <c r="F535" s="11" t="s">
        <v>1477</v>
      </c>
      <c r="G535" s="12" t="s">
        <v>55</v>
      </c>
      <c r="H535" s="34" t="s">
        <v>1478</v>
      </c>
      <c r="I535" s="12" t="s">
        <v>1479</v>
      </c>
      <c r="J535" s="10" t="s">
        <v>234</v>
      </c>
      <c r="K535" s="10" t="s">
        <v>40</v>
      </c>
      <c r="L535" s="10" t="s">
        <v>4</v>
      </c>
      <c r="M535" s="22">
        <v>45366.0</v>
      </c>
      <c r="N535" s="32" t="s">
        <v>1480</v>
      </c>
      <c r="O535" s="10" t="s">
        <v>1481</v>
      </c>
      <c r="P535" s="10" t="s">
        <v>992</v>
      </c>
      <c r="Q535" s="2"/>
      <c r="R535" s="10">
        <v>36.0</v>
      </c>
      <c r="S535" s="14">
        <v>45366.0</v>
      </c>
      <c r="T535" s="14">
        <v>46460.0</v>
      </c>
      <c r="U535" s="10">
        <f t="shared" si="23"/>
        <v>369</v>
      </c>
      <c r="V535" s="2"/>
      <c r="W535" s="15"/>
      <c r="X535" s="15"/>
      <c r="Y535" s="15"/>
      <c r="Z535" s="15"/>
      <c r="AA535" s="1"/>
      <c r="AB535" s="15"/>
      <c r="AC535" s="15"/>
      <c r="AD535" s="15"/>
      <c r="AE535" s="15"/>
      <c r="AF535" s="2"/>
      <c r="AG535" s="10" t="s">
        <v>354</v>
      </c>
      <c r="AH535" s="12" t="s">
        <v>355</v>
      </c>
      <c r="AI535" s="10" t="s">
        <v>941</v>
      </c>
      <c r="AJ535" s="12" t="s">
        <v>942</v>
      </c>
      <c r="AK535" s="16" t="s">
        <v>45</v>
      </c>
      <c r="AL535" s="10" t="s">
        <v>49</v>
      </c>
      <c r="AM535" s="16" t="s">
        <v>45</v>
      </c>
      <c r="AN535" s="10" t="s">
        <v>320</v>
      </c>
    </row>
    <row r="536" ht="30.0" customHeight="1">
      <c r="A536" s="9" t="str">
        <f t="shared" si="48"/>
        <v>Ativo</v>
      </c>
      <c r="B536" s="9" t="str">
        <f t="shared" si="49"/>
        <v>N/I</v>
      </c>
      <c r="C536" s="9" t="str">
        <f t="shared" si="50"/>
        <v>N/I</v>
      </c>
      <c r="D536" s="10" t="s">
        <v>933</v>
      </c>
      <c r="E536" s="11" t="s">
        <v>934</v>
      </c>
      <c r="F536" s="11" t="s">
        <v>1482</v>
      </c>
      <c r="G536" s="12" t="s">
        <v>55</v>
      </c>
      <c r="H536" s="34" t="s">
        <v>1483</v>
      </c>
      <c r="I536" s="12" t="s">
        <v>1484</v>
      </c>
      <c r="J536" s="10" t="s">
        <v>234</v>
      </c>
      <c r="K536" s="10" t="s">
        <v>40</v>
      </c>
      <c r="L536" s="10" t="s">
        <v>4</v>
      </c>
      <c r="M536" s="22">
        <v>45369.0</v>
      </c>
      <c r="N536" s="32" t="s">
        <v>1485</v>
      </c>
      <c r="O536" s="10" t="s">
        <v>1486</v>
      </c>
      <c r="P536" s="10" t="s">
        <v>992</v>
      </c>
      <c r="Q536" s="2"/>
      <c r="R536" s="10">
        <v>36.0</v>
      </c>
      <c r="S536" s="14">
        <v>45369.0</v>
      </c>
      <c r="T536" s="14">
        <v>46463.0</v>
      </c>
      <c r="U536" s="10">
        <f t="shared" si="23"/>
        <v>372</v>
      </c>
      <c r="V536" s="2"/>
      <c r="W536" s="15"/>
      <c r="X536" s="15"/>
      <c r="Y536" s="15"/>
      <c r="Z536" s="15"/>
      <c r="AA536" s="1"/>
      <c r="AB536" s="15"/>
      <c r="AC536" s="15"/>
      <c r="AD536" s="15"/>
      <c r="AE536" s="15"/>
      <c r="AF536" s="2"/>
      <c r="AG536" s="10" t="s">
        <v>354</v>
      </c>
      <c r="AH536" s="12" t="s">
        <v>355</v>
      </c>
      <c r="AI536" s="10" t="s">
        <v>941</v>
      </c>
      <c r="AJ536" s="12" t="s">
        <v>942</v>
      </c>
      <c r="AK536" s="16" t="s">
        <v>45</v>
      </c>
      <c r="AL536" s="10" t="s">
        <v>49</v>
      </c>
      <c r="AM536" s="16" t="s">
        <v>45</v>
      </c>
      <c r="AN536" s="10" t="s">
        <v>320</v>
      </c>
    </row>
    <row r="537" ht="30.0" customHeight="1">
      <c r="A537" s="9" t="str">
        <f t="shared" si="48"/>
        <v>Ativo</v>
      </c>
      <c r="B537" s="9" t="str">
        <f t="shared" si="49"/>
        <v>N/I</v>
      </c>
      <c r="C537" s="9" t="str">
        <f t="shared" si="50"/>
        <v>N/I</v>
      </c>
      <c r="D537" s="10" t="s">
        <v>933</v>
      </c>
      <c r="E537" s="11" t="s">
        <v>934</v>
      </c>
      <c r="F537" s="11" t="s">
        <v>1487</v>
      </c>
      <c r="G537" s="12" t="s">
        <v>55</v>
      </c>
      <c r="H537" s="34" t="s">
        <v>1488</v>
      </c>
      <c r="I537" s="12" t="s">
        <v>1484</v>
      </c>
      <c r="J537" s="10" t="s">
        <v>234</v>
      </c>
      <c r="K537" s="10" t="s">
        <v>40</v>
      </c>
      <c r="L537" s="10" t="s">
        <v>4</v>
      </c>
      <c r="M537" s="22">
        <v>45370.0</v>
      </c>
      <c r="N537" s="32" t="s">
        <v>1485</v>
      </c>
      <c r="O537" s="10" t="s">
        <v>1486</v>
      </c>
      <c r="P537" s="10" t="s">
        <v>992</v>
      </c>
      <c r="Q537" s="2"/>
      <c r="R537" s="10">
        <v>36.0</v>
      </c>
      <c r="S537" s="14">
        <v>45370.0</v>
      </c>
      <c r="T537" s="14">
        <v>46464.0</v>
      </c>
      <c r="U537" s="10">
        <f t="shared" si="23"/>
        <v>373</v>
      </c>
      <c r="V537" s="2"/>
      <c r="W537" s="15"/>
      <c r="X537" s="15"/>
      <c r="Y537" s="15"/>
      <c r="Z537" s="15"/>
      <c r="AA537" s="1"/>
      <c r="AB537" s="15"/>
      <c r="AC537" s="15"/>
      <c r="AD537" s="15"/>
      <c r="AE537" s="15"/>
      <c r="AF537" s="2"/>
      <c r="AG537" s="10" t="s">
        <v>354</v>
      </c>
      <c r="AH537" s="12" t="s">
        <v>355</v>
      </c>
      <c r="AI537" s="10" t="s">
        <v>941</v>
      </c>
      <c r="AJ537" s="12" t="s">
        <v>942</v>
      </c>
      <c r="AK537" s="16" t="s">
        <v>45</v>
      </c>
      <c r="AL537" s="10" t="s">
        <v>49</v>
      </c>
      <c r="AM537" s="16" t="s">
        <v>45</v>
      </c>
      <c r="AN537" s="10" t="s">
        <v>320</v>
      </c>
    </row>
    <row r="538" ht="30.0" customHeight="1">
      <c r="A538" s="9" t="str">
        <f t="shared" si="48"/>
        <v>N/I</v>
      </c>
      <c r="B538" s="9" t="str">
        <f t="shared" si="49"/>
        <v>N/I</v>
      </c>
      <c r="C538" s="9" t="str">
        <f t="shared" si="50"/>
        <v>N/I</v>
      </c>
      <c r="D538" s="10" t="s">
        <v>933</v>
      </c>
      <c r="E538" s="11" t="s">
        <v>934</v>
      </c>
      <c r="F538" s="11"/>
      <c r="G538" s="12" t="s">
        <v>55</v>
      </c>
      <c r="H538" s="44" t="s">
        <v>187</v>
      </c>
      <c r="I538" s="12"/>
      <c r="J538" s="10"/>
      <c r="K538" s="10"/>
      <c r="L538" s="10" t="s">
        <v>4</v>
      </c>
      <c r="M538" s="24" t="s">
        <v>193</v>
      </c>
      <c r="N538" s="32"/>
      <c r="O538" s="10"/>
      <c r="P538" s="10" t="s">
        <v>940</v>
      </c>
      <c r="Q538" s="2"/>
      <c r="R538" s="10">
        <v>36.0</v>
      </c>
      <c r="S538" s="45" t="s">
        <v>1489</v>
      </c>
      <c r="T538" s="45" t="s">
        <v>1489</v>
      </c>
      <c r="U538" s="10"/>
      <c r="V538" s="2"/>
      <c r="W538" s="15"/>
      <c r="X538" s="15"/>
      <c r="Y538" s="15"/>
      <c r="Z538" s="15"/>
      <c r="AA538" s="1"/>
      <c r="AB538" s="15"/>
      <c r="AC538" s="15"/>
      <c r="AD538" s="15"/>
      <c r="AE538" s="15"/>
      <c r="AF538" s="2"/>
      <c r="AG538" s="10" t="s">
        <v>354</v>
      </c>
      <c r="AH538" s="12" t="s">
        <v>355</v>
      </c>
      <c r="AI538" s="10" t="s">
        <v>941</v>
      </c>
      <c r="AJ538" s="12" t="s">
        <v>942</v>
      </c>
      <c r="AK538" s="16" t="s">
        <v>45</v>
      </c>
      <c r="AL538" s="10" t="s">
        <v>49</v>
      </c>
      <c r="AM538" s="16" t="s">
        <v>45</v>
      </c>
      <c r="AN538" s="10" t="s">
        <v>320</v>
      </c>
    </row>
    <row r="539" ht="30.0" customHeight="1">
      <c r="A539" s="9" t="str">
        <f t="shared" si="48"/>
        <v>N/I</v>
      </c>
      <c r="B539" s="9" t="str">
        <f t="shared" si="49"/>
        <v>N/I</v>
      </c>
      <c r="C539" s="9" t="str">
        <f t="shared" si="50"/>
        <v>N/I</v>
      </c>
      <c r="D539" s="10" t="s">
        <v>933</v>
      </c>
      <c r="E539" s="11" t="s">
        <v>934</v>
      </c>
      <c r="F539" s="11"/>
      <c r="G539" s="12" t="s">
        <v>55</v>
      </c>
      <c r="H539" s="44" t="s">
        <v>187</v>
      </c>
      <c r="I539" s="12"/>
      <c r="J539" s="10"/>
      <c r="K539" s="10"/>
      <c r="L539" s="10" t="s">
        <v>4</v>
      </c>
      <c r="M539" s="24" t="s">
        <v>193</v>
      </c>
      <c r="N539" s="32"/>
      <c r="O539" s="10"/>
      <c r="P539" s="10" t="s">
        <v>940</v>
      </c>
      <c r="Q539" s="2"/>
      <c r="R539" s="10">
        <v>36.0</v>
      </c>
      <c r="S539" s="45" t="s">
        <v>1489</v>
      </c>
      <c r="T539" s="45" t="s">
        <v>1489</v>
      </c>
      <c r="U539" s="10"/>
      <c r="V539" s="2"/>
      <c r="W539" s="15"/>
      <c r="X539" s="15"/>
      <c r="Y539" s="15"/>
      <c r="Z539" s="15"/>
      <c r="AA539" s="1"/>
      <c r="AB539" s="15"/>
      <c r="AC539" s="15"/>
      <c r="AD539" s="15"/>
      <c r="AE539" s="15"/>
      <c r="AF539" s="2"/>
      <c r="AG539" s="10" t="s">
        <v>354</v>
      </c>
      <c r="AH539" s="12" t="s">
        <v>355</v>
      </c>
      <c r="AI539" s="10" t="s">
        <v>941</v>
      </c>
      <c r="AJ539" s="12" t="s">
        <v>942</v>
      </c>
      <c r="AK539" s="16" t="s">
        <v>45</v>
      </c>
      <c r="AL539" s="10" t="s">
        <v>49</v>
      </c>
      <c r="AM539" s="16" t="s">
        <v>45</v>
      </c>
      <c r="AN539" s="10" t="s">
        <v>320</v>
      </c>
    </row>
    <row r="540" ht="30.0" customHeight="1">
      <c r="A540" s="9" t="str">
        <f t="shared" si="48"/>
        <v>N/I</v>
      </c>
      <c r="B540" s="9" t="str">
        <f t="shared" si="49"/>
        <v>N/I</v>
      </c>
      <c r="C540" s="9" t="str">
        <f t="shared" si="50"/>
        <v>N/I</v>
      </c>
      <c r="D540" s="10" t="s">
        <v>933</v>
      </c>
      <c r="E540" s="11" t="s">
        <v>934</v>
      </c>
      <c r="F540" s="11"/>
      <c r="G540" s="12" t="s">
        <v>55</v>
      </c>
      <c r="H540" s="44" t="s">
        <v>187</v>
      </c>
      <c r="I540" s="12"/>
      <c r="J540" s="10"/>
      <c r="K540" s="10"/>
      <c r="L540" s="10" t="s">
        <v>4</v>
      </c>
      <c r="M540" s="24" t="s">
        <v>193</v>
      </c>
      <c r="N540" s="32"/>
      <c r="O540" s="10"/>
      <c r="P540" s="10" t="s">
        <v>940</v>
      </c>
      <c r="Q540" s="2"/>
      <c r="R540" s="10">
        <v>36.0</v>
      </c>
      <c r="S540" s="45" t="s">
        <v>1489</v>
      </c>
      <c r="T540" s="45" t="s">
        <v>1489</v>
      </c>
      <c r="U540" s="10"/>
      <c r="V540" s="2"/>
      <c r="W540" s="15"/>
      <c r="X540" s="15"/>
      <c r="Y540" s="15"/>
      <c r="Z540" s="15"/>
      <c r="AA540" s="1"/>
      <c r="AB540" s="15"/>
      <c r="AC540" s="15"/>
      <c r="AD540" s="15"/>
      <c r="AE540" s="15"/>
      <c r="AF540" s="2"/>
      <c r="AG540" s="10" t="s">
        <v>354</v>
      </c>
      <c r="AH540" s="12" t="s">
        <v>355</v>
      </c>
      <c r="AI540" s="10" t="s">
        <v>941</v>
      </c>
      <c r="AJ540" s="12" t="s">
        <v>942</v>
      </c>
      <c r="AK540" s="16" t="s">
        <v>45</v>
      </c>
      <c r="AL540" s="10" t="s">
        <v>49</v>
      </c>
      <c r="AM540" s="16" t="s">
        <v>45</v>
      </c>
      <c r="AN540" s="10" t="s">
        <v>320</v>
      </c>
    </row>
    <row r="541" ht="30.0" customHeight="1">
      <c r="A541" s="9" t="str">
        <f t="shared" si="48"/>
        <v>N/I</v>
      </c>
      <c r="B541" s="9" t="str">
        <f t="shared" si="49"/>
        <v>N/I</v>
      </c>
      <c r="C541" s="9" t="str">
        <f t="shared" si="50"/>
        <v>Inativo</v>
      </c>
      <c r="D541" s="10" t="s">
        <v>1490</v>
      </c>
      <c r="E541" s="11" t="s">
        <v>1491</v>
      </c>
      <c r="F541" s="11" t="s">
        <v>1492</v>
      </c>
      <c r="G541" s="12" t="s">
        <v>502</v>
      </c>
      <c r="H541" s="36" t="s">
        <v>1493</v>
      </c>
      <c r="I541" s="12" t="s">
        <v>1494</v>
      </c>
      <c r="J541" s="10" t="s">
        <v>283</v>
      </c>
      <c r="K541" s="10" t="s">
        <v>263</v>
      </c>
      <c r="L541" s="10" t="s">
        <v>6</v>
      </c>
      <c r="M541" s="22">
        <v>44678.0</v>
      </c>
      <c r="N541" s="32" t="s">
        <v>1495</v>
      </c>
      <c r="O541" s="10" t="s">
        <v>1496</v>
      </c>
      <c r="P541" s="10" t="s">
        <v>1497</v>
      </c>
      <c r="Q541" s="2"/>
      <c r="R541" s="15"/>
      <c r="S541" s="15"/>
      <c r="T541" s="15"/>
      <c r="U541" s="15"/>
      <c r="V541" s="1"/>
      <c r="W541" s="15"/>
      <c r="X541" s="15"/>
      <c r="Y541" s="15"/>
      <c r="Z541" s="15"/>
      <c r="AA541" s="1"/>
      <c r="AB541" s="10">
        <v>12.0</v>
      </c>
      <c r="AC541" s="14">
        <v>44969.0</v>
      </c>
      <c r="AD541" s="14">
        <v>45333.0</v>
      </c>
      <c r="AE541" s="10">
        <f>AD541-TODAY()</f>
        <v>-758</v>
      </c>
      <c r="AF541" s="2"/>
      <c r="AG541" s="10" t="s">
        <v>1498</v>
      </c>
      <c r="AH541" s="16" t="s">
        <v>45</v>
      </c>
      <c r="AI541" s="16" t="s">
        <v>45</v>
      </c>
      <c r="AJ541" s="10" t="s">
        <v>227</v>
      </c>
      <c r="AK541" s="16" t="s">
        <v>45</v>
      </c>
      <c r="AL541" s="10" t="s">
        <v>49</v>
      </c>
      <c r="AM541" s="16" t="s">
        <v>45</v>
      </c>
      <c r="AN541" s="10" t="s">
        <v>1499</v>
      </c>
    </row>
    <row r="542" ht="30.0" customHeight="1">
      <c r="A542" s="9" t="str">
        <f t="shared" si="48"/>
        <v>Inativo</v>
      </c>
      <c r="B542" s="9" t="str">
        <f t="shared" si="49"/>
        <v>N/I</v>
      </c>
      <c r="C542" s="9" t="str">
        <f t="shared" si="50"/>
        <v>N/I</v>
      </c>
      <c r="D542" s="10" t="s">
        <v>1490</v>
      </c>
      <c r="E542" s="11" t="s">
        <v>1500</v>
      </c>
      <c r="F542" s="11" t="s">
        <v>1501</v>
      </c>
      <c r="G542" s="12" t="s">
        <v>94</v>
      </c>
      <c r="H542" s="20" t="s">
        <v>1502</v>
      </c>
      <c r="I542" s="12" t="s">
        <v>1503</v>
      </c>
      <c r="J542" s="10" t="s">
        <v>283</v>
      </c>
      <c r="K542" s="10" t="s">
        <v>263</v>
      </c>
      <c r="L542" s="10" t="s">
        <v>4</v>
      </c>
      <c r="M542" s="14">
        <v>43804.0</v>
      </c>
      <c r="N542" s="11" t="s">
        <v>1504</v>
      </c>
      <c r="O542" s="10" t="s">
        <v>1505</v>
      </c>
      <c r="P542" s="10" t="s">
        <v>1506</v>
      </c>
      <c r="Q542" s="2"/>
      <c r="R542" s="10">
        <v>36.0</v>
      </c>
      <c r="S542" s="14">
        <v>43804.0</v>
      </c>
      <c r="T542" s="14">
        <v>44899.0</v>
      </c>
      <c r="U542" s="10">
        <f>T542-TODAY()</f>
        <v>-1192</v>
      </c>
      <c r="V542" s="2"/>
      <c r="W542" s="15"/>
      <c r="X542" s="15"/>
      <c r="Y542" s="15"/>
      <c r="Z542" s="15"/>
      <c r="AA542" s="1"/>
      <c r="AB542" s="15"/>
      <c r="AC542" s="15"/>
      <c r="AD542" s="15"/>
      <c r="AE542" s="15"/>
      <c r="AF542" s="2"/>
      <c r="AG542" s="16" t="s">
        <v>45</v>
      </c>
      <c r="AH542" s="16" t="s">
        <v>45</v>
      </c>
      <c r="AI542" s="16" t="s">
        <v>45</v>
      </c>
      <c r="AJ542" s="16" t="s">
        <v>45</v>
      </c>
      <c r="AK542" s="16" t="s">
        <v>45</v>
      </c>
      <c r="AL542" s="10" t="s">
        <v>49</v>
      </c>
      <c r="AM542" s="16" t="s">
        <v>45</v>
      </c>
      <c r="AN542" s="10" t="s">
        <v>320</v>
      </c>
    </row>
    <row r="543" ht="30.0" customHeight="1">
      <c r="A543" s="9" t="str">
        <f t="shared" si="48"/>
        <v>N/I</v>
      </c>
      <c r="B543" s="9" t="str">
        <f t="shared" si="49"/>
        <v>N/I</v>
      </c>
      <c r="C543" s="9" t="str">
        <f t="shared" si="50"/>
        <v>Inativo</v>
      </c>
      <c r="D543" s="10" t="s">
        <v>1490</v>
      </c>
      <c r="E543" s="11" t="s">
        <v>1491</v>
      </c>
      <c r="F543" s="11" t="s">
        <v>1507</v>
      </c>
      <c r="G543" s="12" t="s">
        <v>502</v>
      </c>
      <c r="H543" s="36">
        <v>17042.0</v>
      </c>
      <c r="I543" s="12" t="s">
        <v>1503</v>
      </c>
      <c r="J543" s="10" t="s">
        <v>283</v>
      </c>
      <c r="K543" s="10" t="s">
        <v>263</v>
      </c>
      <c r="L543" s="10" t="s">
        <v>6</v>
      </c>
      <c r="M543" s="22">
        <v>43531.0</v>
      </c>
      <c r="N543" s="32" t="s">
        <v>1508</v>
      </c>
      <c r="O543" s="10" t="s">
        <v>1509</v>
      </c>
      <c r="P543" s="10" t="s">
        <v>1497</v>
      </c>
      <c r="Q543" s="2"/>
      <c r="R543" s="15"/>
      <c r="S543" s="15"/>
      <c r="T543" s="15"/>
      <c r="U543" s="15"/>
      <c r="V543" s="2"/>
      <c r="W543" s="15"/>
      <c r="X543" s="15"/>
      <c r="Y543" s="15"/>
      <c r="Z543" s="15"/>
      <c r="AA543" s="1"/>
      <c r="AB543" s="10">
        <v>12.0</v>
      </c>
      <c r="AC543" s="14">
        <v>44969.0</v>
      </c>
      <c r="AD543" s="14">
        <v>45333.0</v>
      </c>
      <c r="AE543" s="10">
        <f t="shared" ref="AE543:AE544" si="51">AD543-TODAY()</f>
        <v>-758</v>
      </c>
      <c r="AF543" s="2"/>
      <c r="AG543" s="10" t="s">
        <v>1498</v>
      </c>
      <c r="AH543" s="16" t="s">
        <v>45</v>
      </c>
      <c r="AI543" s="16" t="s">
        <v>45</v>
      </c>
      <c r="AJ543" s="10" t="s">
        <v>227</v>
      </c>
      <c r="AK543" s="16" t="s">
        <v>45</v>
      </c>
      <c r="AL543" s="10" t="s">
        <v>49</v>
      </c>
      <c r="AM543" s="16" t="s">
        <v>45</v>
      </c>
      <c r="AN543" s="10" t="s">
        <v>1499</v>
      </c>
    </row>
    <row r="544" ht="30.0" customHeight="1">
      <c r="A544" s="9" t="str">
        <f t="shared" si="48"/>
        <v>N/I</v>
      </c>
      <c r="B544" s="9" t="str">
        <f t="shared" si="49"/>
        <v>N/I</v>
      </c>
      <c r="C544" s="9" t="str">
        <f t="shared" si="50"/>
        <v>Inativo</v>
      </c>
      <c r="D544" s="10" t="s">
        <v>1490</v>
      </c>
      <c r="E544" s="11" t="s">
        <v>1491</v>
      </c>
      <c r="F544" s="11" t="s">
        <v>1510</v>
      </c>
      <c r="G544" s="12" t="s">
        <v>502</v>
      </c>
      <c r="H544" s="36">
        <v>17075.0</v>
      </c>
      <c r="I544" s="12" t="s">
        <v>1503</v>
      </c>
      <c r="J544" s="10" t="s">
        <v>283</v>
      </c>
      <c r="K544" s="10" t="s">
        <v>263</v>
      </c>
      <c r="L544" s="10" t="s">
        <v>6</v>
      </c>
      <c r="M544" s="22">
        <v>43544.0</v>
      </c>
      <c r="N544" s="32" t="s">
        <v>1511</v>
      </c>
      <c r="O544" s="10" t="s">
        <v>1509</v>
      </c>
      <c r="P544" s="10" t="s">
        <v>1497</v>
      </c>
      <c r="Q544" s="2"/>
      <c r="R544" s="15"/>
      <c r="S544" s="15"/>
      <c r="T544" s="15"/>
      <c r="U544" s="15"/>
      <c r="V544" s="2"/>
      <c r="W544" s="15"/>
      <c r="X544" s="15"/>
      <c r="Y544" s="15"/>
      <c r="Z544" s="15"/>
      <c r="AA544" s="1"/>
      <c r="AB544" s="10">
        <v>12.0</v>
      </c>
      <c r="AC544" s="14">
        <v>44969.0</v>
      </c>
      <c r="AD544" s="14">
        <v>45333.0</v>
      </c>
      <c r="AE544" s="10">
        <f t="shared" si="51"/>
        <v>-758</v>
      </c>
      <c r="AF544" s="2"/>
      <c r="AG544" s="10" t="s">
        <v>1498</v>
      </c>
      <c r="AH544" s="16" t="s">
        <v>45</v>
      </c>
      <c r="AI544" s="16" t="s">
        <v>45</v>
      </c>
      <c r="AJ544" s="10" t="s">
        <v>227</v>
      </c>
      <c r="AK544" s="16" t="s">
        <v>45</v>
      </c>
      <c r="AL544" s="10" t="s">
        <v>49</v>
      </c>
      <c r="AM544" s="16" t="s">
        <v>45</v>
      </c>
      <c r="AN544" s="10" t="s">
        <v>1499</v>
      </c>
    </row>
    <row r="545" ht="30.0" customHeight="1">
      <c r="A545" s="9" t="str">
        <f t="shared" si="48"/>
        <v>Inativo</v>
      </c>
      <c r="B545" s="9" t="str">
        <f t="shared" si="49"/>
        <v>N/I</v>
      </c>
      <c r="C545" s="9" t="str">
        <f t="shared" si="50"/>
        <v>N/I</v>
      </c>
      <c r="D545" s="10" t="s">
        <v>1490</v>
      </c>
      <c r="E545" s="11" t="s">
        <v>1014</v>
      </c>
      <c r="F545" s="11" t="s">
        <v>1512</v>
      </c>
      <c r="G545" s="12" t="s">
        <v>52</v>
      </c>
      <c r="H545" s="20" t="s">
        <v>1513</v>
      </c>
      <c r="I545" s="12" t="s">
        <v>1514</v>
      </c>
      <c r="J545" s="10" t="s">
        <v>283</v>
      </c>
      <c r="K545" s="10" t="s">
        <v>263</v>
      </c>
      <c r="L545" s="10" t="s">
        <v>4</v>
      </c>
      <c r="M545" s="22">
        <v>44760.0</v>
      </c>
      <c r="N545" s="32" t="s">
        <v>1515</v>
      </c>
      <c r="O545" s="10" t="s">
        <v>1516</v>
      </c>
      <c r="P545" s="10" t="s">
        <v>1019</v>
      </c>
      <c r="Q545" s="2"/>
      <c r="R545" s="10">
        <v>12.0</v>
      </c>
      <c r="S545" s="14">
        <v>44760.0</v>
      </c>
      <c r="T545" s="14">
        <v>45125.0</v>
      </c>
      <c r="U545" s="10">
        <f>T545-TODAY()</f>
        <v>-966</v>
      </c>
      <c r="V545" s="2"/>
      <c r="W545" s="15"/>
      <c r="X545" s="15"/>
      <c r="Y545" s="15"/>
      <c r="Z545" s="15"/>
      <c r="AA545" s="1"/>
      <c r="AB545" s="15"/>
      <c r="AC545" s="15"/>
      <c r="AD545" s="15"/>
      <c r="AE545" s="15"/>
      <c r="AF545" s="2"/>
      <c r="AG545" s="10" t="s">
        <v>354</v>
      </c>
      <c r="AH545" s="12" t="s">
        <v>355</v>
      </c>
      <c r="AI545" s="16" t="s">
        <v>45</v>
      </c>
      <c r="AJ545" s="12" t="s">
        <v>1020</v>
      </c>
      <c r="AK545" s="10" t="s">
        <v>1021</v>
      </c>
      <c r="AL545" s="10" t="s">
        <v>49</v>
      </c>
      <c r="AM545" s="10" t="s">
        <v>1021</v>
      </c>
      <c r="AN545" s="16" t="s">
        <v>45</v>
      </c>
    </row>
    <row r="546" ht="30.0" customHeight="1">
      <c r="A546" s="9" t="str">
        <f t="shared" si="48"/>
        <v>N/I</v>
      </c>
      <c r="B546" s="9" t="str">
        <f t="shared" si="49"/>
        <v>N/I</v>
      </c>
      <c r="C546" s="9" t="str">
        <f t="shared" si="50"/>
        <v>Inativo</v>
      </c>
      <c r="D546" s="10" t="s">
        <v>1490</v>
      </c>
      <c r="E546" s="11" t="s">
        <v>1491</v>
      </c>
      <c r="F546" s="11" t="s">
        <v>1517</v>
      </c>
      <c r="G546" s="12" t="s">
        <v>502</v>
      </c>
      <c r="H546" s="36">
        <v>17043.0</v>
      </c>
      <c r="I546" s="12" t="s">
        <v>1518</v>
      </c>
      <c r="J546" s="10" t="s">
        <v>283</v>
      </c>
      <c r="K546" s="10" t="s">
        <v>263</v>
      </c>
      <c r="L546" s="10" t="s">
        <v>6</v>
      </c>
      <c r="M546" s="22">
        <v>43531.0</v>
      </c>
      <c r="N546" s="32" t="s">
        <v>1519</v>
      </c>
      <c r="O546" s="10" t="s">
        <v>1520</v>
      </c>
      <c r="P546" s="10" t="s">
        <v>1497</v>
      </c>
      <c r="Q546" s="2"/>
      <c r="R546" s="15"/>
      <c r="S546" s="15"/>
      <c r="T546" s="15"/>
      <c r="U546" s="15"/>
      <c r="V546" s="2"/>
      <c r="W546" s="15"/>
      <c r="X546" s="15"/>
      <c r="Y546" s="15"/>
      <c r="Z546" s="15"/>
      <c r="AA546" s="1"/>
      <c r="AB546" s="10">
        <v>12.0</v>
      </c>
      <c r="AC546" s="14">
        <v>44969.0</v>
      </c>
      <c r="AD546" s="14">
        <v>45333.0</v>
      </c>
      <c r="AE546" s="10">
        <f>AD546-TODAY()</f>
        <v>-758</v>
      </c>
      <c r="AF546" s="2"/>
      <c r="AG546" s="10" t="s">
        <v>1498</v>
      </c>
      <c r="AH546" s="16" t="s">
        <v>45</v>
      </c>
      <c r="AI546" s="16" t="s">
        <v>45</v>
      </c>
      <c r="AJ546" s="10" t="s">
        <v>227</v>
      </c>
      <c r="AK546" s="16" t="s">
        <v>45</v>
      </c>
      <c r="AL546" s="10" t="s">
        <v>49</v>
      </c>
      <c r="AM546" s="16" t="s">
        <v>45</v>
      </c>
      <c r="AN546" s="10" t="s">
        <v>1499</v>
      </c>
    </row>
    <row r="547" ht="30.0" customHeight="1">
      <c r="A547" s="9" t="str">
        <f t="shared" si="48"/>
        <v>Inativo</v>
      </c>
      <c r="B547" s="9" t="str">
        <f t="shared" si="49"/>
        <v>N/I</v>
      </c>
      <c r="C547" s="9" t="str">
        <f t="shared" si="50"/>
        <v>N/I</v>
      </c>
      <c r="D547" s="10" t="s">
        <v>1490</v>
      </c>
      <c r="E547" s="11" t="s">
        <v>1500</v>
      </c>
      <c r="F547" s="11" t="s">
        <v>1521</v>
      </c>
      <c r="G547" s="12" t="s">
        <v>94</v>
      </c>
      <c r="H547" s="20" t="s">
        <v>1522</v>
      </c>
      <c r="I547" s="12" t="s">
        <v>713</v>
      </c>
      <c r="J547" s="10" t="s">
        <v>283</v>
      </c>
      <c r="K547" s="10" t="s">
        <v>263</v>
      </c>
      <c r="L547" s="10" t="s">
        <v>4</v>
      </c>
      <c r="M547" s="14">
        <v>43804.0</v>
      </c>
      <c r="N547" s="32" t="s">
        <v>1523</v>
      </c>
      <c r="O547" s="10" t="s">
        <v>1524</v>
      </c>
      <c r="P547" s="10" t="s">
        <v>1506</v>
      </c>
      <c r="Q547" s="2"/>
      <c r="R547" s="10">
        <v>36.0</v>
      </c>
      <c r="S547" s="14">
        <v>43804.0</v>
      </c>
      <c r="T547" s="14">
        <v>44899.0</v>
      </c>
      <c r="U547" s="10">
        <f>T547-TODAY()</f>
        <v>-1192</v>
      </c>
      <c r="V547" s="2"/>
      <c r="W547" s="15"/>
      <c r="X547" s="15"/>
      <c r="Y547" s="15"/>
      <c r="Z547" s="15"/>
      <c r="AA547" s="1"/>
      <c r="AB547" s="15"/>
      <c r="AC547" s="15"/>
      <c r="AD547" s="15"/>
      <c r="AE547" s="15"/>
      <c r="AF547" s="2"/>
      <c r="AG547" s="16" t="s">
        <v>45</v>
      </c>
      <c r="AH547" s="16" t="s">
        <v>45</v>
      </c>
      <c r="AI547" s="16" t="s">
        <v>45</v>
      </c>
      <c r="AJ547" s="16" t="s">
        <v>45</v>
      </c>
      <c r="AK547" s="16" t="s">
        <v>45</v>
      </c>
      <c r="AL547" s="10" t="s">
        <v>49</v>
      </c>
      <c r="AM547" s="16" t="s">
        <v>45</v>
      </c>
      <c r="AN547" s="10" t="s">
        <v>320</v>
      </c>
    </row>
    <row r="548" ht="30.0" customHeight="1">
      <c r="A548" s="9" t="str">
        <f t="shared" si="48"/>
        <v>N/I</v>
      </c>
      <c r="B548" s="9" t="str">
        <f t="shared" si="49"/>
        <v>N/I</v>
      </c>
      <c r="C548" s="9" t="str">
        <f t="shared" si="50"/>
        <v>Inativo</v>
      </c>
      <c r="D548" s="10" t="s">
        <v>1490</v>
      </c>
      <c r="E548" s="11" t="s">
        <v>1491</v>
      </c>
      <c r="F548" s="11" t="s">
        <v>1525</v>
      </c>
      <c r="G548" s="12" t="s">
        <v>502</v>
      </c>
      <c r="H548" s="36">
        <v>17049.0</v>
      </c>
      <c r="I548" s="12" t="s">
        <v>713</v>
      </c>
      <c r="J548" s="10" t="s">
        <v>283</v>
      </c>
      <c r="K548" s="10" t="s">
        <v>263</v>
      </c>
      <c r="L548" s="10" t="s">
        <v>6</v>
      </c>
      <c r="M548" s="22">
        <v>43518.0</v>
      </c>
      <c r="N548" s="32" t="s">
        <v>1526</v>
      </c>
      <c r="O548" s="10" t="s">
        <v>1527</v>
      </c>
      <c r="P548" s="10" t="s">
        <v>1497</v>
      </c>
      <c r="Q548" s="2"/>
      <c r="R548" s="15"/>
      <c r="S548" s="15"/>
      <c r="T548" s="15"/>
      <c r="U548" s="15"/>
      <c r="V548" s="2"/>
      <c r="W548" s="15"/>
      <c r="X548" s="15"/>
      <c r="Y548" s="15"/>
      <c r="Z548" s="15"/>
      <c r="AA548" s="1"/>
      <c r="AB548" s="10">
        <v>12.0</v>
      </c>
      <c r="AC548" s="14">
        <v>44969.0</v>
      </c>
      <c r="AD548" s="14">
        <v>45333.0</v>
      </c>
      <c r="AE548" s="10">
        <f t="shared" ref="AE548:AE549" si="52">AD548-TODAY()</f>
        <v>-758</v>
      </c>
      <c r="AF548" s="2"/>
      <c r="AG548" s="10" t="s">
        <v>1498</v>
      </c>
      <c r="AH548" s="16" t="s">
        <v>45</v>
      </c>
      <c r="AI548" s="16" t="s">
        <v>45</v>
      </c>
      <c r="AJ548" s="10" t="s">
        <v>227</v>
      </c>
      <c r="AK548" s="16" t="s">
        <v>45</v>
      </c>
      <c r="AL548" s="10" t="s">
        <v>49</v>
      </c>
      <c r="AM548" s="16" t="s">
        <v>45</v>
      </c>
      <c r="AN548" s="10" t="s">
        <v>1499</v>
      </c>
    </row>
    <row r="549" ht="30.0" customHeight="1">
      <c r="A549" s="9" t="str">
        <f t="shared" si="48"/>
        <v>N/I</v>
      </c>
      <c r="B549" s="9" t="str">
        <f t="shared" si="49"/>
        <v>N/I</v>
      </c>
      <c r="C549" s="9" t="str">
        <f t="shared" si="50"/>
        <v>Inativo</v>
      </c>
      <c r="D549" s="10" t="s">
        <v>1490</v>
      </c>
      <c r="E549" s="11" t="s">
        <v>1491</v>
      </c>
      <c r="F549" s="11" t="s">
        <v>1528</v>
      </c>
      <c r="G549" s="12" t="s">
        <v>502</v>
      </c>
      <c r="H549" s="36" t="s">
        <v>1529</v>
      </c>
      <c r="I549" s="12" t="s">
        <v>713</v>
      </c>
      <c r="J549" s="10" t="s">
        <v>283</v>
      </c>
      <c r="K549" s="10" t="s">
        <v>263</v>
      </c>
      <c r="L549" s="10" t="s">
        <v>6</v>
      </c>
      <c r="M549" s="22">
        <v>44678.0</v>
      </c>
      <c r="N549" s="32" t="s">
        <v>1530</v>
      </c>
      <c r="O549" s="10" t="s">
        <v>1531</v>
      </c>
      <c r="P549" s="10" t="s">
        <v>1497</v>
      </c>
      <c r="Q549" s="2"/>
      <c r="R549" s="15"/>
      <c r="S549" s="15"/>
      <c r="T549" s="15"/>
      <c r="U549" s="15"/>
      <c r="V549" s="1"/>
      <c r="W549" s="15"/>
      <c r="X549" s="15"/>
      <c r="Y549" s="15"/>
      <c r="Z549" s="15"/>
      <c r="AA549" s="1"/>
      <c r="AB549" s="10">
        <v>12.0</v>
      </c>
      <c r="AC549" s="14">
        <v>44969.0</v>
      </c>
      <c r="AD549" s="14">
        <v>45333.0</v>
      </c>
      <c r="AE549" s="10">
        <f t="shared" si="52"/>
        <v>-758</v>
      </c>
      <c r="AF549" s="2"/>
      <c r="AG549" s="10" t="s">
        <v>1498</v>
      </c>
      <c r="AH549" s="16" t="s">
        <v>45</v>
      </c>
      <c r="AI549" s="16" t="s">
        <v>45</v>
      </c>
      <c r="AJ549" s="10" t="s">
        <v>227</v>
      </c>
      <c r="AK549" s="16" t="s">
        <v>45</v>
      </c>
      <c r="AL549" s="10" t="s">
        <v>49</v>
      </c>
      <c r="AM549" s="16" t="s">
        <v>45</v>
      </c>
      <c r="AN549" s="10" t="s">
        <v>1499</v>
      </c>
    </row>
    <row r="550" ht="30.0" customHeight="1">
      <c r="A550" s="9" t="str">
        <f t="shared" si="48"/>
        <v>Inativo</v>
      </c>
      <c r="B550" s="9" t="str">
        <f t="shared" si="49"/>
        <v>N/I</v>
      </c>
      <c r="C550" s="9" t="str">
        <f t="shared" si="50"/>
        <v>N/I</v>
      </c>
      <c r="D550" s="10" t="s">
        <v>1490</v>
      </c>
      <c r="E550" s="11" t="s">
        <v>1500</v>
      </c>
      <c r="F550" s="11" t="s">
        <v>1532</v>
      </c>
      <c r="G550" s="12" t="s">
        <v>94</v>
      </c>
      <c r="H550" s="20" t="s">
        <v>1533</v>
      </c>
      <c r="I550" s="12" t="s">
        <v>541</v>
      </c>
      <c r="J550" s="10" t="s">
        <v>283</v>
      </c>
      <c r="K550" s="10" t="s">
        <v>263</v>
      </c>
      <c r="L550" s="10" t="s">
        <v>4</v>
      </c>
      <c r="M550" s="14">
        <v>43803.0</v>
      </c>
      <c r="N550" s="11" t="s">
        <v>1534</v>
      </c>
      <c r="O550" s="10" t="s">
        <v>1535</v>
      </c>
      <c r="P550" s="10" t="s">
        <v>1506</v>
      </c>
      <c r="Q550" s="2"/>
      <c r="R550" s="10">
        <v>36.0</v>
      </c>
      <c r="S550" s="14">
        <v>43803.0</v>
      </c>
      <c r="T550" s="14">
        <v>44898.0</v>
      </c>
      <c r="U550" s="10">
        <f>T550-TODAY()</f>
        <v>-1193</v>
      </c>
      <c r="V550" s="2"/>
      <c r="W550" s="15"/>
      <c r="X550" s="15"/>
      <c r="Y550" s="15"/>
      <c r="Z550" s="15"/>
      <c r="AA550" s="1"/>
      <c r="AB550" s="15"/>
      <c r="AC550" s="15"/>
      <c r="AD550" s="15"/>
      <c r="AE550" s="15"/>
      <c r="AF550" s="2"/>
      <c r="AG550" s="16" t="s">
        <v>45</v>
      </c>
      <c r="AH550" s="16" t="s">
        <v>45</v>
      </c>
      <c r="AI550" s="16" t="s">
        <v>45</v>
      </c>
      <c r="AJ550" s="16" t="s">
        <v>45</v>
      </c>
      <c r="AK550" s="16" t="s">
        <v>45</v>
      </c>
      <c r="AL550" s="10" t="s">
        <v>49</v>
      </c>
      <c r="AM550" s="16" t="s">
        <v>45</v>
      </c>
      <c r="AN550" s="10" t="s">
        <v>320</v>
      </c>
    </row>
    <row r="551" ht="30.0" customHeight="1">
      <c r="A551" s="9" t="str">
        <f t="shared" si="48"/>
        <v>N/I</v>
      </c>
      <c r="B551" s="9" t="str">
        <f t="shared" si="49"/>
        <v>N/I</v>
      </c>
      <c r="C551" s="9" t="str">
        <f t="shared" si="50"/>
        <v>Inativo</v>
      </c>
      <c r="D551" s="10" t="s">
        <v>1490</v>
      </c>
      <c r="E551" s="11" t="s">
        <v>1491</v>
      </c>
      <c r="F551" s="11" t="s">
        <v>1536</v>
      </c>
      <c r="G551" s="12" t="s">
        <v>502</v>
      </c>
      <c r="H551" s="36">
        <v>17067.0</v>
      </c>
      <c r="I551" s="12" t="s">
        <v>541</v>
      </c>
      <c r="J551" s="10" t="s">
        <v>283</v>
      </c>
      <c r="K551" s="10" t="s">
        <v>263</v>
      </c>
      <c r="L551" s="10" t="s">
        <v>6</v>
      </c>
      <c r="M551" s="22">
        <v>43543.0</v>
      </c>
      <c r="N551" s="32" t="s">
        <v>1537</v>
      </c>
      <c r="O551" s="10" t="s">
        <v>1538</v>
      </c>
      <c r="P551" s="10" t="s">
        <v>1497</v>
      </c>
      <c r="Q551" s="2"/>
      <c r="R551" s="15"/>
      <c r="S551" s="15"/>
      <c r="T551" s="15"/>
      <c r="U551" s="15"/>
      <c r="V551" s="2"/>
      <c r="W551" s="15"/>
      <c r="X551" s="15"/>
      <c r="Y551" s="15"/>
      <c r="Z551" s="15"/>
      <c r="AA551" s="1"/>
      <c r="AB551" s="10">
        <v>12.0</v>
      </c>
      <c r="AC551" s="14">
        <v>44969.0</v>
      </c>
      <c r="AD551" s="14">
        <v>45333.0</v>
      </c>
      <c r="AE551" s="10">
        <f t="shared" ref="AE551:AE556" si="53">AD551-TODAY()</f>
        <v>-758</v>
      </c>
      <c r="AF551" s="2"/>
      <c r="AG551" s="10" t="s">
        <v>1498</v>
      </c>
      <c r="AH551" s="16" t="s">
        <v>45</v>
      </c>
      <c r="AI551" s="16" t="s">
        <v>45</v>
      </c>
      <c r="AJ551" s="10" t="s">
        <v>227</v>
      </c>
      <c r="AK551" s="16" t="s">
        <v>45</v>
      </c>
      <c r="AL551" s="10" t="s">
        <v>49</v>
      </c>
      <c r="AM551" s="16" t="s">
        <v>45</v>
      </c>
      <c r="AN551" s="10" t="s">
        <v>1499</v>
      </c>
    </row>
    <row r="552" ht="30.0" customHeight="1">
      <c r="A552" s="9" t="str">
        <f t="shared" si="48"/>
        <v>N/I</v>
      </c>
      <c r="B552" s="9" t="str">
        <f t="shared" si="49"/>
        <v>N/I</v>
      </c>
      <c r="C552" s="9" t="str">
        <f t="shared" si="50"/>
        <v>Inativo</v>
      </c>
      <c r="D552" s="10" t="s">
        <v>1490</v>
      </c>
      <c r="E552" s="11" t="s">
        <v>1491</v>
      </c>
      <c r="F552" s="11" t="s">
        <v>1539</v>
      </c>
      <c r="G552" s="12" t="s">
        <v>502</v>
      </c>
      <c r="H552" s="36">
        <v>17040.0</v>
      </c>
      <c r="I552" s="12" t="s">
        <v>541</v>
      </c>
      <c r="J552" s="10" t="s">
        <v>283</v>
      </c>
      <c r="K552" s="10" t="s">
        <v>263</v>
      </c>
      <c r="L552" s="10" t="s">
        <v>6</v>
      </c>
      <c r="M552" s="22">
        <v>43545.0</v>
      </c>
      <c r="N552" s="32" t="s">
        <v>1534</v>
      </c>
      <c r="O552" s="10" t="s">
        <v>1535</v>
      </c>
      <c r="P552" s="10" t="s">
        <v>1497</v>
      </c>
      <c r="Q552" s="2"/>
      <c r="R552" s="15"/>
      <c r="S552" s="15"/>
      <c r="T552" s="15"/>
      <c r="U552" s="15"/>
      <c r="V552" s="2"/>
      <c r="W552" s="15"/>
      <c r="X552" s="15"/>
      <c r="Y552" s="15"/>
      <c r="Z552" s="15"/>
      <c r="AA552" s="1"/>
      <c r="AB552" s="10">
        <v>12.0</v>
      </c>
      <c r="AC552" s="14">
        <v>44969.0</v>
      </c>
      <c r="AD552" s="14">
        <v>45333.0</v>
      </c>
      <c r="AE552" s="10">
        <f t="shared" si="53"/>
        <v>-758</v>
      </c>
      <c r="AF552" s="2"/>
      <c r="AG552" s="10" t="s">
        <v>1498</v>
      </c>
      <c r="AH552" s="16" t="s">
        <v>45</v>
      </c>
      <c r="AI552" s="16" t="s">
        <v>45</v>
      </c>
      <c r="AJ552" s="10" t="s">
        <v>227</v>
      </c>
      <c r="AK552" s="16" t="s">
        <v>45</v>
      </c>
      <c r="AL552" s="10" t="s">
        <v>49</v>
      </c>
      <c r="AM552" s="16" t="s">
        <v>45</v>
      </c>
      <c r="AN552" s="10" t="s">
        <v>1499</v>
      </c>
    </row>
    <row r="553" ht="30.0" customHeight="1">
      <c r="A553" s="9" t="str">
        <f t="shared" si="48"/>
        <v>N/I</v>
      </c>
      <c r="B553" s="9" t="str">
        <f t="shared" si="49"/>
        <v>N/I</v>
      </c>
      <c r="C553" s="9" t="str">
        <f t="shared" si="50"/>
        <v>Inativo</v>
      </c>
      <c r="D553" s="10" t="s">
        <v>1490</v>
      </c>
      <c r="E553" s="11" t="s">
        <v>1491</v>
      </c>
      <c r="F553" s="11" t="s">
        <v>1540</v>
      </c>
      <c r="G553" s="12" t="s">
        <v>502</v>
      </c>
      <c r="H553" s="36">
        <v>17052.0</v>
      </c>
      <c r="I553" s="12" t="s">
        <v>541</v>
      </c>
      <c r="J553" s="10" t="s">
        <v>283</v>
      </c>
      <c r="K553" s="10" t="s">
        <v>263</v>
      </c>
      <c r="L553" s="10" t="s">
        <v>6</v>
      </c>
      <c r="M553" s="22">
        <v>43549.0</v>
      </c>
      <c r="N553" s="32" t="s">
        <v>1541</v>
      </c>
      <c r="O553" s="10" t="s">
        <v>1542</v>
      </c>
      <c r="P553" s="10" t="s">
        <v>1497</v>
      </c>
      <c r="Q553" s="2"/>
      <c r="R553" s="15"/>
      <c r="S553" s="15"/>
      <c r="T553" s="15"/>
      <c r="U553" s="15"/>
      <c r="V553" s="2"/>
      <c r="W553" s="15"/>
      <c r="X553" s="15"/>
      <c r="Y553" s="15"/>
      <c r="Z553" s="15"/>
      <c r="AA553" s="1"/>
      <c r="AB553" s="10">
        <v>12.0</v>
      </c>
      <c r="AC553" s="14">
        <v>44969.0</v>
      </c>
      <c r="AD553" s="14">
        <v>45333.0</v>
      </c>
      <c r="AE553" s="10">
        <f t="shared" si="53"/>
        <v>-758</v>
      </c>
      <c r="AF553" s="2"/>
      <c r="AG553" s="10" t="s">
        <v>1498</v>
      </c>
      <c r="AH553" s="16" t="s">
        <v>45</v>
      </c>
      <c r="AI553" s="16" t="s">
        <v>45</v>
      </c>
      <c r="AJ553" s="10" t="s">
        <v>227</v>
      </c>
      <c r="AK553" s="16" t="s">
        <v>45</v>
      </c>
      <c r="AL553" s="10" t="s">
        <v>49</v>
      </c>
      <c r="AM553" s="16" t="s">
        <v>45</v>
      </c>
      <c r="AN553" s="10" t="s">
        <v>1499</v>
      </c>
    </row>
    <row r="554" ht="30.0" customHeight="1">
      <c r="A554" s="9" t="str">
        <f t="shared" si="48"/>
        <v>N/I</v>
      </c>
      <c r="B554" s="9" t="str">
        <f t="shared" si="49"/>
        <v>N/I</v>
      </c>
      <c r="C554" s="9" t="str">
        <f t="shared" si="50"/>
        <v>Inativo</v>
      </c>
      <c r="D554" s="10" t="s">
        <v>1490</v>
      </c>
      <c r="E554" s="11" t="s">
        <v>1491</v>
      </c>
      <c r="F554" s="11" t="s">
        <v>1543</v>
      </c>
      <c r="G554" s="12" t="s">
        <v>502</v>
      </c>
      <c r="H554" s="36" t="s">
        <v>1544</v>
      </c>
      <c r="I554" s="12" t="s">
        <v>541</v>
      </c>
      <c r="J554" s="10" t="s">
        <v>283</v>
      </c>
      <c r="K554" s="10" t="s">
        <v>263</v>
      </c>
      <c r="L554" s="10" t="s">
        <v>6</v>
      </c>
      <c r="M554" s="22">
        <v>44779.0</v>
      </c>
      <c r="N554" s="32" t="s">
        <v>1545</v>
      </c>
      <c r="O554" s="10" t="s">
        <v>1535</v>
      </c>
      <c r="P554" s="10" t="s">
        <v>1497</v>
      </c>
      <c r="Q554" s="2"/>
      <c r="R554" s="15"/>
      <c r="S554" s="15"/>
      <c r="T554" s="15"/>
      <c r="U554" s="15"/>
      <c r="V554" s="1"/>
      <c r="W554" s="15"/>
      <c r="X554" s="15"/>
      <c r="Y554" s="15"/>
      <c r="Z554" s="15"/>
      <c r="AA554" s="1"/>
      <c r="AB554" s="10">
        <v>12.0</v>
      </c>
      <c r="AC554" s="14">
        <v>44969.0</v>
      </c>
      <c r="AD554" s="14">
        <v>45333.0</v>
      </c>
      <c r="AE554" s="10">
        <f t="shared" si="53"/>
        <v>-758</v>
      </c>
      <c r="AF554" s="2"/>
      <c r="AG554" s="10" t="s">
        <v>1498</v>
      </c>
      <c r="AH554" s="16" t="s">
        <v>45</v>
      </c>
      <c r="AI554" s="16" t="s">
        <v>45</v>
      </c>
      <c r="AJ554" s="10" t="s">
        <v>227</v>
      </c>
      <c r="AK554" s="16" t="s">
        <v>45</v>
      </c>
      <c r="AL554" s="10" t="s">
        <v>49</v>
      </c>
      <c r="AM554" s="16" t="s">
        <v>45</v>
      </c>
      <c r="AN554" s="10" t="s">
        <v>1499</v>
      </c>
    </row>
    <row r="555" ht="30.0" customHeight="1">
      <c r="A555" s="9" t="str">
        <f t="shared" si="48"/>
        <v>N/I</v>
      </c>
      <c r="B555" s="9" t="str">
        <f t="shared" si="49"/>
        <v>N/I</v>
      </c>
      <c r="C555" s="9" t="str">
        <f t="shared" si="50"/>
        <v>Inativo</v>
      </c>
      <c r="D555" s="10" t="s">
        <v>1490</v>
      </c>
      <c r="E555" s="11" t="s">
        <v>1491</v>
      </c>
      <c r="F555" s="11" t="s">
        <v>1546</v>
      </c>
      <c r="G555" s="12" t="s">
        <v>502</v>
      </c>
      <c r="H555" s="36">
        <v>17066.0</v>
      </c>
      <c r="I555" s="12" t="s">
        <v>1547</v>
      </c>
      <c r="J555" s="10" t="s">
        <v>283</v>
      </c>
      <c r="K555" s="10" t="s">
        <v>263</v>
      </c>
      <c r="L555" s="10" t="s">
        <v>6</v>
      </c>
      <c r="M555" s="22">
        <v>43530.0</v>
      </c>
      <c r="N555" s="32" t="s">
        <v>1548</v>
      </c>
      <c r="O555" s="10" t="s">
        <v>1549</v>
      </c>
      <c r="P555" s="10" t="s">
        <v>1497</v>
      </c>
      <c r="Q555" s="2"/>
      <c r="R555" s="15"/>
      <c r="S555" s="15"/>
      <c r="T555" s="15"/>
      <c r="U555" s="15"/>
      <c r="V555" s="2"/>
      <c r="W555" s="15"/>
      <c r="X555" s="15"/>
      <c r="Y555" s="15"/>
      <c r="Z555" s="15"/>
      <c r="AA555" s="1"/>
      <c r="AB555" s="10">
        <v>12.0</v>
      </c>
      <c r="AC555" s="14">
        <v>44969.0</v>
      </c>
      <c r="AD555" s="14">
        <v>45333.0</v>
      </c>
      <c r="AE555" s="10">
        <f t="shared" si="53"/>
        <v>-758</v>
      </c>
      <c r="AF555" s="2"/>
      <c r="AG555" s="10" t="s">
        <v>1498</v>
      </c>
      <c r="AH555" s="16" t="s">
        <v>45</v>
      </c>
      <c r="AI555" s="16" t="s">
        <v>45</v>
      </c>
      <c r="AJ555" s="10" t="s">
        <v>227</v>
      </c>
      <c r="AK555" s="16" t="s">
        <v>45</v>
      </c>
      <c r="AL555" s="10" t="s">
        <v>49</v>
      </c>
      <c r="AM555" s="16" t="s">
        <v>45</v>
      </c>
      <c r="AN555" s="10" t="s">
        <v>1499</v>
      </c>
    </row>
    <row r="556" ht="30.0" customHeight="1">
      <c r="A556" s="9" t="str">
        <f t="shared" si="48"/>
        <v>N/I</v>
      </c>
      <c r="B556" s="9" t="str">
        <f t="shared" si="49"/>
        <v>N/I</v>
      </c>
      <c r="C556" s="9" t="str">
        <f t="shared" si="50"/>
        <v>Inativo</v>
      </c>
      <c r="D556" s="10" t="s">
        <v>1490</v>
      </c>
      <c r="E556" s="11" t="s">
        <v>1491</v>
      </c>
      <c r="F556" s="11" t="s">
        <v>1550</v>
      </c>
      <c r="G556" s="12" t="s">
        <v>502</v>
      </c>
      <c r="H556" s="34" t="s">
        <v>1551</v>
      </c>
      <c r="I556" s="12" t="s">
        <v>1552</v>
      </c>
      <c r="J556" s="10" t="s">
        <v>283</v>
      </c>
      <c r="K556" s="10" t="s">
        <v>263</v>
      </c>
      <c r="L556" s="10" t="s">
        <v>6</v>
      </c>
      <c r="M556" s="22">
        <v>44876.0</v>
      </c>
      <c r="N556" s="32" t="s">
        <v>1553</v>
      </c>
      <c r="O556" s="10" t="s">
        <v>1554</v>
      </c>
      <c r="P556" s="10" t="s">
        <v>1497</v>
      </c>
      <c r="Q556" s="2"/>
      <c r="R556" s="15"/>
      <c r="S556" s="15"/>
      <c r="T556" s="15"/>
      <c r="U556" s="15"/>
      <c r="V556" s="1"/>
      <c r="W556" s="15"/>
      <c r="X556" s="15"/>
      <c r="Y556" s="15"/>
      <c r="Z556" s="15"/>
      <c r="AA556" s="1"/>
      <c r="AB556" s="10">
        <v>12.0</v>
      </c>
      <c r="AC556" s="14">
        <v>44969.0</v>
      </c>
      <c r="AD556" s="14">
        <v>45333.0</v>
      </c>
      <c r="AE556" s="10">
        <f t="shared" si="53"/>
        <v>-758</v>
      </c>
      <c r="AF556" s="2"/>
      <c r="AG556" s="10" t="s">
        <v>1498</v>
      </c>
      <c r="AH556" s="16" t="s">
        <v>45</v>
      </c>
      <c r="AI556" s="16" t="s">
        <v>45</v>
      </c>
      <c r="AJ556" s="10" t="s">
        <v>227</v>
      </c>
      <c r="AK556" s="16" t="s">
        <v>45</v>
      </c>
      <c r="AL556" s="10" t="s">
        <v>49</v>
      </c>
      <c r="AM556" s="16" t="s">
        <v>45</v>
      </c>
      <c r="AN556" s="10" t="s">
        <v>1499</v>
      </c>
    </row>
    <row r="557" ht="30.0" customHeight="1">
      <c r="A557" s="9" t="str">
        <f t="shared" si="48"/>
        <v>Inativo</v>
      </c>
      <c r="B557" s="9" t="str">
        <f t="shared" si="49"/>
        <v>N/I</v>
      </c>
      <c r="C557" s="9" t="str">
        <f t="shared" si="50"/>
        <v>N/I</v>
      </c>
      <c r="D557" s="10" t="s">
        <v>1490</v>
      </c>
      <c r="E557" s="11" t="s">
        <v>1500</v>
      </c>
      <c r="F557" s="11" t="s">
        <v>1555</v>
      </c>
      <c r="G557" s="12" t="s">
        <v>94</v>
      </c>
      <c r="H557" s="20" t="s">
        <v>1556</v>
      </c>
      <c r="I557" s="12" t="s">
        <v>1557</v>
      </c>
      <c r="J557" s="10" t="s">
        <v>283</v>
      </c>
      <c r="K557" s="10" t="s">
        <v>263</v>
      </c>
      <c r="L557" s="10" t="s">
        <v>4</v>
      </c>
      <c r="M557" s="14">
        <v>43802.0</v>
      </c>
      <c r="N557" s="32" t="s">
        <v>1558</v>
      </c>
      <c r="O557" s="10" t="s">
        <v>1559</v>
      </c>
      <c r="P557" s="10" t="s">
        <v>1506</v>
      </c>
      <c r="Q557" s="2"/>
      <c r="R557" s="10">
        <v>36.0</v>
      </c>
      <c r="S557" s="14">
        <v>43802.0</v>
      </c>
      <c r="T557" s="14">
        <v>44897.0</v>
      </c>
      <c r="U557" s="10">
        <f t="shared" ref="U557:U558" si="54">T557-TODAY()</f>
        <v>-1194</v>
      </c>
      <c r="V557" s="2"/>
      <c r="W557" s="15"/>
      <c r="X557" s="15"/>
      <c r="Y557" s="15"/>
      <c r="Z557" s="15"/>
      <c r="AA557" s="1"/>
      <c r="AB557" s="15"/>
      <c r="AC557" s="15"/>
      <c r="AD557" s="15"/>
      <c r="AE557" s="15"/>
      <c r="AF557" s="2"/>
      <c r="AG557" s="16" t="s">
        <v>45</v>
      </c>
      <c r="AH557" s="16" t="s">
        <v>45</v>
      </c>
      <c r="AI557" s="16" t="s">
        <v>45</v>
      </c>
      <c r="AJ557" s="16" t="s">
        <v>45</v>
      </c>
      <c r="AK557" s="16" t="s">
        <v>45</v>
      </c>
      <c r="AL557" s="10" t="s">
        <v>49</v>
      </c>
      <c r="AM557" s="16" t="s">
        <v>45</v>
      </c>
      <c r="AN557" s="10" t="s">
        <v>320</v>
      </c>
    </row>
    <row r="558" ht="30.0" customHeight="1">
      <c r="A558" s="9" t="str">
        <f t="shared" si="48"/>
        <v>Inativo</v>
      </c>
      <c r="B558" s="9" t="str">
        <f t="shared" si="49"/>
        <v>N/I</v>
      </c>
      <c r="C558" s="9" t="str">
        <f t="shared" si="50"/>
        <v>N/I</v>
      </c>
      <c r="D558" s="10" t="s">
        <v>1490</v>
      </c>
      <c r="E558" s="11" t="s">
        <v>1500</v>
      </c>
      <c r="F558" s="11" t="s">
        <v>1560</v>
      </c>
      <c r="G558" s="12" t="s">
        <v>94</v>
      </c>
      <c r="H558" s="20" t="s">
        <v>1561</v>
      </c>
      <c r="I558" s="12" t="s">
        <v>1557</v>
      </c>
      <c r="J558" s="10" t="s">
        <v>283</v>
      </c>
      <c r="K558" s="10" t="s">
        <v>263</v>
      </c>
      <c r="L558" s="10" t="s">
        <v>4</v>
      </c>
      <c r="M558" s="14">
        <v>43805.0</v>
      </c>
      <c r="N558" s="11" t="s">
        <v>1562</v>
      </c>
      <c r="O558" s="10" t="s">
        <v>1563</v>
      </c>
      <c r="P558" s="10" t="s">
        <v>1506</v>
      </c>
      <c r="Q558" s="2"/>
      <c r="R558" s="10">
        <v>36.0</v>
      </c>
      <c r="S558" s="14">
        <v>43805.0</v>
      </c>
      <c r="T558" s="14">
        <v>44900.0</v>
      </c>
      <c r="U558" s="10">
        <f t="shared" si="54"/>
        <v>-1191</v>
      </c>
      <c r="V558" s="2"/>
      <c r="W558" s="15"/>
      <c r="X558" s="15"/>
      <c r="Y558" s="15"/>
      <c r="Z558" s="15"/>
      <c r="AA558" s="1"/>
      <c r="AB558" s="15"/>
      <c r="AC558" s="15"/>
      <c r="AD558" s="15"/>
      <c r="AE558" s="15"/>
      <c r="AF558" s="2"/>
      <c r="AG558" s="16" t="s">
        <v>45</v>
      </c>
      <c r="AH558" s="16" t="s">
        <v>45</v>
      </c>
      <c r="AI558" s="16" t="s">
        <v>45</v>
      </c>
      <c r="AJ558" s="16" t="s">
        <v>45</v>
      </c>
      <c r="AK558" s="16" t="s">
        <v>45</v>
      </c>
      <c r="AL558" s="10" t="s">
        <v>49</v>
      </c>
      <c r="AM558" s="16" t="s">
        <v>45</v>
      </c>
      <c r="AN558" s="10" t="s">
        <v>320</v>
      </c>
    </row>
    <row r="559" ht="30.0" customHeight="1">
      <c r="A559" s="9" t="str">
        <f t="shared" si="48"/>
        <v>N/I</v>
      </c>
      <c r="B559" s="9" t="str">
        <f t="shared" si="49"/>
        <v>N/I</v>
      </c>
      <c r="C559" s="9" t="str">
        <f t="shared" si="50"/>
        <v>Inativo</v>
      </c>
      <c r="D559" s="10" t="s">
        <v>1490</v>
      </c>
      <c r="E559" s="11" t="s">
        <v>1491</v>
      </c>
      <c r="F559" s="11" t="s">
        <v>1564</v>
      </c>
      <c r="G559" s="12" t="s">
        <v>502</v>
      </c>
      <c r="H559" s="36">
        <v>17050.0</v>
      </c>
      <c r="I559" s="12" t="s">
        <v>1557</v>
      </c>
      <c r="J559" s="10" t="s">
        <v>283</v>
      </c>
      <c r="K559" s="10" t="s">
        <v>263</v>
      </c>
      <c r="L559" s="10" t="s">
        <v>6</v>
      </c>
      <c r="M559" s="22">
        <v>43550.0</v>
      </c>
      <c r="N559" s="32" t="s">
        <v>1565</v>
      </c>
      <c r="O559" s="10" t="s">
        <v>1566</v>
      </c>
      <c r="P559" s="10" t="s">
        <v>1497</v>
      </c>
      <c r="Q559" s="2"/>
      <c r="R559" s="15"/>
      <c r="S559" s="15"/>
      <c r="T559" s="15"/>
      <c r="U559" s="15"/>
      <c r="V559" s="1"/>
      <c r="W559" s="15"/>
      <c r="X559" s="15"/>
      <c r="Y559" s="15"/>
      <c r="Z559" s="15"/>
      <c r="AA559" s="1"/>
      <c r="AB559" s="10">
        <v>12.0</v>
      </c>
      <c r="AC559" s="14">
        <v>44969.0</v>
      </c>
      <c r="AD559" s="14">
        <v>45333.0</v>
      </c>
      <c r="AE559" s="10">
        <f t="shared" ref="AE559:AE560" si="55">AD559-TODAY()</f>
        <v>-758</v>
      </c>
      <c r="AF559" s="2"/>
      <c r="AG559" s="10" t="s">
        <v>1498</v>
      </c>
      <c r="AH559" s="16" t="s">
        <v>45</v>
      </c>
      <c r="AI559" s="16" t="s">
        <v>45</v>
      </c>
      <c r="AJ559" s="10" t="s">
        <v>227</v>
      </c>
      <c r="AK559" s="16" t="s">
        <v>45</v>
      </c>
      <c r="AL559" s="10" t="s">
        <v>49</v>
      </c>
      <c r="AM559" s="16" t="s">
        <v>45</v>
      </c>
      <c r="AN559" s="10" t="s">
        <v>1499</v>
      </c>
    </row>
    <row r="560" ht="30.0" customHeight="1">
      <c r="A560" s="9" t="str">
        <f t="shared" si="48"/>
        <v>N/I</v>
      </c>
      <c r="B560" s="9" t="str">
        <f t="shared" si="49"/>
        <v>N/I</v>
      </c>
      <c r="C560" s="9" t="str">
        <f t="shared" si="50"/>
        <v>Inativo</v>
      </c>
      <c r="D560" s="10" t="s">
        <v>1490</v>
      </c>
      <c r="E560" s="11" t="s">
        <v>1491</v>
      </c>
      <c r="F560" s="11" t="s">
        <v>1567</v>
      </c>
      <c r="G560" s="12" t="s">
        <v>502</v>
      </c>
      <c r="H560" s="36">
        <v>17069.0</v>
      </c>
      <c r="I560" s="12" t="s">
        <v>1557</v>
      </c>
      <c r="J560" s="10" t="s">
        <v>283</v>
      </c>
      <c r="K560" s="10" t="s">
        <v>263</v>
      </c>
      <c r="L560" s="10" t="s">
        <v>6</v>
      </c>
      <c r="M560" s="22">
        <v>43550.0</v>
      </c>
      <c r="N560" s="32" t="s">
        <v>1568</v>
      </c>
      <c r="O560" s="10" t="s">
        <v>1563</v>
      </c>
      <c r="P560" s="10" t="s">
        <v>1497</v>
      </c>
      <c r="Q560" s="2"/>
      <c r="R560" s="15"/>
      <c r="S560" s="15"/>
      <c r="T560" s="15"/>
      <c r="U560" s="15"/>
      <c r="V560" s="1"/>
      <c r="W560" s="15"/>
      <c r="X560" s="15"/>
      <c r="Y560" s="15"/>
      <c r="Z560" s="15"/>
      <c r="AA560" s="1"/>
      <c r="AB560" s="10">
        <v>12.0</v>
      </c>
      <c r="AC560" s="14">
        <v>44969.0</v>
      </c>
      <c r="AD560" s="14">
        <v>45333.0</v>
      </c>
      <c r="AE560" s="10">
        <f t="shared" si="55"/>
        <v>-758</v>
      </c>
      <c r="AF560" s="2"/>
      <c r="AG560" s="10" t="s">
        <v>1498</v>
      </c>
      <c r="AH560" s="16" t="s">
        <v>45</v>
      </c>
      <c r="AI560" s="16" t="s">
        <v>45</v>
      </c>
      <c r="AJ560" s="10" t="s">
        <v>227</v>
      </c>
      <c r="AK560" s="16" t="s">
        <v>45</v>
      </c>
      <c r="AL560" s="10" t="s">
        <v>49</v>
      </c>
      <c r="AM560" s="16" t="s">
        <v>45</v>
      </c>
      <c r="AN560" s="10" t="s">
        <v>1499</v>
      </c>
    </row>
    <row r="561" ht="30.0" customHeight="1">
      <c r="A561" s="9" t="str">
        <f t="shared" si="48"/>
        <v>Inativo</v>
      </c>
      <c r="B561" s="9" t="str">
        <f t="shared" si="49"/>
        <v>N/I</v>
      </c>
      <c r="C561" s="9" t="str">
        <f t="shared" si="50"/>
        <v>N/I</v>
      </c>
      <c r="D561" s="10" t="s">
        <v>1490</v>
      </c>
      <c r="E561" s="11" t="s">
        <v>1500</v>
      </c>
      <c r="F561" s="11" t="s">
        <v>1569</v>
      </c>
      <c r="G561" s="12" t="s">
        <v>94</v>
      </c>
      <c r="H561" s="20" t="s">
        <v>1570</v>
      </c>
      <c r="I561" s="12" t="s">
        <v>596</v>
      </c>
      <c r="J561" s="10" t="s">
        <v>283</v>
      </c>
      <c r="K561" s="10" t="s">
        <v>263</v>
      </c>
      <c r="L561" s="10" t="s">
        <v>4</v>
      </c>
      <c r="M561" s="14">
        <v>43802.0</v>
      </c>
      <c r="N561" s="11" t="s">
        <v>1571</v>
      </c>
      <c r="O561" s="10" t="s">
        <v>1572</v>
      </c>
      <c r="P561" s="10" t="s">
        <v>1506</v>
      </c>
      <c r="Q561" s="2"/>
      <c r="R561" s="10">
        <v>36.0</v>
      </c>
      <c r="S561" s="14">
        <v>43802.0</v>
      </c>
      <c r="T561" s="14">
        <v>44897.0</v>
      </c>
      <c r="U561" s="10">
        <f>T561-TODAY()</f>
        <v>-1194</v>
      </c>
      <c r="V561" s="2"/>
      <c r="W561" s="15"/>
      <c r="X561" s="15"/>
      <c r="Y561" s="15"/>
      <c r="Z561" s="15"/>
      <c r="AA561" s="1"/>
      <c r="AB561" s="15"/>
      <c r="AC561" s="15"/>
      <c r="AD561" s="15"/>
      <c r="AE561" s="15"/>
      <c r="AF561" s="2"/>
      <c r="AG561" s="16" t="s">
        <v>45</v>
      </c>
      <c r="AH561" s="16" t="s">
        <v>45</v>
      </c>
      <c r="AI561" s="16" t="s">
        <v>45</v>
      </c>
      <c r="AJ561" s="16" t="s">
        <v>45</v>
      </c>
      <c r="AK561" s="16" t="s">
        <v>45</v>
      </c>
      <c r="AL561" s="10" t="s">
        <v>49</v>
      </c>
      <c r="AM561" s="16" t="s">
        <v>45</v>
      </c>
      <c r="AN561" s="10" t="s">
        <v>320</v>
      </c>
    </row>
    <row r="562" ht="30.0" customHeight="1">
      <c r="A562" s="9" t="str">
        <f t="shared" si="48"/>
        <v>N/I</v>
      </c>
      <c r="B562" s="9" t="str">
        <f t="shared" si="49"/>
        <v>N/I</v>
      </c>
      <c r="C562" s="9" t="str">
        <f t="shared" si="50"/>
        <v>Inativo</v>
      </c>
      <c r="D562" s="10" t="s">
        <v>1490</v>
      </c>
      <c r="E562" s="11" t="s">
        <v>1491</v>
      </c>
      <c r="F562" s="11" t="s">
        <v>1573</v>
      </c>
      <c r="G562" s="12" t="s">
        <v>502</v>
      </c>
      <c r="H562" s="36">
        <v>17058.0</v>
      </c>
      <c r="I562" s="12" t="s">
        <v>596</v>
      </c>
      <c r="J562" s="10" t="s">
        <v>283</v>
      </c>
      <c r="K562" s="10" t="s">
        <v>263</v>
      </c>
      <c r="L562" s="10" t="s">
        <v>6</v>
      </c>
      <c r="M562" s="22">
        <v>43531.0</v>
      </c>
      <c r="N562" s="32" t="s">
        <v>1574</v>
      </c>
      <c r="O562" s="10" t="s">
        <v>1575</v>
      </c>
      <c r="P562" s="10" t="s">
        <v>1497</v>
      </c>
      <c r="Q562" s="2"/>
      <c r="R562" s="15"/>
      <c r="S562" s="15"/>
      <c r="T562" s="15"/>
      <c r="U562" s="15"/>
      <c r="V562" s="2"/>
      <c r="W562" s="15"/>
      <c r="X562" s="15"/>
      <c r="Y562" s="15"/>
      <c r="Z562" s="15"/>
      <c r="AA562" s="1"/>
      <c r="AB562" s="10">
        <v>12.0</v>
      </c>
      <c r="AC562" s="14">
        <v>44969.0</v>
      </c>
      <c r="AD562" s="14">
        <v>45333.0</v>
      </c>
      <c r="AE562" s="10">
        <f t="shared" ref="AE562:AE569" si="56">AD562-TODAY()</f>
        <v>-758</v>
      </c>
      <c r="AF562" s="2"/>
      <c r="AG562" s="10" t="s">
        <v>1498</v>
      </c>
      <c r="AH562" s="16" t="s">
        <v>45</v>
      </c>
      <c r="AI562" s="16" t="s">
        <v>45</v>
      </c>
      <c r="AJ562" s="10" t="s">
        <v>227</v>
      </c>
      <c r="AK562" s="16" t="s">
        <v>45</v>
      </c>
      <c r="AL562" s="10" t="s">
        <v>49</v>
      </c>
      <c r="AM562" s="16" t="s">
        <v>45</v>
      </c>
      <c r="AN562" s="10" t="s">
        <v>1499</v>
      </c>
    </row>
    <row r="563" ht="30.0" customHeight="1">
      <c r="A563" s="9" t="str">
        <f t="shared" si="48"/>
        <v>N/I</v>
      </c>
      <c r="B563" s="9" t="str">
        <f t="shared" si="49"/>
        <v>N/I</v>
      </c>
      <c r="C563" s="9" t="str">
        <f t="shared" si="50"/>
        <v>Inativo</v>
      </c>
      <c r="D563" s="10" t="s">
        <v>1490</v>
      </c>
      <c r="E563" s="11" t="s">
        <v>1491</v>
      </c>
      <c r="F563" s="11" t="s">
        <v>1576</v>
      </c>
      <c r="G563" s="12" t="s">
        <v>502</v>
      </c>
      <c r="H563" s="36">
        <v>17045.0</v>
      </c>
      <c r="I563" s="12" t="s">
        <v>596</v>
      </c>
      <c r="J563" s="10" t="s">
        <v>283</v>
      </c>
      <c r="K563" s="10" t="s">
        <v>263</v>
      </c>
      <c r="L563" s="10" t="s">
        <v>6</v>
      </c>
      <c r="M563" s="22">
        <v>43537.0</v>
      </c>
      <c r="N563" s="11" t="s">
        <v>1571</v>
      </c>
      <c r="O563" s="10" t="s">
        <v>1572</v>
      </c>
      <c r="P563" s="10" t="s">
        <v>1497</v>
      </c>
      <c r="Q563" s="2"/>
      <c r="R563" s="15"/>
      <c r="S563" s="15"/>
      <c r="T563" s="15"/>
      <c r="U563" s="15"/>
      <c r="V563" s="2"/>
      <c r="W563" s="15"/>
      <c r="X563" s="15"/>
      <c r="Y563" s="15"/>
      <c r="Z563" s="15"/>
      <c r="AA563" s="1"/>
      <c r="AB563" s="10">
        <v>12.0</v>
      </c>
      <c r="AC563" s="14">
        <v>44969.0</v>
      </c>
      <c r="AD563" s="14">
        <v>45333.0</v>
      </c>
      <c r="AE563" s="10">
        <f t="shared" si="56"/>
        <v>-758</v>
      </c>
      <c r="AF563" s="2"/>
      <c r="AG563" s="10" t="s">
        <v>1498</v>
      </c>
      <c r="AH563" s="16" t="s">
        <v>45</v>
      </c>
      <c r="AI563" s="16" t="s">
        <v>45</v>
      </c>
      <c r="AJ563" s="10" t="s">
        <v>227</v>
      </c>
      <c r="AK563" s="16" t="s">
        <v>45</v>
      </c>
      <c r="AL563" s="10" t="s">
        <v>49</v>
      </c>
      <c r="AM563" s="16" t="s">
        <v>45</v>
      </c>
      <c r="AN563" s="10" t="s">
        <v>1499</v>
      </c>
    </row>
    <row r="564" ht="30.0" customHeight="1">
      <c r="A564" s="9" t="str">
        <f t="shared" si="48"/>
        <v>N/I</v>
      </c>
      <c r="B564" s="9" t="str">
        <f t="shared" si="49"/>
        <v>N/I</v>
      </c>
      <c r="C564" s="9" t="str">
        <f t="shared" si="50"/>
        <v>Inativo</v>
      </c>
      <c r="D564" s="10" t="s">
        <v>1490</v>
      </c>
      <c r="E564" s="11" t="s">
        <v>1491</v>
      </c>
      <c r="F564" s="11" t="s">
        <v>1577</v>
      </c>
      <c r="G564" s="12" t="s">
        <v>502</v>
      </c>
      <c r="H564" s="36">
        <v>17073.0</v>
      </c>
      <c r="I564" s="12" t="s">
        <v>596</v>
      </c>
      <c r="J564" s="10" t="s">
        <v>283</v>
      </c>
      <c r="K564" s="10" t="s">
        <v>263</v>
      </c>
      <c r="L564" s="10" t="s">
        <v>6</v>
      </c>
      <c r="M564" s="22">
        <v>43542.0</v>
      </c>
      <c r="N564" s="32" t="s">
        <v>1578</v>
      </c>
      <c r="O564" s="10" t="s">
        <v>1579</v>
      </c>
      <c r="P564" s="10" t="s">
        <v>1497</v>
      </c>
      <c r="Q564" s="2"/>
      <c r="R564" s="15"/>
      <c r="S564" s="15"/>
      <c r="T564" s="15"/>
      <c r="U564" s="15"/>
      <c r="V564" s="2"/>
      <c r="W564" s="15"/>
      <c r="X564" s="15"/>
      <c r="Y564" s="15"/>
      <c r="Z564" s="15"/>
      <c r="AA564" s="1"/>
      <c r="AB564" s="10">
        <v>12.0</v>
      </c>
      <c r="AC564" s="14">
        <v>44969.0</v>
      </c>
      <c r="AD564" s="14">
        <v>45333.0</v>
      </c>
      <c r="AE564" s="10">
        <f t="shared" si="56"/>
        <v>-758</v>
      </c>
      <c r="AF564" s="2"/>
      <c r="AG564" s="10" t="s">
        <v>1498</v>
      </c>
      <c r="AH564" s="16" t="s">
        <v>45</v>
      </c>
      <c r="AI564" s="16" t="s">
        <v>45</v>
      </c>
      <c r="AJ564" s="10" t="s">
        <v>227</v>
      </c>
      <c r="AK564" s="16" t="s">
        <v>45</v>
      </c>
      <c r="AL564" s="10" t="s">
        <v>49</v>
      </c>
      <c r="AM564" s="16" t="s">
        <v>45</v>
      </c>
      <c r="AN564" s="10" t="s">
        <v>1499</v>
      </c>
    </row>
    <row r="565" ht="30.0" customHeight="1">
      <c r="A565" s="9" t="str">
        <f t="shared" si="48"/>
        <v>N/I</v>
      </c>
      <c r="B565" s="9" t="str">
        <f t="shared" si="49"/>
        <v>N/I</v>
      </c>
      <c r="C565" s="9" t="str">
        <f t="shared" si="50"/>
        <v>Inativo</v>
      </c>
      <c r="D565" s="10" t="s">
        <v>1490</v>
      </c>
      <c r="E565" s="11" t="s">
        <v>1491</v>
      </c>
      <c r="F565" s="11" t="s">
        <v>1580</v>
      </c>
      <c r="G565" s="12" t="s">
        <v>502</v>
      </c>
      <c r="H565" s="36">
        <v>17065.0</v>
      </c>
      <c r="I565" s="12" t="s">
        <v>596</v>
      </c>
      <c r="J565" s="10" t="s">
        <v>283</v>
      </c>
      <c r="K565" s="10" t="s">
        <v>263</v>
      </c>
      <c r="L565" s="10" t="s">
        <v>6</v>
      </c>
      <c r="M565" s="22">
        <v>43550.0</v>
      </c>
      <c r="N565" s="32" t="s">
        <v>1581</v>
      </c>
      <c r="O565" s="10" t="s">
        <v>1582</v>
      </c>
      <c r="P565" s="10" t="s">
        <v>1497</v>
      </c>
      <c r="Q565" s="2"/>
      <c r="R565" s="15"/>
      <c r="S565" s="15"/>
      <c r="T565" s="15"/>
      <c r="U565" s="15"/>
      <c r="V565" s="1"/>
      <c r="W565" s="15"/>
      <c r="X565" s="15"/>
      <c r="Y565" s="15"/>
      <c r="Z565" s="15"/>
      <c r="AA565" s="1"/>
      <c r="AB565" s="10">
        <v>12.0</v>
      </c>
      <c r="AC565" s="14">
        <v>44969.0</v>
      </c>
      <c r="AD565" s="14">
        <v>45333.0</v>
      </c>
      <c r="AE565" s="10">
        <f t="shared" si="56"/>
        <v>-758</v>
      </c>
      <c r="AF565" s="2"/>
      <c r="AG565" s="10" t="s">
        <v>1498</v>
      </c>
      <c r="AH565" s="16" t="s">
        <v>45</v>
      </c>
      <c r="AI565" s="16" t="s">
        <v>45</v>
      </c>
      <c r="AJ565" s="10" t="s">
        <v>227</v>
      </c>
      <c r="AK565" s="16" t="s">
        <v>45</v>
      </c>
      <c r="AL565" s="10" t="s">
        <v>49</v>
      </c>
      <c r="AM565" s="16" t="s">
        <v>45</v>
      </c>
      <c r="AN565" s="10" t="s">
        <v>1499</v>
      </c>
    </row>
    <row r="566" ht="30.0" customHeight="1">
      <c r="A566" s="9" t="str">
        <f t="shared" si="48"/>
        <v>N/I</v>
      </c>
      <c r="B566" s="9" t="str">
        <f t="shared" si="49"/>
        <v>N/I</v>
      </c>
      <c r="C566" s="9" t="str">
        <f t="shared" si="50"/>
        <v>Inativo</v>
      </c>
      <c r="D566" s="10" t="s">
        <v>1490</v>
      </c>
      <c r="E566" s="11" t="s">
        <v>1491</v>
      </c>
      <c r="F566" s="11" t="s">
        <v>1583</v>
      </c>
      <c r="G566" s="12" t="s">
        <v>502</v>
      </c>
      <c r="H566" s="36" t="s">
        <v>1584</v>
      </c>
      <c r="I566" s="12" t="s">
        <v>596</v>
      </c>
      <c r="J566" s="10" t="s">
        <v>283</v>
      </c>
      <c r="K566" s="10" t="s">
        <v>263</v>
      </c>
      <c r="L566" s="10" t="s">
        <v>6</v>
      </c>
      <c r="M566" s="22">
        <v>44681.0</v>
      </c>
      <c r="N566" s="32" t="s">
        <v>1585</v>
      </c>
      <c r="O566" s="10" t="s">
        <v>1579</v>
      </c>
      <c r="P566" s="10" t="s">
        <v>1497</v>
      </c>
      <c r="Q566" s="2"/>
      <c r="R566" s="15"/>
      <c r="S566" s="15"/>
      <c r="T566" s="15"/>
      <c r="U566" s="15"/>
      <c r="V566" s="1"/>
      <c r="W566" s="15"/>
      <c r="X566" s="15"/>
      <c r="Y566" s="15"/>
      <c r="Z566" s="15"/>
      <c r="AA566" s="1"/>
      <c r="AB566" s="10">
        <v>12.0</v>
      </c>
      <c r="AC566" s="14">
        <v>44969.0</v>
      </c>
      <c r="AD566" s="14">
        <v>45333.0</v>
      </c>
      <c r="AE566" s="10">
        <f t="shared" si="56"/>
        <v>-758</v>
      </c>
      <c r="AF566" s="2"/>
      <c r="AG566" s="10" t="s">
        <v>1498</v>
      </c>
      <c r="AH566" s="16" t="s">
        <v>45</v>
      </c>
      <c r="AI566" s="16" t="s">
        <v>45</v>
      </c>
      <c r="AJ566" s="10" t="s">
        <v>227</v>
      </c>
      <c r="AK566" s="16" t="s">
        <v>45</v>
      </c>
      <c r="AL566" s="10" t="s">
        <v>49</v>
      </c>
      <c r="AM566" s="16" t="s">
        <v>45</v>
      </c>
      <c r="AN566" s="10" t="s">
        <v>1499</v>
      </c>
    </row>
    <row r="567" ht="30.0" customHeight="1">
      <c r="A567" s="9" t="str">
        <f t="shared" si="48"/>
        <v>N/I</v>
      </c>
      <c r="B567" s="9" t="str">
        <f t="shared" si="49"/>
        <v>N/I</v>
      </c>
      <c r="C567" s="9" t="str">
        <f t="shared" si="50"/>
        <v>Inativo</v>
      </c>
      <c r="D567" s="10" t="s">
        <v>1490</v>
      </c>
      <c r="E567" s="11" t="s">
        <v>1491</v>
      </c>
      <c r="F567" s="11" t="s">
        <v>1586</v>
      </c>
      <c r="G567" s="12" t="s">
        <v>502</v>
      </c>
      <c r="H567" s="36">
        <v>17056.0</v>
      </c>
      <c r="I567" s="12" t="s">
        <v>1587</v>
      </c>
      <c r="J567" s="10" t="s">
        <v>283</v>
      </c>
      <c r="K567" s="10" t="s">
        <v>263</v>
      </c>
      <c r="L567" s="10" t="s">
        <v>6</v>
      </c>
      <c r="M567" s="22">
        <v>43530.0</v>
      </c>
      <c r="N567" s="32" t="s">
        <v>1588</v>
      </c>
      <c r="O567" s="10" t="s">
        <v>1589</v>
      </c>
      <c r="P567" s="10" t="s">
        <v>1497</v>
      </c>
      <c r="Q567" s="2"/>
      <c r="R567" s="15"/>
      <c r="S567" s="15"/>
      <c r="T567" s="15"/>
      <c r="U567" s="15"/>
      <c r="V567" s="2"/>
      <c r="W567" s="15"/>
      <c r="X567" s="15"/>
      <c r="Y567" s="15"/>
      <c r="Z567" s="15"/>
      <c r="AA567" s="1"/>
      <c r="AB567" s="10">
        <v>12.0</v>
      </c>
      <c r="AC567" s="14">
        <v>44969.0</v>
      </c>
      <c r="AD567" s="14">
        <v>45333.0</v>
      </c>
      <c r="AE567" s="10">
        <f t="shared" si="56"/>
        <v>-758</v>
      </c>
      <c r="AF567" s="2"/>
      <c r="AG567" s="10" t="s">
        <v>1498</v>
      </c>
      <c r="AH567" s="16" t="s">
        <v>45</v>
      </c>
      <c r="AI567" s="16" t="s">
        <v>45</v>
      </c>
      <c r="AJ567" s="10" t="s">
        <v>227</v>
      </c>
      <c r="AK567" s="16" t="s">
        <v>45</v>
      </c>
      <c r="AL567" s="10" t="s">
        <v>49</v>
      </c>
      <c r="AM567" s="16" t="s">
        <v>45</v>
      </c>
      <c r="AN567" s="10" t="s">
        <v>1499</v>
      </c>
    </row>
    <row r="568" ht="30.0" customHeight="1">
      <c r="A568" s="9" t="str">
        <f t="shared" si="48"/>
        <v>N/I</v>
      </c>
      <c r="B568" s="9" t="str">
        <f t="shared" si="49"/>
        <v>N/I</v>
      </c>
      <c r="C568" s="9" t="str">
        <f t="shared" si="50"/>
        <v>Inativo</v>
      </c>
      <c r="D568" s="10" t="s">
        <v>1490</v>
      </c>
      <c r="E568" s="11" t="s">
        <v>1491</v>
      </c>
      <c r="F568" s="11" t="s">
        <v>1590</v>
      </c>
      <c r="G568" s="12" t="s">
        <v>502</v>
      </c>
      <c r="H568" s="36">
        <v>17051.0</v>
      </c>
      <c r="I568" s="12" t="s">
        <v>1587</v>
      </c>
      <c r="J568" s="10" t="s">
        <v>283</v>
      </c>
      <c r="K568" s="10" t="s">
        <v>263</v>
      </c>
      <c r="L568" s="10" t="s">
        <v>6</v>
      </c>
      <c r="M568" s="22">
        <v>43536.0</v>
      </c>
      <c r="N568" s="32" t="s">
        <v>1591</v>
      </c>
      <c r="O568" s="10" t="s">
        <v>1592</v>
      </c>
      <c r="P568" s="10" t="s">
        <v>1497</v>
      </c>
      <c r="Q568" s="2"/>
      <c r="R568" s="15"/>
      <c r="S568" s="15"/>
      <c r="T568" s="15"/>
      <c r="U568" s="15"/>
      <c r="V568" s="2"/>
      <c r="W568" s="15"/>
      <c r="X568" s="15"/>
      <c r="Y568" s="15"/>
      <c r="Z568" s="15"/>
      <c r="AA568" s="1"/>
      <c r="AB568" s="10">
        <v>12.0</v>
      </c>
      <c r="AC568" s="14">
        <v>44969.0</v>
      </c>
      <c r="AD568" s="14">
        <v>45333.0</v>
      </c>
      <c r="AE568" s="10">
        <f t="shared" si="56"/>
        <v>-758</v>
      </c>
      <c r="AF568" s="2"/>
      <c r="AG568" s="10" t="s">
        <v>1498</v>
      </c>
      <c r="AH568" s="16" t="s">
        <v>45</v>
      </c>
      <c r="AI568" s="16" t="s">
        <v>45</v>
      </c>
      <c r="AJ568" s="10" t="s">
        <v>227</v>
      </c>
      <c r="AK568" s="16" t="s">
        <v>45</v>
      </c>
      <c r="AL568" s="10" t="s">
        <v>49</v>
      </c>
      <c r="AM568" s="16" t="s">
        <v>45</v>
      </c>
      <c r="AN568" s="10" t="s">
        <v>1499</v>
      </c>
    </row>
    <row r="569" ht="30.0" customHeight="1">
      <c r="A569" s="9" t="str">
        <f t="shared" si="48"/>
        <v>N/I</v>
      </c>
      <c r="B569" s="9" t="str">
        <f t="shared" si="49"/>
        <v>N/I</v>
      </c>
      <c r="C569" s="9" t="str">
        <f t="shared" si="50"/>
        <v>Inativo</v>
      </c>
      <c r="D569" s="10" t="s">
        <v>1490</v>
      </c>
      <c r="E569" s="11" t="s">
        <v>1491</v>
      </c>
      <c r="F569" s="11" t="s">
        <v>1593</v>
      </c>
      <c r="G569" s="12" t="s">
        <v>502</v>
      </c>
      <c r="H569" s="36">
        <v>17061.0</v>
      </c>
      <c r="I569" s="12" t="s">
        <v>1587</v>
      </c>
      <c r="J569" s="10" t="s">
        <v>283</v>
      </c>
      <c r="K569" s="10" t="s">
        <v>263</v>
      </c>
      <c r="L569" s="10" t="s">
        <v>6</v>
      </c>
      <c r="M569" s="22">
        <v>43536.0</v>
      </c>
      <c r="N569" s="32" t="s">
        <v>1594</v>
      </c>
      <c r="O569" s="10" t="s">
        <v>1589</v>
      </c>
      <c r="P569" s="10" t="s">
        <v>1497</v>
      </c>
      <c r="Q569" s="2"/>
      <c r="R569" s="15"/>
      <c r="S569" s="15"/>
      <c r="T569" s="15"/>
      <c r="U569" s="15"/>
      <c r="V569" s="2"/>
      <c r="W569" s="15"/>
      <c r="X569" s="15"/>
      <c r="Y569" s="15"/>
      <c r="Z569" s="15"/>
      <c r="AA569" s="1"/>
      <c r="AB569" s="10">
        <v>12.0</v>
      </c>
      <c r="AC569" s="14">
        <v>44969.0</v>
      </c>
      <c r="AD569" s="14">
        <v>45333.0</v>
      </c>
      <c r="AE569" s="10">
        <f t="shared" si="56"/>
        <v>-758</v>
      </c>
      <c r="AF569" s="2"/>
      <c r="AG569" s="10" t="s">
        <v>1498</v>
      </c>
      <c r="AH569" s="16" t="s">
        <v>45</v>
      </c>
      <c r="AI569" s="16" t="s">
        <v>45</v>
      </c>
      <c r="AJ569" s="10" t="s">
        <v>227</v>
      </c>
      <c r="AK569" s="16" t="s">
        <v>45</v>
      </c>
      <c r="AL569" s="10" t="s">
        <v>49</v>
      </c>
      <c r="AM569" s="16" t="s">
        <v>45</v>
      </c>
      <c r="AN569" s="10" t="s">
        <v>1499</v>
      </c>
    </row>
    <row r="570" ht="30.0" customHeight="1">
      <c r="A570" s="9" t="str">
        <f t="shared" si="48"/>
        <v>Inativo</v>
      </c>
      <c r="B570" s="9" t="str">
        <f t="shared" si="49"/>
        <v>N/I</v>
      </c>
      <c r="C570" s="9" t="str">
        <f t="shared" si="50"/>
        <v>N/I</v>
      </c>
      <c r="D570" s="10" t="s">
        <v>1490</v>
      </c>
      <c r="E570" s="11" t="s">
        <v>1500</v>
      </c>
      <c r="F570" s="11" t="s">
        <v>1595</v>
      </c>
      <c r="G570" s="12" t="s">
        <v>94</v>
      </c>
      <c r="H570" s="20" t="s">
        <v>1596</v>
      </c>
      <c r="I570" s="12" t="s">
        <v>1597</v>
      </c>
      <c r="J570" s="10" t="s">
        <v>283</v>
      </c>
      <c r="K570" s="10" t="s">
        <v>263</v>
      </c>
      <c r="L570" s="10" t="s">
        <v>4</v>
      </c>
      <c r="M570" s="14">
        <v>43802.0</v>
      </c>
      <c r="N570" s="11" t="s">
        <v>1598</v>
      </c>
      <c r="O570" s="10" t="s">
        <v>1599</v>
      </c>
      <c r="P570" s="10" t="s">
        <v>1506</v>
      </c>
      <c r="Q570" s="2"/>
      <c r="R570" s="10">
        <v>36.0</v>
      </c>
      <c r="S570" s="14">
        <v>43802.0</v>
      </c>
      <c r="T570" s="14">
        <v>44897.0</v>
      </c>
      <c r="U570" s="10">
        <f t="shared" ref="U570:U575" si="57">T570-TODAY()</f>
        <v>-1194</v>
      </c>
      <c r="V570" s="2"/>
      <c r="W570" s="15"/>
      <c r="X570" s="15"/>
      <c r="Y570" s="15"/>
      <c r="Z570" s="15"/>
      <c r="AA570" s="1"/>
      <c r="AB570" s="15"/>
      <c r="AC570" s="15"/>
      <c r="AD570" s="15"/>
      <c r="AE570" s="15"/>
      <c r="AF570" s="2"/>
      <c r="AG570" s="16" t="s">
        <v>45</v>
      </c>
      <c r="AH570" s="16" t="s">
        <v>45</v>
      </c>
      <c r="AI570" s="16" t="s">
        <v>45</v>
      </c>
      <c r="AJ570" s="16" t="s">
        <v>45</v>
      </c>
      <c r="AK570" s="16" t="s">
        <v>45</v>
      </c>
      <c r="AL570" s="10" t="s">
        <v>49</v>
      </c>
      <c r="AM570" s="16" t="s">
        <v>45</v>
      </c>
      <c r="AN570" s="10" t="s">
        <v>320</v>
      </c>
    </row>
    <row r="571" ht="30.0" customHeight="1">
      <c r="A571" s="9" t="str">
        <f t="shared" si="48"/>
        <v>Inativo</v>
      </c>
      <c r="B571" s="9" t="str">
        <f t="shared" si="49"/>
        <v>N/I</v>
      </c>
      <c r="C571" s="9" t="str">
        <f t="shared" si="50"/>
        <v>N/I</v>
      </c>
      <c r="D571" s="10" t="s">
        <v>1490</v>
      </c>
      <c r="E571" s="11" t="s">
        <v>1600</v>
      </c>
      <c r="F571" s="11" t="s">
        <v>1601</v>
      </c>
      <c r="G571" s="12" t="s">
        <v>94</v>
      </c>
      <c r="H571" s="20" t="s">
        <v>1602</v>
      </c>
      <c r="I571" s="12" t="s">
        <v>1597</v>
      </c>
      <c r="J571" s="10" t="s">
        <v>283</v>
      </c>
      <c r="K571" s="10" t="s">
        <v>263</v>
      </c>
      <c r="L571" s="10" t="s">
        <v>4</v>
      </c>
      <c r="M571" s="14">
        <v>43881.0</v>
      </c>
      <c r="N571" s="11" t="s">
        <v>1594</v>
      </c>
      <c r="O571" s="10" t="s">
        <v>1589</v>
      </c>
      <c r="P571" s="10" t="s">
        <v>1603</v>
      </c>
      <c r="Q571" s="2"/>
      <c r="R571" s="10">
        <v>36.0</v>
      </c>
      <c r="S571" s="14">
        <v>43881.0</v>
      </c>
      <c r="T571" s="14">
        <v>44976.0</v>
      </c>
      <c r="U571" s="10">
        <f t="shared" si="57"/>
        <v>-1115</v>
      </c>
      <c r="V571" s="2"/>
      <c r="W571" s="15"/>
      <c r="X571" s="15"/>
      <c r="Y571" s="15"/>
      <c r="Z571" s="15"/>
      <c r="AA571" s="1"/>
      <c r="AB571" s="15"/>
      <c r="AC571" s="15"/>
      <c r="AD571" s="15"/>
      <c r="AE571" s="15"/>
      <c r="AF571" s="2"/>
      <c r="AG571" s="16" t="s">
        <v>45</v>
      </c>
      <c r="AH571" s="16" t="s">
        <v>45</v>
      </c>
      <c r="AI571" s="16" t="s">
        <v>45</v>
      </c>
      <c r="AJ571" s="16" t="s">
        <v>45</v>
      </c>
      <c r="AK571" s="16" t="s">
        <v>45</v>
      </c>
      <c r="AL571" s="10" t="s">
        <v>49</v>
      </c>
      <c r="AM571" s="16" t="s">
        <v>45</v>
      </c>
      <c r="AN571" s="10" t="s">
        <v>320</v>
      </c>
    </row>
    <row r="572" ht="30.0" customHeight="1">
      <c r="A572" s="9" t="str">
        <f t="shared" si="48"/>
        <v>Inativo</v>
      </c>
      <c r="B572" s="9" t="str">
        <f t="shared" si="49"/>
        <v>N/I</v>
      </c>
      <c r="C572" s="9" t="str">
        <f t="shared" si="50"/>
        <v>N/I</v>
      </c>
      <c r="D572" s="10" t="s">
        <v>1490</v>
      </c>
      <c r="E572" s="11" t="s">
        <v>1500</v>
      </c>
      <c r="F572" s="11" t="s">
        <v>1604</v>
      </c>
      <c r="G572" s="12" t="s">
        <v>94</v>
      </c>
      <c r="H572" s="20" t="s">
        <v>1605</v>
      </c>
      <c r="I572" s="12" t="s">
        <v>1606</v>
      </c>
      <c r="J572" s="10" t="s">
        <v>283</v>
      </c>
      <c r="K572" s="10" t="s">
        <v>263</v>
      </c>
      <c r="L572" s="10" t="s">
        <v>4</v>
      </c>
      <c r="M572" s="14">
        <v>43802.0</v>
      </c>
      <c r="N572" s="11" t="s">
        <v>1607</v>
      </c>
      <c r="O572" s="10" t="s">
        <v>1608</v>
      </c>
      <c r="P572" s="10" t="s">
        <v>1506</v>
      </c>
      <c r="Q572" s="2"/>
      <c r="R572" s="10">
        <v>36.0</v>
      </c>
      <c r="S572" s="14">
        <v>43802.0</v>
      </c>
      <c r="T572" s="14">
        <v>44897.0</v>
      </c>
      <c r="U572" s="10">
        <f t="shared" si="57"/>
        <v>-1194</v>
      </c>
      <c r="V572" s="2"/>
      <c r="W572" s="15"/>
      <c r="X572" s="15"/>
      <c r="Y572" s="15"/>
      <c r="Z572" s="15"/>
      <c r="AA572" s="1"/>
      <c r="AB572" s="15"/>
      <c r="AC572" s="15"/>
      <c r="AD572" s="15"/>
      <c r="AE572" s="15"/>
      <c r="AF572" s="2"/>
      <c r="AG572" s="16" t="s">
        <v>45</v>
      </c>
      <c r="AH572" s="16" t="s">
        <v>45</v>
      </c>
      <c r="AI572" s="16" t="s">
        <v>45</v>
      </c>
      <c r="AJ572" s="16" t="s">
        <v>45</v>
      </c>
      <c r="AK572" s="16" t="s">
        <v>45</v>
      </c>
      <c r="AL572" s="10" t="s">
        <v>49</v>
      </c>
      <c r="AM572" s="16" t="s">
        <v>45</v>
      </c>
      <c r="AN572" s="10" t="s">
        <v>320</v>
      </c>
    </row>
    <row r="573" ht="30.0" customHeight="1">
      <c r="A573" s="9" t="str">
        <f t="shared" si="48"/>
        <v>Inativo</v>
      </c>
      <c r="B573" s="9" t="str">
        <f t="shared" si="49"/>
        <v>N/I</v>
      </c>
      <c r="C573" s="9" t="str">
        <f t="shared" si="50"/>
        <v>N/I</v>
      </c>
      <c r="D573" s="10" t="s">
        <v>1490</v>
      </c>
      <c r="E573" s="11" t="s">
        <v>1500</v>
      </c>
      <c r="F573" s="11" t="s">
        <v>1604</v>
      </c>
      <c r="G573" s="12" t="s">
        <v>94</v>
      </c>
      <c r="H573" s="20" t="s">
        <v>1609</v>
      </c>
      <c r="I573" s="12" t="s">
        <v>1606</v>
      </c>
      <c r="J573" s="10" t="s">
        <v>283</v>
      </c>
      <c r="K573" s="10" t="s">
        <v>263</v>
      </c>
      <c r="L573" s="10" t="s">
        <v>4</v>
      </c>
      <c r="M573" s="14">
        <v>43802.0</v>
      </c>
      <c r="N573" s="11" t="s">
        <v>1607</v>
      </c>
      <c r="O573" s="10" t="s">
        <v>1608</v>
      </c>
      <c r="P573" s="10" t="s">
        <v>1506</v>
      </c>
      <c r="Q573" s="2"/>
      <c r="R573" s="10">
        <v>36.0</v>
      </c>
      <c r="S573" s="14">
        <v>43802.0</v>
      </c>
      <c r="T573" s="14">
        <v>44897.0</v>
      </c>
      <c r="U573" s="10">
        <f t="shared" si="57"/>
        <v>-1194</v>
      </c>
      <c r="V573" s="2"/>
      <c r="W573" s="15"/>
      <c r="X573" s="15"/>
      <c r="Y573" s="15"/>
      <c r="Z573" s="15"/>
      <c r="AA573" s="1"/>
      <c r="AB573" s="15"/>
      <c r="AC573" s="15"/>
      <c r="AD573" s="15"/>
      <c r="AE573" s="15"/>
      <c r="AF573" s="2"/>
      <c r="AG573" s="16" t="s">
        <v>45</v>
      </c>
      <c r="AH573" s="16" t="s">
        <v>45</v>
      </c>
      <c r="AI573" s="16" t="s">
        <v>45</v>
      </c>
      <c r="AJ573" s="16" t="s">
        <v>45</v>
      </c>
      <c r="AK573" s="16" t="s">
        <v>45</v>
      </c>
      <c r="AL573" s="10" t="s">
        <v>49</v>
      </c>
      <c r="AM573" s="16" t="s">
        <v>45</v>
      </c>
      <c r="AN573" s="10" t="s">
        <v>320</v>
      </c>
    </row>
    <row r="574" ht="30.0" customHeight="1">
      <c r="A574" s="9" t="str">
        <f t="shared" si="48"/>
        <v>Inativo</v>
      </c>
      <c r="B574" s="9" t="str">
        <f t="shared" si="49"/>
        <v>N/I</v>
      </c>
      <c r="C574" s="9" t="str">
        <f t="shared" si="50"/>
        <v>N/I</v>
      </c>
      <c r="D574" s="10" t="s">
        <v>1490</v>
      </c>
      <c r="E574" s="11" t="s">
        <v>1500</v>
      </c>
      <c r="F574" s="11" t="s">
        <v>1610</v>
      </c>
      <c r="G574" s="12" t="s">
        <v>94</v>
      </c>
      <c r="H574" s="20" t="s">
        <v>1611</v>
      </c>
      <c r="I574" s="12" t="s">
        <v>1606</v>
      </c>
      <c r="J574" s="10" t="s">
        <v>283</v>
      </c>
      <c r="K574" s="10" t="s">
        <v>263</v>
      </c>
      <c r="L574" s="10" t="s">
        <v>4</v>
      </c>
      <c r="M574" s="14">
        <v>43816.0</v>
      </c>
      <c r="N574" s="11" t="s">
        <v>1612</v>
      </c>
      <c r="O574" s="10" t="s">
        <v>1608</v>
      </c>
      <c r="P574" s="10" t="s">
        <v>1506</v>
      </c>
      <c r="Q574" s="2"/>
      <c r="R574" s="10">
        <v>36.0</v>
      </c>
      <c r="S574" s="14">
        <v>43816.0</v>
      </c>
      <c r="T574" s="14">
        <v>44911.0</v>
      </c>
      <c r="U574" s="10">
        <f t="shared" si="57"/>
        <v>-1180</v>
      </c>
      <c r="V574" s="2"/>
      <c r="W574" s="15"/>
      <c r="X574" s="15"/>
      <c r="Y574" s="15"/>
      <c r="Z574" s="15"/>
      <c r="AA574" s="1"/>
      <c r="AB574" s="15"/>
      <c r="AC574" s="15"/>
      <c r="AD574" s="15"/>
      <c r="AE574" s="15"/>
      <c r="AF574" s="2"/>
      <c r="AG574" s="16" t="s">
        <v>45</v>
      </c>
      <c r="AH574" s="16" t="s">
        <v>45</v>
      </c>
      <c r="AI574" s="16" t="s">
        <v>45</v>
      </c>
      <c r="AJ574" s="16" t="s">
        <v>45</v>
      </c>
      <c r="AK574" s="16" t="s">
        <v>45</v>
      </c>
      <c r="AL574" s="10" t="s">
        <v>49</v>
      </c>
      <c r="AM574" s="16" t="s">
        <v>45</v>
      </c>
      <c r="AN574" s="10" t="s">
        <v>320</v>
      </c>
    </row>
    <row r="575" ht="30.0" customHeight="1">
      <c r="A575" s="9" t="str">
        <f t="shared" si="48"/>
        <v>Inativo</v>
      </c>
      <c r="B575" s="9" t="str">
        <f t="shared" si="49"/>
        <v>N/I</v>
      </c>
      <c r="C575" s="9" t="str">
        <f t="shared" si="50"/>
        <v>N/I</v>
      </c>
      <c r="D575" s="10" t="s">
        <v>1490</v>
      </c>
      <c r="E575" s="11" t="s">
        <v>1500</v>
      </c>
      <c r="F575" s="11" t="s">
        <v>1613</v>
      </c>
      <c r="G575" s="12" t="s">
        <v>94</v>
      </c>
      <c r="H575" s="20" t="s">
        <v>1614</v>
      </c>
      <c r="I575" s="12" t="s">
        <v>1615</v>
      </c>
      <c r="J575" s="10" t="s">
        <v>283</v>
      </c>
      <c r="K575" s="10" t="s">
        <v>263</v>
      </c>
      <c r="L575" s="10" t="s">
        <v>4</v>
      </c>
      <c r="M575" s="14">
        <v>43803.0</v>
      </c>
      <c r="N575" s="11" t="s">
        <v>1616</v>
      </c>
      <c r="O575" s="10" t="s">
        <v>1617</v>
      </c>
      <c r="P575" s="10" t="s">
        <v>1506</v>
      </c>
      <c r="Q575" s="2"/>
      <c r="R575" s="10">
        <v>36.0</v>
      </c>
      <c r="S575" s="14">
        <v>43803.0</v>
      </c>
      <c r="T575" s="14">
        <v>44898.0</v>
      </c>
      <c r="U575" s="10">
        <f t="shared" si="57"/>
        <v>-1193</v>
      </c>
      <c r="V575" s="2"/>
      <c r="W575" s="15"/>
      <c r="X575" s="15"/>
      <c r="Y575" s="15"/>
      <c r="Z575" s="15"/>
      <c r="AA575" s="1"/>
      <c r="AB575" s="15"/>
      <c r="AC575" s="15"/>
      <c r="AD575" s="15"/>
      <c r="AE575" s="15"/>
      <c r="AF575" s="2"/>
      <c r="AG575" s="16" t="s">
        <v>45</v>
      </c>
      <c r="AH575" s="16" t="s">
        <v>45</v>
      </c>
      <c r="AI575" s="16" t="s">
        <v>45</v>
      </c>
      <c r="AJ575" s="16" t="s">
        <v>45</v>
      </c>
      <c r="AK575" s="16" t="s">
        <v>45</v>
      </c>
      <c r="AL575" s="10" t="s">
        <v>49</v>
      </c>
      <c r="AM575" s="16" t="s">
        <v>45</v>
      </c>
      <c r="AN575" s="10" t="s">
        <v>320</v>
      </c>
    </row>
    <row r="576" ht="30.0" customHeight="1">
      <c r="A576" s="9" t="str">
        <f t="shared" si="48"/>
        <v>N/I</v>
      </c>
      <c r="B576" s="9" t="str">
        <f t="shared" si="49"/>
        <v>N/I</v>
      </c>
      <c r="C576" s="9" t="str">
        <f t="shared" si="50"/>
        <v>Inativo</v>
      </c>
      <c r="D576" s="10" t="s">
        <v>1490</v>
      </c>
      <c r="E576" s="11" t="s">
        <v>1491</v>
      </c>
      <c r="F576" s="11" t="s">
        <v>1613</v>
      </c>
      <c r="G576" s="12" t="s">
        <v>502</v>
      </c>
      <c r="H576" s="36">
        <v>17057.0</v>
      </c>
      <c r="I576" s="12" t="s">
        <v>1615</v>
      </c>
      <c r="J576" s="10" t="s">
        <v>283</v>
      </c>
      <c r="K576" s="10" t="s">
        <v>263</v>
      </c>
      <c r="L576" s="10" t="s">
        <v>6</v>
      </c>
      <c r="M576" s="22">
        <v>43518.0</v>
      </c>
      <c r="N576" s="32" t="s">
        <v>1618</v>
      </c>
      <c r="O576" s="10" t="s">
        <v>1617</v>
      </c>
      <c r="P576" s="10" t="s">
        <v>1497</v>
      </c>
      <c r="Q576" s="2"/>
      <c r="R576" s="15"/>
      <c r="S576" s="15"/>
      <c r="T576" s="15"/>
      <c r="U576" s="15"/>
      <c r="V576" s="2"/>
      <c r="W576" s="15"/>
      <c r="X576" s="15"/>
      <c r="Y576" s="15"/>
      <c r="Z576" s="15"/>
      <c r="AA576" s="1"/>
      <c r="AB576" s="10">
        <v>12.0</v>
      </c>
      <c r="AC576" s="14">
        <v>44969.0</v>
      </c>
      <c r="AD576" s="14">
        <v>45333.0</v>
      </c>
      <c r="AE576" s="10">
        <f t="shared" ref="AE576:AE579" si="58">AD576-TODAY()</f>
        <v>-758</v>
      </c>
      <c r="AF576" s="2"/>
      <c r="AG576" s="10" t="s">
        <v>1498</v>
      </c>
      <c r="AH576" s="16" t="s">
        <v>45</v>
      </c>
      <c r="AI576" s="16" t="s">
        <v>45</v>
      </c>
      <c r="AJ576" s="10" t="s">
        <v>227</v>
      </c>
      <c r="AK576" s="16" t="s">
        <v>45</v>
      </c>
      <c r="AL576" s="10" t="s">
        <v>49</v>
      </c>
      <c r="AM576" s="16" t="s">
        <v>45</v>
      </c>
      <c r="AN576" s="10" t="s">
        <v>1499</v>
      </c>
    </row>
    <row r="577" ht="30.0" customHeight="1">
      <c r="A577" s="9" t="str">
        <f t="shared" si="48"/>
        <v>N/I</v>
      </c>
      <c r="B577" s="9" t="str">
        <f t="shared" si="49"/>
        <v>N/I</v>
      </c>
      <c r="C577" s="9" t="str">
        <f t="shared" si="50"/>
        <v>Inativo</v>
      </c>
      <c r="D577" s="10" t="s">
        <v>1490</v>
      </c>
      <c r="E577" s="11" t="s">
        <v>1491</v>
      </c>
      <c r="F577" s="11" t="s">
        <v>1619</v>
      </c>
      <c r="G577" s="12" t="s">
        <v>502</v>
      </c>
      <c r="H577" s="34" t="s">
        <v>1620</v>
      </c>
      <c r="I577" s="12" t="s">
        <v>1336</v>
      </c>
      <c r="J577" s="10" t="s">
        <v>283</v>
      </c>
      <c r="K577" s="10" t="s">
        <v>263</v>
      </c>
      <c r="L577" s="10" t="s">
        <v>6</v>
      </c>
      <c r="M577" s="22">
        <v>45000.0</v>
      </c>
      <c r="N577" s="32" t="s">
        <v>1621</v>
      </c>
      <c r="O577" s="10" t="s">
        <v>1608</v>
      </c>
      <c r="P577" s="10" t="s">
        <v>1497</v>
      </c>
      <c r="Q577" s="2"/>
      <c r="R577" s="15"/>
      <c r="S577" s="15"/>
      <c r="T577" s="15"/>
      <c r="U577" s="15"/>
      <c r="V577" s="1"/>
      <c r="W577" s="15"/>
      <c r="X577" s="15"/>
      <c r="Y577" s="15"/>
      <c r="Z577" s="15"/>
      <c r="AA577" s="1"/>
      <c r="AB577" s="10">
        <v>12.0</v>
      </c>
      <c r="AC577" s="14">
        <v>44969.0</v>
      </c>
      <c r="AD577" s="14">
        <v>45333.0</v>
      </c>
      <c r="AE577" s="10">
        <f t="shared" si="58"/>
        <v>-758</v>
      </c>
      <c r="AF577" s="2"/>
      <c r="AG577" s="10" t="s">
        <v>1498</v>
      </c>
      <c r="AH577" s="16" t="s">
        <v>45</v>
      </c>
      <c r="AI577" s="16" t="s">
        <v>45</v>
      </c>
      <c r="AJ577" s="10" t="s">
        <v>227</v>
      </c>
      <c r="AK577" s="16" t="s">
        <v>45</v>
      </c>
      <c r="AL577" s="10" t="s">
        <v>49</v>
      </c>
      <c r="AM577" s="16" t="s">
        <v>45</v>
      </c>
      <c r="AN577" s="10" t="s">
        <v>1499</v>
      </c>
    </row>
    <row r="578" ht="30.0" customHeight="1">
      <c r="A578" s="9" t="str">
        <f t="shared" si="48"/>
        <v>N/I</v>
      </c>
      <c r="B578" s="9" t="str">
        <f t="shared" si="49"/>
        <v>N/I</v>
      </c>
      <c r="C578" s="9" t="str">
        <f t="shared" si="50"/>
        <v>Inativo</v>
      </c>
      <c r="D578" s="10" t="s">
        <v>1490</v>
      </c>
      <c r="E578" s="11" t="s">
        <v>1491</v>
      </c>
      <c r="F578" s="11" t="s">
        <v>1619</v>
      </c>
      <c r="G578" s="12" t="s">
        <v>502</v>
      </c>
      <c r="H578" s="34" t="s">
        <v>1622</v>
      </c>
      <c r="I578" s="12" t="s">
        <v>1336</v>
      </c>
      <c r="J578" s="10" t="s">
        <v>283</v>
      </c>
      <c r="K578" s="10" t="s">
        <v>263</v>
      </c>
      <c r="L578" s="10" t="s">
        <v>6</v>
      </c>
      <c r="M578" s="22">
        <v>45003.0</v>
      </c>
      <c r="N578" s="32" t="s">
        <v>1621</v>
      </c>
      <c r="O578" s="10" t="s">
        <v>1608</v>
      </c>
      <c r="P578" s="10" t="s">
        <v>1497</v>
      </c>
      <c r="Q578" s="2"/>
      <c r="R578" s="15"/>
      <c r="S578" s="15"/>
      <c r="T578" s="15"/>
      <c r="U578" s="15"/>
      <c r="V578" s="1"/>
      <c r="W578" s="15"/>
      <c r="X578" s="15"/>
      <c r="Y578" s="15"/>
      <c r="Z578" s="15"/>
      <c r="AA578" s="1"/>
      <c r="AB578" s="10">
        <v>12.0</v>
      </c>
      <c r="AC578" s="14">
        <v>44969.0</v>
      </c>
      <c r="AD578" s="14">
        <v>45333.0</v>
      </c>
      <c r="AE578" s="10">
        <f t="shared" si="58"/>
        <v>-758</v>
      </c>
      <c r="AF578" s="2"/>
      <c r="AG578" s="10" t="s">
        <v>1498</v>
      </c>
      <c r="AH578" s="16" t="s">
        <v>45</v>
      </c>
      <c r="AI578" s="16" t="s">
        <v>45</v>
      </c>
      <c r="AJ578" s="10" t="s">
        <v>227</v>
      </c>
      <c r="AK578" s="16" t="s">
        <v>45</v>
      </c>
      <c r="AL578" s="10" t="s">
        <v>49</v>
      </c>
      <c r="AM578" s="16" t="s">
        <v>45</v>
      </c>
      <c r="AN578" s="10" t="s">
        <v>1499</v>
      </c>
    </row>
    <row r="579" ht="30.0" customHeight="1">
      <c r="A579" s="9" t="str">
        <f t="shared" si="48"/>
        <v>N/I</v>
      </c>
      <c r="B579" s="9" t="str">
        <f t="shared" si="49"/>
        <v>N/I</v>
      </c>
      <c r="C579" s="9" t="str">
        <f t="shared" si="50"/>
        <v>Inativo</v>
      </c>
      <c r="D579" s="10" t="s">
        <v>1490</v>
      </c>
      <c r="E579" s="11" t="s">
        <v>1491</v>
      </c>
      <c r="F579" s="11" t="s">
        <v>1619</v>
      </c>
      <c r="G579" s="12" t="s">
        <v>502</v>
      </c>
      <c r="H579" s="34" t="s">
        <v>1623</v>
      </c>
      <c r="I579" s="12" t="s">
        <v>1336</v>
      </c>
      <c r="J579" s="10" t="s">
        <v>283</v>
      </c>
      <c r="K579" s="10" t="s">
        <v>263</v>
      </c>
      <c r="L579" s="10" t="s">
        <v>6</v>
      </c>
      <c r="M579" s="22">
        <v>45004.0</v>
      </c>
      <c r="N579" s="32" t="s">
        <v>1621</v>
      </c>
      <c r="O579" s="10" t="s">
        <v>1608</v>
      </c>
      <c r="P579" s="10" t="s">
        <v>1497</v>
      </c>
      <c r="Q579" s="2"/>
      <c r="R579" s="15"/>
      <c r="S579" s="15"/>
      <c r="T579" s="15"/>
      <c r="U579" s="15"/>
      <c r="V579" s="1"/>
      <c r="W579" s="15"/>
      <c r="X579" s="15"/>
      <c r="Y579" s="15"/>
      <c r="Z579" s="15"/>
      <c r="AA579" s="1"/>
      <c r="AB579" s="10">
        <v>12.0</v>
      </c>
      <c r="AC579" s="14">
        <v>44969.0</v>
      </c>
      <c r="AD579" s="14">
        <v>45333.0</v>
      </c>
      <c r="AE579" s="10">
        <f t="shared" si="58"/>
        <v>-758</v>
      </c>
      <c r="AF579" s="2"/>
      <c r="AG579" s="10" t="s">
        <v>1498</v>
      </c>
      <c r="AH579" s="16" t="s">
        <v>45</v>
      </c>
      <c r="AI579" s="16" t="s">
        <v>45</v>
      </c>
      <c r="AJ579" s="10" t="s">
        <v>227</v>
      </c>
      <c r="AK579" s="16" t="s">
        <v>45</v>
      </c>
      <c r="AL579" s="10" t="s">
        <v>49</v>
      </c>
      <c r="AM579" s="16" t="s">
        <v>45</v>
      </c>
      <c r="AN579" s="10" t="s">
        <v>1499</v>
      </c>
    </row>
    <row r="580" ht="30.0" customHeight="1">
      <c r="A580" s="9" t="str">
        <f t="shared" si="48"/>
        <v>Inativo</v>
      </c>
      <c r="B580" s="9" t="str">
        <f t="shared" si="49"/>
        <v>N/I</v>
      </c>
      <c r="C580" s="9" t="str">
        <f t="shared" si="50"/>
        <v>N/I</v>
      </c>
      <c r="D580" s="10" t="s">
        <v>1490</v>
      </c>
      <c r="E580" s="11" t="s">
        <v>1600</v>
      </c>
      <c r="F580" s="11" t="s">
        <v>1624</v>
      </c>
      <c r="G580" s="12" t="s">
        <v>94</v>
      </c>
      <c r="H580" s="20" t="s">
        <v>1625</v>
      </c>
      <c r="I580" s="12" t="s">
        <v>1626</v>
      </c>
      <c r="J580" s="10" t="s">
        <v>283</v>
      </c>
      <c r="K580" s="10" t="s">
        <v>263</v>
      </c>
      <c r="L580" s="10" t="s">
        <v>4</v>
      </c>
      <c r="M580" s="14">
        <v>43888.0</v>
      </c>
      <c r="N580" s="11" t="s">
        <v>1627</v>
      </c>
      <c r="O580" s="10" t="s">
        <v>1628</v>
      </c>
      <c r="P580" s="10" t="s">
        <v>1603</v>
      </c>
      <c r="Q580" s="2"/>
      <c r="R580" s="10">
        <v>36.0</v>
      </c>
      <c r="S580" s="14">
        <v>43888.0</v>
      </c>
      <c r="T580" s="14">
        <v>44983.0</v>
      </c>
      <c r="U580" s="10">
        <f>T580-TODAY()</f>
        <v>-1108</v>
      </c>
      <c r="V580" s="2"/>
      <c r="W580" s="15"/>
      <c r="X580" s="15"/>
      <c r="Y580" s="15"/>
      <c r="Z580" s="15"/>
      <c r="AA580" s="1"/>
      <c r="AB580" s="15"/>
      <c r="AC580" s="15"/>
      <c r="AD580" s="15"/>
      <c r="AE580" s="15"/>
      <c r="AF580" s="2"/>
      <c r="AG580" s="16" t="s">
        <v>45</v>
      </c>
      <c r="AH580" s="16" t="s">
        <v>45</v>
      </c>
      <c r="AI580" s="16" t="s">
        <v>45</v>
      </c>
      <c r="AJ580" s="16" t="s">
        <v>45</v>
      </c>
      <c r="AK580" s="16" t="s">
        <v>45</v>
      </c>
      <c r="AL580" s="10" t="s">
        <v>49</v>
      </c>
      <c r="AM580" s="16" t="s">
        <v>45</v>
      </c>
      <c r="AN580" s="10" t="s">
        <v>320</v>
      </c>
    </row>
    <row r="581" ht="30.0" customHeight="1">
      <c r="A581" s="9" t="str">
        <f t="shared" si="48"/>
        <v>N/I</v>
      </c>
      <c r="B581" s="9" t="str">
        <f t="shared" si="49"/>
        <v>N/I</v>
      </c>
      <c r="C581" s="9" t="str">
        <f t="shared" si="50"/>
        <v>Inativo</v>
      </c>
      <c r="D581" s="10" t="s">
        <v>1490</v>
      </c>
      <c r="E581" s="11" t="s">
        <v>1491</v>
      </c>
      <c r="F581" s="11" t="s">
        <v>1629</v>
      </c>
      <c r="G581" s="12" t="s">
        <v>502</v>
      </c>
      <c r="H581" s="36">
        <v>17064.0</v>
      </c>
      <c r="I581" s="12" t="s">
        <v>1626</v>
      </c>
      <c r="J581" s="10" t="s">
        <v>283</v>
      </c>
      <c r="K581" s="10" t="s">
        <v>263</v>
      </c>
      <c r="L581" s="10" t="s">
        <v>6</v>
      </c>
      <c r="M581" s="22">
        <v>43536.0</v>
      </c>
      <c r="N581" s="32" t="s">
        <v>1630</v>
      </c>
      <c r="O581" s="10" t="s">
        <v>1631</v>
      </c>
      <c r="P581" s="10" t="s">
        <v>1497</v>
      </c>
      <c r="Q581" s="2"/>
      <c r="R581" s="15"/>
      <c r="S581" s="15"/>
      <c r="T581" s="15"/>
      <c r="U581" s="15"/>
      <c r="V581" s="2"/>
      <c r="W581" s="15"/>
      <c r="X581" s="15"/>
      <c r="Y581" s="15"/>
      <c r="Z581" s="15"/>
      <c r="AA581" s="1"/>
      <c r="AB581" s="10">
        <v>12.0</v>
      </c>
      <c r="AC581" s="14">
        <v>44969.0</v>
      </c>
      <c r="AD581" s="14">
        <v>45333.0</v>
      </c>
      <c r="AE581" s="10">
        <f t="shared" ref="AE581:AE584" si="59">AD581-TODAY()</f>
        <v>-758</v>
      </c>
      <c r="AF581" s="2"/>
      <c r="AG581" s="10" t="s">
        <v>1498</v>
      </c>
      <c r="AH581" s="16" t="s">
        <v>45</v>
      </c>
      <c r="AI581" s="16" t="s">
        <v>45</v>
      </c>
      <c r="AJ581" s="10" t="s">
        <v>227</v>
      </c>
      <c r="AK581" s="16" t="s">
        <v>45</v>
      </c>
      <c r="AL581" s="10" t="s">
        <v>49</v>
      </c>
      <c r="AM581" s="16" t="s">
        <v>45</v>
      </c>
      <c r="AN581" s="10" t="s">
        <v>1499</v>
      </c>
    </row>
    <row r="582" ht="30.0" customHeight="1">
      <c r="A582" s="9" t="str">
        <f t="shared" si="48"/>
        <v>N/I</v>
      </c>
      <c r="B582" s="9" t="str">
        <f t="shared" si="49"/>
        <v>N/I</v>
      </c>
      <c r="C582" s="9" t="str">
        <f t="shared" si="50"/>
        <v>Inativo</v>
      </c>
      <c r="D582" s="10" t="s">
        <v>1490</v>
      </c>
      <c r="E582" s="11" t="s">
        <v>1491</v>
      </c>
      <c r="F582" s="11" t="s">
        <v>1632</v>
      </c>
      <c r="G582" s="12" t="s">
        <v>502</v>
      </c>
      <c r="H582" s="36">
        <v>17055.0</v>
      </c>
      <c r="I582" s="12" t="s">
        <v>1626</v>
      </c>
      <c r="J582" s="10" t="s">
        <v>283</v>
      </c>
      <c r="K582" s="10" t="s">
        <v>263</v>
      </c>
      <c r="L582" s="10" t="s">
        <v>6</v>
      </c>
      <c r="M582" s="22">
        <v>43537.0</v>
      </c>
      <c r="N582" s="32" t="s">
        <v>1526</v>
      </c>
      <c r="O582" s="10" t="s">
        <v>1628</v>
      </c>
      <c r="P582" s="10" t="s">
        <v>1497</v>
      </c>
      <c r="Q582" s="2"/>
      <c r="R582" s="15"/>
      <c r="S582" s="15"/>
      <c r="T582" s="15"/>
      <c r="U582" s="15"/>
      <c r="V582" s="2"/>
      <c r="W582" s="15"/>
      <c r="X582" s="15"/>
      <c r="Y582" s="15"/>
      <c r="Z582" s="15"/>
      <c r="AA582" s="1"/>
      <c r="AB582" s="10">
        <v>12.0</v>
      </c>
      <c r="AC582" s="14">
        <v>44969.0</v>
      </c>
      <c r="AD582" s="14">
        <v>45333.0</v>
      </c>
      <c r="AE582" s="10">
        <f t="shared" si="59"/>
        <v>-758</v>
      </c>
      <c r="AF582" s="2"/>
      <c r="AG582" s="10" t="s">
        <v>1498</v>
      </c>
      <c r="AH582" s="16" t="s">
        <v>45</v>
      </c>
      <c r="AI582" s="16" t="s">
        <v>45</v>
      </c>
      <c r="AJ582" s="10" t="s">
        <v>227</v>
      </c>
      <c r="AK582" s="16" t="s">
        <v>45</v>
      </c>
      <c r="AL582" s="10" t="s">
        <v>49</v>
      </c>
      <c r="AM582" s="16" t="s">
        <v>45</v>
      </c>
      <c r="AN582" s="10" t="s">
        <v>1499</v>
      </c>
    </row>
    <row r="583" ht="30.0" customHeight="1">
      <c r="A583" s="9" t="str">
        <f t="shared" si="48"/>
        <v>N/I</v>
      </c>
      <c r="B583" s="9" t="str">
        <f t="shared" si="49"/>
        <v>N/I</v>
      </c>
      <c r="C583" s="9" t="str">
        <f t="shared" si="50"/>
        <v>Inativo</v>
      </c>
      <c r="D583" s="10" t="s">
        <v>1490</v>
      </c>
      <c r="E583" s="11" t="s">
        <v>1491</v>
      </c>
      <c r="F583" s="11" t="s">
        <v>1629</v>
      </c>
      <c r="G583" s="12" t="s">
        <v>502</v>
      </c>
      <c r="H583" s="36">
        <v>17072.0</v>
      </c>
      <c r="I583" s="12" t="s">
        <v>1626</v>
      </c>
      <c r="J583" s="10" t="s">
        <v>283</v>
      </c>
      <c r="K583" s="10" t="s">
        <v>263</v>
      </c>
      <c r="L583" s="10" t="s">
        <v>6</v>
      </c>
      <c r="M583" s="22">
        <v>43549.0</v>
      </c>
      <c r="N583" s="32" t="s">
        <v>1630</v>
      </c>
      <c r="O583" s="10" t="s">
        <v>1631</v>
      </c>
      <c r="P583" s="10" t="s">
        <v>1497</v>
      </c>
      <c r="Q583" s="2"/>
      <c r="R583" s="15"/>
      <c r="S583" s="15"/>
      <c r="T583" s="15"/>
      <c r="U583" s="15"/>
      <c r="V583" s="1"/>
      <c r="W583" s="15"/>
      <c r="X583" s="15"/>
      <c r="Y583" s="15"/>
      <c r="Z583" s="15"/>
      <c r="AA583" s="1"/>
      <c r="AB583" s="10">
        <v>12.0</v>
      </c>
      <c r="AC583" s="14">
        <v>44969.0</v>
      </c>
      <c r="AD583" s="14">
        <v>45333.0</v>
      </c>
      <c r="AE583" s="10">
        <f t="shared" si="59"/>
        <v>-758</v>
      </c>
      <c r="AF583" s="2"/>
      <c r="AG583" s="10" t="s">
        <v>1498</v>
      </c>
      <c r="AH583" s="16" t="s">
        <v>45</v>
      </c>
      <c r="AI583" s="16" t="s">
        <v>45</v>
      </c>
      <c r="AJ583" s="10" t="s">
        <v>227</v>
      </c>
      <c r="AK583" s="16" t="s">
        <v>45</v>
      </c>
      <c r="AL583" s="10" t="s">
        <v>49</v>
      </c>
      <c r="AM583" s="16" t="s">
        <v>45</v>
      </c>
      <c r="AN583" s="10" t="s">
        <v>1499</v>
      </c>
    </row>
    <row r="584" ht="30.0" customHeight="1">
      <c r="A584" s="9" t="str">
        <f t="shared" si="48"/>
        <v>N/I</v>
      </c>
      <c r="B584" s="9" t="str">
        <f t="shared" si="49"/>
        <v>N/I</v>
      </c>
      <c r="C584" s="9" t="str">
        <f t="shared" si="50"/>
        <v>Inativo</v>
      </c>
      <c r="D584" s="10" t="s">
        <v>1490</v>
      </c>
      <c r="E584" s="11" t="s">
        <v>1491</v>
      </c>
      <c r="F584" s="11" t="s">
        <v>1633</v>
      </c>
      <c r="G584" s="12" t="s">
        <v>502</v>
      </c>
      <c r="H584" s="36" t="s">
        <v>1634</v>
      </c>
      <c r="I584" s="12" t="s">
        <v>1626</v>
      </c>
      <c r="J584" s="10" t="s">
        <v>283</v>
      </c>
      <c r="K584" s="10" t="s">
        <v>263</v>
      </c>
      <c r="L584" s="10" t="s">
        <v>6</v>
      </c>
      <c r="M584" s="22">
        <v>44839.0</v>
      </c>
      <c r="N584" s="32" t="s">
        <v>1635</v>
      </c>
      <c r="O584" s="10" t="s">
        <v>1636</v>
      </c>
      <c r="P584" s="10" t="s">
        <v>1497</v>
      </c>
      <c r="Q584" s="2"/>
      <c r="R584" s="15"/>
      <c r="S584" s="15"/>
      <c r="T584" s="15"/>
      <c r="U584" s="15"/>
      <c r="V584" s="1"/>
      <c r="W584" s="15"/>
      <c r="X584" s="15"/>
      <c r="Y584" s="15"/>
      <c r="Z584" s="15"/>
      <c r="AA584" s="1"/>
      <c r="AB584" s="10">
        <v>12.0</v>
      </c>
      <c r="AC584" s="14">
        <v>44969.0</v>
      </c>
      <c r="AD584" s="14">
        <v>45333.0</v>
      </c>
      <c r="AE584" s="10">
        <f t="shared" si="59"/>
        <v>-758</v>
      </c>
      <c r="AF584" s="2"/>
      <c r="AG584" s="10" t="s">
        <v>1498</v>
      </c>
      <c r="AH584" s="16" t="s">
        <v>45</v>
      </c>
      <c r="AI584" s="16" t="s">
        <v>45</v>
      </c>
      <c r="AJ584" s="10" t="s">
        <v>227</v>
      </c>
      <c r="AK584" s="16" t="s">
        <v>45</v>
      </c>
      <c r="AL584" s="10" t="s">
        <v>49</v>
      </c>
      <c r="AM584" s="16" t="s">
        <v>45</v>
      </c>
      <c r="AN584" s="10" t="s">
        <v>1499</v>
      </c>
    </row>
    <row r="585" ht="30.0" customHeight="1">
      <c r="A585" s="9" t="str">
        <f t="shared" si="48"/>
        <v>Inativo</v>
      </c>
      <c r="B585" s="9" t="str">
        <f t="shared" si="49"/>
        <v>N/I</v>
      </c>
      <c r="C585" s="9" t="str">
        <f t="shared" si="50"/>
        <v>N/I</v>
      </c>
      <c r="D585" s="10" t="s">
        <v>1490</v>
      </c>
      <c r="E585" s="11" t="s">
        <v>1600</v>
      </c>
      <c r="F585" s="11" t="s">
        <v>1637</v>
      </c>
      <c r="G585" s="12" t="s">
        <v>94</v>
      </c>
      <c r="H585" s="20" t="s">
        <v>1638</v>
      </c>
      <c r="I585" s="12" t="s">
        <v>1639</v>
      </c>
      <c r="J585" s="10" t="s">
        <v>283</v>
      </c>
      <c r="K585" s="10" t="s">
        <v>263</v>
      </c>
      <c r="L585" s="10" t="s">
        <v>4</v>
      </c>
      <c r="M585" s="14">
        <v>43880.0</v>
      </c>
      <c r="N585" s="11" t="s">
        <v>1640</v>
      </c>
      <c r="O585" s="10" t="s">
        <v>1641</v>
      </c>
      <c r="P585" s="10" t="s">
        <v>1603</v>
      </c>
      <c r="Q585" s="2"/>
      <c r="R585" s="10">
        <v>36.0</v>
      </c>
      <c r="S585" s="14">
        <v>43880.0</v>
      </c>
      <c r="T585" s="14">
        <v>44975.0</v>
      </c>
      <c r="U585" s="10">
        <f t="shared" ref="U585:U587" si="60">T585-TODAY()</f>
        <v>-1116</v>
      </c>
      <c r="V585" s="2"/>
      <c r="W585" s="15"/>
      <c r="X585" s="15"/>
      <c r="Y585" s="15"/>
      <c r="Z585" s="15"/>
      <c r="AA585" s="1"/>
      <c r="AB585" s="15"/>
      <c r="AC585" s="15"/>
      <c r="AD585" s="15"/>
      <c r="AE585" s="15"/>
      <c r="AF585" s="2"/>
      <c r="AG585" s="16" t="s">
        <v>45</v>
      </c>
      <c r="AH585" s="16" t="s">
        <v>45</v>
      </c>
      <c r="AI585" s="16" t="s">
        <v>45</v>
      </c>
      <c r="AJ585" s="16" t="s">
        <v>45</v>
      </c>
      <c r="AK585" s="16" t="s">
        <v>45</v>
      </c>
      <c r="AL585" s="10" t="s">
        <v>49</v>
      </c>
      <c r="AM585" s="16" t="s">
        <v>45</v>
      </c>
      <c r="AN585" s="10" t="s">
        <v>320</v>
      </c>
    </row>
    <row r="586" ht="30.0" customHeight="1">
      <c r="A586" s="9" t="str">
        <f t="shared" si="48"/>
        <v>Inativo</v>
      </c>
      <c r="B586" s="9" t="str">
        <f t="shared" si="49"/>
        <v>N/I</v>
      </c>
      <c r="C586" s="9" t="str">
        <f t="shared" si="50"/>
        <v>N/I</v>
      </c>
      <c r="D586" s="10" t="s">
        <v>1490</v>
      </c>
      <c r="E586" s="11" t="s">
        <v>1500</v>
      </c>
      <c r="F586" s="11" t="s">
        <v>1642</v>
      </c>
      <c r="G586" s="12" t="s">
        <v>94</v>
      </c>
      <c r="H586" s="20" t="s">
        <v>1643</v>
      </c>
      <c r="I586" s="12" t="s">
        <v>627</v>
      </c>
      <c r="J586" s="10" t="s">
        <v>283</v>
      </c>
      <c r="K586" s="10" t="s">
        <v>263</v>
      </c>
      <c r="L586" s="10" t="s">
        <v>4</v>
      </c>
      <c r="M586" s="14">
        <v>43802.0</v>
      </c>
      <c r="N586" s="11" t="s">
        <v>1644</v>
      </c>
      <c r="O586" s="10" t="s">
        <v>1645</v>
      </c>
      <c r="P586" s="10" t="s">
        <v>1506</v>
      </c>
      <c r="Q586" s="2"/>
      <c r="R586" s="10">
        <v>36.0</v>
      </c>
      <c r="S586" s="14">
        <v>43802.0</v>
      </c>
      <c r="T586" s="14">
        <v>44897.0</v>
      </c>
      <c r="U586" s="10">
        <f t="shared" si="60"/>
        <v>-1194</v>
      </c>
      <c r="V586" s="2"/>
      <c r="W586" s="15"/>
      <c r="X586" s="15"/>
      <c r="Y586" s="15"/>
      <c r="Z586" s="15"/>
      <c r="AA586" s="1"/>
      <c r="AB586" s="15"/>
      <c r="AC586" s="15"/>
      <c r="AD586" s="15"/>
      <c r="AE586" s="15"/>
      <c r="AF586" s="2"/>
      <c r="AG586" s="16" t="s">
        <v>45</v>
      </c>
      <c r="AH586" s="16" t="s">
        <v>45</v>
      </c>
      <c r="AI586" s="16" t="s">
        <v>45</v>
      </c>
      <c r="AJ586" s="16" t="s">
        <v>45</v>
      </c>
      <c r="AK586" s="16" t="s">
        <v>45</v>
      </c>
      <c r="AL586" s="10" t="s">
        <v>49</v>
      </c>
      <c r="AM586" s="16" t="s">
        <v>45</v>
      </c>
      <c r="AN586" s="10" t="s">
        <v>320</v>
      </c>
    </row>
    <row r="587" ht="30.0" customHeight="1">
      <c r="A587" s="9" t="str">
        <f t="shared" si="48"/>
        <v>Inativo</v>
      </c>
      <c r="B587" s="9" t="str">
        <f t="shared" si="49"/>
        <v>N/I</v>
      </c>
      <c r="C587" s="9" t="str">
        <f t="shared" si="50"/>
        <v>N/I</v>
      </c>
      <c r="D587" s="10" t="s">
        <v>1490</v>
      </c>
      <c r="E587" s="11" t="s">
        <v>1500</v>
      </c>
      <c r="F587" s="11" t="s">
        <v>1646</v>
      </c>
      <c r="G587" s="12" t="s">
        <v>94</v>
      </c>
      <c r="H587" s="20" t="s">
        <v>1647</v>
      </c>
      <c r="I587" s="12" t="s">
        <v>627</v>
      </c>
      <c r="J587" s="10" t="s">
        <v>283</v>
      </c>
      <c r="K587" s="10" t="s">
        <v>263</v>
      </c>
      <c r="L587" s="10" t="s">
        <v>4</v>
      </c>
      <c r="M587" s="14">
        <v>43816.0</v>
      </c>
      <c r="N587" s="11" t="s">
        <v>1644</v>
      </c>
      <c r="O587" s="10" t="s">
        <v>1645</v>
      </c>
      <c r="P587" s="10" t="s">
        <v>1506</v>
      </c>
      <c r="Q587" s="2"/>
      <c r="R587" s="10">
        <v>36.0</v>
      </c>
      <c r="S587" s="14">
        <v>43816.0</v>
      </c>
      <c r="T587" s="14">
        <v>44911.0</v>
      </c>
      <c r="U587" s="10">
        <f t="shared" si="60"/>
        <v>-1180</v>
      </c>
      <c r="V587" s="2"/>
      <c r="W587" s="15"/>
      <c r="X587" s="15"/>
      <c r="Y587" s="15"/>
      <c r="Z587" s="15"/>
      <c r="AA587" s="1"/>
      <c r="AB587" s="15"/>
      <c r="AC587" s="15"/>
      <c r="AD587" s="15"/>
      <c r="AE587" s="15"/>
      <c r="AF587" s="2"/>
      <c r="AG587" s="16" t="s">
        <v>45</v>
      </c>
      <c r="AH587" s="16" t="s">
        <v>45</v>
      </c>
      <c r="AI587" s="16" t="s">
        <v>45</v>
      </c>
      <c r="AJ587" s="16" t="s">
        <v>45</v>
      </c>
      <c r="AK587" s="16" t="s">
        <v>45</v>
      </c>
      <c r="AL587" s="10" t="s">
        <v>49</v>
      </c>
      <c r="AM587" s="16" t="s">
        <v>45</v>
      </c>
      <c r="AN587" s="10" t="s">
        <v>320</v>
      </c>
    </row>
    <row r="588" ht="30.0" customHeight="1">
      <c r="A588" s="9" t="str">
        <f t="shared" si="48"/>
        <v>N/I</v>
      </c>
      <c r="B588" s="9" t="str">
        <f t="shared" si="49"/>
        <v>N/I</v>
      </c>
      <c r="C588" s="9" t="str">
        <f t="shared" si="50"/>
        <v>Inativo</v>
      </c>
      <c r="D588" s="10" t="s">
        <v>1490</v>
      </c>
      <c r="E588" s="11" t="s">
        <v>1491</v>
      </c>
      <c r="F588" s="11" t="s">
        <v>1648</v>
      </c>
      <c r="G588" s="12" t="s">
        <v>502</v>
      </c>
      <c r="H588" s="36">
        <v>17060.0</v>
      </c>
      <c r="I588" s="12" t="s">
        <v>627</v>
      </c>
      <c r="J588" s="10" t="s">
        <v>283</v>
      </c>
      <c r="K588" s="10" t="s">
        <v>263</v>
      </c>
      <c r="L588" s="10" t="s">
        <v>6</v>
      </c>
      <c r="M588" s="22">
        <v>43538.0</v>
      </c>
      <c r="N588" s="32" t="s">
        <v>1644</v>
      </c>
      <c r="O588" s="10" t="s">
        <v>1645</v>
      </c>
      <c r="P588" s="10" t="s">
        <v>1497</v>
      </c>
      <c r="Q588" s="2"/>
      <c r="R588" s="15"/>
      <c r="S588" s="15"/>
      <c r="T588" s="15"/>
      <c r="U588" s="15"/>
      <c r="V588" s="2"/>
      <c r="W588" s="15"/>
      <c r="X588" s="15"/>
      <c r="Y588" s="15"/>
      <c r="Z588" s="15"/>
      <c r="AA588" s="1"/>
      <c r="AB588" s="10">
        <v>12.0</v>
      </c>
      <c r="AC588" s="14">
        <v>44969.0</v>
      </c>
      <c r="AD588" s="14">
        <v>45333.0</v>
      </c>
      <c r="AE588" s="10">
        <f t="shared" ref="AE588:AE596" si="61">AD588-TODAY()</f>
        <v>-758</v>
      </c>
      <c r="AF588" s="2"/>
      <c r="AG588" s="10" t="s">
        <v>1498</v>
      </c>
      <c r="AH588" s="16" t="s">
        <v>45</v>
      </c>
      <c r="AI588" s="16" t="s">
        <v>45</v>
      </c>
      <c r="AJ588" s="10" t="s">
        <v>227</v>
      </c>
      <c r="AK588" s="16" t="s">
        <v>45</v>
      </c>
      <c r="AL588" s="10" t="s">
        <v>49</v>
      </c>
      <c r="AM588" s="16" t="s">
        <v>45</v>
      </c>
      <c r="AN588" s="10" t="s">
        <v>1499</v>
      </c>
    </row>
    <row r="589" ht="30.0" customHeight="1">
      <c r="A589" s="9" t="str">
        <f t="shared" si="48"/>
        <v>N/I</v>
      </c>
      <c r="B589" s="9" t="str">
        <f t="shared" si="49"/>
        <v>N/I</v>
      </c>
      <c r="C589" s="9" t="str">
        <f t="shared" si="50"/>
        <v>Inativo</v>
      </c>
      <c r="D589" s="10" t="s">
        <v>1649</v>
      </c>
      <c r="E589" s="11" t="s">
        <v>1650</v>
      </c>
      <c r="F589" s="11" t="s">
        <v>1651</v>
      </c>
      <c r="G589" s="12" t="s">
        <v>502</v>
      </c>
      <c r="H589" s="36" t="s">
        <v>1652</v>
      </c>
      <c r="I589" s="12" t="s">
        <v>958</v>
      </c>
      <c r="J589" s="10" t="s">
        <v>562</v>
      </c>
      <c r="K589" s="10" t="s">
        <v>190</v>
      </c>
      <c r="L589" s="10" t="s">
        <v>4</v>
      </c>
      <c r="M589" s="22">
        <v>43787.0</v>
      </c>
      <c r="N589" s="32" t="s">
        <v>1653</v>
      </c>
      <c r="O589" s="10" t="s">
        <v>1654</v>
      </c>
      <c r="P589" s="10" t="s">
        <v>1655</v>
      </c>
      <c r="Q589" s="2"/>
      <c r="R589" s="15"/>
      <c r="S589" s="15"/>
      <c r="T589" s="15"/>
      <c r="U589" s="15"/>
      <c r="V589" s="1"/>
      <c r="W589" s="15"/>
      <c r="X589" s="15"/>
      <c r="Y589" s="15"/>
      <c r="Z589" s="15"/>
      <c r="AA589" s="1"/>
      <c r="AB589" s="10">
        <v>6.0</v>
      </c>
      <c r="AC589" s="14">
        <v>45389.0</v>
      </c>
      <c r="AD589" s="14">
        <v>45569.0</v>
      </c>
      <c r="AE589" s="10">
        <f t="shared" si="61"/>
        <v>-522</v>
      </c>
      <c r="AF589" s="2"/>
      <c r="AG589" s="16" t="s">
        <v>45</v>
      </c>
      <c r="AH589" s="16" t="s">
        <v>45</v>
      </c>
      <c r="AI589" s="16" t="s">
        <v>45</v>
      </c>
      <c r="AJ589" s="16" t="s">
        <v>45</v>
      </c>
      <c r="AK589" s="16" t="s">
        <v>45</v>
      </c>
      <c r="AL589" s="16" t="s">
        <v>45</v>
      </c>
      <c r="AM589" s="16" t="s">
        <v>45</v>
      </c>
      <c r="AN589" s="16" t="s">
        <v>45</v>
      </c>
    </row>
    <row r="590" ht="30.0" customHeight="1">
      <c r="A590" s="9" t="str">
        <f t="shared" si="48"/>
        <v>N/I</v>
      </c>
      <c r="B590" s="9" t="str">
        <f t="shared" si="49"/>
        <v>N/I</v>
      </c>
      <c r="C590" s="9" t="str">
        <f t="shared" si="50"/>
        <v>Inativo</v>
      </c>
      <c r="D590" s="10" t="s">
        <v>1649</v>
      </c>
      <c r="E590" s="11" t="s">
        <v>1650</v>
      </c>
      <c r="F590" s="11" t="s">
        <v>1656</v>
      </c>
      <c r="G590" s="12" t="s">
        <v>502</v>
      </c>
      <c r="H590" s="36" t="s">
        <v>1657</v>
      </c>
      <c r="I590" s="12" t="s">
        <v>963</v>
      </c>
      <c r="J590" s="10" t="s">
        <v>562</v>
      </c>
      <c r="K590" s="10" t="s">
        <v>190</v>
      </c>
      <c r="L590" s="10" t="s">
        <v>6</v>
      </c>
      <c r="M590" s="22">
        <v>43781.0</v>
      </c>
      <c r="N590" s="32" t="s">
        <v>1658</v>
      </c>
      <c r="O590" s="10" t="s">
        <v>965</v>
      </c>
      <c r="P590" s="10" t="s">
        <v>1655</v>
      </c>
      <c r="Q590" s="2"/>
      <c r="R590" s="15"/>
      <c r="S590" s="15"/>
      <c r="T590" s="15"/>
      <c r="U590" s="15"/>
      <c r="V590" s="1"/>
      <c r="W590" s="15"/>
      <c r="X590" s="15"/>
      <c r="Y590" s="15"/>
      <c r="Z590" s="15"/>
      <c r="AA590" s="1"/>
      <c r="AB590" s="10">
        <v>6.0</v>
      </c>
      <c r="AC590" s="14">
        <v>45389.0</v>
      </c>
      <c r="AD590" s="14">
        <v>45569.0</v>
      </c>
      <c r="AE590" s="10">
        <f t="shared" si="61"/>
        <v>-522</v>
      </c>
      <c r="AF590" s="2"/>
      <c r="AG590" s="16" t="s">
        <v>45</v>
      </c>
      <c r="AH590" s="16" t="s">
        <v>45</v>
      </c>
      <c r="AI590" s="16" t="s">
        <v>45</v>
      </c>
      <c r="AJ590" s="16" t="s">
        <v>45</v>
      </c>
      <c r="AK590" s="16" t="s">
        <v>45</v>
      </c>
      <c r="AL590" s="16" t="s">
        <v>45</v>
      </c>
      <c r="AM590" s="16" t="s">
        <v>45</v>
      </c>
      <c r="AN590" s="16" t="s">
        <v>45</v>
      </c>
    </row>
    <row r="591" ht="30.0" customHeight="1">
      <c r="A591" s="9" t="str">
        <f t="shared" si="48"/>
        <v>N/I</v>
      </c>
      <c r="B591" s="9" t="str">
        <f t="shared" si="49"/>
        <v>N/I</v>
      </c>
      <c r="C591" s="9" t="str">
        <f t="shared" si="50"/>
        <v>Inativo</v>
      </c>
      <c r="D591" s="10" t="s">
        <v>1649</v>
      </c>
      <c r="E591" s="11" t="s">
        <v>1650</v>
      </c>
      <c r="F591" s="11" t="s">
        <v>1659</v>
      </c>
      <c r="G591" s="12" t="s">
        <v>502</v>
      </c>
      <c r="H591" s="36" t="s">
        <v>1660</v>
      </c>
      <c r="I591" s="12" t="s">
        <v>963</v>
      </c>
      <c r="J591" s="10" t="s">
        <v>562</v>
      </c>
      <c r="K591" s="10" t="s">
        <v>190</v>
      </c>
      <c r="L591" s="10" t="s">
        <v>6</v>
      </c>
      <c r="M591" s="22">
        <v>43782.0</v>
      </c>
      <c r="N591" s="32" t="s">
        <v>1661</v>
      </c>
      <c r="O591" s="10" t="s">
        <v>1662</v>
      </c>
      <c r="P591" s="10" t="s">
        <v>1655</v>
      </c>
      <c r="Q591" s="2"/>
      <c r="R591" s="15"/>
      <c r="S591" s="15"/>
      <c r="T591" s="15"/>
      <c r="U591" s="15"/>
      <c r="V591" s="1"/>
      <c r="W591" s="15"/>
      <c r="X591" s="15"/>
      <c r="Y591" s="15"/>
      <c r="Z591" s="15"/>
      <c r="AA591" s="1"/>
      <c r="AB591" s="10">
        <v>6.0</v>
      </c>
      <c r="AC591" s="14">
        <v>45389.0</v>
      </c>
      <c r="AD591" s="14">
        <v>45569.0</v>
      </c>
      <c r="AE591" s="10">
        <f t="shared" si="61"/>
        <v>-522</v>
      </c>
      <c r="AF591" s="2"/>
      <c r="AG591" s="16" t="s">
        <v>45</v>
      </c>
      <c r="AH591" s="16" t="s">
        <v>45</v>
      </c>
      <c r="AI591" s="16" t="s">
        <v>45</v>
      </c>
      <c r="AJ591" s="16" t="s">
        <v>45</v>
      </c>
      <c r="AK591" s="16" t="s">
        <v>45</v>
      </c>
      <c r="AL591" s="16" t="s">
        <v>45</v>
      </c>
      <c r="AM591" s="16" t="s">
        <v>45</v>
      </c>
      <c r="AN591" s="16" t="s">
        <v>45</v>
      </c>
    </row>
    <row r="592" ht="30.0" customHeight="1">
      <c r="A592" s="9" t="str">
        <f t="shared" si="48"/>
        <v>N/I</v>
      </c>
      <c r="B592" s="9" t="str">
        <f t="shared" si="49"/>
        <v>N/I</v>
      </c>
      <c r="C592" s="9" t="str">
        <f t="shared" si="50"/>
        <v>Inativo</v>
      </c>
      <c r="D592" s="10" t="s">
        <v>1649</v>
      </c>
      <c r="E592" s="11" t="s">
        <v>1650</v>
      </c>
      <c r="F592" s="11" t="s">
        <v>1663</v>
      </c>
      <c r="G592" s="12" t="s">
        <v>502</v>
      </c>
      <c r="H592" s="36" t="s">
        <v>1664</v>
      </c>
      <c r="I592" s="12" t="s">
        <v>963</v>
      </c>
      <c r="J592" s="10" t="s">
        <v>562</v>
      </c>
      <c r="K592" s="10" t="s">
        <v>190</v>
      </c>
      <c r="L592" s="10" t="s">
        <v>6</v>
      </c>
      <c r="M592" s="22">
        <v>43782.0</v>
      </c>
      <c r="N592" s="32" t="s">
        <v>967</v>
      </c>
      <c r="O592" s="10" t="s">
        <v>965</v>
      </c>
      <c r="P592" s="10" t="s">
        <v>1655</v>
      </c>
      <c r="Q592" s="2"/>
      <c r="R592" s="15"/>
      <c r="S592" s="15"/>
      <c r="T592" s="15"/>
      <c r="U592" s="15"/>
      <c r="V592" s="1"/>
      <c r="W592" s="15"/>
      <c r="X592" s="15"/>
      <c r="Y592" s="15"/>
      <c r="Z592" s="15"/>
      <c r="AA592" s="1"/>
      <c r="AB592" s="10">
        <v>6.0</v>
      </c>
      <c r="AC592" s="14">
        <v>45389.0</v>
      </c>
      <c r="AD592" s="14">
        <v>45569.0</v>
      </c>
      <c r="AE592" s="10">
        <f t="shared" si="61"/>
        <v>-522</v>
      </c>
      <c r="AF592" s="2"/>
      <c r="AG592" s="16" t="s">
        <v>45</v>
      </c>
      <c r="AH592" s="16" t="s">
        <v>45</v>
      </c>
      <c r="AI592" s="16" t="s">
        <v>45</v>
      </c>
      <c r="AJ592" s="16" t="s">
        <v>45</v>
      </c>
      <c r="AK592" s="16" t="s">
        <v>45</v>
      </c>
      <c r="AL592" s="16" t="s">
        <v>45</v>
      </c>
      <c r="AM592" s="16" t="s">
        <v>45</v>
      </c>
      <c r="AN592" s="16" t="s">
        <v>45</v>
      </c>
    </row>
    <row r="593" ht="30.0" customHeight="1">
      <c r="A593" s="9" t="str">
        <f t="shared" si="48"/>
        <v>N/I</v>
      </c>
      <c r="B593" s="9" t="str">
        <f t="shared" si="49"/>
        <v>N/I</v>
      </c>
      <c r="C593" s="9" t="str">
        <f t="shared" si="50"/>
        <v>Inativo</v>
      </c>
      <c r="D593" s="10" t="s">
        <v>1649</v>
      </c>
      <c r="E593" s="11" t="s">
        <v>1650</v>
      </c>
      <c r="F593" s="11" t="s">
        <v>1665</v>
      </c>
      <c r="G593" s="12" t="s">
        <v>502</v>
      </c>
      <c r="H593" s="36" t="s">
        <v>1666</v>
      </c>
      <c r="I593" s="12" t="s">
        <v>963</v>
      </c>
      <c r="J593" s="10" t="s">
        <v>562</v>
      </c>
      <c r="K593" s="10" t="s">
        <v>190</v>
      </c>
      <c r="L593" s="10" t="s">
        <v>6</v>
      </c>
      <c r="M593" s="22">
        <v>43782.0</v>
      </c>
      <c r="N593" s="32" t="s">
        <v>1667</v>
      </c>
      <c r="O593" s="10" t="s">
        <v>1662</v>
      </c>
      <c r="P593" s="10" t="s">
        <v>1655</v>
      </c>
      <c r="Q593" s="2"/>
      <c r="R593" s="15"/>
      <c r="S593" s="15"/>
      <c r="T593" s="15"/>
      <c r="U593" s="15"/>
      <c r="V593" s="1"/>
      <c r="W593" s="15"/>
      <c r="X593" s="15"/>
      <c r="Y593" s="15"/>
      <c r="Z593" s="15"/>
      <c r="AA593" s="1"/>
      <c r="AB593" s="10">
        <v>6.0</v>
      </c>
      <c r="AC593" s="14">
        <v>45389.0</v>
      </c>
      <c r="AD593" s="14">
        <v>45569.0</v>
      </c>
      <c r="AE593" s="10">
        <f t="shared" si="61"/>
        <v>-522</v>
      </c>
      <c r="AF593" s="2"/>
      <c r="AG593" s="16" t="s">
        <v>45</v>
      </c>
      <c r="AH593" s="16" t="s">
        <v>45</v>
      </c>
      <c r="AI593" s="16" t="s">
        <v>45</v>
      </c>
      <c r="AJ593" s="16" t="s">
        <v>45</v>
      </c>
      <c r="AK593" s="16" t="s">
        <v>45</v>
      </c>
      <c r="AL593" s="16" t="s">
        <v>45</v>
      </c>
      <c r="AM593" s="16" t="s">
        <v>45</v>
      </c>
      <c r="AN593" s="16" t="s">
        <v>45</v>
      </c>
    </row>
    <row r="594" ht="30.0" customHeight="1">
      <c r="A594" s="9" t="str">
        <f t="shared" si="48"/>
        <v>N/I</v>
      </c>
      <c r="B594" s="9" t="str">
        <f t="shared" si="49"/>
        <v>N/I</v>
      </c>
      <c r="C594" s="9" t="str">
        <f t="shared" si="50"/>
        <v>Inativo</v>
      </c>
      <c r="D594" s="10" t="s">
        <v>1649</v>
      </c>
      <c r="E594" s="11" t="s">
        <v>1650</v>
      </c>
      <c r="F594" s="11" t="s">
        <v>1663</v>
      </c>
      <c r="G594" s="12" t="s">
        <v>502</v>
      </c>
      <c r="H594" s="36" t="s">
        <v>1668</v>
      </c>
      <c r="I594" s="12" t="s">
        <v>963</v>
      </c>
      <c r="J594" s="10" t="s">
        <v>562</v>
      </c>
      <c r="K594" s="10" t="s">
        <v>190</v>
      </c>
      <c r="L594" s="10" t="s">
        <v>6</v>
      </c>
      <c r="M594" s="22">
        <v>43783.0</v>
      </c>
      <c r="N594" s="32" t="s">
        <v>967</v>
      </c>
      <c r="O594" s="10" t="s">
        <v>965</v>
      </c>
      <c r="P594" s="10" t="s">
        <v>1655</v>
      </c>
      <c r="Q594" s="2"/>
      <c r="R594" s="15"/>
      <c r="S594" s="15"/>
      <c r="T594" s="15"/>
      <c r="U594" s="15"/>
      <c r="V594" s="1"/>
      <c r="W594" s="15"/>
      <c r="X594" s="15"/>
      <c r="Y594" s="15"/>
      <c r="Z594" s="15"/>
      <c r="AA594" s="1"/>
      <c r="AB594" s="10">
        <v>6.0</v>
      </c>
      <c r="AC594" s="14">
        <v>45389.0</v>
      </c>
      <c r="AD594" s="14">
        <v>45569.0</v>
      </c>
      <c r="AE594" s="10">
        <f t="shared" si="61"/>
        <v>-522</v>
      </c>
      <c r="AF594" s="2"/>
      <c r="AG594" s="16" t="s">
        <v>45</v>
      </c>
      <c r="AH594" s="16" t="s">
        <v>45</v>
      </c>
      <c r="AI594" s="16" t="s">
        <v>45</v>
      </c>
      <c r="AJ594" s="16" t="s">
        <v>45</v>
      </c>
      <c r="AK594" s="16" t="s">
        <v>45</v>
      </c>
      <c r="AL594" s="16" t="s">
        <v>45</v>
      </c>
      <c r="AM594" s="16" t="s">
        <v>45</v>
      </c>
      <c r="AN594" s="16" t="s">
        <v>45</v>
      </c>
    </row>
    <row r="595" ht="30.0" customHeight="1">
      <c r="A595" s="9" t="str">
        <f t="shared" si="48"/>
        <v>N/I</v>
      </c>
      <c r="B595" s="9" t="str">
        <f t="shared" si="49"/>
        <v>N/I</v>
      </c>
      <c r="C595" s="9" t="str">
        <f t="shared" si="50"/>
        <v>Inativo</v>
      </c>
      <c r="D595" s="10" t="s">
        <v>1649</v>
      </c>
      <c r="E595" s="11" t="s">
        <v>1650</v>
      </c>
      <c r="F595" s="11" t="s">
        <v>1669</v>
      </c>
      <c r="G595" s="12" t="s">
        <v>502</v>
      </c>
      <c r="H595" s="36" t="s">
        <v>1670</v>
      </c>
      <c r="I595" s="12" t="s">
        <v>963</v>
      </c>
      <c r="J595" s="10" t="s">
        <v>562</v>
      </c>
      <c r="K595" s="10" t="s">
        <v>190</v>
      </c>
      <c r="L595" s="10" t="s">
        <v>4</v>
      </c>
      <c r="M595" s="22">
        <v>43787.0</v>
      </c>
      <c r="N595" s="32" t="s">
        <v>1658</v>
      </c>
      <c r="O595" s="10" t="s">
        <v>965</v>
      </c>
      <c r="P595" s="10" t="s">
        <v>1655</v>
      </c>
      <c r="Q595" s="2"/>
      <c r="R595" s="15"/>
      <c r="S595" s="15"/>
      <c r="T595" s="15"/>
      <c r="U595" s="15"/>
      <c r="V595" s="1"/>
      <c r="W595" s="15"/>
      <c r="X595" s="15"/>
      <c r="Y595" s="15"/>
      <c r="Z595" s="15"/>
      <c r="AA595" s="1"/>
      <c r="AB595" s="10">
        <v>6.0</v>
      </c>
      <c r="AC595" s="14">
        <v>45389.0</v>
      </c>
      <c r="AD595" s="14">
        <v>45569.0</v>
      </c>
      <c r="AE595" s="10">
        <f t="shared" si="61"/>
        <v>-522</v>
      </c>
      <c r="AF595" s="2"/>
      <c r="AG595" s="16" t="s">
        <v>45</v>
      </c>
      <c r="AH595" s="16" t="s">
        <v>45</v>
      </c>
      <c r="AI595" s="16" t="s">
        <v>45</v>
      </c>
      <c r="AJ595" s="16" t="s">
        <v>45</v>
      </c>
      <c r="AK595" s="16" t="s">
        <v>45</v>
      </c>
      <c r="AL595" s="16" t="s">
        <v>45</v>
      </c>
      <c r="AM595" s="16" t="s">
        <v>45</v>
      </c>
      <c r="AN595" s="16" t="s">
        <v>45</v>
      </c>
    </row>
    <row r="596" ht="30.0" customHeight="1">
      <c r="A596" s="9" t="str">
        <f t="shared" si="48"/>
        <v>N/I</v>
      </c>
      <c r="B596" s="9" t="str">
        <f t="shared" si="49"/>
        <v>N/I</v>
      </c>
      <c r="C596" s="9" t="str">
        <f t="shared" si="50"/>
        <v>Inativo</v>
      </c>
      <c r="D596" s="10" t="s">
        <v>1649</v>
      </c>
      <c r="E596" s="11" t="s">
        <v>1650</v>
      </c>
      <c r="F596" s="11" t="s">
        <v>1669</v>
      </c>
      <c r="G596" s="12" t="s">
        <v>502</v>
      </c>
      <c r="H596" s="36" t="s">
        <v>1671</v>
      </c>
      <c r="I596" s="12" t="s">
        <v>963</v>
      </c>
      <c r="J596" s="10" t="s">
        <v>562</v>
      </c>
      <c r="K596" s="10" t="s">
        <v>190</v>
      </c>
      <c r="L596" s="10" t="s">
        <v>4</v>
      </c>
      <c r="M596" s="22">
        <v>43788.0</v>
      </c>
      <c r="N596" s="32" t="s">
        <v>1658</v>
      </c>
      <c r="O596" s="10" t="s">
        <v>965</v>
      </c>
      <c r="P596" s="10" t="s">
        <v>1655</v>
      </c>
      <c r="Q596" s="2"/>
      <c r="R596" s="15"/>
      <c r="S596" s="15"/>
      <c r="T596" s="15"/>
      <c r="U596" s="15"/>
      <c r="V596" s="1"/>
      <c r="W596" s="15"/>
      <c r="X596" s="15"/>
      <c r="Y596" s="15"/>
      <c r="Z596" s="15"/>
      <c r="AA596" s="1"/>
      <c r="AB596" s="10">
        <v>6.0</v>
      </c>
      <c r="AC596" s="14">
        <v>45389.0</v>
      </c>
      <c r="AD596" s="14">
        <v>45569.0</v>
      </c>
      <c r="AE596" s="10">
        <f t="shared" si="61"/>
        <v>-522</v>
      </c>
      <c r="AF596" s="2"/>
      <c r="AG596" s="16" t="s">
        <v>45</v>
      </c>
      <c r="AH596" s="16" t="s">
        <v>45</v>
      </c>
      <c r="AI596" s="16" t="s">
        <v>45</v>
      </c>
      <c r="AJ596" s="16" t="s">
        <v>45</v>
      </c>
      <c r="AK596" s="16" t="s">
        <v>45</v>
      </c>
      <c r="AL596" s="16" t="s">
        <v>45</v>
      </c>
      <c r="AM596" s="16" t="s">
        <v>45</v>
      </c>
      <c r="AN596" s="16" t="s">
        <v>45</v>
      </c>
    </row>
    <row r="597" ht="30.0" customHeight="1">
      <c r="A597" s="9" t="str">
        <f t="shared" si="48"/>
        <v>Inativo</v>
      </c>
      <c r="B597" s="9" t="str">
        <f t="shared" si="49"/>
        <v>N/I</v>
      </c>
      <c r="C597" s="9" t="str">
        <f t="shared" si="50"/>
        <v>N/I</v>
      </c>
      <c r="D597" s="10" t="s">
        <v>1649</v>
      </c>
      <c r="E597" s="11" t="s">
        <v>1650</v>
      </c>
      <c r="F597" s="11" t="s">
        <v>1672</v>
      </c>
      <c r="G597" s="12" t="s">
        <v>55</v>
      </c>
      <c r="H597" s="27" t="s">
        <v>1673</v>
      </c>
      <c r="I597" s="12" t="s">
        <v>963</v>
      </c>
      <c r="J597" s="10" t="s">
        <v>562</v>
      </c>
      <c r="K597" s="10" t="s">
        <v>190</v>
      </c>
      <c r="L597" s="10" t="s">
        <v>4</v>
      </c>
      <c r="M597" s="14">
        <v>45208.0</v>
      </c>
      <c r="N597" s="32" t="s">
        <v>1674</v>
      </c>
      <c r="O597" s="10" t="s">
        <v>1662</v>
      </c>
      <c r="P597" s="10" t="s">
        <v>1675</v>
      </c>
      <c r="Q597" s="2"/>
      <c r="R597" s="10">
        <v>12.0</v>
      </c>
      <c r="S597" s="14">
        <v>45224.0</v>
      </c>
      <c r="T597" s="14">
        <v>45589.0</v>
      </c>
      <c r="U597" s="10">
        <f t="shared" ref="U597:U599" si="62">T597-TODAY()</f>
        <v>-502</v>
      </c>
      <c r="V597" s="1"/>
      <c r="W597" s="15"/>
      <c r="X597" s="15"/>
      <c r="Y597" s="15"/>
      <c r="Z597" s="15"/>
      <c r="AA597" s="1"/>
      <c r="AB597" s="15"/>
      <c r="AC597" s="15"/>
      <c r="AD597" s="15"/>
      <c r="AE597" s="15"/>
      <c r="AF597" s="2"/>
      <c r="AG597" s="16" t="s">
        <v>45</v>
      </c>
      <c r="AH597" s="12" t="s">
        <v>46</v>
      </c>
      <c r="AI597" s="10" t="s">
        <v>226</v>
      </c>
      <c r="AJ597" s="10" t="s">
        <v>390</v>
      </c>
      <c r="AK597" s="16" t="s">
        <v>45</v>
      </c>
      <c r="AL597" s="16" t="s">
        <v>45</v>
      </c>
      <c r="AM597" s="16" t="s">
        <v>45</v>
      </c>
      <c r="AN597" s="10" t="s">
        <v>320</v>
      </c>
    </row>
    <row r="598" ht="30.0" customHeight="1">
      <c r="A598" s="9" t="str">
        <f t="shared" si="48"/>
        <v>Inativo</v>
      </c>
      <c r="B598" s="9" t="str">
        <f t="shared" si="49"/>
        <v>N/I</v>
      </c>
      <c r="C598" s="9" t="str">
        <f t="shared" si="50"/>
        <v>N/I</v>
      </c>
      <c r="D598" s="10" t="s">
        <v>1649</v>
      </c>
      <c r="E598" s="11" t="s">
        <v>1650</v>
      </c>
      <c r="F598" s="11" t="s">
        <v>1676</v>
      </c>
      <c r="G598" s="12" t="s">
        <v>55</v>
      </c>
      <c r="H598" s="27" t="s">
        <v>1677</v>
      </c>
      <c r="I598" s="12" t="s">
        <v>963</v>
      </c>
      <c r="J598" s="10" t="s">
        <v>562</v>
      </c>
      <c r="K598" s="10" t="s">
        <v>190</v>
      </c>
      <c r="L598" s="10" t="s">
        <v>4</v>
      </c>
      <c r="M598" s="14">
        <v>45209.0</v>
      </c>
      <c r="N598" s="32" t="s">
        <v>1674</v>
      </c>
      <c r="O598" s="10" t="s">
        <v>1662</v>
      </c>
      <c r="P598" s="10" t="s">
        <v>1675</v>
      </c>
      <c r="Q598" s="2"/>
      <c r="R598" s="10">
        <v>12.0</v>
      </c>
      <c r="S598" s="14">
        <v>45224.0</v>
      </c>
      <c r="T598" s="14">
        <v>45589.0</v>
      </c>
      <c r="U598" s="10">
        <f t="shared" si="62"/>
        <v>-502</v>
      </c>
      <c r="V598" s="1"/>
      <c r="W598" s="15"/>
      <c r="X598" s="15"/>
      <c r="Y598" s="15"/>
      <c r="Z598" s="15"/>
      <c r="AA598" s="1"/>
      <c r="AB598" s="15"/>
      <c r="AC598" s="15"/>
      <c r="AD598" s="15"/>
      <c r="AE598" s="15"/>
      <c r="AF598" s="2"/>
      <c r="AG598" s="16" t="s">
        <v>45</v>
      </c>
      <c r="AH598" s="12" t="s">
        <v>46</v>
      </c>
      <c r="AI598" s="10" t="s">
        <v>226</v>
      </c>
      <c r="AJ598" s="10" t="s">
        <v>390</v>
      </c>
      <c r="AK598" s="16" t="s">
        <v>45</v>
      </c>
      <c r="AL598" s="16" t="s">
        <v>45</v>
      </c>
      <c r="AM598" s="16" t="s">
        <v>45</v>
      </c>
      <c r="AN598" s="10" t="s">
        <v>320</v>
      </c>
    </row>
    <row r="599" ht="30.0" customHeight="1">
      <c r="A599" s="9" t="str">
        <f t="shared" si="48"/>
        <v>Inativo</v>
      </c>
      <c r="B599" s="9" t="str">
        <f t="shared" si="49"/>
        <v>N/I</v>
      </c>
      <c r="C599" s="9" t="str">
        <f t="shared" si="50"/>
        <v>N/I</v>
      </c>
      <c r="D599" s="10" t="s">
        <v>1649</v>
      </c>
      <c r="E599" s="11" t="s">
        <v>1650</v>
      </c>
      <c r="F599" s="11" t="s">
        <v>1669</v>
      </c>
      <c r="G599" s="12" t="s">
        <v>55</v>
      </c>
      <c r="H599" s="27" t="s">
        <v>1678</v>
      </c>
      <c r="I599" s="12" t="s">
        <v>963</v>
      </c>
      <c r="J599" s="10" t="s">
        <v>562</v>
      </c>
      <c r="K599" s="10" t="s">
        <v>190</v>
      </c>
      <c r="L599" s="10" t="s">
        <v>4</v>
      </c>
      <c r="M599" s="14">
        <v>45209.0</v>
      </c>
      <c r="N599" s="32" t="s">
        <v>1674</v>
      </c>
      <c r="O599" s="10" t="s">
        <v>1662</v>
      </c>
      <c r="P599" s="10" t="s">
        <v>1675</v>
      </c>
      <c r="Q599" s="2"/>
      <c r="R599" s="10">
        <v>12.0</v>
      </c>
      <c r="S599" s="14">
        <v>45224.0</v>
      </c>
      <c r="T599" s="14">
        <v>45589.0</v>
      </c>
      <c r="U599" s="10">
        <f t="shared" si="62"/>
        <v>-502</v>
      </c>
      <c r="V599" s="1"/>
      <c r="W599" s="15"/>
      <c r="X599" s="15"/>
      <c r="Y599" s="15"/>
      <c r="Z599" s="15"/>
      <c r="AA599" s="1"/>
      <c r="AB599" s="15"/>
      <c r="AC599" s="15"/>
      <c r="AD599" s="15"/>
      <c r="AE599" s="15"/>
      <c r="AF599" s="2"/>
      <c r="AG599" s="16" t="s">
        <v>45</v>
      </c>
      <c r="AH599" s="12" t="s">
        <v>46</v>
      </c>
      <c r="AI599" s="10" t="s">
        <v>226</v>
      </c>
      <c r="AJ599" s="10" t="s">
        <v>390</v>
      </c>
      <c r="AK599" s="16" t="s">
        <v>45</v>
      </c>
      <c r="AL599" s="16" t="s">
        <v>45</v>
      </c>
      <c r="AM599" s="16" t="s">
        <v>45</v>
      </c>
      <c r="AN599" s="10" t="s">
        <v>320</v>
      </c>
    </row>
    <row r="600" ht="30.0" customHeight="1">
      <c r="A600" s="9" t="str">
        <f t="shared" si="48"/>
        <v>N/I</v>
      </c>
      <c r="B600" s="9" t="str">
        <f t="shared" si="49"/>
        <v>N/I</v>
      </c>
      <c r="C600" s="9" t="str">
        <f t="shared" si="50"/>
        <v>Inativo</v>
      </c>
      <c r="D600" s="10" t="s">
        <v>1649</v>
      </c>
      <c r="E600" s="11" t="s">
        <v>1650</v>
      </c>
      <c r="F600" s="11" t="s">
        <v>1679</v>
      </c>
      <c r="G600" s="12" t="s">
        <v>502</v>
      </c>
      <c r="H600" s="36" t="s">
        <v>1680</v>
      </c>
      <c r="I600" s="12" t="s">
        <v>1681</v>
      </c>
      <c r="J600" s="10" t="s">
        <v>562</v>
      </c>
      <c r="K600" s="10" t="s">
        <v>190</v>
      </c>
      <c r="L600" s="10" t="s">
        <v>6</v>
      </c>
      <c r="M600" s="22">
        <v>43776.0</v>
      </c>
      <c r="N600" s="32" t="s">
        <v>1682</v>
      </c>
      <c r="O600" s="10" t="s">
        <v>1683</v>
      </c>
      <c r="P600" s="10" t="s">
        <v>1655</v>
      </c>
      <c r="Q600" s="2"/>
      <c r="R600" s="15"/>
      <c r="S600" s="15"/>
      <c r="T600" s="15"/>
      <c r="U600" s="15"/>
      <c r="V600" s="1"/>
      <c r="W600" s="15"/>
      <c r="X600" s="15"/>
      <c r="Y600" s="15"/>
      <c r="Z600" s="15"/>
      <c r="AA600" s="1"/>
      <c r="AB600" s="10">
        <v>6.0</v>
      </c>
      <c r="AC600" s="14">
        <v>45389.0</v>
      </c>
      <c r="AD600" s="14">
        <v>45569.0</v>
      </c>
      <c r="AE600" s="10">
        <f t="shared" ref="AE600:AE730" si="63">AD600-TODAY()</f>
        <v>-522</v>
      </c>
      <c r="AF600" s="2"/>
      <c r="AG600" s="16" t="s">
        <v>45</v>
      </c>
      <c r="AH600" s="16" t="s">
        <v>45</v>
      </c>
      <c r="AI600" s="16" t="s">
        <v>45</v>
      </c>
      <c r="AJ600" s="16" t="s">
        <v>45</v>
      </c>
      <c r="AK600" s="16" t="s">
        <v>45</v>
      </c>
      <c r="AL600" s="16" t="s">
        <v>45</v>
      </c>
      <c r="AM600" s="16" t="s">
        <v>45</v>
      </c>
      <c r="AN600" s="16" t="s">
        <v>45</v>
      </c>
    </row>
    <row r="601" ht="30.0" customHeight="1">
      <c r="A601" s="9" t="str">
        <f t="shared" si="48"/>
        <v>N/I</v>
      </c>
      <c r="B601" s="9" t="str">
        <f t="shared" si="49"/>
        <v>N/I</v>
      </c>
      <c r="C601" s="9" t="str">
        <f t="shared" si="50"/>
        <v>Inativo</v>
      </c>
      <c r="D601" s="10" t="s">
        <v>1649</v>
      </c>
      <c r="E601" s="11" t="s">
        <v>1650</v>
      </c>
      <c r="F601" s="11" t="s">
        <v>1684</v>
      </c>
      <c r="G601" s="12" t="s">
        <v>502</v>
      </c>
      <c r="H601" s="36" t="s">
        <v>1685</v>
      </c>
      <c r="I601" s="12" t="s">
        <v>1686</v>
      </c>
      <c r="J601" s="10" t="s">
        <v>562</v>
      </c>
      <c r="K601" s="10" t="s">
        <v>190</v>
      </c>
      <c r="L601" s="10" t="s">
        <v>6</v>
      </c>
      <c r="M601" s="22">
        <v>43775.0</v>
      </c>
      <c r="N601" s="32" t="s">
        <v>1687</v>
      </c>
      <c r="O601" s="10" t="s">
        <v>319</v>
      </c>
      <c r="P601" s="10" t="s">
        <v>1655</v>
      </c>
      <c r="Q601" s="2"/>
      <c r="R601" s="15"/>
      <c r="S601" s="15"/>
      <c r="T601" s="15"/>
      <c r="U601" s="15"/>
      <c r="V601" s="1"/>
      <c r="W601" s="15"/>
      <c r="X601" s="15"/>
      <c r="Y601" s="15"/>
      <c r="Z601" s="15"/>
      <c r="AA601" s="1"/>
      <c r="AB601" s="10">
        <v>6.0</v>
      </c>
      <c r="AC601" s="14">
        <v>45389.0</v>
      </c>
      <c r="AD601" s="14">
        <v>45569.0</v>
      </c>
      <c r="AE601" s="10">
        <f t="shared" si="63"/>
        <v>-522</v>
      </c>
      <c r="AF601" s="2"/>
      <c r="AG601" s="16" t="s">
        <v>45</v>
      </c>
      <c r="AH601" s="16" t="s">
        <v>45</v>
      </c>
      <c r="AI601" s="16" t="s">
        <v>45</v>
      </c>
      <c r="AJ601" s="16" t="s">
        <v>45</v>
      </c>
      <c r="AK601" s="16" t="s">
        <v>45</v>
      </c>
      <c r="AL601" s="16" t="s">
        <v>45</v>
      </c>
      <c r="AM601" s="16" t="s">
        <v>45</v>
      </c>
      <c r="AN601" s="16" t="s">
        <v>45</v>
      </c>
    </row>
    <row r="602" ht="30.0" customHeight="1">
      <c r="A602" s="9" t="str">
        <f t="shared" si="48"/>
        <v>N/I</v>
      </c>
      <c r="B602" s="9" t="str">
        <f t="shared" si="49"/>
        <v>N/I</v>
      </c>
      <c r="C602" s="9" t="str">
        <f t="shared" si="50"/>
        <v>Ativo</v>
      </c>
      <c r="D602" s="10" t="s">
        <v>1688</v>
      </c>
      <c r="E602" s="11" t="s">
        <v>1689</v>
      </c>
      <c r="F602" s="11" t="s">
        <v>1690</v>
      </c>
      <c r="G602" s="12" t="s">
        <v>1691</v>
      </c>
      <c r="H602" s="42" t="s">
        <v>1692</v>
      </c>
      <c r="I602" s="12" t="s">
        <v>1693</v>
      </c>
      <c r="J602" s="10" t="s">
        <v>562</v>
      </c>
      <c r="K602" s="10" t="s">
        <v>190</v>
      </c>
      <c r="L602" s="10" t="s">
        <v>6</v>
      </c>
      <c r="M602" s="14">
        <v>45748.0</v>
      </c>
      <c r="N602" s="11" t="s">
        <v>1694</v>
      </c>
      <c r="O602" s="10" t="s">
        <v>319</v>
      </c>
      <c r="P602" s="10" t="s">
        <v>1695</v>
      </c>
      <c r="Q602" s="2"/>
      <c r="R602" s="15"/>
      <c r="S602" s="15"/>
      <c r="T602" s="15"/>
      <c r="U602" s="15"/>
      <c r="V602" s="1"/>
      <c r="W602" s="15"/>
      <c r="X602" s="15"/>
      <c r="Y602" s="15"/>
      <c r="Z602" s="15"/>
      <c r="AA602" s="1"/>
      <c r="AB602" s="10">
        <v>60.0</v>
      </c>
      <c r="AC602" s="14">
        <v>45748.0</v>
      </c>
      <c r="AD602" s="14">
        <v>47574.0</v>
      </c>
      <c r="AE602" s="10">
        <f t="shared" si="63"/>
        <v>1483</v>
      </c>
      <c r="AF602" s="2"/>
      <c r="AG602" s="10" t="s">
        <v>1498</v>
      </c>
      <c r="AH602" s="12" t="s">
        <v>46</v>
      </c>
      <c r="AI602" s="16" t="s">
        <v>45</v>
      </c>
      <c r="AJ602" s="16" t="s">
        <v>45</v>
      </c>
      <c r="AK602" s="16" t="s">
        <v>45</v>
      </c>
      <c r="AL602" s="10" t="s">
        <v>49</v>
      </c>
      <c r="AM602" s="16" t="s">
        <v>45</v>
      </c>
      <c r="AN602" s="10" t="s">
        <v>1499</v>
      </c>
    </row>
    <row r="603" ht="30.0" customHeight="1">
      <c r="A603" s="9" t="str">
        <f t="shared" si="48"/>
        <v>N/I</v>
      </c>
      <c r="B603" s="9" t="str">
        <f t="shared" si="49"/>
        <v>N/I</v>
      </c>
      <c r="C603" s="9" t="str">
        <f t="shared" si="50"/>
        <v>Ativo</v>
      </c>
      <c r="D603" s="10" t="s">
        <v>1688</v>
      </c>
      <c r="E603" s="11" t="s">
        <v>1689</v>
      </c>
      <c r="F603" s="11" t="s">
        <v>1696</v>
      </c>
      <c r="G603" s="12" t="s">
        <v>1691</v>
      </c>
      <c r="H603" s="42" t="s">
        <v>1697</v>
      </c>
      <c r="I603" s="12" t="s">
        <v>1698</v>
      </c>
      <c r="J603" s="10" t="s">
        <v>562</v>
      </c>
      <c r="K603" s="10" t="s">
        <v>190</v>
      </c>
      <c r="L603" s="10" t="s">
        <v>6</v>
      </c>
      <c r="M603" s="22">
        <v>45776.0</v>
      </c>
      <c r="N603" s="11" t="s">
        <v>1699</v>
      </c>
      <c r="O603" s="10" t="s">
        <v>1700</v>
      </c>
      <c r="P603" s="10" t="s">
        <v>1695</v>
      </c>
      <c r="Q603" s="2"/>
      <c r="R603" s="15"/>
      <c r="S603" s="15"/>
      <c r="T603" s="15"/>
      <c r="U603" s="15"/>
      <c r="V603" s="1"/>
      <c r="W603" s="15"/>
      <c r="X603" s="15"/>
      <c r="Y603" s="15"/>
      <c r="Z603" s="15"/>
      <c r="AA603" s="1"/>
      <c r="AB603" s="10">
        <v>60.0</v>
      </c>
      <c r="AC603" s="14">
        <v>45776.0</v>
      </c>
      <c r="AD603" s="14">
        <v>47602.0</v>
      </c>
      <c r="AE603" s="10">
        <f t="shared" si="63"/>
        <v>1511</v>
      </c>
      <c r="AF603" s="2"/>
      <c r="AG603" s="10" t="s">
        <v>1498</v>
      </c>
      <c r="AH603" s="12" t="s">
        <v>46</v>
      </c>
      <c r="AI603" s="16" t="s">
        <v>45</v>
      </c>
      <c r="AJ603" s="16" t="s">
        <v>45</v>
      </c>
      <c r="AK603" s="16" t="s">
        <v>45</v>
      </c>
      <c r="AL603" s="10" t="s">
        <v>49</v>
      </c>
      <c r="AM603" s="16" t="s">
        <v>45</v>
      </c>
      <c r="AN603" s="10" t="s">
        <v>1499</v>
      </c>
    </row>
    <row r="604" ht="30.0" customHeight="1">
      <c r="A604" s="9" t="str">
        <f t="shared" si="48"/>
        <v>N/I</v>
      </c>
      <c r="B604" s="9" t="str">
        <f t="shared" si="49"/>
        <v>N/I</v>
      </c>
      <c r="C604" s="9" t="str">
        <f t="shared" si="50"/>
        <v>Ativo</v>
      </c>
      <c r="D604" s="10" t="s">
        <v>1688</v>
      </c>
      <c r="E604" s="11" t="s">
        <v>1689</v>
      </c>
      <c r="F604" s="11" t="s">
        <v>1701</v>
      </c>
      <c r="G604" s="12" t="s">
        <v>1691</v>
      </c>
      <c r="H604" s="42" t="s">
        <v>1702</v>
      </c>
      <c r="I604" s="12" t="s">
        <v>1703</v>
      </c>
      <c r="J604" s="10" t="s">
        <v>562</v>
      </c>
      <c r="K604" s="10" t="s">
        <v>190</v>
      </c>
      <c r="L604" s="10" t="s">
        <v>6</v>
      </c>
      <c r="M604" s="14">
        <v>45728.0</v>
      </c>
      <c r="N604" s="11" t="s">
        <v>1704</v>
      </c>
      <c r="O604" s="10" t="s">
        <v>319</v>
      </c>
      <c r="P604" s="10" t="s">
        <v>1695</v>
      </c>
      <c r="Q604" s="2"/>
      <c r="R604" s="15"/>
      <c r="S604" s="15"/>
      <c r="T604" s="15"/>
      <c r="U604" s="15"/>
      <c r="V604" s="1"/>
      <c r="W604" s="15"/>
      <c r="X604" s="15"/>
      <c r="Y604" s="15"/>
      <c r="Z604" s="15"/>
      <c r="AA604" s="1"/>
      <c r="AB604" s="10">
        <v>60.0</v>
      </c>
      <c r="AC604" s="14">
        <v>45728.0</v>
      </c>
      <c r="AD604" s="14">
        <v>47554.0</v>
      </c>
      <c r="AE604" s="10">
        <f t="shared" si="63"/>
        <v>1463</v>
      </c>
      <c r="AF604" s="2"/>
      <c r="AG604" s="10" t="s">
        <v>1498</v>
      </c>
      <c r="AH604" s="12" t="s">
        <v>46</v>
      </c>
      <c r="AI604" s="16" t="s">
        <v>45</v>
      </c>
      <c r="AJ604" s="16" t="s">
        <v>45</v>
      </c>
      <c r="AK604" s="16" t="s">
        <v>45</v>
      </c>
      <c r="AL604" s="10" t="s">
        <v>49</v>
      </c>
      <c r="AM604" s="16" t="s">
        <v>45</v>
      </c>
      <c r="AN604" s="10" t="s">
        <v>1499</v>
      </c>
    </row>
    <row r="605" ht="30.0" customHeight="1">
      <c r="A605" s="9" t="str">
        <f t="shared" si="48"/>
        <v>N/I</v>
      </c>
      <c r="B605" s="9" t="str">
        <f t="shared" si="49"/>
        <v>N/I</v>
      </c>
      <c r="C605" s="9" t="str">
        <f t="shared" si="50"/>
        <v>Ativo</v>
      </c>
      <c r="D605" s="10" t="s">
        <v>1688</v>
      </c>
      <c r="E605" s="11" t="s">
        <v>1689</v>
      </c>
      <c r="F605" s="11" t="s">
        <v>1651</v>
      </c>
      <c r="G605" s="12" t="s">
        <v>1691</v>
      </c>
      <c r="H605" s="42" t="s">
        <v>1705</v>
      </c>
      <c r="I605" s="12" t="s">
        <v>958</v>
      </c>
      <c r="J605" s="10" t="s">
        <v>562</v>
      </c>
      <c r="K605" s="10" t="s">
        <v>190</v>
      </c>
      <c r="L605" s="10" t="s">
        <v>6</v>
      </c>
      <c r="M605" s="22">
        <v>45694.0</v>
      </c>
      <c r="N605" s="11" t="s">
        <v>1706</v>
      </c>
      <c r="O605" s="10" t="s">
        <v>319</v>
      </c>
      <c r="P605" s="10" t="s">
        <v>1695</v>
      </c>
      <c r="Q605" s="2"/>
      <c r="R605" s="15"/>
      <c r="S605" s="15"/>
      <c r="T605" s="15"/>
      <c r="U605" s="15"/>
      <c r="V605" s="2"/>
      <c r="W605" s="15"/>
      <c r="X605" s="15"/>
      <c r="Y605" s="15"/>
      <c r="Z605" s="15"/>
      <c r="AA605" s="1"/>
      <c r="AB605" s="10">
        <v>60.0</v>
      </c>
      <c r="AC605" s="14">
        <v>45694.0</v>
      </c>
      <c r="AD605" s="14">
        <v>47520.0</v>
      </c>
      <c r="AE605" s="10">
        <f t="shared" si="63"/>
        <v>1429</v>
      </c>
      <c r="AF605" s="2"/>
      <c r="AG605" s="10" t="s">
        <v>1498</v>
      </c>
      <c r="AH605" s="12" t="s">
        <v>46</v>
      </c>
      <c r="AI605" s="16" t="s">
        <v>45</v>
      </c>
      <c r="AJ605" s="16" t="s">
        <v>45</v>
      </c>
      <c r="AK605" s="16" t="s">
        <v>45</v>
      </c>
      <c r="AL605" s="10" t="s">
        <v>49</v>
      </c>
      <c r="AM605" s="16" t="s">
        <v>45</v>
      </c>
      <c r="AN605" s="10" t="s">
        <v>1499</v>
      </c>
    </row>
    <row r="606" ht="30.0" customHeight="1">
      <c r="A606" s="9" t="str">
        <f t="shared" si="48"/>
        <v>N/I</v>
      </c>
      <c r="B606" s="9" t="str">
        <f t="shared" si="49"/>
        <v>N/I</v>
      </c>
      <c r="C606" s="9" t="str">
        <f t="shared" si="50"/>
        <v>Ativo</v>
      </c>
      <c r="D606" s="10" t="s">
        <v>1688</v>
      </c>
      <c r="E606" s="11" t="s">
        <v>1689</v>
      </c>
      <c r="F606" s="11" t="s">
        <v>1707</v>
      </c>
      <c r="G606" s="12" t="s">
        <v>1691</v>
      </c>
      <c r="H606" s="42" t="s">
        <v>1708</v>
      </c>
      <c r="I606" s="12" t="s">
        <v>1709</v>
      </c>
      <c r="J606" s="10" t="s">
        <v>562</v>
      </c>
      <c r="K606" s="10" t="s">
        <v>190</v>
      </c>
      <c r="L606" s="10" t="s">
        <v>6</v>
      </c>
      <c r="M606" s="14">
        <v>45840.0</v>
      </c>
      <c r="N606" s="11" t="s">
        <v>1710</v>
      </c>
      <c r="O606" s="10" t="s">
        <v>1711</v>
      </c>
      <c r="P606" s="10" t="s">
        <v>1695</v>
      </c>
      <c r="Q606" s="2"/>
      <c r="R606" s="15"/>
      <c r="S606" s="15"/>
      <c r="T606" s="15"/>
      <c r="U606" s="15"/>
      <c r="V606" s="1"/>
      <c r="W606" s="15"/>
      <c r="X606" s="15"/>
      <c r="Y606" s="15"/>
      <c r="Z606" s="15"/>
      <c r="AA606" s="1"/>
      <c r="AB606" s="10">
        <v>60.0</v>
      </c>
      <c r="AC606" s="14">
        <v>45840.0</v>
      </c>
      <c r="AD606" s="14">
        <v>47666.0</v>
      </c>
      <c r="AE606" s="10">
        <f t="shared" si="63"/>
        <v>1575</v>
      </c>
      <c r="AF606" s="2"/>
      <c r="AG606" s="10" t="s">
        <v>1498</v>
      </c>
      <c r="AH606" s="12" t="s">
        <v>46</v>
      </c>
      <c r="AI606" s="16" t="s">
        <v>45</v>
      </c>
      <c r="AJ606" s="16" t="s">
        <v>45</v>
      </c>
      <c r="AK606" s="16" t="s">
        <v>45</v>
      </c>
      <c r="AL606" s="10" t="s">
        <v>49</v>
      </c>
      <c r="AM606" s="16" t="s">
        <v>45</v>
      </c>
      <c r="AN606" s="10" t="s">
        <v>1499</v>
      </c>
    </row>
    <row r="607" ht="30.0" customHeight="1">
      <c r="A607" s="9" t="str">
        <f t="shared" si="48"/>
        <v>N/I</v>
      </c>
      <c r="B607" s="9" t="str">
        <f t="shared" si="49"/>
        <v>N/I</v>
      </c>
      <c r="C607" s="9" t="str">
        <f t="shared" si="50"/>
        <v>Ativo</v>
      </c>
      <c r="D607" s="10" t="s">
        <v>1688</v>
      </c>
      <c r="E607" s="11" t="s">
        <v>1689</v>
      </c>
      <c r="F607" s="11" t="s">
        <v>1669</v>
      </c>
      <c r="G607" s="12" t="s">
        <v>1691</v>
      </c>
      <c r="H607" s="42" t="s">
        <v>1712</v>
      </c>
      <c r="I607" s="12" t="s">
        <v>963</v>
      </c>
      <c r="J607" s="10" t="s">
        <v>562</v>
      </c>
      <c r="K607" s="10" t="s">
        <v>190</v>
      </c>
      <c r="L607" s="10" t="s">
        <v>6</v>
      </c>
      <c r="M607" s="14">
        <v>45687.0</v>
      </c>
      <c r="N607" s="32" t="s">
        <v>1713</v>
      </c>
      <c r="O607" s="10" t="s">
        <v>1662</v>
      </c>
      <c r="P607" s="10" t="s">
        <v>1695</v>
      </c>
      <c r="Q607" s="2"/>
      <c r="R607" s="15"/>
      <c r="S607" s="15"/>
      <c r="T607" s="15"/>
      <c r="U607" s="15"/>
      <c r="V607" s="1"/>
      <c r="W607" s="15"/>
      <c r="X607" s="15"/>
      <c r="Y607" s="15"/>
      <c r="Z607" s="15"/>
      <c r="AA607" s="1"/>
      <c r="AB607" s="10">
        <v>60.0</v>
      </c>
      <c r="AC607" s="14">
        <v>45687.0</v>
      </c>
      <c r="AD607" s="14">
        <v>47513.0</v>
      </c>
      <c r="AE607" s="10">
        <f t="shared" si="63"/>
        <v>1422</v>
      </c>
      <c r="AF607" s="2"/>
      <c r="AG607" s="10" t="s">
        <v>1498</v>
      </c>
      <c r="AH607" s="12" t="s">
        <v>46</v>
      </c>
      <c r="AI607" s="16" t="s">
        <v>45</v>
      </c>
      <c r="AJ607" s="16" t="s">
        <v>45</v>
      </c>
      <c r="AK607" s="16" t="s">
        <v>45</v>
      </c>
      <c r="AL607" s="10" t="s">
        <v>49</v>
      </c>
      <c r="AM607" s="16" t="s">
        <v>45</v>
      </c>
      <c r="AN607" s="10" t="s">
        <v>1499</v>
      </c>
    </row>
    <row r="608" ht="30.0" customHeight="1">
      <c r="A608" s="9" t="str">
        <f t="shared" si="48"/>
        <v>N/I</v>
      </c>
      <c r="B608" s="9" t="str">
        <f t="shared" si="49"/>
        <v>N/I</v>
      </c>
      <c r="C608" s="9" t="str">
        <f t="shared" si="50"/>
        <v>Ativo</v>
      </c>
      <c r="D608" s="10" t="s">
        <v>1688</v>
      </c>
      <c r="E608" s="11" t="s">
        <v>1689</v>
      </c>
      <c r="F608" s="11" t="s">
        <v>1669</v>
      </c>
      <c r="G608" s="12" t="s">
        <v>1691</v>
      </c>
      <c r="H608" s="42" t="s">
        <v>1714</v>
      </c>
      <c r="I608" s="12" t="s">
        <v>963</v>
      </c>
      <c r="J608" s="10" t="s">
        <v>562</v>
      </c>
      <c r="K608" s="10" t="s">
        <v>190</v>
      </c>
      <c r="L608" s="10" t="s">
        <v>6</v>
      </c>
      <c r="M608" s="14">
        <v>45687.0</v>
      </c>
      <c r="N608" s="32" t="s">
        <v>1713</v>
      </c>
      <c r="O608" s="10" t="s">
        <v>1662</v>
      </c>
      <c r="P608" s="10" t="s">
        <v>1695</v>
      </c>
      <c r="Q608" s="2"/>
      <c r="R608" s="15"/>
      <c r="S608" s="15"/>
      <c r="T608" s="15"/>
      <c r="U608" s="15"/>
      <c r="V608" s="1"/>
      <c r="W608" s="15"/>
      <c r="X608" s="15"/>
      <c r="Y608" s="15"/>
      <c r="Z608" s="15"/>
      <c r="AA608" s="1"/>
      <c r="AB608" s="10">
        <v>60.0</v>
      </c>
      <c r="AC608" s="14">
        <v>45687.0</v>
      </c>
      <c r="AD608" s="14">
        <v>47513.0</v>
      </c>
      <c r="AE608" s="10">
        <f t="shared" si="63"/>
        <v>1422</v>
      </c>
      <c r="AF608" s="2"/>
      <c r="AG608" s="10" t="s">
        <v>1498</v>
      </c>
      <c r="AH608" s="12" t="s">
        <v>46</v>
      </c>
      <c r="AI608" s="16" t="s">
        <v>45</v>
      </c>
      <c r="AJ608" s="16" t="s">
        <v>45</v>
      </c>
      <c r="AK608" s="16" t="s">
        <v>45</v>
      </c>
      <c r="AL608" s="10" t="s">
        <v>49</v>
      </c>
      <c r="AM608" s="16" t="s">
        <v>45</v>
      </c>
      <c r="AN608" s="10" t="s">
        <v>1499</v>
      </c>
    </row>
    <row r="609" ht="30.0" customHeight="1">
      <c r="A609" s="9" t="str">
        <f t="shared" si="48"/>
        <v>N/I</v>
      </c>
      <c r="B609" s="9" t="str">
        <f t="shared" si="49"/>
        <v>N/I</v>
      </c>
      <c r="C609" s="9" t="str">
        <f t="shared" si="50"/>
        <v>Ativo</v>
      </c>
      <c r="D609" s="10" t="s">
        <v>1688</v>
      </c>
      <c r="E609" s="11" t="s">
        <v>1689</v>
      </c>
      <c r="F609" s="11" t="s">
        <v>1663</v>
      </c>
      <c r="G609" s="12" t="s">
        <v>1691</v>
      </c>
      <c r="H609" s="42" t="s">
        <v>1715</v>
      </c>
      <c r="I609" s="12" t="s">
        <v>963</v>
      </c>
      <c r="J609" s="10" t="s">
        <v>562</v>
      </c>
      <c r="K609" s="10" t="s">
        <v>190</v>
      </c>
      <c r="L609" s="10" t="s">
        <v>6</v>
      </c>
      <c r="M609" s="14">
        <v>45687.0</v>
      </c>
      <c r="N609" s="32" t="s">
        <v>1716</v>
      </c>
      <c r="O609" s="10">
        <v>74993.405</v>
      </c>
      <c r="P609" s="10" t="s">
        <v>1695</v>
      </c>
      <c r="Q609" s="2"/>
      <c r="R609" s="15"/>
      <c r="S609" s="15"/>
      <c r="T609" s="15"/>
      <c r="U609" s="15"/>
      <c r="V609" s="1"/>
      <c r="W609" s="15"/>
      <c r="X609" s="15"/>
      <c r="Y609" s="15"/>
      <c r="Z609" s="15"/>
      <c r="AA609" s="1"/>
      <c r="AB609" s="10">
        <v>60.0</v>
      </c>
      <c r="AC609" s="14">
        <v>45687.0</v>
      </c>
      <c r="AD609" s="14">
        <v>47513.0</v>
      </c>
      <c r="AE609" s="10">
        <f t="shared" si="63"/>
        <v>1422</v>
      </c>
      <c r="AF609" s="2"/>
      <c r="AG609" s="10" t="s">
        <v>1498</v>
      </c>
      <c r="AH609" s="12" t="s">
        <v>46</v>
      </c>
      <c r="AI609" s="16" t="s">
        <v>45</v>
      </c>
      <c r="AJ609" s="16" t="s">
        <v>45</v>
      </c>
      <c r="AK609" s="16" t="s">
        <v>45</v>
      </c>
      <c r="AL609" s="10" t="s">
        <v>49</v>
      </c>
      <c r="AM609" s="16" t="s">
        <v>45</v>
      </c>
      <c r="AN609" s="10" t="s">
        <v>1499</v>
      </c>
    </row>
    <row r="610" ht="30.0" customHeight="1">
      <c r="A610" s="9" t="str">
        <f t="shared" si="48"/>
        <v>N/I</v>
      </c>
      <c r="B610" s="9" t="str">
        <f t="shared" si="49"/>
        <v>N/I</v>
      </c>
      <c r="C610" s="9" t="str">
        <f t="shared" si="50"/>
        <v>Ativo</v>
      </c>
      <c r="D610" s="10" t="s">
        <v>1688</v>
      </c>
      <c r="E610" s="11" t="s">
        <v>1689</v>
      </c>
      <c r="F610" s="11" t="s">
        <v>1717</v>
      </c>
      <c r="G610" s="12" t="s">
        <v>1691</v>
      </c>
      <c r="H610" s="42" t="s">
        <v>1718</v>
      </c>
      <c r="I610" s="12" t="s">
        <v>963</v>
      </c>
      <c r="J610" s="10" t="s">
        <v>562</v>
      </c>
      <c r="K610" s="10" t="s">
        <v>190</v>
      </c>
      <c r="L610" s="10" t="s">
        <v>6</v>
      </c>
      <c r="M610" s="14">
        <v>45693.0</v>
      </c>
      <c r="N610" s="32" t="s">
        <v>1713</v>
      </c>
      <c r="O610" s="10" t="s">
        <v>1662</v>
      </c>
      <c r="P610" s="10" t="s">
        <v>1695</v>
      </c>
      <c r="Q610" s="2"/>
      <c r="R610" s="15"/>
      <c r="S610" s="15"/>
      <c r="T610" s="15"/>
      <c r="U610" s="15"/>
      <c r="V610" s="1"/>
      <c r="W610" s="15"/>
      <c r="X610" s="15"/>
      <c r="Y610" s="15"/>
      <c r="Z610" s="15"/>
      <c r="AA610" s="1"/>
      <c r="AB610" s="10">
        <v>60.0</v>
      </c>
      <c r="AC610" s="14">
        <v>45693.0</v>
      </c>
      <c r="AD610" s="14">
        <v>47519.0</v>
      </c>
      <c r="AE610" s="10">
        <f t="shared" si="63"/>
        <v>1428</v>
      </c>
      <c r="AF610" s="2"/>
      <c r="AG610" s="10" t="s">
        <v>1498</v>
      </c>
      <c r="AH610" s="12" t="s">
        <v>46</v>
      </c>
      <c r="AI610" s="16" t="s">
        <v>45</v>
      </c>
      <c r="AJ610" s="16" t="s">
        <v>45</v>
      </c>
      <c r="AK610" s="16" t="s">
        <v>45</v>
      </c>
      <c r="AL610" s="10" t="s">
        <v>49</v>
      </c>
      <c r="AM610" s="16" t="s">
        <v>45</v>
      </c>
      <c r="AN610" s="10" t="s">
        <v>1499</v>
      </c>
    </row>
    <row r="611" ht="30.0" customHeight="1">
      <c r="A611" s="9" t="str">
        <f t="shared" si="48"/>
        <v>N/I</v>
      </c>
      <c r="B611" s="9" t="str">
        <f t="shared" si="49"/>
        <v>N/I</v>
      </c>
      <c r="C611" s="9" t="str">
        <f t="shared" si="50"/>
        <v>Ativo</v>
      </c>
      <c r="D611" s="10" t="s">
        <v>1688</v>
      </c>
      <c r="E611" s="11" t="s">
        <v>1689</v>
      </c>
      <c r="F611" s="11" t="s">
        <v>1659</v>
      </c>
      <c r="G611" s="12" t="s">
        <v>1691</v>
      </c>
      <c r="H611" s="42" t="s">
        <v>1719</v>
      </c>
      <c r="I611" s="12" t="s">
        <v>963</v>
      </c>
      <c r="J611" s="10" t="s">
        <v>562</v>
      </c>
      <c r="K611" s="10" t="s">
        <v>190</v>
      </c>
      <c r="L611" s="10" t="s">
        <v>6</v>
      </c>
      <c r="M611" s="14">
        <v>45694.0</v>
      </c>
      <c r="N611" s="32" t="s">
        <v>1713</v>
      </c>
      <c r="O611" s="10" t="s">
        <v>1662</v>
      </c>
      <c r="P611" s="10" t="s">
        <v>1695</v>
      </c>
      <c r="Q611" s="2"/>
      <c r="R611" s="15"/>
      <c r="S611" s="15"/>
      <c r="T611" s="15"/>
      <c r="U611" s="15"/>
      <c r="V611" s="2"/>
      <c r="W611" s="15"/>
      <c r="X611" s="15"/>
      <c r="Y611" s="15"/>
      <c r="Z611" s="15"/>
      <c r="AA611" s="1"/>
      <c r="AB611" s="10">
        <v>60.0</v>
      </c>
      <c r="AC611" s="14">
        <v>45694.0</v>
      </c>
      <c r="AD611" s="14">
        <v>47520.0</v>
      </c>
      <c r="AE611" s="10">
        <f t="shared" si="63"/>
        <v>1429</v>
      </c>
      <c r="AF611" s="2"/>
      <c r="AG611" s="10" t="s">
        <v>1498</v>
      </c>
      <c r="AH611" s="12" t="s">
        <v>46</v>
      </c>
      <c r="AI611" s="16" t="s">
        <v>45</v>
      </c>
      <c r="AJ611" s="16" t="s">
        <v>45</v>
      </c>
      <c r="AK611" s="16" t="s">
        <v>45</v>
      </c>
      <c r="AL611" s="10" t="s">
        <v>49</v>
      </c>
      <c r="AM611" s="16" t="s">
        <v>45</v>
      </c>
      <c r="AN611" s="10" t="s">
        <v>1499</v>
      </c>
    </row>
    <row r="612" ht="30.0" customHeight="1">
      <c r="A612" s="9" t="str">
        <f t="shared" si="48"/>
        <v>N/I</v>
      </c>
      <c r="B612" s="9" t="str">
        <f t="shared" si="49"/>
        <v>N/I</v>
      </c>
      <c r="C612" s="9" t="str">
        <f t="shared" si="50"/>
        <v>Ativo</v>
      </c>
      <c r="D612" s="10" t="s">
        <v>1688</v>
      </c>
      <c r="E612" s="11" t="s">
        <v>1689</v>
      </c>
      <c r="F612" s="11" t="s">
        <v>1720</v>
      </c>
      <c r="G612" s="12" t="s">
        <v>1691</v>
      </c>
      <c r="H612" s="42" t="s">
        <v>1721</v>
      </c>
      <c r="I612" s="12" t="s">
        <v>963</v>
      </c>
      <c r="J612" s="10" t="s">
        <v>562</v>
      </c>
      <c r="K612" s="10" t="s">
        <v>190</v>
      </c>
      <c r="L612" s="10" t="s">
        <v>6</v>
      </c>
      <c r="M612" s="14">
        <v>45694.0</v>
      </c>
      <c r="N612" s="11" t="s">
        <v>1722</v>
      </c>
      <c r="O612" s="10" t="s">
        <v>1662</v>
      </c>
      <c r="P612" s="10" t="s">
        <v>1695</v>
      </c>
      <c r="Q612" s="2"/>
      <c r="R612" s="15"/>
      <c r="S612" s="15"/>
      <c r="T612" s="15"/>
      <c r="U612" s="15"/>
      <c r="V612" s="1"/>
      <c r="W612" s="15"/>
      <c r="X612" s="15"/>
      <c r="Y612" s="15"/>
      <c r="Z612" s="15"/>
      <c r="AA612" s="1"/>
      <c r="AB612" s="10">
        <v>60.0</v>
      </c>
      <c r="AC612" s="14">
        <v>45694.0</v>
      </c>
      <c r="AD612" s="14">
        <v>47520.0</v>
      </c>
      <c r="AE612" s="10">
        <f t="shared" si="63"/>
        <v>1429</v>
      </c>
      <c r="AF612" s="2"/>
      <c r="AG612" s="10" t="s">
        <v>1498</v>
      </c>
      <c r="AH612" s="12" t="s">
        <v>46</v>
      </c>
      <c r="AI612" s="16" t="s">
        <v>45</v>
      </c>
      <c r="AJ612" s="16" t="s">
        <v>45</v>
      </c>
      <c r="AK612" s="16" t="s">
        <v>45</v>
      </c>
      <c r="AL612" s="10" t="s">
        <v>49</v>
      </c>
      <c r="AM612" s="16" t="s">
        <v>45</v>
      </c>
      <c r="AN612" s="10" t="s">
        <v>1499</v>
      </c>
    </row>
    <row r="613" ht="30.0" customHeight="1">
      <c r="A613" s="9" t="str">
        <f t="shared" si="48"/>
        <v>N/I</v>
      </c>
      <c r="B613" s="9" t="str">
        <f t="shared" si="49"/>
        <v>N/I</v>
      </c>
      <c r="C613" s="9" t="str">
        <f t="shared" si="50"/>
        <v>Ativo</v>
      </c>
      <c r="D613" s="10" t="s">
        <v>1688</v>
      </c>
      <c r="E613" s="11" t="s">
        <v>1689</v>
      </c>
      <c r="F613" s="11" t="s">
        <v>1663</v>
      </c>
      <c r="G613" s="12" t="s">
        <v>1691</v>
      </c>
      <c r="H613" s="42" t="s">
        <v>1723</v>
      </c>
      <c r="I613" s="12" t="s">
        <v>963</v>
      </c>
      <c r="J613" s="10" t="s">
        <v>562</v>
      </c>
      <c r="K613" s="10" t="s">
        <v>190</v>
      </c>
      <c r="L613" s="10" t="s">
        <v>6</v>
      </c>
      <c r="M613" s="14">
        <v>45719.0</v>
      </c>
      <c r="N613" s="32" t="s">
        <v>967</v>
      </c>
      <c r="O613" s="10" t="s">
        <v>1662</v>
      </c>
      <c r="P613" s="10" t="s">
        <v>1695</v>
      </c>
      <c r="Q613" s="2"/>
      <c r="R613" s="15"/>
      <c r="S613" s="15"/>
      <c r="T613" s="15"/>
      <c r="U613" s="15"/>
      <c r="V613" s="1"/>
      <c r="W613" s="15"/>
      <c r="X613" s="15"/>
      <c r="Y613" s="15"/>
      <c r="Z613" s="15"/>
      <c r="AA613" s="1"/>
      <c r="AB613" s="10">
        <v>60.0</v>
      </c>
      <c r="AC613" s="14">
        <v>45719.0</v>
      </c>
      <c r="AD613" s="14">
        <v>47545.0</v>
      </c>
      <c r="AE613" s="10">
        <f t="shared" si="63"/>
        <v>1454</v>
      </c>
      <c r="AF613" s="2"/>
      <c r="AG613" s="10" t="s">
        <v>1498</v>
      </c>
      <c r="AH613" s="12" t="s">
        <v>46</v>
      </c>
      <c r="AI613" s="16" t="s">
        <v>45</v>
      </c>
      <c r="AJ613" s="16" t="s">
        <v>45</v>
      </c>
      <c r="AK613" s="16" t="s">
        <v>45</v>
      </c>
      <c r="AL613" s="10" t="s">
        <v>49</v>
      </c>
      <c r="AM613" s="16" t="s">
        <v>45</v>
      </c>
      <c r="AN613" s="10" t="s">
        <v>1499</v>
      </c>
    </row>
    <row r="614" ht="30.0" customHeight="1">
      <c r="A614" s="9" t="str">
        <f t="shared" si="48"/>
        <v>N/I</v>
      </c>
      <c r="B614" s="9" t="str">
        <f t="shared" si="49"/>
        <v>N/I</v>
      </c>
      <c r="C614" s="9" t="str">
        <f t="shared" si="50"/>
        <v>Ativo</v>
      </c>
      <c r="D614" s="10" t="s">
        <v>1688</v>
      </c>
      <c r="E614" s="11" t="s">
        <v>1689</v>
      </c>
      <c r="F614" s="11" t="s">
        <v>1663</v>
      </c>
      <c r="G614" s="12" t="s">
        <v>1691</v>
      </c>
      <c r="H614" s="42" t="s">
        <v>1724</v>
      </c>
      <c r="I614" s="12" t="s">
        <v>963</v>
      </c>
      <c r="J614" s="10" t="s">
        <v>562</v>
      </c>
      <c r="K614" s="10" t="s">
        <v>190</v>
      </c>
      <c r="L614" s="10" t="s">
        <v>6</v>
      </c>
      <c r="M614" s="14">
        <v>45719.0</v>
      </c>
      <c r="N614" s="11" t="s">
        <v>1725</v>
      </c>
      <c r="O614" s="10" t="s">
        <v>319</v>
      </c>
      <c r="P614" s="10" t="s">
        <v>1695</v>
      </c>
      <c r="Q614" s="2"/>
      <c r="R614" s="15"/>
      <c r="S614" s="15"/>
      <c r="T614" s="15"/>
      <c r="U614" s="15"/>
      <c r="V614" s="1"/>
      <c r="W614" s="15"/>
      <c r="X614" s="15"/>
      <c r="Y614" s="15"/>
      <c r="Z614" s="15"/>
      <c r="AA614" s="1"/>
      <c r="AB614" s="10">
        <v>60.0</v>
      </c>
      <c r="AC614" s="14">
        <v>45719.0</v>
      </c>
      <c r="AD614" s="14">
        <v>47545.0</v>
      </c>
      <c r="AE614" s="10">
        <f t="shared" si="63"/>
        <v>1454</v>
      </c>
      <c r="AF614" s="2"/>
      <c r="AG614" s="10" t="s">
        <v>1498</v>
      </c>
      <c r="AH614" s="12" t="s">
        <v>46</v>
      </c>
      <c r="AI614" s="16" t="s">
        <v>45</v>
      </c>
      <c r="AJ614" s="16" t="s">
        <v>45</v>
      </c>
      <c r="AK614" s="16" t="s">
        <v>45</v>
      </c>
      <c r="AL614" s="10" t="s">
        <v>49</v>
      </c>
      <c r="AM614" s="16" t="s">
        <v>45</v>
      </c>
      <c r="AN614" s="10" t="s">
        <v>1499</v>
      </c>
    </row>
    <row r="615" ht="30.0" customHeight="1">
      <c r="A615" s="9" t="str">
        <f t="shared" si="48"/>
        <v>N/I</v>
      </c>
      <c r="B615" s="9" t="str">
        <f t="shared" si="49"/>
        <v>N/I</v>
      </c>
      <c r="C615" s="9" t="str">
        <f t="shared" si="50"/>
        <v>Ativo</v>
      </c>
      <c r="D615" s="10" t="s">
        <v>1688</v>
      </c>
      <c r="E615" s="11" t="s">
        <v>1689</v>
      </c>
      <c r="F615" s="11" t="s">
        <v>1720</v>
      </c>
      <c r="G615" s="12" t="s">
        <v>1691</v>
      </c>
      <c r="H615" s="42" t="s">
        <v>1726</v>
      </c>
      <c r="I615" s="12" t="s">
        <v>963</v>
      </c>
      <c r="J615" s="10" t="s">
        <v>562</v>
      </c>
      <c r="K615" s="10" t="s">
        <v>190</v>
      </c>
      <c r="L615" s="10" t="s">
        <v>6</v>
      </c>
      <c r="M615" s="14">
        <v>45719.0</v>
      </c>
      <c r="N615" s="32" t="s">
        <v>967</v>
      </c>
      <c r="O615" s="10" t="s">
        <v>1662</v>
      </c>
      <c r="P615" s="10" t="s">
        <v>1695</v>
      </c>
      <c r="Q615" s="2"/>
      <c r="R615" s="15"/>
      <c r="S615" s="15"/>
      <c r="T615" s="15"/>
      <c r="U615" s="15"/>
      <c r="V615" s="1"/>
      <c r="W615" s="15"/>
      <c r="X615" s="15"/>
      <c r="Y615" s="15"/>
      <c r="Z615" s="15"/>
      <c r="AA615" s="1"/>
      <c r="AB615" s="10">
        <v>60.0</v>
      </c>
      <c r="AC615" s="14">
        <v>45719.0</v>
      </c>
      <c r="AD615" s="14">
        <v>47545.0</v>
      </c>
      <c r="AE615" s="10">
        <f t="shared" si="63"/>
        <v>1454</v>
      </c>
      <c r="AF615" s="2"/>
      <c r="AG615" s="10" t="s">
        <v>1498</v>
      </c>
      <c r="AH615" s="12" t="s">
        <v>46</v>
      </c>
      <c r="AI615" s="16" t="s">
        <v>45</v>
      </c>
      <c r="AJ615" s="16" t="s">
        <v>45</v>
      </c>
      <c r="AK615" s="16" t="s">
        <v>45</v>
      </c>
      <c r="AL615" s="10" t="s">
        <v>49</v>
      </c>
      <c r="AM615" s="16" t="s">
        <v>45</v>
      </c>
      <c r="AN615" s="10" t="s">
        <v>1499</v>
      </c>
    </row>
    <row r="616" ht="30.0" customHeight="1">
      <c r="A616" s="9" t="str">
        <f t="shared" si="48"/>
        <v>N/I</v>
      </c>
      <c r="B616" s="9" t="str">
        <f t="shared" si="49"/>
        <v>N/I</v>
      </c>
      <c r="C616" s="9" t="str">
        <f t="shared" si="50"/>
        <v>Ativo</v>
      </c>
      <c r="D616" s="10" t="s">
        <v>1688</v>
      </c>
      <c r="E616" s="11" t="s">
        <v>1689</v>
      </c>
      <c r="F616" s="11" t="s">
        <v>1727</v>
      </c>
      <c r="G616" s="12" t="s">
        <v>1691</v>
      </c>
      <c r="H616" s="42" t="s">
        <v>1728</v>
      </c>
      <c r="I616" s="12" t="s">
        <v>1729</v>
      </c>
      <c r="J616" s="10" t="s">
        <v>562</v>
      </c>
      <c r="K616" s="10" t="s">
        <v>190</v>
      </c>
      <c r="L616" s="10" t="s">
        <v>6</v>
      </c>
      <c r="M616" s="14">
        <v>45747.0</v>
      </c>
      <c r="N616" s="11" t="s">
        <v>1730</v>
      </c>
      <c r="O616" s="10" t="s">
        <v>1731</v>
      </c>
      <c r="P616" s="10" t="s">
        <v>1695</v>
      </c>
      <c r="Q616" s="2"/>
      <c r="R616" s="15"/>
      <c r="S616" s="15"/>
      <c r="T616" s="15"/>
      <c r="U616" s="15"/>
      <c r="V616" s="1"/>
      <c r="W616" s="15"/>
      <c r="X616" s="15"/>
      <c r="Y616" s="15"/>
      <c r="Z616" s="15"/>
      <c r="AA616" s="1"/>
      <c r="AB616" s="10">
        <v>60.0</v>
      </c>
      <c r="AC616" s="14">
        <v>45747.0</v>
      </c>
      <c r="AD616" s="14">
        <v>47573.0</v>
      </c>
      <c r="AE616" s="10">
        <f t="shared" si="63"/>
        <v>1482</v>
      </c>
      <c r="AF616" s="2"/>
      <c r="AG616" s="10" t="s">
        <v>1498</v>
      </c>
      <c r="AH616" s="12" t="s">
        <v>46</v>
      </c>
      <c r="AI616" s="16" t="s">
        <v>45</v>
      </c>
      <c r="AJ616" s="16" t="s">
        <v>45</v>
      </c>
      <c r="AK616" s="16" t="s">
        <v>45</v>
      </c>
      <c r="AL616" s="10" t="s">
        <v>49</v>
      </c>
      <c r="AM616" s="16" t="s">
        <v>45</v>
      </c>
      <c r="AN616" s="10" t="s">
        <v>1499</v>
      </c>
    </row>
    <row r="617" ht="30.0" customHeight="1">
      <c r="A617" s="9" t="str">
        <f t="shared" si="48"/>
        <v>N/I</v>
      </c>
      <c r="B617" s="9" t="str">
        <f t="shared" si="49"/>
        <v>N/I</v>
      </c>
      <c r="C617" s="9" t="str">
        <f t="shared" si="50"/>
        <v>Ativo</v>
      </c>
      <c r="D617" s="10" t="s">
        <v>1688</v>
      </c>
      <c r="E617" s="11" t="s">
        <v>1689</v>
      </c>
      <c r="F617" s="11" t="s">
        <v>1732</v>
      </c>
      <c r="G617" s="12" t="s">
        <v>1691</v>
      </c>
      <c r="H617" s="42" t="s">
        <v>1733</v>
      </c>
      <c r="I617" s="12" t="s">
        <v>1734</v>
      </c>
      <c r="J617" s="10" t="s">
        <v>562</v>
      </c>
      <c r="K617" s="10" t="s">
        <v>190</v>
      </c>
      <c r="L617" s="10" t="s">
        <v>6</v>
      </c>
      <c r="M617" s="14">
        <v>45721.0</v>
      </c>
      <c r="N617" s="11" t="s">
        <v>1735</v>
      </c>
      <c r="O617" s="10" t="s">
        <v>319</v>
      </c>
      <c r="P617" s="10" t="s">
        <v>1695</v>
      </c>
      <c r="Q617" s="2"/>
      <c r="R617" s="15"/>
      <c r="S617" s="15"/>
      <c r="T617" s="15"/>
      <c r="U617" s="15"/>
      <c r="V617" s="1"/>
      <c r="W617" s="15"/>
      <c r="X617" s="15"/>
      <c r="Y617" s="15"/>
      <c r="Z617" s="15"/>
      <c r="AA617" s="1"/>
      <c r="AB617" s="10">
        <v>60.0</v>
      </c>
      <c r="AC617" s="14">
        <v>45721.0</v>
      </c>
      <c r="AD617" s="14">
        <v>47547.0</v>
      </c>
      <c r="AE617" s="10">
        <f t="shared" si="63"/>
        <v>1456</v>
      </c>
      <c r="AF617" s="2"/>
      <c r="AG617" s="10" t="s">
        <v>1498</v>
      </c>
      <c r="AH617" s="12" t="s">
        <v>46</v>
      </c>
      <c r="AI617" s="16" t="s">
        <v>45</v>
      </c>
      <c r="AJ617" s="16" t="s">
        <v>45</v>
      </c>
      <c r="AK617" s="16" t="s">
        <v>45</v>
      </c>
      <c r="AL617" s="10" t="s">
        <v>49</v>
      </c>
      <c r="AM617" s="16" t="s">
        <v>45</v>
      </c>
      <c r="AN617" s="10" t="s">
        <v>1499</v>
      </c>
    </row>
    <row r="618" ht="30.0" customHeight="1">
      <c r="A618" s="9" t="str">
        <f t="shared" si="48"/>
        <v>N/I</v>
      </c>
      <c r="B618" s="9" t="str">
        <f t="shared" si="49"/>
        <v>N/I</v>
      </c>
      <c r="C618" s="9" t="str">
        <f t="shared" si="50"/>
        <v>Ativo</v>
      </c>
      <c r="D618" s="10" t="s">
        <v>1688</v>
      </c>
      <c r="E618" s="11" t="s">
        <v>1689</v>
      </c>
      <c r="F618" s="11" t="s">
        <v>1736</v>
      </c>
      <c r="G618" s="12" t="s">
        <v>1691</v>
      </c>
      <c r="H618" s="42" t="s">
        <v>1737</v>
      </c>
      <c r="I618" s="12" t="s">
        <v>1738</v>
      </c>
      <c r="J618" s="10" t="s">
        <v>562</v>
      </c>
      <c r="K618" s="10" t="s">
        <v>190</v>
      </c>
      <c r="L618" s="10" t="s">
        <v>6</v>
      </c>
      <c r="M618" s="14">
        <v>45721.0</v>
      </c>
      <c r="N618" s="11" t="s">
        <v>1739</v>
      </c>
      <c r="O618" s="10" t="s">
        <v>1740</v>
      </c>
      <c r="P618" s="10" t="s">
        <v>1695</v>
      </c>
      <c r="Q618" s="2"/>
      <c r="R618" s="15"/>
      <c r="S618" s="15"/>
      <c r="T618" s="15"/>
      <c r="U618" s="15"/>
      <c r="V618" s="1"/>
      <c r="W618" s="15"/>
      <c r="X618" s="15"/>
      <c r="Y618" s="15"/>
      <c r="Z618" s="15"/>
      <c r="AA618" s="1"/>
      <c r="AB618" s="10">
        <v>60.0</v>
      </c>
      <c r="AC618" s="14">
        <v>45721.0</v>
      </c>
      <c r="AD618" s="14">
        <v>47547.0</v>
      </c>
      <c r="AE618" s="10">
        <f t="shared" si="63"/>
        <v>1456</v>
      </c>
      <c r="AF618" s="2"/>
      <c r="AG618" s="10" t="s">
        <v>1498</v>
      </c>
      <c r="AH618" s="12" t="s">
        <v>46</v>
      </c>
      <c r="AI618" s="16" t="s">
        <v>45</v>
      </c>
      <c r="AJ618" s="16" t="s">
        <v>45</v>
      </c>
      <c r="AK618" s="16" t="s">
        <v>45</v>
      </c>
      <c r="AL618" s="10" t="s">
        <v>49</v>
      </c>
      <c r="AM618" s="16" t="s">
        <v>45</v>
      </c>
      <c r="AN618" s="10" t="s">
        <v>1499</v>
      </c>
    </row>
    <row r="619" ht="30.0" customHeight="1">
      <c r="A619" s="9" t="str">
        <f t="shared" si="48"/>
        <v>N/I</v>
      </c>
      <c r="B619" s="9" t="str">
        <f t="shared" si="49"/>
        <v>N/I</v>
      </c>
      <c r="C619" s="9" t="str">
        <f t="shared" si="50"/>
        <v>Ativo</v>
      </c>
      <c r="D619" s="10" t="s">
        <v>1688</v>
      </c>
      <c r="E619" s="11" t="s">
        <v>1689</v>
      </c>
      <c r="F619" s="11" t="s">
        <v>1741</v>
      </c>
      <c r="G619" s="12" t="s">
        <v>1691</v>
      </c>
      <c r="H619" s="42" t="s">
        <v>1742</v>
      </c>
      <c r="I619" s="12" t="s">
        <v>1743</v>
      </c>
      <c r="J619" s="10" t="s">
        <v>562</v>
      </c>
      <c r="K619" s="10" t="s">
        <v>190</v>
      </c>
      <c r="L619" s="10" t="s">
        <v>6</v>
      </c>
      <c r="M619" s="14">
        <v>45868.0</v>
      </c>
      <c r="N619" s="11" t="s">
        <v>1744</v>
      </c>
      <c r="O619" s="10" t="s">
        <v>1745</v>
      </c>
      <c r="P619" s="10" t="s">
        <v>1695</v>
      </c>
      <c r="Q619" s="2"/>
      <c r="R619" s="15"/>
      <c r="S619" s="15"/>
      <c r="T619" s="15"/>
      <c r="U619" s="15"/>
      <c r="V619" s="1"/>
      <c r="W619" s="15"/>
      <c r="X619" s="15"/>
      <c r="Y619" s="15"/>
      <c r="Z619" s="15"/>
      <c r="AA619" s="1"/>
      <c r="AB619" s="10">
        <v>60.0</v>
      </c>
      <c r="AC619" s="14">
        <v>45868.0</v>
      </c>
      <c r="AD619" s="14">
        <v>47694.0</v>
      </c>
      <c r="AE619" s="10">
        <f t="shared" si="63"/>
        <v>1603</v>
      </c>
      <c r="AF619" s="2"/>
      <c r="AG619" s="10" t="s">
        <v>1498</v>
      </c>
      <c r="AH619" s="12" t="s">
        <v>46</v>
      </c>
      <c r="AI619" s="16" t="s">
        <v>45</v>
      </c>
      <c r="AJ619" s="16" t="s">
        <v>45</v>
      </c>
      <c r="AK619" s="16" t="s">
        <v>45</v>
      </c>
      <c r="AL619" s="10" t="s">
        <v>49</v>
      </c>
      <c r="AM619" s="16" t="s">
        <v>45</v>
      </c>
      <c r="AN619" s="10" t="s">
        <v>1499</v>
      </c>
    </row>
    <row r="620" ht="30.0" customHeight="1">
      <c r="A620" s="9" t="str">
        <f t="shared" si="48"/>
        <v>N/I</v>
      </c>
      <c r="B620" s="9" t="str">
        <f t="shared" si="49"/>
        <v>N/I</v>
      </c>
      <c r="C620" s="9" t="str">
        <f t="shared" si="50"/>
        <v>Ativo</v>
      </c>
      <c r="D620" s="10" t="s">
        <v>1688</v>
      </c>
      <c r="E620" s="11" t="s">
        <v>1689</v>
      </c>
      <c r="F620" s="11" t="s">
        <v>1746</v>
      </c>
      <c r="G620" s="12" t="s">
        <v>1691</v>
      </c>
      <c r="H620" s="42" t="s">
        <v>1747</v>
      </c>
      <c r="I620" s="12" t="s">
        <v>1748</v>
      </c>
      <c r="J620" s="10" t="s">
        <v>562</v>
      </c>
      <c r="K620" s="10" t="s">
        <v>190</v>
      </c>
      <c r="L620" s="10" t="s">
        <v>6</v>
      </c>
      <c r="M620" s="14">
        <v>45846.0</v>
      </c>
      <c r="N620" s="11" t="s">
        <v>1749</v>
      </c>
      <c r="O620" s="10" t="s">
        <v>1750</v>
      </c>
      <c r="P620" s="10" t="s">
        <v>1695</v>
      </c>
      <c r="Q620" s="2"/>
      <c r="R620" s="15"/>
      <c r="S620" s="15"/>
      <c r="T620" s="15"/>
      <c r="U620" s="15"/>
      <c r="V620" s="1"/>
      <c r="W620" s="15"/>
      <c r="X620" s="15"/>
      <c r="Y620" s="15"/>
      <c r="Z620" s="15"/>
      <c r="AA620" s="1"/>
      <c r="AB620" s="10">
        <v>60.0</v>
      </c>
      <c r="AC620" s="14">
        <v>45846.0</v>
      </c>
      <c r="AD620" s="14">
        <v>47672.0</v>
      </c>
      <c r="AE620" s="10">
        <f t="shared" si="63"/>
        <v>1581</v>
      </c>
      <c r="AF620" s="2"/>
      <c r="AG620" s="10" t="s">
        <v>1498</v>
      </c>
      <c r="AH620" s="12" t="s">
        <v>46</v>
      </c>
      <c r="AI620" s="16" t="s">
        <v>45</v>
      </c>
      <c r="AJ620" s="16" t="s">
        <v>45</v>
      </c>
      <c r="AK620" s="16" t="s">
        <v>45</v>
      </c>
      <c r="AL620" s="10" t="s">
        <v>49</v>
      </c>
      <c r="AM620" s="16" t="s">
        <v>45</v>
      </c>
      <c r="AN620" s="10" t="s">
        <v>1499</v>
      </c>
    </row>
    <row r="621" ht="30.0" customHeight="1">
      <c r="A621" s="9" t="str">
        <f t="shared" si="48"/>
        <v>N/I</v>
      </c>
      <c r="B621" s="9" t="str">
        <f t="shared" si="49"/>
        <v>N/I</v>
      </c>
      <c r="C621" s="9" t="str">
        <f t="shared" si="50"/>
        <v>Ativo</v>
      </c>
      <c r="D621" s="10" t="s">
        <v>1688</v>
      </c>
      <c r="E621" s="11" t="s">
        <v>1689</v>
      </c>
      <c r="F621" s="11" t="s">
        <v>1751</v>
      </c>
      <c r="G621" s="12" t="s">
        <v>1691</v>
      </c>
      <c r="H621" s="42" t="s">
        <v>1752</v>
      </c>
      <c r="I621" s="12" t="s">
        <v>1753</v>
      </c>
      <c r="J621" s="10" t="s">
        <v>562</v>
      </c>
      <c r="K621" s="10" t="s">
        <v>190</v>
      </c>
      <c r="L621" s="10" t="s">
        <v>6</v>
      </c>
      <c r="M621" s="14">
        <v>45740.0</v>
      </c>
      <c r="N621" s="11" t="s">
        <v>1754</v>
      </c>
      <c r="O621" s="10" t="s">
        <v>1755</v>
      </c>
      <c r="P621" s="10" t="s">
        <v>1695</v>
      </c>
      <c r="Q621" s="2"/>
      <c r="R621" s="15"/>
      <c r="S621" s="15"/>
      <c r="T621" s="15"/>
      <c r="U621" s="15"/>
      <c r="V621" s="1"/>
      <c r="W621" s="15"/>
      <c r="X621" s="15"/>
      <c r="Y621" s="15"/>
      <c r="Z621" s="15"/>
      <c r="AA621" s="1"/>
      <c r="AB621" s="10">
        <v>60.0</v>
      </c>
      <c r="AC621" s="14">
        <v>45740.0</v>
      </c>
      <c r="AD621" s="14">
        <v>47566.0</v>
      </c>
      <c r="AE621" s="10">
        <f t="shared" si="63"/>
        <v>1475</v>
      </c>
      <c r="AF621" s="2"/>
      <c r="AG621" s="10" t="s">
        <v>1498</v>
      </c>
      <c r="AH621" s="12" t="s">
        <v>46</v>
      </c>
      <c r="AI621" s="16" t="s">
        <v>45</v>
      </c>
      <c r="AJ621" s="16" t="s">
        <v>45</v>
      </c>
      <c r="AK621" s="16" t="s">
        <v>45</v>
      </c>
      <c r="AL621" s="10" t="s">
        <v>49</v>
      </c>
      <c r="AM621" s="16" t="s">
        <v>45</v>
      </c>
      <c r="AN621" s="10" t="s">
        <v>1499</v>
      </c>
    </row>
    <row r="622" ht="30.0" customHeight="1">
      <c r="A622" s="9" t="str">
        <f t="shared" si="48"/>
        <v>N/I</v>
      </c>
      <c r="B622" s="9" t="str">
        <f t="shared" si="49"/>
        <v>N/I</v>
      </c>
      <c r="C622" s="9" t="str">
        <f t="shared" si="50"/>
        <v>Ativo</v>
      </c>
      <c r="D622" s="10" t="s">
        <v>1688</v>
      </c>
      <c r="E622" s="11" t="s">
        <v>1689</v>
      </c>
      <c r="F622" s="11" t="s">
        <v>1756</v>
      </c>
      <c r="G622" s="12" t="s">
        <v>1691</v>
      </c>
      <c r="H622" s="42" t="s">
        <v>1757</v>
      </c>
      <c r="I622" s="12" t="s">
        <v>1758</v>
      </c>
      <c r="J622" s="10" t="s">
        <v>562</v>
      </c>
      <c r="K622" s="10" t="s">
        <v>190</v>
      </c>
      <c r="L622" s="10" t="s">
        <v>6</v>
      </c>
      <c r="M622" s="22">
        <v>45756.0</v>
      </c>
      <c r="N622" s="11" t="s">
        <v>1759</v>
      </c>
      <c r="O622" s="10" t="s">
        <v>1760</v>
      </c>
      <c r="P622" s="10" t="s">
        <v>1695</v>
      </c>
      <c r="Q622" s="2"/>
      <c r="R622" s="15"/>
      <c r="S622" s="15"/>
      <c r="T622" s="15"/>
      <c r="U622" s="15"/>
      <c r="V622" s="1"/>
      <c r="W622" s="15"/>
      <c r="X622" s="15"/>
      <c r="Y622" s="15"/>
      <c r="Z622" s="15"/>
      <c r="AA622" s="1"/>
      <c r="AB622" s="10">
        <v>60.0</v>
      </c>
      <c r="AC622" s="14">
        <v>45756.0</v>
      </c>
      <c r="AD622" s="14">
        <v>47582.0</v>
      </c>
      <c r="AE622" s="10">
        <f t="shared" si="63"/>
        <v>1491</v>
      </c>
      <c r="AF622" s="2"/>
      <c r="AG622" s="10" t="s">
        <v>1498</v>
      </c>
      <c r="AH622" s="12" t="s">
        <v>46</v>
      </c>
      <c r="AI622" s="16" t="s">
        <v>45</v>
      </c>
      <c r="AJ622" s="16" t="s">
        <v>45</v>
      </c>
      <c r="AK622" s="16" t="s">
        <v>45</v>
      </c>
      <c r="AL622" s="10" t="s">
        <v>49</v>
      </c>
      <c r="AM622" s="16" t="s">
        <v>45</v>
      </c>
      <c r="AN622" s="10" t="s">
        <v>1499</v>
      </c>
    </row>
    <row r="623" ht="30.0" customHeight="1">
      <c r="A623" s="9" t="str">
        <f t="shared" si="48"/>
        <v>N/I</v>
      </c>
      <c r="B623" s="9" t="str">
        <f t="shared" si="49"/>
        <v>N/I</v>
      </c>
      <c r="C623" s="9" t="str">
        <f t="shared" si="50"/>
        <v>Ativo</v>
      </c>
      <c r="D623" s="10" t="s">
        <v>1688</v>
      </c>
      <c r="E623" s="11" t="s">
        <v>1689</v>
      </c>
      <c r="F623" s="11" t="s">
        <v>1761</v>
      </c>
      <c r="G623" s="12" t="s">
        <v>1691</v>
      </c>
      <c r="H623" s="42" t="s">
        <v>1762</v>
      </c>
      <c r="I623" s="12" t="s">
        <v>1763</v>
      </c>
      <c r="J623" s="10" t="s">
        <v>562</v>
      </c>
      <c r="K623" s="10" t="s">
        <v>190</v>
      </c>
      <c r="L623" s="10" t="s">
        <v>6</v>
      </c>
      <c r="M623" s="14">
        <v>45727.0</v>
      </c>
      <c r="N623" s="11" t="s">
        <v>1764</v>
      </c>
      <c r="O623" s="10" t="s">
        <v>1765</v>
      </c>
      <c r="P623" s="10" t="s">
        <v>1695</v>
      </c>
      <c r="Q623" s="2"/>
      <c r="R623" s="15"/>
      <c r="S623" s="15"/>
      <c r="T623" s="15"/>
      <c r="U623" s="15"/>
      <c r="V623" s="1"/>
      <c r="W623" s="15"/>
      <c r="X623" s="15"/>
      <c r="Y623" s="15"/>
      <c r="Z623" s="15"/>
      <c r="AA623" s="1"/>
      <c r="AB623" s="10">
        <v>60.0</v>
      </c>
      <c r="AC623" s="14">
        <v>45728.0</v>
      </c>
      <c r="AD623" s="14">
        <v>47554.0</v>
      </c>
      <c r="AE623" s="10">
        <f t="shared" si="63"/>
        <v>1463</v>
      </c>
      <c r="AF623" s="2"/>
      <c r="AG623" s="10" t="s">
        <v>1498</v>
      </c>
      <c r="AH623" s="12" t="s">
        <v>46</v>
      </c>
      <c r="AI623" s="16" t="s">
        <v>45</v>
      </c>
      <c r="AJ623" s="16" t="s">
        <v>45</v>
      </c>
      <c r="AK623" s="16" t="s">
        <v>45</v>
      </c>
      <c r="AL623" s="10" t="s">
        <v>49</v>
      </c>
      <c r="AM623" s="16" t="s">
        <v>45</v>
      </c>
      <c r="AN623" s="10" t="s">
        <v>1499</v>
      </c>
    </row>
    <row r="624" ht="30.0" customHeight="1">
      <c r="A624" s="9" t="str">
        <f t="shared" si="48"/>
        <v>N/I</v>
      </c>
      <c r="B624" s="9" t="str">
        <f t="shared" si="49"/>
        <v>N/I</v>
      </c>
      <c r="C624" s="9" t="str">
        <f t="shared" si="50"/>
        <v>Ativo</v>
      </c>
      <c r="D624" s="10" t="s">
        <v>1688</v>
      </c>
      <c r="E624" s="11" t="s">
        <v>1689</v>
      </c>
      <c r="F624" s="11" t="s">
        <v>1766</v>
      </c>
      <c r="G624" s="12" t="s">
        <v>1691</v>
      </c>
      <c r="H624" s="42" t="s">
        <v>1767</v>
      </c>
      <c r="I624" s="12" t="s">
        <v>1768</v>
      </c>
      <c r="J624" s="10" t="s">
        <v>562</v>
      </c>
      <c r="K624" s="10" t="s">
        <v>190</v>
      </c>
      <c r="L624" s="10" t="s">
        <v>6</v>
      </c>
      <c r="M624" s="22">
        <v>45782.0</v>
      </c>
      <c r="N624" s="11" t="s">
        <v>1769</v>
      </c>
      <c r="O624" s="10" t="s">
        <v>1770</v>
      </c>
      <c r="P624" s="10" t="s">
        <v>1695</v>
      </c>
      <c r="Q624" s="2"/>
      <c r="R624" s="15"/>
      <c r="S624" s="15"/>
      <c r="T624" s="15"/>
      <c r="U624" s="15"/>
      <c r="V624" s="1"/>
      <c r="W624" s="15"/>
      <c r="X624" s="15"/>
      <c r="Y624" s="15"/>
      <c r="Z624" s="15"/>
      <c r="AA624" s="1"/>
      <c r="AB624" s="10">
        <v>60.0</v>
      </c>
      <c r="AC624" s="14">
        <v>45782.0</v>
      </c>
      <c r="AD624" s="14">
        <v>47608.0</v>
      </c>
      <c r="AE624" s="10">
        <f t="shared" si="63"/>
        <v>1517</v>
      </c>
      <c r="AF624" s="2"/>
      <c r="AG624" s="10" t="s">
        <v>1498</v>
      </c>
      <c r="AH624" s="12" t="s">
        <v>46</v>
      </c>
      <c r="AI624" s="16" t="s">
        <v>45</v>
      </c>
      <c r="AJ624" s="16" t="s">
        <v>45</v>
      </c>
      <c r="AK624" s="16" t="s">
        <v>45</v>
      </c>
      <c r="AL624" s="10" t="s">
        <v>49</v>
      </c>
      <c r="AM624" s="16" t="s">
        <v>45</v>
      </c>
      <c r="AN624" s="10" t="s">
        <v>1499</v>
      </c>
    </row>
    <row r="625" ht="30.0" customHeight="1">
      <c r="A625" s="9" t="str">
        <f t="shared" si="48"/>
        <v>N/I</v>
      </c>
      <c r="B625" s="9" t="str">
        <f t="shared" si="49"/>
        <v>N/I</v>
      </c>
      <c r="C625" s="9" t="str">
        <f t="shared" si="50"/>
        <v>Ativo</v>
      </c>
      <c r="D625" s="10" t="s">
        <v>1688</v>
      </c>
      <c r="E625" s="11" t="s">
        <v>1689</v>
      </c>
      <c r="F625" s="11" t="s">
        <v>1679</v>
      </c>
      <c r="G625" s="12" t="s">
        <v>502</v>
      </c>
      <c r="H625" s="42" t="s">
        <v>1771</v>
      </c>
      <c r="I625" s="12" t="s">
        <v>1681</v>
      </c>
      <c r="J625" s="10" t="s">
        <v>562</v>
      </c>
      <c r="K625" s="10" t="s">
        <v>190</v>
      </c>
      <c r="L625" s="10" t="s">
        <v>6</v>
      </c>
      <c r="M625" s="14">
        <v>45686.0</v>
      </c>
      <c r="N625" s="32" t="s">
        <v>1772</v>
      </c>
      <c r="O625" s="10" t="s">
        <v>1773</v>
      </c>
      <c r="P625" s="10" t="s">
        <v>1695</v>
      </c>
      <c r="Q625" s="2"/>
      <c r="R625" s="15"/>
      <c r="S625" s="15"/>
      <c r="T625" s="15"/>
      <c r="U625" s="15"/>
      <c r="V625" s="1"/>
      <c r="W625" s="15"/>
      <c r="X625" s="15"/>
      <c r="Y625" s="15"/>
      <c r="Z625" s="15"/>
      <c r="AA625" s="1"/>
      <c r="AB625" s="10">
        <v>60.0</v>
      </c>
      <c r="AC625" s="14">
        <v>45686.0</v>
      </c>
      <c r="AD625" s="14">
        <v>47512.0</v>
      </c>
      <c r="AE625" s="10">
        <f t="shared" si="63"/>
        <v>1421</v>
      </c>
      <c r="AF625" s="2"/>
      <c r="AG625" s="10" t="s">
        <v>1498</v>
      </c>
      <c r="AH625" s="12" t="s">
        <v>46</v>
      </c>
      <c r="AI625" s="16" t="s">
        <v>45</v>
      </c>
      <c r="AJ625" s="16" t="s">
        <v>45</v>
      </c>
      <c r="AK625" s="16" t="s">
        <v>45</v>
      </c>
      <c r="AL625" s="10" t="s">
        <v>49</v>
      </c>
      <c r="AM625" s="16" t="s">
        <v>45</v>
      </c>
      <c r="AN625" s="10" t="s">
        <v>1499</v>
      </c>
    </row>
    <row r="626" ht="30.0" customHeight="1">
      <c r="A626" s="9" t="str">
        <f t="shared" si="48"/>
        <v>N/I</v>
      </c>
      <c r="B626" s="9" t="str">
        <f t="shared" si="49"/>
        <v>N/I</v>
      </c>
      <c r="C626" s="9" t="str">
        <f t="shared" si="50"/>
        <v>Ativo</v>
      </c>
      <c r="D626" s="10" t="s">
        <v>1688</v>
      </c>
      <c r="E626" s="11" t="s">
        <v>1689</v>
      </c>
      <c r="F626" s="11" t="s">
        <v>1774</v>
      </c>
      <c r="G626" s="12" t="s">
        <v>1691</v>
      </c>
      <c r="H626" s="42" t="s">
        <v>1775</v>
      </c>
      <c r="I626" s="12" t="s">
        <v>1681</v>
      </c>
      <c r="J626" s="10" t="s">
        <v>562</v>
      </c>
      <c r="K626" s="10" t="s">
        <v>190</v>
      </c>
      <c r="L626" s="10" t="s">
        <v>6</v>
      </c>
      <c r="M626" s="14">
        <v>45733.0</v>
      </c>
      <c r="N626" s="11" t="s">
        <v>1776</v>
      </c>
      <c r="O626" s="10" t="s">
        <v>1777</v>
      </c>
      <c r="P626" s="10" t="s">
        <v>1695</v>
      </c>
      <c r="Q626" s="2"/>
      <c r="R626" s="15"/>
      <c r="S626" s="15"/>
      <c r="T626" s="15"/>
      <c r="U626" s="15"/>
      <c r="V626" s="1"/>
      <c r="W626" s="15"/>
      <c r="X626" s="15"/>
      <c r="Y626" s="15"/>
      <c r="Z626" s="15"/>
      <c r="AA626" s="1"/>
      <c r="AB626" s="10">
        <v>60.0</v>
      </c>
      <c r="AC626" s="14">
        <v>45733.0</v>
      </c>
      <c r="AD626" s="14">
        <v>47559.0</v>
      </c>
      <c r="AE626" s="10">
        <f t="shared" si="63"/>
        <v>1468</v>
      </c>
      <c r="AF626" s="2"/>
      <c r="AG626" s="10" t="s">
        <v>1498</v>
      </c>
      <c r="AH626" s="12" t="s">
        <v>46</v>
      </c>
      <c r="AI626" s="16" t="s">
        <v>45</v>
      </c>
      <c r="AJ626" s="16" t="s">
        <v>45</v>
      </c>
      <c r="AK626" s="16" t="s">
        <v>45</v>
      </c>
      <c r="AL626" s="10" t="s">
        <v>49</v>
      </c>
      <c r="AM626" s="16" t="s">
        <v>45</v>
      </c>
      <c r="AN626" s="10" t="s">
        <v>1499</v>
      </c>
    </row>
    <row r="627" ht="30.0" customHeight="1">
      <c r="A627" s="9" t="str">
        <f t="shared" si="48"/>
        <v>N/I</v>
      </c>
      <c r="B627" s="9" t="str">
        <f t="shared" si="49"/>
        <v>N/I</v>
      </c>
      <c r="C627" s="9" t="str">
        <f t="shared" si="50"/>
        <v>Ativo</v>
      </c>
      <c r="D627" s="10" t="s">
        <v>1688</v>
      </c>
      <c r="E627" s="11" t="s">
        <v>1689</v>
      </c>
      <c r="F627" s="11" t="s">
        <v>1778</v>
      </c>
      <c r="G627" s="12" t="s">
        <v>1691</v>
      </c>
      <c r="H627" s="42" t="s">
        <v>1779</v>
      </c>
      <c r="I627" s="12" t="s">
        <v>1780</v>
      </c>
      <c r="J627" s="10" t="s">
        <v>562</v>
      </c>
      <c r="K627" s="10" t="s">
        <v>190</v>
      </c>
      <c r="L627" s="10" t="s">
        <v>6</v>
      </c>
      <c r="M627" s="22">
        <v>45735.0</v>
      </c>
      <c r="N627" s="11" t="s">
        <v>1781</v>
      </c>
      <c r="O627" s="10" t="s">
        <v>1782</v>
      </c>
      <c r="P627" s="10" t="s">
        <v>1695</v>
      </c>
      <c r="Q627" s="2"/>
      <c r="R627" s="15"/>
      <c r="S627" s="15"/>
      <c r="T627" s="15"/>
      <c r="U627" s="15"/>
      <c r="V627" s="1"/>
      <c r="W627" s="15"/>
      <c r="X627" s="15"/>
      <c r="Y627" s="15"/>
      <c r="Z627" s="15"/>
      <c r="AA627" s="1"/>
      <c r="AB627" s="10">
        <v>60.0</v>
      </c>
      <c r="AC627" s="14">
        <v>45735.0</v>
      </c>
      <c r="AD627" s="14">
        <v>47561.0</v>
      </c>
      <c r="AE627" s="10">
        <f t="shared" si="63"/>
        <v>1470</v>
      </c>
      <c r="AF627" s="2"/>
      <c r="AG627" s="10" t="s">
        <v>1498</v>
      </c>
      <c r="AH627" s="12" t="s">
        <v>46</v>
      </c>
      <c r="AI627" s="16" t="s">
        <v>45</v>
      </c>
      <c r="AJ627" s="16" t="s">
        <v>45</v>
      </c>
      <c r="AK627" s="16" t="s">
        <v>45</v>
      </c>
      <c r="AL627" s="10" t="s">
        <v>49</v>
      </c>
      <c r="AM627" s="16" t="s">
        <v>45</v>
      </c>
      <c r="AN627" s="10" t="s">
        <v>1499</v>
      </c>
    </row>
    <row r="628" ht="30.0" customHeight="1">
      <c r="A628" s="9" t="str">
        <f t="shared" si="48"/>
        <v>N/I</v>
      </c>
      <c r="B628" s="9" t="str">
        <f t="shared" si="49"/>
        <v>N/I</v>
      </c>
      <c r="C628" s="9" t="str">
        <f t="shared" si="50"/>
        <v>Ativo</v>
      </c>
      <c r="D628" s="10" t="s">
        <v>1688</v>
      </c>
      <c r="E628" s="11" t="s">
        <v>1689</v>
      </c>
      <c r="F628" s="11" t="s">
        <v>1783</v>
      </c>
      <c r="G628" s="12" t="s">
        <v>1691</v>
      </c>
      <c r="H628" s="42" t="s">
        <v>1784</v>
      </c>
      <c r="I628" s="12" t="s">
        <v>1785</v>
      </c>
      <c r="J628" s="10" t="s">
        <v>562</v>
      </c>
      <c r="K628" s="10" t="s">
        <v>190</v>
      </c>
      <c r="L628" s="10" t="s">
        <v>6</v>
      </c>
      <c r="M628" s="14">
        <v>45733.0</v>
      </c>
      <c r="N628" s="11" t="s">
        <v>1786</v>
      </c>
      <c r="O628" s="10" t="s">
        <v>1787</v>
      </c>
      <c r="P628" s="10" t="s">
        <v>1695</v>
      </c>
      <c r="Q628" s="2"/>
      <c r="R628" s="15"/>
      <c r="S628" s="15"/>
      <c r="T628" s="15"/>
      <c r="U628" s="15"/>
      <c r="V628" s="1"/>
      <c r="W628" s="15"/>
      <c r="X628" s="15"/>
      <c r="Y628" s="15"/>
      <c r="Z628" s="15"/>
      <c r="AA628" s="1"/>
      <c r="AB628" s="10">
        <v>60.0</v>
      </c>
      <c r="AC628" s="14">
        <v>45733.0</v>
      </c>
      <c r="AD628" s="14">
        <v>47555.0</v>
      </c>
      <c r="AE628" s="10">
        <f t="shared" si="63"/>
        <v>1464</v>
      </c>
      <c r="AF628" s="2"/>
      <c r="AG628" s="10" t="s">
        <v>1498</v>
      </c>
      <c r="AH628" s="12" t="s">
        <v>46</v>
      </c>
      <c r="AI628" s="16" t="s">
        <v>45</v>
      </c>
      <c r="AJ628" s="16" t="s">
        <v>45</v>
      </c>
      <c r="AK628" s="16" t="s">
        <v>45</v>
      </c>
      <c r="AL628" s="10" t="s">
        <v>49</v>
      </c>
      <c r="AM628" s="16" t="s">
        <v>45</v>
      </c>
      <c r="AN628" s="10" t="s">
        <v>1499</v>
      </c>
    </row>
    <row r="629" ht="30.0" customHeight="1">
      <c r="A629" s="9" t="str">
        <f t="shared" si="48"/>
        <v>N/I</v>
      </c>
      <c r="B629" s="9" t="str">
        <f t="shared" si="49"/>
        <v>N/I</v>
      </c>
      <c r="C629" s="9" t="str">
        <f t="shared" si="50"/>
        <v>Ativo</v>
      </c>
      <c r="D629" s="10" t="s">
        <v>1688</v>
      </c>
      <c r="E629" s="11" t="s">
        <v>1689</v>
      </c>
      <c r="F629" s="11" t="s">
        <v>1788</v>
      </c>
      <c r="G629" s="12" t="s">
        <v>1691</v>
      </c>
      <c r="H629" s="42" t="s">
        <v>1789</v>
      </c>
      <c r="I629" s="12" t="s">
        <v>1790</v>
      </c>
      <c r="J629" s="10" t="s">
        <v>562</v>
      </c>
      <c r="K629" s="10" t="s">
        <v>190</v>
      </c>
      <c r="L629" s="10" t="s">
        <v>6</v>
      </c>
      <c r="M629" s="22">
        <v>45838.0</v>
      </c>
      <c r="N629" s="11" t="s">
        <v>1791</v>
      </c>
      <c r="O629" s="10" t="s">
        <v>1792</v>
      </c>
      <c r="P629" s="10" t="s">
        <v>1695</v>
      </c>
      <c r="Q629" s="2"/>
      <c r="R629" s="15"/>
      <c r="S629" s="15"/>
      <c r="T629" s="15"/>
      <c r="U629" s="15"/>
      <c r="V629" s="1"/>
      <c r="W629" s="15"/>
      <c r="X629" s="15"/>
      <c r="Y629" s="15"/>
      <c r="Z629" s="15"/>
      <c r="AA629" s="1"/>
      <c r="AB629" s="10">
        <v>60.0</v>
      </c>
      <c r="AC629" s="14">
        <v>45838.0</v>
      </c>
      <c r="AD629" s="14">
        <v>47664.0</v>
      </c>
      <c r="AE629" s="10">
        <f t="shared" si="63"/>
        <v>1573</v>
      </c>
      <c r="AF629" s="2"/>
      <c r="AG629" s="10" t="s">
        <v>1498</v>
      </c>
      <c r="AH629" s="12" t="s">
        <v>46</v>
      </c>
      <c r="AI629" s="16" t="s">
        <v>45</v>
      </c>
      <c r="AJ629" s="16" t="s">
        <v>45</v>
      </c>
      <c r="AK629" s="16" t="s">
        <v>45</v>
      </c>
      <c r="AL629" s="10" t="s">
        <v>49</v>
      </c>
      <c r="AM629" s="16" t="s">
        <v>45</v>
      </c>
      <c r="AN629" s="10" t="s">
        <v>1499</v>
      </c>
    </row>
    <row r="630" ht="30.0" customHeight="1">
      <c r="A630" s="9" t="str">
        <f t="shared" si="48"/>
        <v>N/I</v>
      </c>
      <c r="B630" s="9" t="str">
        <f t="shared" si="49"/>
        <v>N/I</v>
      </c>
      <c r="C630" s="9" t="str">
        <f t="shared" si="50"/>
        <v>Ativo</v>
      </c>
      <c r="D630" s="10" t="s">
        <v>1688</v>
      </c>
      <c r="E630" s="11" t="s">
        <v>1689</v>
      </c>
      <c r="F630" s="11" t="s">
        <v>1793</v>
      </c>
      <c r="G630" s="12" t="s">
        <v>1691</v>
      </c>
      <c r="H630" s="42" t="s">
        <v>1794</v>
      </c>
      <c r="I630" s="12" t="s">
        <v>1795</v>
      </c>
      <c r="J630" s="10" t="s">
        <v>562</v>
      </c>
      <c r="K630" s="10" t="s">
        <v>190</v>
      </c>
      <c r="L630" s="10" t="s">
        <v>6</v>
      </c>
      <c r="M630" s="22">
        <v>45776.0</v>
      </c>
      <c r="N630" s="11" t="s">
        <v>1796</v>
      </c>
      <c r="O630" s="10" t="s">
        <v>1797</v>
      </c>
      <c r="P630" s="10" t="s">
        <v>1695</v>
      </c>
      <c r="Q630" s="2"/>
      <c r="R630" s="15"/>
      <c r="S630" s="15"/>
      <c r="T630" s="15"/>
      <c r="U630" s="15"/>
      <c r="V630" s="1"/>
      <c r="W630" s="15"/>
      <c r="X630" s="15"/>
      <c r="Y630" s="15"/>
      <c r="Z630" s="15"/>
      <c r="AA630" s="1"/>
      <c r="AB630" s="10">
        <v>60.0</v>
      </c>
      <c r="AC630" s="14">
        <v>45776.0</v>
      </c>
      <c r="AD630" s="14">
        <v>47602.0</v>
      </c>
      <c r="AE630" s="10">
        <f t="shared" si="63"/>
        <v>1511</v>
      </c>
      <c r="AF630" s="2"/>
      <c r="AG630" s="10" t="s">
        <v>1498</v>
      </c>
      <c r="AH630" s="12" t="s">
        <v>46</v>
      </c>
      <c r="AI630" s="16" t="s">
        <v>45</v>
      </c>
      <c r="AJ630" s="16" t="s">
        <v>45</v>
      </c>
      <c r="AK630" s="16" t="s">
        <v>45</v>
      </c>
      <c r="AL630" s="10" t="s">
        <v>49</v>
      </c>
      <c r="AM630" s="16" t="s">
        <v>45</v>
      </c>
      <c r="AN630" s="10" t="s">
        <v>1499</v>
      </c>
    </row>
    <row r="631" ht="30.0" customHeight="1">
      <c r="A631" s="9" t="str">
        <f t="shared" si="48"/>
        <v>N/I</v>
      </c>
      <c r="B631" s="9" t="str">
        <f t="shared" si="49"/>
        <v>N/I</v>
      </c>
      <c r="C631" s="9" t="str">
        <f t="shared" si="50"/>
        <v>Ativo</v>
      </c>
      <c r="D631" s="10" t="s">
        <v>1688</v>
      </c>
      <c r="E631" s="11" t="s">
        <v>1689</v>
      </c>
      <c r="F631" s="11" t="s">
        <v>1798</v>
      </c>
      <c r="G631" s="12" t="s">
        <v>1691</v>
      </c>
      <c r="H631" s="27" t="s">
        <v>1799</v>
      </c>
      <c r="I631" s="12" t="s">
        <v>1800</v>
      </c>
      <c r="J631" s="10" t="s">
        <v>562</v>
      </c>
      <c r="K631" s="10" t="s">
        <v>190</v>
      </c>
      <c r="L631" s="10" t="s">
        <v>6</v>
      </c>
      <c r="M631" s="14">
        <v>45917.0</v>
      </c>
      <c r="N631" s="11" t="s">
        <v>1801</v>
      </c>
      <c r="O631" s="10" t="s">
        <v>1802</v>
      </c>
      <c r="P631" s="10" t="s">
        <v>1695</v>
      </c>
      <c r="Q631" s="2"/>
      <c r="R631" s="15"/>
      <c r="S631" s="15"/>
      <c r="T631" s="15"/>
      <c r="U631" s="15"/>
      <c r="V631" s="1"/>
      <c r="W631" s="15"/>
      <c r="X631" s="15"/>
      <c r="Y631" s="15"/>
      <c r="Z631" s="15"/>
      <c r="AA631" s="1"/>
      <c r="AB631" s="10">
        <v>60.0</v>
      </c>
      <c r="AC631" s="14">
        <v>45917.0</v>
      </c>
      <c r="AD631" s="14">
        <v>47743.0</v>
      </c>
      <c r="AE631" s="10">
        <f t="shared" si="63"/>
        <v>1652</v>
      </c>
      <c r="AF631" s="2"/>
      <c r="AG631" s="10" t="s">
        <v>1498</v>
      </c>
      <c r="AH631" s="12" t="s">
        <v>46</v>
      </c>
      <c r="AI631" s="16" t="s">
        <v>45</v>
      </c>
      <c r="AJ631" s="16" t="s">
        <v>45</v>
      </c>
      <c r="AK631" s="16" t="s">
        <v>45</v>
      </c>
      <c r="AL631" s="10" t="s">
        <v>49</v>
      </c>
      <c r="AM631" s="16" t="s">
        <v>45</v>
      </c>
      <c r="AN631" s="10" t="s">
        <v>1499</v>
      </c>
    </row>
    <row r="632" ht="30.0" customHeight="1">
      <c r="A632" s="9" t="str">
        <f t="shared" si="48"/>
        <v>N/I</v>
      </c>
      <c r="B632" s="9" t="str">
        <f t="shared" si="49"/>
        <v>N/I</v>
      </c>
      <c r="C632" s="9" t="str">
        <f t="shared" si="50"/>
        <v>Ativo</v>
      </c>
      <c r="D632" s="10" t="s">
        <v>1688</v>
      </c>
      <c r="E632" s="11" t="s">
        <v>1689</v>
      </c>
      <c r="F632" s="11" t="s">
        <v>1803</v>
      </c>
      <c r="G632" s="12" t="s">
        <v>1691</v>
      </c>
      <c r="H632" s="42" t="s">
        <v>1804</v>
      </c>
      <c r="I632" s="12" t="s">
        <v>1805</v>
      </c>
      <c r="J632" s="10" t="s">
        <v>562</v>
      </c>
      <c r="K632" s="10" t="s">
        <v>190</v>
      </c>
      <c r="L632" s="10" t="s">
        <v>6</v>
      </c>
      <c r="M632" s="14">
        <v>45845.0</v>
      </c>
      <c r="N632" s="11" t="s">
        <v>1806</v>
      </c>
      <c r="O632" s="10" t="s">
        <v>1807</v>
      </c>
      <c r="P632" s="10" t="s">
        <v>1695</v>
      </c>
      <c r="Q632" s="2"/>
      <c r="R632" s="15"/>
      <c r="S632" s="15"/>
      <c r="T632" s="15"/>
      <c r="U632" s="15"/>
      <c r="V632" s="1"/>
      <c r="W632" s="15"/>
      <c r="X632" s="15"/>
      <c r="Y632" s="15"/>
      <c r="Z632" s="15"/>
      <c r="AA632" s="1"/>
      <c r="AB632" s="10">
        <v>60.0</v>
      </c>
      <c r="AC632" s="14">
        <v>45845.0</v>
      </c>
      <c r="AD632" s="14">
        <v>47671.0</v>
      </c>
      <c r="AE632" s="10">
        <f t="shared" si="63"/>
        <v>1580</v>
      </c>
      <c r="AF632" s="2"/>
      <c r="AG632" s="10" t="s">
        <v>1498</v>
      </c>
      <c r="AH632" s="12" t="s">
        <v>46</v>
      </c>
      <c r="AI632" s="16" t="s">
        <v>45</v>
      </c>
      <c r="AJ632" s="16" t="s">
        <v>45</v>
      </c>
      <c r="AK632" s="16" t="s">
        <v>45</v>
      </c>
      <c r="AL632" s="10" t="s">
        <v>49</v>
      </c>
      <c r="AM632" s="16" t="s">
        <v>45</v>
      </c>
      <c r="AN632" s="10" t="s">
        <v>1499</v>
      </c>
    </row>
    <row r="633" ht="30.0" customHeight="1">
      <c r="A633" s="9" t="str">
        <f t="shared" si="48"/>
        <v>N/I</v>
      </c>
      <c r="B633" s="9" t="str">
        <f t="shared" si="49"/>
        <v>N/I</v>
      </c>
      <c r="C633" s="9" t="str">
        <f t="shared" si="50"/>
        <v>Ativo</v>
      </c>
      <c r="D633" s="10" t="s">
        <v>1688</v>
      </c>
      <c r="E633" s="11" t="s">
        <v>1689</v>
      </c>
      <c r="F633" s="11" t="s">
        <v>1808</v>
      </c>
      <c r="G633" s="12" t="s">
        <v>1691</v>
      </c>
      <c r="H633" s="42" t="s">
        <v>1809</v>
      </c>
      <c r="I633" s="12" t="s">
        <v>1159</v>
      </c>
      <c r="J633" s="10" t="s">
        <v>562</v>
      </c>
      <c r="K633" s="10" t="s">
        <v>190</v>
      </c>
      <c r="L633" s="10" t="s">
        <v>6</v>
      </c>
      <c r="M633" s="22">
        <v>45748.0</v>
      </c>
      <c r="N633" s="11" t="s">
        <v>1160</v>
      </c>
      <c r="O633" s="10" t="s">
        <v>319</v>
      </c>
      <c r="P633" s="10" t="s">
        <v>1695</v>
      </c>
      <c r="Q633" s="2"/>
      <c r="R633" s="15"/>
      <c r="S633" s="15"/>
      <c r="T633" s="15"/>
      <c r="U633" s="15"/>
      <c r="V633" s="1"/>
      <c r="W633" s="15"/>
      <c r="X633" s="15"/>
      <c r="Y633" s="15"/>
      <c r="Z633" s="15"/>
      <c r="AA633" s="1"/>
      <c r="AB633" s="10">
        <v>60.0</v>
      </c>
      <c r="AC633" s="14">
        <v>45748.0</v>
      </c>
      <c r="AD633" s="14">
        <v>47574.0</v>
      </c>
      <c r="AE633" s="10">
        <f t="shared" si="63"/>
        <v>1483</v>
      </c>
      <c r="AF633" s="2"/>
      <c r="AG633" s="10" t="s">
        <v>1498</v>
      </c>
      <c r="AH633" s="12" t="s">
        <v>46</v>
      </c>
      <c r="AI633" s="16" t="s">
        <v>45</v>
      </c>
      <c r="AJ633" s="16" t="s">
        <v>45</v>
      </c>
      <c r="AK633" s="16" t="s">
        <v>45</v>
      </c>
      <c r="AL633" s="10" t="s">
        <v>49</v>
      </c>
      <c r="AM633" s="16" t="s">
        <v>45</v>
      </c>
      <c r="AN633" s="10" t="s">
        <v>1499</v>
      </c>
    </row>
    <row r="634" ht="30.0" customHeight="1">
      <c r="A634" s="9" t="str">
        <f t="shared" si="48"/>
        <v>N/I</v>
      </c>
      <c r="B634" s="9" t="str">
        <f t="shared" si="49"/>
        <v>N/I</v>
      </c>
      <c r="C634" s="9" t="str">
        <f t="shared" si="50"/>
        <v>Ativo</v>
      </c>
      <c r="D634" s="10" t="s">
        <v>1688</v>
      </c>
      <c r="E634" s="11" t="s">
        <v>1689</v>
      </c>
      <c r="F634" s="11" t="s">
        <v>1810</v>
      </c>
      <c r="G634" s="12" t="s">
        <v>1691</v>
      </c>
      <c r="H634" s="42" t="s">
        <v>1811</v>
      </c>
      <c r="I634" s="12" t="s">
        <v>1812</v>
      </c>
      <c r="J634" s="10" t="s">
        <v>562</v>
      </c>
      <c r="K634" s="10" t="s">
        <v>190</v>
      </c>
      <c r="L634" s="10" t="s">
        <v>6</v>
      </c>
      <c r="M634" s="14">
        <v>45722.0</v>
      </c>
      <c r="N634" s="11" t="s">
        <v>1813</v>
      </c>
      <c r="O634" s="10" t="s">
        <v>1814</v>
      </c>
      <c r="P634" s="10" t="s">
        <v>1695</v>
      </c>
      <c r="Q634" s="2"/>
      <c r="R634" s="15"/>
      <c r="S634" s="15"/>
      <c r="T634" s="15"/>
      <c r="U634" s="15"/>
      <c r="V634" s="1"/>
      <c r="W634" s="15"/>
      <c r="X634" s="15"/>
      <c r="Y634" s="15"/>
      <c r="Z634" s="15"/>
      <c r="AA634" s="1"/>
      <c r="AB634" s="10">
        <v>60.0</v>
      </c>
      <c r="AC634" s="14">
        <v>45722.0</v>
      </c>
      <c r="AD634" s="14">
        <v>47548.0</v>
      </c>
      <c r="AE634" s="10">
        <f t="shared" si="63"/>
        <v>1457</v>
      </c>
      <c r="AF634" s="2"/>
      <c r="AG634" s="10" t="s">
        <v>1498</v>
      </c>
      <c r="AH634" s="12" t="s">
        <v>46</v>
      </c>
      <c r="AI634" s="16" t="s">
        <v>45</v>
      </c>
      <c r="AJ634" s="16" t="s">
        <v>45</v>
      </c>
      <c r="AK634" s="16" t="s">
        <v>45</v>
      </c>
      <c r="AL634" s="10" t="s">
        <v>49</v>
      </c>
      <c r="AM634" s="16" t="s">
        <v>45</v>
      </c>
      <c r="AN634" s="10" t="s">
        <v>1499</v>
      </c>
    </row>
    <row r="635" ht="30.0" customHeight="1">
      <c r="A635" s="9" t="str">
        <f t="shared" si="48"/>
        <v>N/I</v>
      </c>
      <c r="B635" s="9" t="str">
        <f t="shared" si="49"/>
        <v>N/I</v>
      </c>
      <c r="C635" s="9" t="str">
        <f t="shared" si="50"/>
        <v>Ativo</v>
      </c>
      <c r="D635" s="10" t="s">
        <v>1688</v>
      </c>
      <c r="E635" s="11" t="s">
        <v>1689</v>
      </c>
      <c r="F635" s="11" t="s">
        <v>1815</v>
      </c>
      <c r="G635" s="12" t="s">
        <v>1691</v>
      </c>
      <c r="H635" s="42" t="s">
        <v>1816</v>
      </c>
      <c r="I635" s="12" t="s">
        <v>1817</v>
      </c>
      <c r="J635" s="10" t="s">
        <v>562</v>
      </c>
      <c r="K635" s="10" t="s">
        <v>190</v>
      </c>
      <c r="L635" s="10" t="s">
        <v>6</v>
      </c>
      <c r="M635" s="22">
        <v>45754.0</v>
      </c>
      <c r="N635" s="11" t="s">
        <v>1818</v>
      </c>
      <c r="O635" s="10" t="s">
        <v>1819</v>
      </c>
      <c r="P635" s="10" t="s">
        <v>1695</v>
      </c>
      <c r="Q635" s="2"/>
      <c r="R635" s="15"/>
      <c r="S635" s="15"/>
      <c r="T635" s="15"/>
      <c r="U635" s="15"/>
      <c r="V635" s="1"/>
      <c r="W635" s="15"/>
      <c r="X635" s="15"/>
      <c r="Y635" s="15"/>
      <c r="Z635" s="15"/>
      <c r="AA635" s="1"/>
      <c r="AB635" s="10">
        <v>60.0</v>
      </c>
      <c r="AC635" s="14">
        <v>45754.0</v>
      </c>
      <c r="AD635" s="14">
        <v>47580.0</v>
      </c>
      <c r="AE635" s="10">
        <f t="shared" si="63"/>
        <v>1489</v>
      </c>
      <c r="AF635" s="2"/>
      <c r="AG635" s="10" t="s">
        <v>1498</v>
      </c>
      <c r="AH635" s="12" t="s">
        <v>46</v>
      </c>
      <c r="AI635" s="16" t="s">
        <v>45</v>
      </c>
      <c r="AJ635" s="16" t="s">
        <v>45</v>
      </c>
      <c r="AK635" s="16" t="s">
        <v>45</v>
      </c>
      <c r="AL635" s="10" t="s">
        <v>49</v>
      </c>
      <c r="AM635" s="16" t="s">
        <v>45</v>
      </c>
      <c r="AN635" s="10" t="s">
        <v>1499</v>
      </c>
    </row>
    <row r="636" ht="30.0" customHeight="1">
      <c r="A636" s="9" t="str">
        <f t="shared" si="48"/>
        <v>N/I</v>
      </c>
      <c r="B636" s="9" t="str">
        <f t="shared" si="49"/>
        <v>N/I</v>
      </c>
      <c r="C636" s="9" t="str">
        <f t="shared" si="50"/>
        <v>Ativo</v>
      </c>
      <c r="D636" s="10" t="s">
        <v>1688</v>
      </c>
      <c r="E636" s="11" t="s">
        <v>1689</v>
      </c>
      <c r="F636" s="11" t="s">
        <v>1684</v>
      </c>
      <c r="G636" s="12" t="s">
        <v>1691</v>
      </c>
      <c r="H636" s="42" t="s">
        <v>1820</v>
      </c>
      <c r="I636" s="12" t="s">
        <v>1686</v>
      </c>
      <c r="J636" s="10" t="s">
        <v>562</v>
      </c>
      <c r="K636" s="10" t="s">
        <v>190</v>
      </c>
      <c r="L636" s="10" t="s">
        <v>6</v>
      </c>
      <c r="M636" s="14">
        <v>45693.0</v>
      </c>
      <c r="N636" s="11" t="s">
        <v>1687</v>
      </c>
      <c r="O636" s="10" t="s">
        <v>319</v>
      </c>
      <c r="P636" s="10" t="s">
        <v>1695</v>
      </c>
      <c r="Q636" s="2"/>
      <c r="R636" s="15"/>
      <c r="S636" s="15"/>
      <c r="T636" s="15"/>
      <c r="U636" s="15"/>
      <c r="V636" s="2"/>
      <c r="W636" s="15"/>
      <c r="X636" s="15"/>
      <c r="Y636" s="15"/>
      <c r="Z636" s="15"/>
      <c r="AA636" s="1"/>
      <c r="AB636" s="10">
        <v>60.0</v>
      </c>
      <c r="AC636" s="14">
        <v>45693.0</v>
      </c>
      <c r="AD636" s="14">
        <v>47519.0</v>
      </c>
      <c r="AE636" s="10">
        <f t="shared" si="63"/>
        <v>1428</v>
      </c>
      <c r="AF636" s="2"/>
      <c r="AG636" s="10" t="s">
        <v>1498</v>
      </c>
      <c r="AH636" s="12" t="s">
        <v>46</v>
      </c>
      <c r="AI636" s="16" t="s">
        <v>45</v>
      </c>
      <c r="AJ636" s="16" t="s">
        <v>45</v>
      </c>
      <c r="AK636" s="16" t="s">
        <v>45</v>
      </c>
      <c r="AL636" s="10" t="s">
        <v>49</v>
      </c>
      <c r="AM636" s="16" t="s">
        <v>45</v>
      </c>
      <c r="AN636" s="10" t="s">
        <v>1499</v>
      </c>
    </row>
    <row r="637" ht="30.0" customHeight="1">
      <c r="A637" s="9" t="str">
        <f t="shared" si="48"/>
        <v>N/I</v>
      </c>
      <c r="B637" s="9" t="str">
        <f t="shared" si="49"/>
        <v>N/I</v>
      </c>
      <c r="C637" s="9" t="str">
        <f t="shared" si="50"/>
        <v>Ativo</v>
      </c>
      <c r="D637" s="10" t="s">
        <v>1688</v>
      </c>
      <c r="E637" s="11" t="s">
        <v>1689</v>
      </c>
      <c r="F637" s="11" t="s">
        <v>1821</v>
      </c>
      <c r="G637" s="12" t="s">
        <v>1691</v>
      </c>
      <c r="H637" s="42" t="s">
        <v>1822</v>
      </c>
      <c r="I637" s="12" t="s">
        <v>1823</v>
      </c>
      <c r="J637" s="10" t="s">
        <v>562</v>
      </c>
      <c r="K637" s="10" t="s">
        <v>190</v>
      </c>
      <c r="L637" s="10" t="s">
        <v>6</v>
      </c>
      <c r="M637" s="22">
        <v>45784.0</v>
      </c>
      <c r="N637" s="11" t="s">
        <v>1824</v>
      </c>
      <c r="O637" s="10" t="s">
        <v>1825</v>
      </c>
      <c r="P637" s="10" t="s">
        <v>1695</v>
      </c>
      <c r="Q637" s="2"/>
      <c r="R637" s="15"/>
      <c r="S637" s="15"/>
      <c r="T637" s="15"/>
      <c r="U637" s="15"/>
      <c r="V637" s="1"/>
      <c r="W637" s="15"/>
      <c r="X637" s="15"/>
      <c r="Y637" s="15"/>
      <c r="Z637" s="15"/>
      <c r="AA637" s="1"/>
      <c r="AB637" s="10">
        <v>60.0</v>
      </c>
      <c r="AC637" s="14">
        <v>45784.0</v>
      </c>
      <c r="AD637" s="14">
        <v>47610.0</v>
      </c>
      <c r="AE637" s="10">
        <f t="shared" si="63"/>
        <v>1519</v>
      </c>
      <c r="AF637" s="2"/>
      <c r="AG637" s="10" t="s">
        <v>1498</v>
      </c>
      <c r="AH637" s="12" t="s">
        <v>46</v>
      </c>
      <c r="AI637" s="16" t="s">
        <v>45</v>
      </c>
      <c r="AJ637" s="16" t="s">
        <v>45</v>
      </c>
      <c r="AK637" s="16" t="s">
        <v>45</v>
      </c>
      <c r="AL637" s="10" t="s">
        <v>49</v>
      </c>
      <c r="AM637" s="16" t="s">
        <v>45</v>
      </c>
      <c r="AN637" s="10" t="s">
        <v>1499</v>
      </c>
    </row>
    <row r="638" ht="30.0" customHeight="1">
      <c r="A638" s="9" t="str">
        <f t="shared" si="48"/>
        <v>N/I</v>
      </c>
      <c r="B638" s="9" t="str">
        <f t="shared" si="49"/>
        <v>N/I</v>
      </c>
      <c r="C638" s="9" t="str">
        <f t="shared" si="50"/>
        <v>Ativo</v>
      </c>
      <c r="D638" s="10" t="s">
        <v>1688</v>
      </c>
      <c r="E638" s="11" t="s">
        <v>1689</v>
      </c>
      <c r="F638" s="11" t="s">
        <v>1826</v>
      </c>
      <c r="G638" s="12" t="s">
        <v>1691</v>
      </c>
      <c r="H638" s="42" t="s">
        <v>1827</v>
      </c>
      <c r="I638" s="12" t="s">
        <v>1828</v>
      </c>
      <c r="J638" s="10" t="s">
        <v>562</v>
      </c>
      <c r="K638" s="10" t="s">
        <v>190</v>
      </c>
      <c r="L638" s="10" t="s">
        <v>6</v>
      </c>
      <c r="M638" s="14">
        <v>45729.0</v>
      </c>
      <c r="N638" s="11" t="s">
        <v>1829</v>
      </c>
      <c r="O638" s="10" t="s">
        <v>1830</v>
      </c>
      <c r="P638" s="10" t="s">
        <v>1695</v>
      </c>
      <c r="Q638" s="2"/>
      <c r="R638" s="15"/>
      <c r="S638" s="15"/>
      <c r="T638" s="15"/>
      <c r="U638" s="15"/>
      <c r="V638" s="1"/>
      <c r="W638" s="15"/>
      <c r="X638" s="15"/>
      <c r="Y638" s="15"/>
      <c r="Z638" s="15"/>
      <c r="AA638" s="1"/>
      <c r="AB638" s="10">
        <v>60.0</v>
      </c>
      <c r="AC638" s="14">
        <v>45729.0</v>
      </c>
      <c r="AD638" s="14">
        <v>47555.0</v>
      </c>
      <c r="AE638" s="10">
        <f t="shared" si="63"/>
        <v>1464</v>
      </c>
      <c r="AF638" s="2"/>
      <c r="AG638" s="10" t="s">
        <v>1498</v>
      </c>
      <c r="AH638" s="12" t="s">
        <v>46</v>
      </c>
      <c r="AI638" s="16" t="s">
        <v>45</v>
      </c>
      <c r="AJ638" s="16" t="s">
        <v>45</v>
      </c>
      <c r="AK638" s="16" t="s">
        <v>45</v>
      </c>
      <c r="AL638" s="10" t="s">
        <v>49</v>
      </c>
      <c r="AM638" s="16" t="s">
        <v>45</v>
      </c>
      <c r="AN638" s="10" t="s">
        <v>1499</v>
      </c>
    </row>
    <row r="639" ht="30.0" customHeight="1">
      <c r="A639" s="9" t="str">
        <f t="shared" si="48"/>
        <v>N/I</v>
      </c>
      <c r="B639" s="9" t="str">
        <f t="shared" si="49"/>
        <v>N/I</v>
      </c>
      <c r="C639" s="9" t="str">
        <f t="shared" si="50"/>
        <v>Ativo</v>
      </c>
      <c r="D639" s="10" t="s">
        <v>1688</v>
      </c>
      <c r="E639" s="11" t="s">
        <v>1689</v>
      </c>
      <c r="F639" s="11" t="s">
        <v>1831</v>
      </c>
      <c r="G639" s="12" t="s">
        <v>1691</v>
      </c>
      <c r="H639" s="42" t="s">
        <v>1832</v>
      </c>
      <c r="I639" s="12" t="s">
        <v>1833</v>
      </c>
      <c r="J639" s="10" t="s">
        <v>562</v>
      </c>
      <c r="K639" s="10" t="s">
        <v>190</v>
      </c>
      <c r="L639" s="10" t="s">
        <v>6</v>
      </c>
      <c r="M639" s="22">
        <v>45735.0</v>
      </c>
      <c r="N639" s="11" t="s">
        <v>1834</v>
      </c>
      <c r="O639" s="10" t="s">
        <v>319</v>
      </c>
      <c r="P639" s="10" t="s">
        <v>1695</v>
      </c>
      <c r="Q639" s="2"/>
      <c r="R639" s="15"/>
      <c r="S639" s="15"/>
      <c r="T639" s="15"/>
      <c r="U639" s="15"/>
      <c r="V639" s="1"/>
      <c r="W639" s="15"/>
      <c r="X639" s="15"/>
      <c r="Y639" s="15"/>
      <c r="Z639" s="15"/>
      <c r="AA639" s="1"/>
      <c r="AB639" s="10">
        <v>60.0</v>
      </c>
      <c r="AC639" s="14">
        <v>45735.0</v>
      </c>
      <c r="AD639" s="14">
        <v>47561.0</v>
      </c>
      <c r="AE639" s="10">
        <f t="shared" si="63"/>
        <v>1470</v>
      </c>
      <c r="AF639" s="2"/>
      <c r="AG639" s="10" t="s">
        <v>1498</v>
      </c>
      <c r="AH639" s="12" t="s">
        <v>46</v>
      </c>
      <c r="AI639" s="16" t="s">
        <v>45</v>
      </c>
      <c r="AJ639" s="16" t="s">
        <v>45</v>
      </c>
      <c r="AK639" s="16" t="s">
        <v>45</v>
      </c>
      <c r="AL639" s="10" t="s">
        <v>49</v>
      </c>
      <c r="AM639" s="16" t="s">
        <v>45</v>
      </c>
      <c r="AN639" s="10" t="s">
        <v>1499</v>
      </c>
    </row>
    <row r="640" ht="30.0" customHeight="1">
      <c r="A640" s="9" t="str">
        <f t="shared" si="48"/>
        <v>N/I</v>
      </c>
      <c r="B640" s="9" t="str">
        <f t="shared" si="49"/>
        <v>N/I</v>
      </c>
      <c r="C640" s="9" t="str">
        <f t="shared" si="50"/>
        <v>Ativo</v>
      </c>
      <c r="D640" s="10" t="s">
        <v>1688</v>
      </c>
      <c r="E640" s="11" t="s">
        <v>1689</v>
      </c>
      <c r="F640" s="11" t="s">
        <v>1835</v>
      </c>
      <c r="G640" s="12" t="s">
        <v>1691</v>
      </c>
      <c r="H640" s="42" t="s">
        <v>1836</v>
      </c>
      <c r="I640" s="12" t="s">
        <v>1837</v>
      </c>
      <c r="J640" s="10" t="s">
        <v>562</v>
      </c>
      <c r="K640" s="10" t="s">
        <v>190</v>
      </c>
      <c r="L640" s="10" t="s">
        <v>6</v>
      </c>
      <c r="M640" s="14">
        <v>45728.0</v>
      </c>
      <c r="N640" s="11" t="s">
        <v>1838</v>
      </c>
      <c r="O640" s="10" t="s">
        <v>319</v>
      </c>
      <c r="P640" s="10" t="s">
        <v>1695</v>
      </c>
      <c r="Q640" s="2"/>
      <c r="R640" s="15"/>
      <c r="S640" s="15"/>
      <c r="T640" s="15"/>
      <c r="U640" s="15"/>
      <c r="V640" s="1"/>
      <c r="W640" s="15"/>
      <c r="X640" s="15"/>
      <c r="Y640" s="15"/>
      <c r="Z640" s="15"/>
      <c r="AA640" s="1"/>
      <c r="AB640" s="10">
        <v>60.0</v>
      </c>
      <c r="AC640" s="14">
        <v>45728.0</v>
      </c>
      <c r="AD640" s="14">
        <v>47554.0</v>
      </c>
      <c r="AE640" s="10">
        <f t="shared" si="63"/>
        <v>1463</v>
      </c>
      <c r="AF640" s="2"/>
      <c r="AG640" s="10" t="s">
        <v>1498</v>
      </c>
      <c r="AH640" s="12" t="s">
        <v>46</v>
      </c>
      <c r="AI640" s="16" t="s">
        <v>45</v>
      </c>
      <c r="AJ640" s="16" t="s">
        <v>45</v>
      </c>
      <c r="AK640" s="16" t="s">
        <v>45</v>
      </c>
      <c r="AL640" s="10" t="s">
        <v>49</v>
      </c>
      <c r="AM640" s="16" t="s">
        <v>45</v>
      </c>
      <c r="AN640" s="10" t="s">
        <v>1499</v>
      </c>
    </row>
    <row r="641" ht="30.0" customHeight="1">
      <c r="A641" s="9" t="str">
        <f t="shared" si="48"/>
        <v>N/I</v>
      </c>
      <c r="B641" s="9" t="str">
        <f t="shared" si="49"/>
        <v>N/I</v>
      </c>
      <c r="C641" s="9" t="str">
        <f t="shared" si="50"/>
        <v>Ativo</v>
      </c>
      <c r="D641" s="10" t="s">
        <v>1688</v>
      </c>
      <c r="E641" s="11" t="s">
        <v>1689</v>
      </c>
      <c r="F641" s="11" t="s">
        <v>1839</v>
      </c>
      <c r="G641" s="12" t="s">
        <v>1691</v>
      </c>
      <c r="H641" s="42" t="s">
        <v>1840</v>
      </c>
      <c r="I641" s="12" t="s">
        <v>1841</v>
      </c>
      <c r="J641" s="10" t="s">
        <v>562</v>
      </c>
      <c r="K641" s="10" t="s">
        <v>190</v>
      </c>
      <c r="L641" s="10" t="s">
        <v>6</v>
      </c>
      <c r="M641" s="14">
        <v>45728.0</v>
      </c>
      <c r="N641" s="11" t="s">
        <v>1842</v>
      </c>
      <c r="O641" s="10" t="s">
        <v>319</v>
      </c>
      <c r="P641" s="10" t="s">
        <v>1695</v>
      </c>
      <c r="Q641" s="2"/>
      <c r="R641" s="15"/>
      <c r="S641" s="15"/>
      <c r="T641" s="15"/>
      <c r="U641" s="15"/>
      <c r="V641" s="1"/>
      <c r="W641" s="15"/>
      <c r="X641" s="15"/>
      <c r="Y641" s="15"/>
      <c r="Z641" s="15"/>
      <c r="AA641" s="1"/>
      <c r="AB641" s="10">
        <v>60.0</v>
      </c>
      <c r="AC641" s="14">
        <v>45728.0</v>
      </c>
      <c r="AD641" s="14">
        <v>47554.0</v>
      </c>
      <c r="AE641" s="10">
        <f t="shared" si="63"/>
        <v>1463</v>
      </c>
      <c r="AF641" s="2"/>
      <c r="AG641" s="10" t="s">
        <v>1498</v>
      </c>
      <c r="AH641" s="12" t="s">
        <v>46</v>
      </c>
      <c r="AI641" s="16" t="s">
        <v>45</v>
      </c>
      <c r="AJ641" s="16" t="s">
        <v>45</v>
      </c>
      <c r="AK641" s="16" t="s">
        <v>45</v>
      </c>
      <c r="AL641" s="10" t="s">
        <v>49</v>
      </c>
      <c r="AM641" s="16" t="s">
        <v>45</v>
      </c>
      <c r="AN641" s="10" t="s">
        <v>1499</v>
      </c>
    </row>
    <row r="642" ht="30.0" customHeight="1">
      <c r="A642" s="9" t="str">
        <f t="shared" si="48"/>
        <v>N/I</v>
      </c>
      <c r="B642" s="9" t="str">
        <f t="shared" si="49"/>
        <v>N/I</v>
      </c>
      <c r="C642" s="9" t="str">
        <f t="shared" si="50"/>
        <v>Ativo</v>
      </c>
      <c r="D642" s="10" t="s">
        <v>1688</v>
      </c>
      <c r="E642" s="11" t="s">
        <v>1689</v>
      </c>
      <c r="F642" s="11" t="s">
        <v>1843</v>
      </c>
      <c r="G642" s="12" t="s">
        <v>1691</v>
      </c>
      <c r="H642" s="42" t="s">
        <v>1844</v>
      </c>
      <c r="I642" s="12" t="s">
        <v>1845</v>
      </c>
      <c r="J642" s="10" t="s">
        <v>562</v>
      </c>
      <c r="K642" s="10" t="s">
        <v>190</v>
      </c>
      <c r="L642" s="10" t="s">
        <v>6</v>
      </c>
      <c r="M642" s="22">
        <v>45770.0</v>
      </c>
      <c r="N642" s="11" t="s">
        <v>1846</v>
      </c>
      <c r="O642" s="10" t="s">
        <v>1847</v>
      </c>
      <c r="P642" s="10" t="s">
        <v>1695</v>
      </c>
      <c r="Q642" s="2"/>
      <c r="R642" s="15"/>
      <c r="S642" s="15"/>
      <c r="T642" s="15"/>
      <c r="U642" s="15"/>
      <c r="V642" s="1"/>
      <c r="W642" s="15"/>
      <c r="X642" s="15"/>
      <c r="Y642" s="15"/>
      <c r="Z642" s="15"/>
      <c r="AA642" s="1"/>
      <c r="AB642" s="10">
        <v>60.0</v>
      </c>
      <c r="AC642" s="14">
        <v>45770.0</v>
      </c>
      <c r="AD642" s="14">
        <v>47596.0</v>
      </c>
      <c r="AE642" s="10">
        <f t="shared" si="63"/>
        <v>1505</v>
      </c>
      <c r="AF642" s="2"/>
      <c r="AG642" s="10" t="s">
        <v>1498</v>
      </c>
      <c r="AH642" s="12" t="s">
        <v>46</v>
      </c>
      <c r="AI642" s="16" t="s">
        <v>45</v>
      </c>
      <c r="AJ642" s="16" t="s">
        <v>45</v>
      </c>
      <c r="AK642" s="16" t="s">
        <v>45</v>
      </c>
      <c r="AL642" s="10" t="s">
        <v>49</v>
      </c>
      <c r="AM642" s="16" t="s">
        <v>45</v>
      </c>
      <c r="AN642" s="10" t="s">
        <v>1499</v>
      </c>
    </row>
    <row r="643" ht="30.0" customHeight="1">
      <c r="A643" s="9" t="str">
        <f t="shared" si="48"/>
        <v>N/I</v>
      </c>
      <c r="B643" s="9" t="str">
        <f t="shared" si="49"/>
        <v>N/I</v>
      </c>
      <c r="C643" s="9" t="str">
        <f t="shared" si="50"/>
        <v>Ativo</v>
      </c>
      <c r="D643" s="10" t="s">
        <v>1688</v>
      </c>
      <c r="E643" s="11" t="s">
        <v>1689</v>
      </c>
      <c r="F643" s="11" t="s">
        <v>1848</v>
      </c>
      <c r="G643" s="12" t="s">
        <v>1691</v>
      </c>
      <c r="H643" s="42" t="s">
        <v>1849</v>
      </c>
      <c r="I643" s="12" t="s">
        <v>1850</v>
      </c>
      <c r="J643" s="10" t="s">
        <v>562</v>
      </c>
      <c r="K643" s="10" t="s">
        <v>190</v>
      </c>
      <c r="L643" s="10" t="s">
        <v>6</v>
      </c>
      <c r="M643" s="22">
        <v>45756.0</v>
      </c>
      <c r="N643" s="11" t="s">
        <v>1851</v>
      </c>
      <c r="O643" s="10" t="s">
        <v>1852</v>
      </c>
      <c r="P643" s="10" t="s">
        <v>1695</v>
      </c>
      <c r="Q643" s="2"/>
      <c r="R643" s="15"/>
      <c r="S643" s="15"/>
      <c r="T643" s="15"/>
      <c r="U643" s="15"/>
      <c r="V643" s="1"/>
      <c r="W643" s="15"/>
      <c r="X643" s="15"/>
      <c r="Y643" s="15"/>
      <c r="Z643" s="15"/>
      <c r="AA643" s="1"/>
      <c r="AB643" s="10">
        <v>60.0</v>
      </c>
      <c r="AC643" s="14">
        <v>45756.0</v>
      </c>
      <c r="AD643" s="14">
        <v>47582.0</v>
      </c>
      <c r="AE643" s="10">
        <f t="shared" si="63"/>
        <v>1491</v>
      </c>
      <c r="AF643" s="2"/>
      <c r="AG643" s="10" t="s">
        <v>1498</v>
      </c>
      <c r="AH643" s="12" t="s">
        <v>46</v>
      </c>
      <c r="AI643" s="16" t="s">
        <v>45</v>
      </c>
      <c r="AJ643" s="16" t="s">
        <v>45</v>
      </c>
      <c r="AK643" s="16" t="s">
        <v>45</v>
      </c>
      <c r="AL643" s="10" t="s">
        <v>49</v>
      </c>
      <c r="AM643" s="16" t="s">
        <v>45</v>
      </c>
      <c r="AN643" s="10" t="s">
        <v>1499</v>
      </c>
    </row>
    <row r="644" ht="30.0" customHeight="1">
      <c r="A644" s="9" t="str">
        <f t="shared" si="48"/>
        <v>N/I</v>
      </c>
      <c r="B644" s="9" t="str">
        <f t="shared" si="49"/>
        <v>N/I</v>
      </c>
      <c r="C644" s="9" t="str">
        <f t="shared" si="50"/>
        <v>Ativo</v>
      </c>
      <c r="D644" s="10" t="s">
        <v>1688</v>
      </c>
      <c r="E644" s="11" t="s">
        <v>1689</v>
      </c>
      <c r="F644" s="11" t="s">
        <v>1853</v>
      </c>
      <c r="G644" s="12" t="s">
        <v>1691</v>
      </c>
      <c r="H644" s="42" t="s">
        <v>1854</v>
      </c>
      <c r="I644" s="12" t="s">
        <v>1855</v>
      </c>
      <c r="J644" s="10" t="s">
        <v>562</v>
      </c>
      <c r="K644" s="10" t="s">
        <v>190</v>
      </c>
      <c r="L644" s="10" t="s">
        <v>6</v>
      </c>
      <c r="M644" s="14">
        <v>45845.0</v>
      </c>
      <c r="N644" s="11" t="s">
        <v>1856</v>
      </c>
      <c r="O644" s="10" t="s">
        <v>1857</v>
      </c>
      <c r="P644" s="10" t="s">
        <v>1695</v>
      </c>
      <c r="Q644" s="2"/>
      <c r="R644" s="15"/>
      <c r="S644" s="15"/>
      <c r="T644" s="15"/>
      <c r="U644" s="15"/>
      <c r="V644" s="1"/>
      <c r="W644" s="15"/>
      <c r="X644" s="15"/>
      <c r="Y644" s="15"/>
      <c r="Z644" s="15"/>
      <c r="AA644" s="1"/>
      <c r="AB644" s="10">
        <v>60.0</v>
      </c>
      <c r="AC644" s="14">
        <v>45845.0</v>
      </c>
      <c r="AD644" s="14">
        <v>47671.0</v>
      </c>
      <c r="AE644" s="10">
        <f t="shared" si="63"/>
        <v>1580</v>
      </c>
      <c r="AF644" s="2"/>
      <c r="AG644" s="10" t="s">
        <v>1498</v>
      </c>
      <c r="AH644" s="12" t="s">
        <v>46</v>
      </c>
      <c r="AI644" s="16" t="s">
        <v>45</v>
      </c>
      <c r="AJ644" s="16" t="s">
        <v>45</v>
      </c>
      <c r="AK644" s="16" t="s">
        <v>45</v>
      </c>
      <c r="AL644" s="10" t="s">
        <v>49</v>
      </c>
      <c r="AM644" s="16" t="s">
        <v>45</v>
      </c>
      <c r="AN644" s="10" t="s">
        <v>1499</v>
      </c>
    </row>
    <row r="645" ht="30.0" customHeight="1">
      <c r="A645" s="9" t="str">
        <f t="shared" si="48"/>
        <v>N/I</v>
      </c>
      <c r="B645" s="9" t="str">
        <f t="shared" si="49"/>
        <v>N/I</v>
      </c>
      <c r="C645" s="9" t="str">
        <f t="shared" si="50"/>
        <v>Ativo</v>
      </c>
      <c r="D645" s="10" t="s">
        <v>1688</v>
      </c>
      <c r="E645" s="11" t="s">
        <v>1689</v>
      </c>
      <c r="F645" s="11" t="s">
        <v>1858</v>
      </c>
      <c r="G645" s="12" t="s">
        <v>1691</v>
      </c>
      <c r="H645" s="42" t="s">
        <v>1859</v>
      </c>
      <c r="I645" s="12" t="s">
        <v>1860</v>
      </c>
      <c r="J645" s="10" t="s">
        <v>562</v>
      </c>
      <c r="K645" s="10" t="s">
        <v>190</v>
      </c>
      <c r="L645" s="10" t="s">
        <v>6</v>
      </c>
      <c r="M645" s="22">
        <v>45838.0</v>
      </c>
      <c r="N645" s="11" t="s">
        <v>1861</v>
      </c>
      <c r="O645" s="10" t="s">
        <v>1862</v>
      </c>
      <c r="P645" s="10" t="s">
        <v>1695</v>
      </c>
      <c r="Q645" s="2"/>
      <c r="R645" s="15"/>
      <c r="S645" s="15"/>
      <c r="T645" s="15"/>
      <c r="U645" s="15"/>
      <c r="V645" s="1"/>
      <c r="W645" s="15"/>
      <c r="X645" s="15"/>
      <c r="Y645" s="15"/>
      <c r="Z645" s="15"/>
      <c r="AA645" s="1"/>
      <c r="AB645" s="10">
        <v>60.0</v>
      </c>
      <c r="AC645" s="14">
        <v>45838.0</v>
      </c>
      <c r="AD645" s="14">
        <v>47664.0</v>
      </c>
      <c r="AE645" s="10">
        <f t="shared" si="63"/>
        <v>1573</v>
      </c>
      <c r="AF645" s="2"/>
      <c r="AG645" s="10" t="s">
        <v>1498</v>
      </c>
      <c r="AH645" s="12" t="s">
        <v>46</v>
      </c>
      <c r="AI645" s="16" t="s">
        <v>45</v>
      </c>
      <c r="AJ645" s="16" t="s">
        <v>45</v>
      </c>
      <c r="AK645" s="16" t="s">
        <v>45</v>
      </c>
      <c r="AL645" s="10" t="s">
        <v>49</v>
      </c>
      <c r="AM645" s="16" t="s">
        <v>45</v>
      </c>
      <c r="AN645" s="10" t="s">
        <v>1499</v>
      </c>
    </row>
    <row r="646" ht="30.0" customHeight="1">
      <c r="A646" s="9" t="str">
        <f t="shared" si="48"/>
        <v>N/I</v>
      </c>
      <c r="B646" s="9" t="str">
        <f t="shared" si="49"/>
        <v>N/I</v>
      </c>
      <c r="C646" s="9" t="str">
        <f t="shared" si="50"/>
        <v>Ativo</v>
      </c>
      <c r="D646" s="10" t="s">
        <v>1688</v>
      </c>
      <c r="E646" s="11" t="s">
        <v>1689</v>
      </c>
      <c r="F646" s="11" t="s">
        <v>1863</v>
      </c>
      <c r="G646" s="12" t="s">
        <v>1691</v>
      </c>
      <c r="H646" s="42" t="s">
        <v>1864</v>
      </c>
      <c r="I646" s="12" t="s">
        <v>1865</v>
      </c>
      <c r="J646" s="10" t="s">
        <v>562</v>
      </c>
      <c r="K646" s="10" t="s">
        <v>190</v>
      </c>
      <c r="L646" s="10" t="s">
        <v>6</v>
      </c>
      <c r="M646" s="22">
        <v>45770.0</v>
      </c>
      <c r="N646" s="11" t="s">
        <v>1866</v>
      </c>
      <c r="O646" s="10" t="s">
        <v>1867</v>
      </c>
      <c r="P646" s="10" t="s">
        <v>1695</v>
      </c>
      <c r="Q646" s="2"/>
      <c r="R646" s="15"/>
      <c r="S646" s="15"/>
      <c r="T646" s="15"/>
      <c r="U646" s="15"/>
      <c r="V646" s="1"/>
      <c r="W646" s="15"/>
      <c r="X646" s="15"/>
      <c r="Y646" s="15"/>
      <c r="Z646" s="15"/>
      <c r="AA646" s="1"/>
      <c r="AB646" s="10">
        <v>60.0</v>
      </c>
      <c r="AC646" s="14">
        <v>45770.0</v>
      </c>
      <c r="AD646" s="14">
        <v>47596.0</v>
      </c>
      <c r="AE646" s="10">
        <f t="shared" si="63"/>
        <v>1505</v>
      </c>
      <c r="AF646" s="2"/>
      <c r="AG646" s="10" t="s">
        <v>1498</v>
      </c>
      <c r="AH646" s="12" t="s">
        <v>46</v>
      </c>
      <c r="AI646" s="16" t="s">
        <v>45</v>
      </c>
      <c r="AJ646" s="16" t="s">
        <v>45</v>
      </c>
      <c r="AK646" s="16" t="s">
        <v>45</v>
      </c>
      <c r="AL646" s="10" t="s">
        <v>49</v>
      </c>
      <c r="AM646" s="16" t="s">
        <v>45</v>
      </c>
      <c r="AN646" s="10" t="s">
        <v>1499</v>
      </c>
    </row>
    <row r="647" ht="30.0" customHeight="1">
      <c r="A647" s="9" t="str">
        <f t="shared" si="48"/>
        <v>N/I</v>
      </c>
      <c r="B647" s="9" t="str">
        <f t="shared" si="49"/>
        <v>N/I</v>
      </c>
      <c r="C647" s="9" t="str">
        <f t="shared" si="50"/>
        <v>Ativo</v>
      </c>
      <c r="D647" s="10" t="s">
        <v>1688</v>
      </c>
      <c r="E647" s="11" t="s">
        <v>1689</v>
      </c>
      <c r="F647" s="11" t="s">
        <v>1868</v>
      </c>
      <c r="G647" s="12" t="s">
        <v>1691</v>
      </c>
      <c r="H647" s="42" t="s">
        <v>1869</v>
      </c>
      <c r="I647" s="12" t="s">
        <v>1870</v>
      </c>
      <c r="J647" s="10" t="s">
        <v>562</v>
      </c>
      <c r="K647" s="10" t="s">
        <v>190</v>
      </c>
      <c r="L647" s="10" t="s">
        <v>6</v>
      </c>
      <c r="M647" s="14">
        <v>45719.0</v>
      </c>
      <c r="N647" s="11" t="s">
        <v>1871</v>
      </c>
      <c r="O647" s="10" t="s">
        <v>319</v>
      </c>
      <c r="P647" s="10" t="s">
        <v>1695</v>
      </c>
      <c r="Q647" s="2"/>
      <c r="R647" s="15"/>
      <c r="S647" s="15"/>
      <c r="T647" s="15"/>
      <c r="U647" s="15"/>
      <c r="V647" s="1"/>
      <c r="W647" s="15"/>
      <c r="X647" s="15"/>
      <c r="Y647" s="15"/>
      <c r="Z647" s="15"/>
      <c r="AA647" s="1"/>
      <c r="AB647" s="10">
        <v>60.0</v>
      </c>
      <c r="AC647" s="14">
        <v>45719.0</v>
      </c>
      <c r="AD647" s="14">
        <v>47545.0</v>
      </c>
      <c r="AE647" s="10">
        <f t="shared" si="63"/>
        <v>1454</v>
      </c>
      <c r="AF647" s="2"/>
      <c r="AG647" s="10" t="s">
        <v>1498</v>
      </c>
      <c r="AH647" s="12" t="s">
        <v>46</v>
      </c>
      <c r="AI647" s="16" t="s">
        <v>45</v>
      </c>
      <c r="AJ647" s="16" t="s">
        <v>45</v>
      </c>
      <c r="AK647" s="16" t="s">
        <v>45</v>
      </c>
      <c r="AL647" s="10" t="s">
        <v>49</v>
      </c>
      <c r="AM647" s="16" t="s">
        <v>45</v>
      </c>
      <c r="AN647" s="10" t="s">
        <v>1499</v>
      </c>
    </row>
    <row r="648" ht="30.0" customHeight="1">
      <c r="A648" s="9" t="str">
        <f t="shared" si="48"/>
        <v>N/I</v>
      </c>
      <c r="B648" s="9" t="str">
        <f t="shared" si="49"/>
        <v>N/I</v>
      </c>
      <c r="C648" s="9" t="str">
        <f t="shared" si="50"/>
        <v>Ativo</v>
      </c>
      <c r="D648" s="10" t="s">
        <v>1688</v>
      </c>
      <c r="E648" s="11" t="s">
        <v>1689</v>
      </c>
      <c r="F648" s="11" t="s">
        <v>1872</v>
      </c>
      <c r="G648" s="12" t="s">
        <v>1691</v>
      </c>
      <c r="H648" s="42" t="s">
        <v>1873</v>
      </c>
      <c r="I648" s="12" t="s">
        <v>1874</v>
      </c>
      <c r="J648" s="10" t="s">
        <v>562</v>
      </c>
      <c r="K648" s="10" t="s">
        <v>190</v>
      </c>
      <c r="L648" s="10" t="s">
        <v>6</v>
      </c>
      <c r="M648" s="14">
        <v>45722.0</v>
      </c>
      <c r="N648" s="11" t="s">
        <v>1875</v>
      </c>
      <c r="O648" s="10" t="s">
        <v>1876</v>
      </c>
      <c r="P648" s="10" t="s">
        <v>1695</v>
      </c>
      <c r="Q648" s="2"/>
      <c r="R648" s="15"/>
      <c r="S648" s="15"/>
      <c r="T648" s="15"/>
      <c r="U648" s="15"/>
      <c r="V648" s="1"/>
      <c r="W648" s="15"/>
      <c r="X648" s="15"/>
      <c r="Y648" s="15"/>
      <c r="Z648" s="15"/>
      <c r="AA648" s="1"/>
      <c r="AB648" s="10">
        <v>60.0</v>
      </c>
      <c r="AC648" s="14">
        <v>45722.0</v>
      </c>
      <c r="AD648" s="14">
        <v>47548.0</v>
      </c>
      <c r="AE648" s="10">
        <f t="shared" si="63"/>
        <v>1457</v>
      </c>
      <c r="AF648" s="2"/>
      <c r="AG648" s="10" t="s">
        <v>1498</v>
      </c>
      <c r="AH648" s="12" t="s">
        <v>46</v>
      </c>
      <c r="AI648" s="16" t="s">
        <v>45</v>
      </c>
      <c r="AJ648" s="16" t="s">
        <v>45</v>
      </c>
      <c r="AK648" s="16" t="s">
        <v>45</v>
      </c>
      <c r="AL648" s="10" t="s">
        <v>49</v>
      </c>
      <c r="AM648" s="16" t="s">
        <v>45</v>
      </c>
      <c r="AN648" s="10" t="s">
        <v>1499</v>
      </c>
    </row>
    <row r="649" ht="30.0" customHeight="1">
      <c r="A649" s="9" t="str">
        <f t="shared" si="48"/>
        <v>N/I</v>
      </c>
      <c r="B649" s="9" t="str">
        <f t="shared" si="49"/>
        <v>N/I</v>
      </c>
      <c r="C649" s="9" t="str">
        <f t="shared" si="50"/>
        <v>Ativo</v>
      </c>
      <c r="D649" s="10" t="s">
        <v>1688</v>
      </c>
      <c r="E649" s="11" t="s">
        <v>1689</v>
      </c>
      <c r="F649" s="11" t="s">
        <v>1877</v>
      </c>
      <c r="G649" s="12" t="s">
        <v>1691</v>
      </c>
      <c r="H649" s="42" t="s">
        <v>1878</v>
      </c>
      <c r="I649" s="12" t="s">
        <v>1879</v>
      </c>
      <c r="J649" s="10" t="s">
        <v>562</v>
      </c>
      <c r="K649" s="10" t="s">
        <v>190</v>
      </c>
      <c r="L649" s="10" t="s">
        <v>6</v>
      </c>
      <c r="M649" s="22">
        <v>45785.0</v>
      </c>
      <c r="N649" s="11" t="s">
        <v>1880</v>
      </c>
      <c r="O649" s="10" t="s">
        <v>1881</v>
      </c>
      <c r="P649" s="10" t="s">
        <v>1695</v>
      </c>
      <c r="Q649" s="2"/>
      <c r="R649" s="15"/>
      <c r="S649" s="15"/>
      <c r="T649" s="15"/>
      <c r="U649" s="15"/>
      <c r="V649" s="1"/>
      <c r="W649" s="15"/>
      <c r="X649" s="15"/>
      <c r="Y649" s="15"/>
      <c r="Z649" s="15"/>
      <c r="AA649" s="1"/>
      <c r="AB649" s="10">
        <v>60.0</v>
      </c>
      <c r="AC649" s="14">
        <v>45785.0</v>
      </c>
      <c r="AD649" s="14">
        <v>47611.0</v>
      </c>
      <c r="AE649" s="10">
        <f t="shared" si="63"/>
        <v>1520</v>
      </c>
      <c r="AF649" s="2"/>
      <c r="AG649" s="10" t="s">
        <v>1498</v>
      </c>
      <c r="AH649" s="12" t="s">
        <v>46</v>
      </c>
      <c r="AI649" s="16" t="s">
        <v>45</v>
      </c>
      <c r="AJ649" s="16" t="s">
        <v>45</v>
      </c>
      <c r="AK649" s="16" t="s">
        <v>45</v>
      </c>
      <c r="AL649" s="10" t="s">
        <v>49</v>
      </c>
      <c r="AM649" s="16" t="s">
        <v>45</v>
      </c>
      <c r="AN649" s="10" t="s">
        <v>1499</v>
      </c>
    </row>
    <row r="650" ht="30.0" customHeight="1">
      <c r="A650" s="9" t="str">
        <f t="shared" si="48"/>
        <v>N/I</v>
      </c>
      <c r="B650" s="9" t="str">
        <f t="shared" si="49"/>
        <v>N/I</v>
      </c>
      <c r="C650" s="9" t="str">
        <f t="shared" si="50"/>
        <v>Ativo</v>
      </c>
      <c r="D650" s="10" t="s">
        <v>1688</v>
      </c>
      <c r="E650" s="11" t="s">
        <v>1689</v>
      </c>
      <c r="F650" s="11" t="s">
        <v>1882</v>
      </c>
      <c r="G650" s="12" t="s">
        <v>1691</v>
      </c>
      <c r="H650" s="42" t="s">
        <v>1883</v>
      </c>
      <c r="I650" s="12" t="s">
        <v>1884</v>
      </c>
      <c r="J650" s="10" t="s">
        <v>562</v>
      </c>
      <c r="K650" s="10" t="s">
        <v>190</v>
      </c>
      <c r="L650" s="10" t="s">
        <v>6</v>
      </c>
      <c r="M650" s="14">
        <v>45720.0</v>
      </c>
      <c r="N650" s="11" t="s">
        <v>1885</v>
      </c>
      <c r="O650" s="10" t="s">
        <v>1886</v>
      </c>
      <c r="P650" s="10" t="s">
        <v>1695</v>
      </c>
      <c r="Q650" s="2"/>
      <c r="R650" s="15"/>
      <c r="S650" s="15"/>
      <c r="T650" s="15"/>
      <c r="U650" s="15"/>
      <c r="V650" s="1"/>
      <c r="W650" s="15"/>
      <c r="X650" s="15"/>
      <c r="Y650" s="15"/>
      <c r="Z650" s="15"/>
      <c r="AA650" s="1"/>
      <c r="AB650" s="10">
        <v>60.0</v>
      </c>
      <c r="AC650" s="14">
        <v>45720.0</v>
      </c>
      <c r="AD650" s="14">
        <v>47546.0</v>
      </c>
      <c r="AE650" s="10">
        <f t="shared" si="63"/>
        <v>1455</v>
      </c>
      <c r="AF650" s="2"/>
      <c r="AG650" s="10" t="s">
        <v>1498</v>
      </c>
      <c r="AH650" s="12" t="s">
        <v>46</v>
      </c>
      <c r="AI650" s="16" t="s">
        <v>45</v>
      </c>
      <c r="AJ650" s="16" t="s">
        <v>45</v>
      </c>
      <c r="AK650" s="16" t="s">
        <v>45</v>
      </c>
      <c r="AL650" s="10" t="s">
        <v>49</v>
      </c>
      <c r="AM650" s="16" t="s">
        <v>45</v>
      </c>
      <c r="AN650" s="10" t="s">
        <v>1499</v>
      </c>
    </row>
    <row r="651" ht="30.0" customHeight="1">
      <c r="A651" s="9" t="str">
        <f t="shared" si="48"/>
        <v>N/I</v>
      </c>
      <c r="B651" s="9" t="str">
        <f t="shared" si="49"/>
        <v>N/I</v>
      </c>
      <c r="C651" s="9" t="str">
        <f t="shared" si="50"/>
        <v>Ativo</v>
      </c>
      <c r="D651" s="10" t="s">
        <v>1688</v>
      </c>
      <c r="E651" s="11" t="s">
        <v>1689</v>
      </c>
      <c r="F651" s="11" t="s">
        <v>1887</v>
      </c>
      <c r="G651" s="12" t="s">
        <v>1691</v>
      </c>
      <c r="H651" s="42" t="s">
        <v>1888</v>
      </c>
      <c r="I651" s="12" t="s">
        <v>1889</v>
      </c>
      <c r="J651" s="10" t="s">
        <v>562</v>
      </c>
      <c r="K651" s="10" t="s">
        <v>190</v>
      </c>
      <c r="L651" s="10" t="s">
        <v>6</v>
      </c>
      <c r="M651" s="14">
        <v>45869.0</v>
      </c>
      <c r="N651" s="11" t="s">
        <v>1890</v>
      </c>
      <c r="O651" s="10" t="s">
        <v>1891</v>
      </c>
      <c r="P651" s="10" t="s">
        <v>1695</v>
      </c>
      <c r="Q651" s="2"/>
      <c r="R651" s="15"/>
      <c r="S651" s="15"/>
      <c r="T651" s="15"/>
      <c r="U651" s="15"/>
      <c r="V651" s="1"/>
      <c r="W651" s="15"/>
      <c r="X651" s="15"/>
      <c r="Y651" s="15"/>
      <c r="Z651" s="15"/>
      <c r="AA651" s="1"/>
      <c r="AB651" s="10">
        <v>60.0</v>
      </c>
      <c r="AC651" s="14">
        <v>45869.0</v>
      </c>
      <c r="AD651" s="14">
        <v>47695.0</v>
      </c>
      <c r="AE651" s="10">
        <f t="shared" si="63"/>
        <v>1604</v>
      </c>
      <c r="AF651" s="2"/>
      <c r="AG651" s="10" t="s">
        <v>1498</v>
      </c>
      <c r="AH651" s="12" t="s">
        <v>46</v>
      </c>
      <c r="AI651" s="16" t="s">
        <v>45</v>
      </c>
      <c r="AJ651" s="16" t="s">
        <v>45</v>
      </c>
      <c r="AK651" s="16" t="s">
        <v>45</v>
      </c>
      <c r="AL651" s="10" t="s">
        <v>49</v>
      </c>
      <c r="AM651" s="16" t="s">
        <v>45</v>
      </c>
      <c r="AN651" s="10" t="s">
        <v>1499</v>
      </c>
    </row>
    <row r="652" ht="30.0" customHeight="1">
      <c r="A652" s="9" t="str">
        <f t="shared" si="48"/>
        <v>N/I</v>
      </c>
      <c r="B652" s="9" t="str">
        <f t="shared" si="49"/>
        <v>N/I</v>
      </c>
      <c r="C652" s="9" t="str">
        <f t="shared" si="50"/>
        <v>Ativo</v>
      </c>
      <c r="D652" s="10" t="s">
        <v>1688</v>
      </c>
      <c r="E652" s="11" t="s">
        <v>1689</v>
      </c>
      <c r="F652" s="11" t="s">
        <v>1892</v>
      </c>
      <c r="G652" s="12" t="s">
        <v>1691</v>
      </c>
      <c r="H652" s="42" t="s">
        <v>1893</v>
      </c>
      <c r="I652" s="12" t="s">
        <v>1894</v>
      </c>
      <c r="J652" s="10" t="s">
        <v>562</v>
      </c>
      <c r="K652" s="10" t="s">
        <v>190</v>
      </c>
      <c r="L652" s="10" t="s">
        <v>6</v>
      </c>
      <c r="M652" s="22">
        <v>45749.0</v>
      </c>
      <c r="N652" s="11" t="s">
        <v>1895</v>
      </c>
      <c r="O652" s="10" t="s">
        <v>319</v>
      </c>
      <c r="P652" s="10" t="s">
        <v>1695</v>
      </c>
      <c r="Q652" s="2"/>
      <c r="R652" s="15"/>
      <c r="S652" s="15"/>
      <c r="T652" s="15"/>
      <c r="U652" s="15"/>
      <c r="V652" s="1"/>
      <c r="W652" s="15"/>
      <c r="X652" s="15"/>
      <c r="Y652" s="15"/>
      <c r="Z652" s="15"/>
      <c r="AA652" s="1"/>
      <c r="AB652" s="10">
        <v>60.0</v>
      </c>
      <c r="AC652" s="14">
        <v>45749.0</v>
      </c>
      <c r="AD652" s="14">
        <v>47575.0</v>
      </c>
      <c r="AE652" s="10">
        <f t="shared" si="63"/>
        <v>1484</v>
      </c>
      <c r="AF652" s="2"/>
      <c r="AG652" s="10" t="s">
        <v>1498</v>
      </c>
      <c r="AH652" s="12" t="s">
        <v>46</v>
      </c>
      <c r="AI652" s="16" t="s">
        <v>45</v>
      </c>
      <c r="AJ652" s="16" t="s">
        <v>45</v>
      </c>
      <c r="AK652" s="16" t="s">
        <v>45</v>
      </c>
      <c r="AL652" s="10" t="s">
        <v>49</v>
      </c>
      <c r="AM652" s="16" t="s">
        <v>45</v>
      </c>
      <c r="AN652" s="10" t="s">
        <v>1499</v>
      </c>
    </row>
    <row r="653" ht="30.0" customHeight="1">
      <c r="A653" s="9" t="str">
        <f t="shared" si="48"/>
        <v>N/I</v>
      </c>
      <c r="B653" s="9" t="str">
        <f t="shared" si="49"/>
        <v>N/I</v>
      </c>
      <c r="C653" s="9" t="str">
        <f t="shared" si="50"/>
        <v>Ativo</v>
      </c>
      <c r="D653" s="10" t="s">
        <v>1688</v>
      </c>
      <c r="E653" s="11" t="s">
        <v>1689</v>
      </c>
      <c r="F653" s="11" t="s">
        <v>1896</v>
      </c>
      <c r="G653" s="12" t="s">
        <v>1691</v>
      </c>
      <c r="H653" s="42" t="s">
        <v>1897</v>
      </c>
      <c r="I653" s="12" t="s">
        <v>1898</v>
      </c>
      <c r="J653" s="10" t="s">
        <v>562</v>
      </c>
      <c r="K653" s="10" t="s">
        <v>190</v>
      </c>
      <c r="L653" s="10" t="s">
        <v>6</v>
      </c>
      <c r="M653" s="14">
        <v>45722.0</v>
      </c>
      <c r="N653" s="11" t="s">
        <v>1899</v>
      </c>
      <c r="O653" s="10" t="s">
        <v>1900</v>
      </c>
      <c r="P653" s="10" t="s">
        <v>1695</v>
      </c>
      <c r="Q653" s="2"/>
      <c r="R653" s="15"/>
      <c r="S653" s="15"/>
      <c r="T653" s="15"/>
      <c r="U653" s="15"/>
      <c r="V653" s="1"/>
      <c r="W653" s="15"/>
      <c r="X653" s="15"/>
      <c r="Y653" s="15"/>
      <c r="Z653" s="15"/>
      <c r="AA653" s="1"/>
      <c r="AB653" s="10">
        <v>60.0</v>
      </c>
      <c r="AC653" s="14">
        <v>45722.0</v>
      </c>
      <c r="AD653" s="14">
        <v>47548.0</v>
      </c>
      <c r="AE653" s="10">
        <f t="shared" si="63"/>
        <v>1457</v>
      </c>
      <c r="AF653" s="2"/>
      <c r="AG653" s="10" t="s">
        <v>1498</v>
      </c>
      <c r="AH653" s="12" t="s">
        <v>46</v>
      </c>
      <c r="AI653" s="16" t="s">
        <v>45</v>
      </c>
      <c r="AJ653" s="16" t="s">
        <v>45</v>
      </c>
      <c r="AK653" s="16" t="s">
        <v>45</v>
      </c>
      <c r="AL653" s="10" t="s">
        <v>49</v>
      </c>
      <c r="AM653" s="16" t="s">
        <v>45</v>
      </c>
      <c r="AN653" s="10" t="s">
        <v>1499</v>
      </c>
    </row>
    <row r="654" ht="30.0" customHeight="1">
      <c r="A654" s="9" t="str">
        <f t="shared" si="48"/>
        <v>N/I</v>
      </c>
      <c r="B654" s="9" t="str">
        <f t="shared" si="49"/>
        <v>N/I</v>
      </c>
      <c r="C654" s="9" t="str">
        <f t="shared" si="50"/>
        <v>Ativo</v>
      </c>
      <c r="D654" s="10" t="s">
        <v>1688</v>
      </c>
      <c r="E654" s="11" t="s">
        <v>1689</v>
      </c>
      <c r="F654" s="11" t="s">
        <v>1901</v>
      </c>
      <c r="G654" s="12" t="s">
        <v>1691</v>
      </c>
      <c r="H654" s="42" t="s">
        <v>1902</v>
      </c>
      <c r="I654" s="12" t="s">
        <v>1903</v>
      </c>
      <c r="J654" s="10" t="s">
        <v>562</v>
      </c>
      <c r="K654" s="10" t="s">
        <v>190</v>
      </c>
      <c r="L654" s="10" t="s">
        <v>6</v>
      </c>
      <c r="M654" s="14">
        <v>45726.0</v>
      </c>
      <c r="N654" s="11" t="s">
        <v>1904</v>
      </c>
      <c r="O654" s="10" t="s">
        <v>319</v>
      </c>
      <c r="P654" s="10" t="s">
        <v>1695</v>
      </c>
      <c r="Q654" s="2"/>
      <c r="R654" s="15"/>
      <c r="S654" s="15"/>
      <c r="T654" s="15"/>
      <c r="U654" s="15"/>
      <c r="V654" s="1"/>
      <c r="W654" s="15"/>
      <c r="X654" s="15"/>
      <c r="Y654" s="15"/>
      <c r="Z654" s="15"/>
      <c r="AA654" s="1"/>
      <c r="AB654" s="10">
        <v>60.0</v>
      </c>
      <c r="AC654" s="14">
        <v>45727.0</v>
      </c>
      <c r="AD654" s="14">
        <v>47553.0</v>
      </c>
      <c r="AE654" s="10">
        <f t="shared" si="63"/>
        <v>1462</v>
      </c>
      <c r="AF654" s="2"/>
      <c r="AG654" s="10" t="s">
        <v>1498</v>
      </c>
      <c r="AH654" s="12" t="s">
        <v>46</v>
      </c>
      <c r="AI654" s="16" t="s">
        <v>45</v>
      </c>
      <c r="AJ654" s="16" t="s">
        <v>45</v>
      </c>
      <c r="AK654" s="16" t="s">
        <v>45</v>
      </c>
      <c r="AL654" s="10" t="s">
        <v>49</v>
      </c>
      <c r="AM654" s="16" t="s">
        <v>45</v>
      </c>
      <c r="AN654" s="10" t="s">
        <v>1499</v>
      </c>
    </row>
    <row r="655" ht="30.0" customHeight="1">
      <c r="A655" s="9" t="str">
        <f t="shared" si="48"/>
        <v>N/I</v>
      </c>
      <c r="B655" s="9" t="str">
        <f t="shared" si="49"/>
        <v>N/I</v>
      </c>
      <c r="C655" s="9" t="str">
        <f t="shared" si="50"/>
        <v>Ativo</v>
      </c>
      <c r="D655" s="10" t="s">
        <v>1688</v>
      </c>
      <c r="E655" s="11" t="s">
        <v>1689</v>
      </c>
      <c r="F655" s="11" t="s">
        <v>1905</v>
      </c>
      <c r="G655" s="12" t="s">
        <v>1691</v>
      </c>
      <c r="H655" s="42" t="s">
        <v>1906</v>
      </c>
      <c r="I655" s="12" t="s">
        <v>1907</v>
      </c>
      <c r="J655" s="10" t="s">
        <v>562</v>
      </c>
      <c r="K655" s="10" t="s">
        <v>190</v>
      </c>
      <c r="L655" s="10" t="s">
        <v>6</v>
      </c>
      <c r="M655" s="22">
        <v>45769.0</v>
      </c>
      <c r="N655" s="11" t="s">
        <v>1908</v>
      </c>
      <c r="O655" s="10" t="s">
        <v>1909</v>
      </c>
      <c r="P655" s="10" t="s">
        <v>1695</v>
      </c>
      <c r="Q655" s="2"/>
      <c r="R655" s="15"/>
      <c r="S655" s="15"/>
      <c r="T655" s="15"/>
      <c r="U655" s="15"/>
      <c r="V655" s="1"/>
      <c r="W655" s="15"/>
      <c r="X655" s="15"/>
      <c r="Y655" s="15"/>
      <c r="Z655" s="15"/>
      <c r="AA655" s="1"/>
      <c r="AB655" s="10">
        <v>60.0</v>
      </c>
      <c r="AC655" s="14">
        <v>45769.0</v>
      </c>
      <c r="AD655" s="14">
        <v>47595.0</v>
      </c>
      <c r="AE655" s="10">
        <f t="shared" si="63"/>
        <v>1504</v>
      </c>
      <c r="AF655" s="2"/>
      <c r="AG655" s="10" t="s">
        <v>1498</v>
      </c>
      <c r="AH655" s="12" t="s">
        <v>46</v>
      </c>
      <c r="AI655" s="16" t="s">
        <v>45</v>
      </c>
      <c r="AJ655" s="16" t="s">
        <v>45</v>
      </c>
      <c r="AK655" s="16" t="s">
        <v>45</v>
      </c>
      <c r="AL655" s="10" t="s">
        <v>49</v>
      </c>
      <c r="AM655" s="16" t="s">
        <v>45</v>
      </c>
      <c r="AN655" s="10" t="s">
        <v>1499</v>
      </c>
    </row>
    <row r="656" ht="30.0" customHeight="1">
      <c r="A656" s="9" t="str">
        <f t="shared" si="48"/>
        <v>N/I</v>
      </c>
      <c r="B656" s="9" t="str">
        <f t="shared" si="49"/>
        <v>N/I</v>
      </c>
      <c r="C656" s="9" t="str">
        <f t="shared" si="50"/>
        <v>Ativo</v>
      </c>
      <c r="D656" s="10" t="s">
        <v>1688</v>
      </c>
      <c r="E656" s="11" t="s">
        <v>1689</v>
      </c>
      <c r="F656" s="11" t="s">
        <v>1910</v>
      </c>
      <c r="G656" s="12" t="s">
        <v>1691</v>
      </c>
      <c r="H656" s="42" t="s">
        <v>1911</v>
      </c>
      <c r="I656" s="12" t="s">
        <v>1912</v>
      </c>
      <c r="J656" s="10" t="s">
        <v>562</v>
      </c>
      <c r="K656" s="10" t="s">
        <v>190</v>
      </c>
      <c r="L656" s="10" t="s">
        <v>6</v>
      </c>
      <c r="M656" s="22">
        <v>45782.0</v>
      </c>
      <c r="N656" s="11" t="s">
        <v>1913</v>
      </c>
      <c r="O656" s="10" t="s">
        <v>1914</v>
      </c>
      <c r="P656" s="10" t="s">
        <v>1695</v>
      </c>
      <c r="Q656" s="2"/>
      <c r="R656" s="15"/>
      <c r="S656" s="15"/>
      <c r="T656" s="15"/>
      <c r="U656" s="15"/>
      <c r="V656" s="1"/>
      <c r="W656" s="15"/>
      <c r="X656" s="15"/>
      <c r="Y656" s="15"/>
      <c r="Z656" s="15"/>
      <c r="AA656" s="1"/>
      <c r="AB656" s="10">
        <v>60.0</v>
      </c>
      <c r="AC656" s="14">
        <v>45782.0</v>
      </c>
      <c r="AD656" s="14">
        <v>47608.0</v>
      </c>
      <c r="AE656" s="10">
        <f t="shared" si="63"/>
        <v>1517</v>
      </c>
      <c r="AF656" s="2"/>
      <c r="AG656" s="10" t="s">
        <v>1498</v>
      </c>
      <c r="AH656" s="12" t="s">
        <v>46</v>
      </c>
      <c r="AI656" s="16" t="s">
        <v>45</v>
      </c>
      <c r="AJ656" s="16" t="s">
        <v>45</v>
      </c>
      <c r="AK656" s="16" t="s">
        <v>45</v>
      </c>
      <c r="AL656" s="10" t="s">
        <v>49</v>
      </c>
      <c r="AM656" s="16" t="s">
        <v>45</v>
      </c>
      <c r="AN656" s="10" t="s">
        <v>1499</v>
      </c>
    </row>
    <row r="657" ht="30.0" customHeight="1">
      <c r="A657" s="9" t="str">
        <f t="shared" si="48"/>
        <v>N/I</v>
      </c>
      <c r="B657" s="9" t="str">
        <f t="shared" si="49"/>
        <v>N/I</v>
      </c>
      <c r="C657" s="9" t="str">
        <f t="shared" si="50"/>
        <v>Ativo</v>
      </c>
      <c r="D657" s="10" t="s">
        <v>1915</v>
      </c>
      <c r="E657" s="11" t="s">
        <v>1916</v>
      </c>
      <c r="F657" s="11" t="s">
        <v>1917</v>
      </c>
      <c r="G657" s="12" t="s">
        <v>94</v>
      </c>
      <c r="H657" s="16">
        <v>150291.0</v>
      </c>
      <c r="I657" s="12" t="s">
        <v>1918</v>
      </c>
      <c r="J657" s="10" t="s">
        <v>197</v>
      </c>
      <c r="K657" s="10" t="s">
        <v>40</v>
      </c>
      <c r="L657" s="10" t="s">
        <v>6</v>
      </c>
      <c r="M657" s="14">
        <v>43790.0</v>
      </c>
      <c r="N657" s="11" t="s">
        <v>1919</v>
      </c>
      <c r="O657" s="10" t="s">
        <v>1920</v>
      </c>
      <c r="P657" s="10" t="s">
        <v>1921</v>
      </c>
      <c r="Q657" s="2"/>
      <c r="R657" s="15"/>
      <c r="S657" s="15"/>
      <c r="T657" s="15"/>
      <c r="U657" s="15"/>
      <c r="V657" s="1"/>
      <c r="W657" s="15"/>
      <c r="X657" s="15"/>
      <c r="Y657" s="15"/>
      <c r="Z657" s="15"/>
      <c r="AA657" s="1"/>
      <c r="AB657" s="10">
        <v>12.0</v>
      </c>
      <c r="AC657" s="14">
        <v>45978.0</v>
      </c>
      <c r="AD657" s="14">
        <v>46342.0</v>
      </c>
      <c r="AE657" s="10">
        <f t="shared" si="63"/>
        <v>251</v>
      </c>
      <c r="AF657" s="2"/>
      <c r="AG657" s="10" t="s">
        <v>354</v>
      </c>
      <c r="AH657" s="12" t="s">
        <v>355</v>
      </c>
      <c r="AI657" s="10" t="s">
        <v>717</v>
      </c>
      <c r="AJ657" s="10" t="s">
        <v>227</v>
      </c>
      <c r="AK657" s="16" t="s">
        <v>45</v>
      </c>
      <c r="AL657" s="10" t="s">
        <v>49</v>
      </c>
      <c r="AM657" s="16" t="s">
        <v>45</v>
      </c>
      <c r="AN657" s="10" t="s">
        <v>50</v>
      </c>
    </row>
    <row r="658" ht="30.0" customHeight="1">
      <c r="A658" s="9" t="str">
        <f t="shared" si="48"/>
        <v>N/I</v>
      </c>
      <c r="B658" s="9" t="str">
        <f t="shared" si="49"/>
        <v>N/I</v>
      </c>
      <c r="C658" s="9" t="str">
        <f t="shared" si="50"/>
        <v>Ativo</v>
      </c>
      <c r="D658" s="10" t="s">
        <v>1922</v>
      </c>
      <c r="E658" s="11" t="s">
        <v>1923</v>
      </c>
      <c r="F658" s="32" t="s">
        <v>1924</v>
      </c>
      <c r="G658" s="12" t="s">
        <v>1691</v>
      </c>
      <c r="H658" s="34" t="s">
        <v>1925</v>
      </c>
      <c r="I658" s="12" t="s">
        <v>1926</v>
      </c>
      <c r="J658" s="10" t="s">
        <v>197</v>
      </c>
      <c r="K658" s="10" t="s">
        <v>40</v>
      </c>
      <c r="L658" s="10" t="s">
        <v>6</v>
      </c>
      <c r="M658" s="14">
        <v>45523.0</v>
      </c>
      <c r="N658" s="32" t="s">
        <v>1927</v>
      </c>
      <c r="O658" s="10" t="s">
        <v>1928</v>
      </c>
      <c r="P658" s="10" t="s">
        <v>1929</v>
      </c>
      <c r="Q658" s="2"/>
      <c r="R658" s="15"/>
      <c r="S658" s="15"/>
      <c r="T658" s="15"/>
      <c r="U658" s="15"/>
      <c r="V658" s="2"/>
      <c r="W658" s="15"/>
      <c r="X658" s="15"/>
      <c r="Y658" s="15"/>
      <c r="Z658" s="15"/>
      <c r="AA658" s="1"/>
      <c r="AB658" s="10">
        <v>30.0</v>
      </c>
      <c r="AC658" s="14">
        <v>45523.0</v>
      </c>
      <c r="AD658" s="14">
        <v>46437.0</v>
      </c>
      <c r="AE658" s="10">
        <f t="shared" si="63"/>
        <v>346</v>
      </c>
      <c r="AF658" s="2"/>
      <c r="AG658" s="10" t="s">
        <v>680</v>
      </c>
      <c r="AH658" s="12" t="s">
        <v>46</v>
      </c>
      <c r="AI658" s="10" t="s">
        <v>226</v>
      </c>
      <c r="AJ658" s="12" t="s">
        <v>1930</v>
      </c>
      <c r="AK658" s="16" t="s">
        <v>45</v>
      </c>
      <c r="AL658" s="10" t="s">
        <v>49</v>
      </c>
      <c r="AM658" s="12" t="s">
        <v>1931</v>
      </c>
      <c r="AN658" s="10" t="s">
        <v>50</v>
      </c>
    </row>
    <row r="659" ht="30.0" customHeight="1">
      <c r="A659" s="9" t="str">
        <f t="shared" si="48"/>
        <v>N/I</v>
      </c>
      <c r="B659" s="9" t="str">
        <f t="shared" si="49"/>
        <v>N/I</v>
      </c>
      <c r="C659" s="9" t="str">
        <f t="shared" si="50"/>
        <v>Ativo</v>
      </c>
      <c r="D659" s="10" t="s">
        <v>1922</v>
      </c>
      <c r="E659" s="11" t="s">
        <v>1923</v>
      </c>
      <c r="F659" s="32" t="s">
        <v>1932</v>
      </c>
      <c r="G659" s="12" t="s">
        <v>1691</v>
      </c>
      <c r="H659" s="34" t="s">
        <v>1933</v>
      </c>
      <c r="I659" s="12" t="s">
        <v>1926</v>
      </c>
      <c r="J659" s="10" t="s">
        <v>197</v>
      </c>
      <c r="K659" s="10" t="s">
        <v>40</v>
      </c>
      <c r="L659" s="10" t="s">
        <v>6</v>
      </c>
      <c r="M659" s="14">
        <v>45525.0</v>
      </c>
      <c r="N659" s="32" t="s">
        <v>1934</v>
      </c>
      <c r="O659" s="10" t="s">
        <v>1935</v>
      </c>
      <c r="P659" s="10" t="s">
        <v>1929</v>
      </c>
      <c r="Q659" s="2"/>
      <c r="R659" s="15"/>
      <c r="S659" s="15"/>
      <c r="T659" s="15"/>
      <c r="U659" s="15"/>
      <c r="V659" s="2"/>
      <c r="W659" s="15"/>
      <c r="X659" s="15"/>
      <c r="Y659" s="15"/>
      <c r="Z659" s="15"/>
      <c r="AA659" s="1"/>
      <c r="AB659" s="10">
        <v>30.0</v>
      </c>
      <c r="AC659" s="14">
        <v>45525.0</v>
      </c>
      <c r="AD659" s="14">
        <v>46439.0</v>
      </c>
      <c r="AE659" s="10">
        <f t="shared" si="63"/>
        <v>348</v>
      </c>
      <c r="AF659" s="2"/>
      <c r="AG659" s="10" t="s">
        <v>680</v>
      </c>
      <c r="AH659" s="12" t="s">
        <v>46</v>
      </c>
      <c r="AI659" s="10" t="s">
        <v>226</v>
      </c>
      <c r="AJ659" s="12" t="s">
        <v>1930</v>
      </c>
      <c r="AK659" s="16" t="s">
        <v>45</v>
      </c>
      <c r="AL659" s="10" t="s">
        <v>49</v>
      </c>
      <c r="AM659" s="12" t="s">
        <v>1931</v>
      </c>
      <c r="AN659" s="10" t="s">
        <v>50</v>
      </c>
    </row>
    <row r="660" ht="30.0" customHeight="1">
      <c r="A660" s="9" t="str">
        <f t="shared" si="48"/>
        <v>N/I</v>
      </c>
      <c r="B660" s="9" t="str">
        <f t="shared" si="49"/>
        <v>N/I</v>
      </c>
      <c r="C660" s="9" t="str">
        <f t="shared" si="50"/>
        <v>Ativo</v>
      </c>
      <c r="D660" s="10" t="s">
        <v>1922</v>
      </c>
      <c r="E660" s="11" t="s">
        <v>1923</v>
      </c>
      <c r="F660" s="32" t="s">
        <v>1936</v>
      </c>
      <c r="G660" s="12" t="s">
        <v>1691</v>
      </c>
      <c r="H660" s="34" t="s">
        <v>1937</v>
      </c>
      <c r="I660" s="12" t="s">
        <v>1938</v>
      </c>
      <c r="J660" s="10" t="s">
        <v>197</v>
      </c>
      <c r="K660" s="10" t="s">
        <v>40</v>
      </c>
      <c r="L660" s="10" t="s">
        <v>6</v>
      </c>
      <c r="M660" s="14">
        <v>45526.0</v>
      </c>
      <c r="N660" s="32" t="s">
        <v>1939</v>
      </c>
      <c r="O660" s="10" t="s">
        <v>1940</v>
      </c>
      <c r="P660" s="10" t="s">
        <v>1929</v>
      </c>
      <c r="Q660" s="2"/>
      <c r="R660" s="15"/>
      <c r="S660" s="15"/>
      <c r="T660" s="15"/>
      <c r="U660" s="15"/>
      <c r="V660" s="2"/>
      <c r="W660" s="15"/>
      <c r="X660" s="15"/>
      <c r="Y660" s="15"/>
      <c r="Z660" s="15"/>
      <c r="AA660" s="1"/>
      <c r="AB660" s="10">
        <v>30.0</v>
      </c>
      <c r="AC660" s="14">
        <v>45526.0</v>
      </c>
      <c r="AD660" s="14">
        <v>46440.0</v>
      </c>
      <c r="AE660" s="10">
        <f t="shared" si="63"/>
        <v>349</v>
      </c>
      <c r="AF660" s="2"/>
      <c r="AG660" s="10" t="s">
        <v>680</v>
      </c>
      <c r="AH660" s="12" t="s">
        <v>46</v>
      </c>
      <c r="AI660" s="10" t="s">
        <v>226</v>
      </c>
      <c r="AJ660" s="12" t="s">
        <v>1930</v>
      </c>
      <c r="AK660" s="16" t="s">
        <v>45</v>
      </c>
      <c r="AL660" s="10" t="s">
        <v>49</v>
      </c>
      <c r="AM660" s="12" t="s">
        <v>1931</v>
      </c>
      <c r="AN660" s="10" t="s">
        <v>50</v>
      </c>
    </row>
    <row r="661" ht="30.0" customHeight="1">
      <c r="A661" s="9" t="str">
        <f t="shared" si="48"/>
        <v>N/I</v>
      </c>
      <c r="B661" s="9" t="str">
        <f t="shared" si="49"/>
        <v>N/I</v>
      </c>
      <c r="C661" s="9" t="str">
        <f t="shared" si="50"/>
        <v>Ativo</v>
      </c>
      <c r="D661" s="10" t="s">
        <v>1922</v>
      </c>
      <c r="E661" s="11" t="s">
        <v>1923</v>
      </c>
      <c r="F661" s="32" t="s">
        <v>1941</v>
      </c>
      <c r="G661" s="12" t="s">
        <v>1691</v>
      </c>
      <c r="H661" s="34" t="s">
        <v>1942</v>
      </c>
      <c r="I661" s="12" t="s">
        <v>1943</v>
      </c>
      <c r="J661" s="10" t="s">
        <v>197</v>
      </c>
      <c r="K661" s="10" t="s">
        <v>40</v>
      </c>
      <c r="L661" s="10" t="s">
        <v>6</v>
      </c>
      <c r="M661" s="14">
        <v>45544.0</v>
      </c>
      <c r="N661" s="32" t="s">
        <v>1944</v>
      </c>
      <c r="O661" s="10" t="s">
        <v>1945</v>
      </c>
      <c r="P661" s="10" t="s">
        <v>1929</v>
      </c>
      <c r="Q661" s="2"/>
      <c r="R661" s="15"/>
      <c r="S661" s="15"/>
      <c r="T661" s="15"/>
      <c r="U661" s="15"/>
      <c r="V661" s="1"/>
      <c r="W661" s="15"/>
      <c r="X661" s="15"/>
      <c r="Y661" s="15"/>
      <c r="Z661" s="15"/>
      <c r="AA661" s="1"/>
      <c r="AB661" s="10">
        <v>30.0</v>
      </c>
      <c r="AC661" s="14">
        <v>45544.0</v>
      </c>
      <c r="AD661" s="14">
        <v>46455.0</v>
      </c>
      <c r="AE661" s="10">
        <f t="shared" si="63"/>
        <v>364</v>
      </c>
      <c r="AF661" s="2"/>
      <c r="AG661" s="10" t="s">
        <v>680</v>
      </c>
      <c r="AH661" s="12" t="s">
        <v>46</v>
      </c>
      <c r="AI661" s="10" t="s">
        <v>226</v>
      </c>
      <c r="AJ661" s="12" t="s">
        <v>1930</v>
      </c>
      <c r="AK661" s="16" t="s">
        <v>45</v>
      </c>
      <c r="AL661" s="10" t="s">
        <v>49</v>
      </c>
      <c r="AM661" s="12" t="s">
        <v>1931</v>
      </c>
      <c r="AN661" s="10" t="s">
        <v>50</v>
      </c>
    </row>
    <row r="662" ht="30.0" customHeight="1">
      <c r="A662" s="9" t="str">
        <f t="shared" si="48"/>
        <v>N/I</v>
      </c>
      <c r="B662" s="9" t="str">
        <f t="shared" si="49"/>
        <v>N/I</v>
      </c>
      <c r="C662" s="9" t="str">
        <f t="shared" si="50"/>
        <v>Ativo</v>
      </c>
      <c r="D662" s="10" t="s">
        <v>1922</v>
      </c>
      <c r="E662" s="11" t="s">
        <v>1923</v>
      </c>
      <c r="F662" s="32" t="s">
        <v>1946</v>
      </c>
      <c r="G662" s="12" t="s">
        <v>1691</v>
      </c>
      <c r="H662" s="34" t="s">
        <v>1947</v>
      </c>
      <c r="I662" s="12" t="s">
        <v>1948</v>
      </c>
      <c r="J662" s="10" t="s">
        <v>197</v>
      </c>
      <c r="K662" s="10" t="s">
        <v>40</v>
      </c>
      <c r="L662" s="10" t="s">
        <v>6</v>
      </c>
      <c r="M662" s="14">
        <v>45544.0</v>
      </c>
      <c r="N662" s="32" t="s">
        <v>1949</v>
      </c>
      <c r="O662" s="10" t="s">
        <v>1950</v>
      </c>
      <c r="P662" s="10" t="s">
        <v>1929</v>
      </c>
      <c r="Q662" s="2"/>
      <c r="R662" s="15"/>
      <c r="S662" s="15"/>
      <c r="T662" s="15"/>
      <c r="U662" s="15"/>
      <c r="V662" s="1"/>
      <c r="W662" s="15"/>
      <c r="X662" s="15"/>
      <c r="Y662" s="15"/>
      <c r="Z662" s="15"/>
      <c r="AA662" s="1"/>
      <c r="AB662" s="10">
        <v>30.0</v>
      </c>
      <c r="AC662" s="14">
        <v>45544.0</v>
      </c>
      <c r="AD662" s="14">
        <v>46455.0</v>
      </c>
      <c r="AE662" s="10">
        <f t="shared" si="63"/>
        <v>364</v>
      </c>
      <c r="AF662" s="2"/>
      <c r="AG662" s="10" t="s">
        <v>680</v>
      </c>
      <c r="AH662" s="12" t="s">
        <v>46</v>
      </c>
      <c r="AI662" s="10" t="s">
        <v>226</v>
      </c>
      <c r="AJ662" s="12" t="s">
        <v>1930</v>
      </c>
      <c r="AK662" s="16" t="s">
        <v>45</v>
      </c>
      <c r="AL662" s="10" t="s">
        <v>49</v>
      </c>
      <c r="AM662" s="12" t="s">
        <v>1931</v>
      </c>
      <c r="AN662" s="10" t="s">
        <v>50</v>
      </c>
    </row>
    <row r="663" ht="30.0" customHeight="1">
      <c r="A663" s="9" t="str">
        <f t="shared" si="48"/>
        <v>N/I</v>
      </c>
      <c r="B663" s="9" t="str">
        <f t="shared" si="49"/>
        <v>N/I</v>
      </c>
      <c r="C663" s="9" t="str">
        <f t="shared" si="50"/>
        <v>Ativo</v>
      </c>
      <c r="D663" s="10" t="s">
        <v>1922</v>
      </c>
      <c r="E663" s="11" t="s">
        <v>1923</v>
      </c>
      <c r="F663" s="32" t="s">
        <v>1951</v>
      </c>
      <c r="G663" s="12" t="s">
        <v>1691</v>
      </c>
      <c r="H663" s="34" t="s">
        <v>1952</v>
      </c>
      <c r="I663" s="12" t="s">
        <v>1948</v>
      </c>
      <c r="J663" s="10" t="s">
        <v>197</v>
      </c>
      <c r="K663" s="10" t="s">
        <v>40</v>
      </c>
      <c r="L663" s="10" t="s">
        <v>6</v>
      </c>
      <c r="M663" s="14">
        <v>45546.0</v>
      </c>
      <c r="N663" s="32" t="s">
        <v>1949</v>
      </c>
      <c r="O663" s="10" t="s">
        <v>1950</v>
      </c>
      <c r="P663" s="10" t="s">
        <v>1929</v>
      </c>
      <c r="Q663" s="2"/>
      <c r="R663" s="15"/>
      <c r="S663" s="15"/>
      <c r="T663" s="15"/>
      <c r="U663" s="15"/>
      <c r="V663" s="1"/>
      <c r="W663" s="15"/>
      <c r="X663" s="15"/>
      <c r="Y663" s="15"/>
      <c r="Z663" s="15"/>
      <c r="AA663" s="1"/>
      <c r="AB663" s="10">
        <v>30.0</v>
      </c>
      <c r="AC663" s="14">
        <v>45546.0</v>
      </c>
      <c r="AD663" s="14">
        <v>46457.0</v>
      </c>
      <c r="AE663" s="10">
        <f t="shared" si="63"/>
        <v>366</v>
      </c>
      <c r="AF663" s="2"/>
      <c r="AG663" s="10" t="s">
        <v>680</v>
      </c>
      <c r="AH663" s="12" t="s">
        <v>46</v>
      </c>
      <c r="AI663" s="10" t="s">
        <v>226</v>
      </c>
      <c r="AJ663" s="12" t="s">
        <v>1930</v>
      </c>
      <c r="AK663" s="16" t="s">
        <v>45</v>
      </c>
      <c r="AL663" s="10" t="s">
        <v>49</v>
      </c>
      <c r="AM663" s="12" t="s">
        <v>1931</v>
      </c>
      <c r="AN663" s="10" t="s">
        <v>50</v>
      </c>
    </row>
    <row r="664" ht="30.0" customHeight="1">
      <c r="A664" s="9" t="str">
        <f t="shared" si="48"/>
        <v>N/I</v>
      </c>
      <c r="B664" s="9" t="str">
        <f t="shared" si="49"/>
        <v>N/I</v>
      </c>
      <c r="C664" s="9" t="str">
        <f t="shared" si="50"/>
        <v>Ativo</v>
      </c>
      <c r="D664" s="10" t="s">
        <v>1922</v>
      </c>
      <c r="E664" s="11" t="s">
        <v>1923</v>
      </c>
      <c r="F664" s="32" t="s">
        <v>1953</v>
      </c>
      <c r="G664" s="12" t="s">
        <v>1691</v>
      </c>
      <c r="H664" s="34" t="s">
        <v>1954</v>
      </c>
      <c r="I664" s="12" t="s">
        <v>1955</v>
      </c>
      <c r="J664" s="10" t="s">
        <v>197</v>
      </c>
      <c r="K664" s="10" t="s">
        <v>40</v>
      </c>
      <c r="L664" s="10" t="s">
        <v>6</v>
      </c>
      <c r="M664" s="14">
        <v>45532.0</v>
      </c>
      <c r="N664" s="32" t="s">
        <v>1956</v>
      </c>
      <c r="O664" s="10" t="s">
        <v>1957</v>
      </c>
      <c r="P664" s="10" t="s">
        <v>1929</v>
      </c>
      <c r="Q664" s="2"/>
      <c r="R664" s="15"/>
      <c r="S664" s="15"/>
      <c r="T664" s="15"/>
      <c r="U664" s="15"/>
      <c r="V664" s="1"/>
      <c r="W664" s="15"/>
      <c r="X664" s="15"/>
      <c r="Y664" s="15"/>
      <c r="Z664" s="15"/>
      <c r="AA664" s="1"/>
      <c r="AB664" s="10">
        <v>30.0</v>
      </c>
      <c r="AC664" s="14">
        <v>45532.0</v>
      </c>
      <c r="AD664" s="14">
        <v>46446.0</v>
      </c>
      <c r="AE664" s="10">
        <f t="shared" si="63"/>
        <v>355</v>
      </c>
      <c r="AF664" s="2"/>
      <c r="AG664" s="10" t="s">
        <v>680</v>
      </c>
      <c r="AH664" s="12" t="s">
        <v>46</v>
      </c>
      <c r="AI664" s="10" t="s">
        <v>226</v>
      </c>
      <c r="AJ664" s="12" t="s">
        <v>1930</v>
      </c>
      <c r="AK664" s="16" t="s">
        <v>45</v>
      </c>
      <c r="AL664" s="10" t="s">
        <v>49</v>
      </c>
      <c r="AM664" s="12" t="s">
        <v>1931</v>
      </c>
      <c r="AN664" s="10" t="s">
        <v>50</v>
      </c>
    </row>
    <row r="665" ht="30.0" customHeight="1">
      <c r="A665" s="9" t="str">
        <f t="shared" si="48"/>
        <v>N/I</v>
      </c>
      <c r="B665" s="9" t="str">
        <f t="shared" si="49"/>
        <v>N/I</v>
      </c>
      <c r="C665" s="9" t="str">
        <f t="shared" si="50"/>
        <v>Ativo</v>
      </c>
      <c r="D665" s="10" t="s">
        <v>1922</v>
      </c>
      <c r="E665" s="11" t="s">
        <v>1923</v>
      </c>
      <c r="F665" s="32" t="s">
        <v>1958</v>
      </c>
      <c r="G665" s="12" t="s">
        <v>1691</v>
      </c>
      <c r="H665" s="13" t="s">
        <v>1959</v>
      </c>
      <c r="I665" s="12" t="s">
        <v>1960</v>
      </c>
      <c r="J665" s="10" t="s">
        <v>197</v>
      </c>
      <c r="K665" s="10" t="s">
        <v>40</v>
      </c>
      <c r="L665" s="10" t="s">
        <v>6</v>
      </c>
      <c r="M665" s="14">
        <v>45511.0</v>
      </c>
      <c r="N665" s="32" t="s">
        <v>1961</v>
      </c>
      <c r="O665" s="10" t="s">
        <v>1962</v>
      </c>
      <c r="P665" s="10" t="s">
        <v>1929</v>
      </c>
      <c r="Q665" s="2"/>
      <c r="R665" s="15"/>
      <c r="S665" s="15"/>
      <c r="T665" s="15"/>
      <c r="U665" s="15"/>
      <c r="V665" s="2"/>
      <c r="W665" s="15"/>
      <c r="X665" s="15"/>
      <c r="Y665" s="15"/>
      <c r="Z665" s="15"/>
      <c r="AA665" s="1"/>
      <c r="AB665" s="10">
        <v>30.0</v>
      </c>
      <c r="AC665" s="14">
        <v>45511.0</v>
      </c>
      <c r="AD665" s="14">
        <v>46425.0</v>
      </c>
      <c r="AE665" s="10">
        <f t="shared" si="63"/>
        <v>334</v>
      </c>
      <c r="AF665" s="2"/>
      <c r="AG665" s="10" t="s">
        <v>680</v>
      </c>
      <c r="AH665" s="12" t="s">
        <v>46</v>
      </c>
      <c r="AI665" s="10" t="s">
        <v>226</v>
      </c>
      <c r="AJ665" s="12" t="s">
        <v>1930</v>
      </c>
      <c r="AK665" s="16" t="s">
        <v>45</v>
      </c>
      <c r="AL665" s="10" t="s">
        <v>49</v>
      </c>
      <c r="AM665" s="12" t="s">
        <v>1931</v>
      </c>
      <c r="AN665" s="10" t="s">
        <v>50</v>
      </c>
    </row>
    <row r="666" ht="30.0" customHeight="1">
      <c r="A666" s="9" t="str">
        <f t="shared" si="48"/>
        <v>N/I</v>
      </c>
      <c r="B666" s="9" t="str">
        <f t="shared" si="49"/>
        <v>N/I</v>
      </c>
      <c r="C666" s="9" t="str">
        <f t="shared" si="50"/>
        <v>Ativo</v>
      </c>
      <c r="D666" s="10" t="s">
        <v>1922</v>
      </c>
      <c r="E666" s="11" t="s">
        <v>1923</v>
      </c>
      <c r="F666" s="32" t="s">
        <v>1963</v>
      </c>
      <c r="G666" s="12" t="s">
        <v>1691</v>
      </c>
      <c r="H666" s="34" t="s">
        <v>1964</v>
      </c>
      <c r="I666" s="12" t="s">
        <v>1960</v>
      </c>
      <c r="J666" s="10" t="s">
        <v>197</v>
      </c>
      <c r="K666" s="10" t="s">
        <v>40</v>
      </c>
      <c r="L666" s="10" t="s">
        <v>6</v>
      </c>
      <c r="M666" s="14">
        <v>45516.0</v>
      </c>
      <c r="N666" s="32" t="s">
        <v>1965</v>
      </c>
      <c r="O666" s="10" t="s">
        <v>1966</v>
      </c>
      <c r="P666" s="10" t="s">
        <v>1929</v>
      </c>
      <c r="Q666" s="2"/>
      <c r="R666" s="15"/>
      <c r="S666" s="15"/>
      <c r="T666" s="15"/>
      <c r="U666" s="15"/>
      <c r="V666" s="2"/>
      <c r="W666" s="15"/>
      <c r="X666" s="15"/>
      <c r="Y666" s="15"/>
      <c r="Z666" s="15"/>
      <c r="AA666" s="1"/>
      <c r="AB666" s="10">
        <v>30.0</v>
      </c>
      <c r="AC666" s="14">
        <v>45516.0</v>
      </c>
      <c r="AD666" s="14">
        <v>46430.0</v>
      </c>
      <c r="AE666" s="10">
        <f t="shared" si="63"/>
        <v>339</v>
      </c>
      <c r="AF666" s="2"/>
      <c r="AG666" s="10" t="s">
        <v>680</v>
      </c>
      <c r="AH666" s="12" t="s">
        <v>46</v>
      </c>
      <c r="AI666" s="10" t="s">
        <v>226</v>
      </c>
      <c r="AJ666" s="12" t="s">
        <v>1930</v>
      </c>
      <c r="AK666" s="16" t="s">
        <v>45</v>
      </c>
      <c r="AL666" s="10" t="s">
        <v>49</v>
      </c>
      <c r="AM666" s="12" t="s">
        <v>1931</v>
      </c>
      <c r="AN666" s="10" t="s">
        <v>50</v>
      </c>
    </row>
    <row r="667" ht="30.0" customHeight="1">
      <c r="A667" s="9" t="str">
        <f t="shared" si="48"/>
        <v>N/I</v>
      </c>
      <c r="B667" s="9" t="str">
        <f t="shared" si="49"/>
        <v>N/I</v>
      </c>
      <c r="C667" s="9" t="s">
        <v>1967</v>
      </c>
      <c r="D667" s="10" t="s">
        <v>1922</v>
      </c>
      <c r="E667" s="46" t="s">
        <v>1923</v>
      </c>
      <c r="F667" s="39" t="s">
        <v>1968</v>
      </c>
      <c r="G667" s="37" t="s">
        <v>1691</v>
      </c>
      <c r="H667" s="36" t="s">
        <v>1969</v>
      </c>
      <c r="I667" s="12" t="s">
        <v>1960</v>
      </c>
      <c r="J667" s="10" t="s">
        <v>197</v>
      </c>
      <c r="K667" s="10" t="s">
        <v>40</v>
      </c>
      <c r="L667" s="10" t="s">
        <v>6</v>
      </c>
      <c r="M667" s="14">
        <v>45518.0</v>
      </c>
      <c r="N667" s="32" t="s">
        <v>1970</v>
      </c>
      <c r="O667" s="10" t="s">
        <v>1971</v>
      </c>
      <c r="P667" s="10" t="s">
        <v>1929</v>
      </c>
      <c r="Q667" s="2"/>
      <c r="R667" s="15"/>
      <c r="S667" s="15"/>
      <c r="T667" s="15"/>
      <c r="U667" s="15"/>
      <c r="V667" s="2"/>
      <c r="W667" s="15"/>
      <c r="X667" s="15"/>
      <c r="Y667" s="15"/>
      <c r="Z667" s="15"/>
      <c r="AA667" s="1"/>
      <c r="AB667" s="10">
        <v>30.0</v>
      </c>
      <c r="AC667" s="14">
        <v>45518.0</v>
      </c>
      <c r="AD667" s="14">
        <v>46432.0</v>
      </c>
      <c r="AE667" s="10">
        <f t="shared" si="63"/>
        <v>341</v>
      </c>
      <c r="AF667" s="2"/>
      <c r="AG667" s="10" t="s">
        <v>680</v>
      </c>
      <c r="AH667" s="12" t="s">
        <v>46</v>
      </c>
      <c r="AI667" s="10" t="s">
        <v>226</v>
      </c>
      <c r="AJ667" s="12" t="s">
        <v>1930</v>
      </c>
      <c r="AK667" s="16" t="s">
        <v>45</v>
      </c>
      <c r="AL667" s="10" t="s">
        <v>49</v>
      </c>
      <c r="AM667" s="12" t="s">
        <v>1931</v>
      </c>
      <c r="AN667" s="10" t="s">
        <v>50</v>
      </c>
    </row>
    <row r="668" ht="30.0" customHeight="1">
      <c r="A668" s="9" t="str">
        <f t="shared" si="48"/>
        <v>N/I</v>
      </c>
      <c r="B668" s="9" t="str">
        <f t="shared" si="49"/>
        <v>N/I</v>
      </c>
      <c r="C668" s="9" t="str">
        <f t="shared" ref="C668:C915" si="64">IF(AE668&lt;0,"Inativo",IF(AE668&gt;0,"Ativo","N/I"))</f>
        <v>Ativo</v>
      </c>
      <c r="D668" s="10" t="s">
        <v>1922</v>
      </c>
      <c r="E668" s="11" t="s">
        <v>1923</v>
      </c>
      <c r="F668" s="32" t="s">
        <v>1972</v>
      </c>
      <c r="G668" s="12" t="s">
        <v>1691</v>
      </c>
      <c r="H668" s="13" t="s">
        <v>1973</v>
      </c>
      <c r="I668" s="12" t="s">
        <v>332</v>
      </c>
      <c r="J668" s="10" t="s">
        <v>197</v>
      </c>
      <c r="K668" s="10" t="s">
        <v>40</v>
      </c>
      <c r="L668" s="10" t="s">
        <v>6</v>
      </c>
      <c r="M668" s="14">
        <v>45495.0</v>
      </c>
      <c r="N668" s="32" t="s">
        <v>1974</v>
      </c>
      <c r="O668" s="10" t="s">
        <v>1975</v>
      </c>
      <c r="P668" s="10" t="s">
        <v>1929</v>
      </c>
      <c r="Q668" s="2"/>
      <c r="R668" s="15"/>
      <c r="S668" s="15"/>
      <c r="T668" s="15"/>
      <c r="U668" s="15"/>
      <c r="V668" s="1"/>
      <c r="W668" s="15"/>
      <c r="X668" s="15"/>
      <c r="Y668" s="15"/>
      <c r="Z668" s="15"/>
      <c r="AA668" s="1"/>
      <c r="AB668" s="10">
        <v>30.0</v>
      </c>
      <c r="AC668" s="14">
        <v>45495.0</v>
      </c>
      <c r="AD668" s="14">
        <v>46409.0</v>
      </c>
      <c r="AE668" s="10">
        <f t="shared" si="63"/>
        <v>318</v>
      </c>
      <c r="AF668" s="2"/>
      <c r="AG668" s="10" t="s">
        <v>680</v>
      </c>
      <c r="AH668" s="12" t="s">
        <v>46</v>
      </c>
      <c r="AI668" s="10" t="s">
        <v>226</v>
      </c>
      <c r="AJ668" s="12" t="s">
        <v>1930</v>
      </c>
      <c r="AK668" s="16" t="s">
        <v>45</v>
      </c>
      <c r="AL668" s="10" t="s">
        <v>49</v>
      </c>
      <c r="AM668" s="12" t="s">
        <v>1931</v>
      </c>
      <c r="AN668" s="10" t="s">
        <v>50</v>
      </c>
    </row>
    <row r="669" ht="30.0" customHeight="1">
      <c r="A669" s="9" t="str">
        <f t="shared" si="48"/>
        <v>N/I</v>
      </c>
      <c r="B669" s="9" t="str">
        <f t="shared" si="49"/>
        <v>N/I</v>
      </c>
      <c r="C669" s="9" t="str">
        <f t="shared" si="64"/>
        <v>Ativo</v>
      </c>
      <c r="D669" s="10" t="s">
        <v>1922</v>
      </c>
      <c r="E669" s="11" t="s">
        <v>1923</v>
      </c>
      <c r="F669" s="32" t="s">
        <v>1976</v>
      </c>
      <c r="G669" s="12" t="s">
        <v>1691</v>
      </c>
      <c r="H669" s="13" t="s">
        <v>1977</v>
      </c>
      <c r="I669" s="12" t="s">
        <v>332</v>
      </c>
      <c r="J669" s="10" t="s">
        <v>197</v>
      </c>
      <c r="K669" s="10" t="s">
        <v>40</v>
      </c>
      <c r="L669" s="10" t="s">
        <v>6</v>
      </c>
      <c r="M669" s="14">
        <v>45497.0</v>
      </c>
      <c r="N669" s="32" t="s">
        <v>1974</v>
      </c>
      <c r="O669" s="10" t="s">
        <v>1975</v>
      </c>
      <c r="P669" s="10" t="s">
        <v>1929</v>
      </c>
      <c r="Q669" s="2"/>
      <c r="R669" s="15"/>
      <c r="S669" s="15"/>
      <c r="T669" s="15"/>
      <c r="U669" s="15"/>
      <c r="V669" s="2"/>
      <c r="W669" s="15"/>
      <c r="X669" s="15"/>
      <c r="Y669" s="15"/>
      <c r="Z669" s="15"/>
      <c r="AA669" s="1"/>
      <c r="AB669" s="10">
        <v>30.0</v>
      </c>
      <c r="AC669" s="14">
        <v>45497.0</v>
      </c>
      <c r="AD669" s="14">
        <v>46411.0</v>
      </c>
      <c r="AE669" s="10">
        <f t="shared" si="63"/>
        <v>320</v>
      </c>
      <c r="AF669" s="2"/>
      <c r="AG669" s="10" t="s">
        <v>680</v>
      </c>
      <c r="AH669" s="12" t="s">
        <v>46</v>
      </c>
      <c r="AI669" s="10" t="s">
        <v>226</v>
      </c>
      <c r="AJ669" s="12" t="s">
        <v>1930</v>
      </c>
      <c r="AK669" s="16" t="s">
        <v>45</v>
      </c>
      <c r="AL669" s="10" t="s">
        <v>49</v>
      </c>
      <c r="AM669" s="12" t="s">
        <v>1931</v>
      </c>
      <c r="AN669" s="10" t="s">
        <v>50</v>
      </c>
    </row>
    <row r="670" ht="30.0" customHeight="1">
      <c r="A670" s="9" t="str">
        <f t="shared" si="48"/>
        <v>N/I</v>
      </c>
      <c r="B670" s="9" t="str">
        <f t="shared" si="49"/>
        <v>N/I</v>
      </c>
      <c r="C670" s="9" t="str">
        <f t="shared" si="64"/>
        <v>Ativo</v>
      </c>
      <c r="D670" s="10" t="s">
        <v>1922</v>
      </c>
      <c r="E670" s="11" t="s">
        <v>1923</v>
      </c>
      <c r="F670" s="32" t="s">
        <v>1978</v>
      </c>
      <c r="G670" s="12" t="s">
        <v>1691</v>
      </c>
      <c r="H670" s="13" t="s">
        <v>1979</v>
      </c>
      <c r="I670" s="12" t="s">
        <v>332</v>
      </c>
      <c r="J670" s="10" t="s">
        <v>197</v>
      </c>
      <c r="K670" s="10" t="s">
        <v>40</v>
      </c>
      <c r="L670" s="10" t="s">
        <v>6</v>
      </c>
      <c r="M670" s="14">
        <v>45502.0</v>
      </c>
      <c r="N670" s="32" t="s">
        <v>1974</v>
      </c>
      <c r="O670" s="10" t="s">
        <v>1975</v>
      </c>
      <c r="P670" s="10" t="s">
        <v>1929</v>
      </c>
      <c r="Q670" s="2"/>
      <c r="R670" s="15"/>
      <c r="S670" s="15"/>
      <c r="T670" s="15"/>
      <c r="U670" s="15"/>
      <c r="V670" s="2"/>
      <c r="W670" s="15"/>
      <c r="X670" s="15"/>
      <c r="Y670" s="15"/>
      <c r="Z670" s="15"/>
      <c r="AA670" s="1"/>
      <c r="AB670" s="10">
        <v>30.0</v>
      </c>
      <c r="AC670" s="14">
        <v>45502.0</v>
      </c>
      <c r="AD670" s="14">
        <v>46416.0</v>
      </c>
      <c r="AE670" s="10">
        <f t="shared" si="63"/>
        <v>325</v>
      </c>
      <c r="AF670" s="2"/>
      <c r="AG670" s="10" t="s">
        <v>680</v>
      </c>
      <c r="AH670" s="12" t="s">
        <v>46</v>
      </c>
      <c r="AI670" s="10" t="s">
        <v>226</v>
      </c>
      <c r="AJ670" s="12" t="s">
        <v>1930</v>
      </c>
      <c r="AK670" s="16" t="s">
        <v>45</v>
      </c>
      <c r="AL670" s="10" t="s">
        <v>49</v>
      </c>
      <c r="AM670" s="12" t="s">
        <v>1931</v>
      </c>
      <c r="AN670" s="10" t="s">
        <v>50</v>
      </c>
    </row>
    <row r="671" ht="30.0" customHeight="1">
      <c r="A671" s="9" t="str">
        <f t="shared" si="48"/>
        <v>N/I</v>
      </c>
      <c r="B671" s="9" t="str">
        <f t="shared" si="49"/>
        <v>N/I</v>
      </c>
      <c r="C671" s="9" t="str">
        <f t="shared" si="64"/>
        <v>Ativo</v>
      </c>
      <c r="D671" s="10" t="s">
        <v>1922</v>
      </c>
      <c r="E671" s="11" t="s">
        <v>1923</v>
      </c>
      <c r="F671" s="32" t="s">
        <v>1980</v>
      </c>
      <c r="G671" s="12" t="s">
        <v>1691</v>
      </c>
      <c r="H671" s="34" t="s">
        <v>1981</v>
      </c>
      <c r="I671" s="12" t="s">
        <v>1982</v>
      </c>
      <c r="J671" s="10" t="s">
        <v>197</v>
      </c>
      <c r="K671" s="10" t="s">
        <v>40</v>
      </c>
      <c r="L671" s="10" t="s">
        <v>6</v>
      </c>
      <c r="M671" s="14">
        <v>45537.0</v>
      </c>
      <c r="N671" s="32" t="s">
        <v>1983</v>
      </c>
      <c r="O671" s="10" t="s">
        <v>1984</v>
      </c>
      <c r="P671" s="10" t="s">
        <v>1929</v>
      </c>
      <c r="Q671" s="2"/>
      <c r="R671" s="15"/>
      <c r="S671" s="15"/>
      <c r="T671" s="15"/>
      <c r="U671" s="15"/>
      <c r="V671" s="1"/>
      <c r="W671" s="15"/>
      <c r="X671" s="15"/>
      <c r="Y671" s="15"/>
      <c r="Z671" s="15"/>
      <c r="AA671" s="1"/>
      <c r="AB671" s="10">
        <v>30.0</v>
      </c>
      <c r="AC671" s="14">
        <v>45537.0</v>
      </c>
      <c r="AD671" s="14">
        <v>46448.0</v>
      </c>
      <c r="AE671" s="10">
        <f t="shared" si="63"/>
        <v>357</v>
      </c>
      <c r="AF671" s="2"/>
      <c r="AG671" s="10" t="s">
        <v>680</v>
      </c>
      <c r="AH671" s="12" t="s">
        <v>46</v>
      </c>
      <c r="AI671" s="10" t="s">
        <v>226</v>
      </c>
      <c r="AJ671" s="12" t="s">
        <v>1930</v>
      </c>
      <c r="AK671" s="16" t="s">
        <v>45</v>
      </c>
      <c r="AL671" s="10" t="s">
        <v>49</v>
      </c>
      <c r="AM671" s="12" t="s">
        <v>1931</v>
      </c>
      <c r="AN671" s="10" t="s">
        <v>50</v>
      </c>
    </row>
    <row r="672" ht="30.0" customHeight="1">
      <c r="A672" s="9" t="str">
        <f t="shared" si="48"/>
        <v>N/I</v>
      </c>
      <c r="B672" s="9" t="str">
        <f t="shared" si="49"/>
        <v>N/I</v>
      </c>
      <c r="C672" s="9" t="str">
        <f t="shared" si="64"/>
        <v>Ativo</v>
      </c>
      <c r="D672" s="10" t="s">
        <v>1922</v>
      </c>
      <c r="E672" s="11" t="s">
        <v>1923</v>
      </c>
      <c r="F672" s="32" t="s">
        <v>1985</v>
      </c>
      <c r="G672" s="12" t="s">
        <v>1691</v>
      </c>
      <c r="H672" s="34" t="s">
        <v>1986</v>
      </c>
      <c r="I672" s="12" t="s">
        <v>1987</v>
      </c>
      <c r="J672" s="10" t="s">
        <v>197</v>
      </c>
      <c r="K672" s="10" t="s">
        <v>40</v>
      </c>
      <c r="L672" s="10" t="s">
        <v>6</v>
      </c>
      <c r="M672" s="14">
        <v>45530.0</v>
      </c>
      <c r="N672" s="32" t="s">
        <v>1988</v>
      </c>
      <c r="O672" s="10" t="s">
        <v>1989</v>
      </c>
      <c r="P672" s="10" t="s">
        <v>1929</v>
      </c>
      <c r="Q672" s="2"/>
      <c r="R672" s="15"/>
      <c r="S672" s="15"/>
      <c r="T672" s="15"/>
      <c r="U672" s="15"/>
      <c r="V672" s="1"/>
      <c r="W672" s="15"/>
      <c r="X672" s="15"/>
      <c r="Y672" s="15"/>
      <c r="Z672" s="15"/>
      <c r="AA672" s="1"/>
      <c r="AB672" s="10">
        <v>30.0</v>
      </c>
      <c r="AC672" s="14">
        <v>45530.0</v>
      </c>
      <c r="AD672" s="14">
        <v>46444.0</v>
      </c>
      <c r="AE672" s="10">
        <f t="shared" si="63"/>
        <v>353</v>
      </c>
      <c r="AF672" s="2"/>
      <c r="AG672" s="10" t="s">
        <v>680</v>
      </c>
      <c r="AH672" s="12" t="s">
        <v>46</v>
      </c>
      <c r="AI672" s="10" t="s">
        <v>226</v>
      </c>
      <c r="AJ672" s="12" t="s">
        <v>1930</v>
      </c>
      <c r="AK672" s="16" t="s">
        <v>45</v>
      </c>
      <c r="AL672" s="10" t="s">
        <v>49</v>
      </c>
      <c r="AM672" s="12" t="s">
        <v>1931</v>
      </c>
      <c r="AN672" s="10" t="s">
        <v>50</v>
      </c>
    </row>
    <row r="673" ht="30.0" customHeight="1">
      <c r="A673" s="9" t="str">
        <f t="shared" si="48"/>
        <v>N/I</v>
      </c>
      <c r="B673" s="9" t="str">
        <f t="shared" si="49"/>
        <v>N/I</v>
      </c>
      <c r="C673" s="9" t="str">
        <f t="shared" si="64"/>
        <v>Ativo</v>
      </c>
      <c r="D673" s="10" t="s">
        <v>1922</v>
      </c>
      <c r="E673" s="11" t="s">
        <v>1923</v>
      </c>
      <c r="F673" s="32" t="s">
        <v>1990</v>
      </c>
      <c r="G673" s="12" t="s">
        <v>1691</v>
      </c>
      <c r="H673" s="34" t="s">
        <v>1991</v>
      </c>
      <c r="I673" s="12" t="s">
        <v>1987</v>
      </c>
      <c r="J673" s="10" t="s">
        <v>197</v>
      </c>
      <c r="K673" s="10" t="s">
        <v>40</v>
      </c>
      <c r="L673" s="10" t="s">
        <v>6</v>
      </c>
      <c r="M673" s="14">
        <v>45532.0</v>
      </c>
      <c r="N673" s="32" t="s">
        <v>1992</v>
      </c>
      <c r="O673" s="10" t="s">
        <v>1989</v>
      </c>
      <c r="P673" s="10" t="s">
        <v>1929</v>
      </c>
      <c r="Q673" s="2"/>
      <c r="R673" s="15"/>
      <c r="S673" s="15"/>
      <c r="T673" s="15"/>
      <c r="U673" s="15"/>
      <c r="V673" s="1"/>
      <c r="W673" s="15"/>
      <c r="X673" s="15"/>
      <c r="Y673" s="15"/>
      <c r="Z673" s="15"/>
      <c r="AA673" s="1"/>
      <c r="AB673" s="10">
        <v>30.0</v>
      </c>
      <c r="AC673" s="14">
        <v>45532.0</v>
      </c>
      <c r="AD673" s="14">
        <v>46446.0</v>
      </c>
      <c r="AE673" s="10">
        <f t="shared" si="63"/>
        <v>355</v>
      </c>
      <c r="AF673" s="2"/>
      <c r="AG673" s="10" t="s">
        <v>680</v>
      </c>
      <c r="AH673" s="12" t="s">
        <v>46</v>
      </c>
      <c r="AI673" s="10" t="s">
        <v>226</v>
      </c>
      <c r="AJ673" s="12" t="s">
        <v>1930</v>
      </c>
      <c r="AK673" s="16" t="s">
        <v>45</v>
      </c>
      <c r="AL673" s="10" t="s">
        <v>49</v>
      </c>
      <c r="AM673" s="12" t="s">
        <v>1931</v>
      </c>
      <c r="AN673" s="10" t="s">
        <v>50</v>
      </c>
    </row>
    <row r="674" ht="30.0" customHeight="1">
      <c r="A674" s="9" t="str">
        <f t="shared" si="48"/>
        <v>N/I</v>
      </c>
      <c r="B674" s="9" t="str">
        <f t="shared" si="49"/>
        <v>N/I</v>
      </c>
      <c r="C674" s="9" t="str">
        <f t="shared" si="64"/>
        <v>Ativo</v>
      </c>
      <c r="D674" s="10" t="s">
        <v>1922</v>
      </c>
      <c r="E674" s="11" t="s">
        <v>1923</v>
      </c>
      <c r="F674" s="32" t="s">
        <v>1993</v>
      </c>
      <c r="G674" s="12" t="s">
        <v>1691</v>
      </c>
      <c r="H674" s="34" t="s">
        <v>1994</v>
      </c>
      <c r="I674" s="12" t="s">
        <v>1987</v>
      </c>
      <c r="J674" s="10" t="s">
        <v>197</v>
      </c>
      <c r="K674" s="10" t="s">
        <v>40</v>
      </c>
      <c r="L674" s="10" t="s">
        <v>6</v>
      </c>
      <c r="M674" s="14">
        <v>45537.0</v>
      </c>
      <c r="N674" s="32" t="s">
        <v>1988</v>
      </c>
      <c r="O674" s="10" t="s">
        <v>1989</v>
      </c>
      <c r="P674" s="10" t="s">
        <v>1929</v>
      </c>
      <c r="Q674" s="2"/>
      <c r="R674" s="15"/>
      <c r="S674" s="15"/>
      <c r="T674" s="15"/>
      <c r="U674" s="15"/>
      <c r="V674" s="1"/>
      <c r="W674" s="15"/>
      <c r="X674" s="15"/>
      <c r="Y674" s="15"/>
      <c r="Z674" s="15"/>
      <c r="AA674" s="1"/>
      <c r="AB674" s="10">
        <v>30.0</v>
      </c>
      <c r="AC674" s="14">
        <v>45537.0</v>
      </c>
      <c r="AD674" s="14">
        <v>46448.0</v>
      </c>
      <c r="AE674" s="10">
        <f t="shared" si="63"/>
        <v>357</v>
      </c>
      <c r="AF674" s="2"/>
      <c r="AG674" s="10" t="s">
        <v>680</v>
      </c>
      <c r="AH674" s="12" t="s">
        <v>46</v>
      </c>
      <c r="AI674" s="10" t="s">
        <v>226</v>
      </c>
      <c r="AJ674" s="12" t="s">
        <v>1930</v>
      </c>
      <c r="AK674" s="16" t="s">
        <v>45</v>
      </c>
      <c r="AL674" s="10" t="s">
        <v>49</v>
      </c>
      <c r="AM674" s="12" t="s">
        <v>1931</v>
      </c>
      <c r="AN674" s="10" t="s">
        <v>50</v>
      </c>
    </row>
    <row r="675" ht="30.0" customHeight="1">
      <c r="A675" s="9" t="str">
        <f t="shared" si="48"/>
        <v>N/I</v>
      </c>
      <c r="B675" s="9" t="str">
        <f t="shared" si="49"/>
        <v>N/I</v>
      </c>
      <c r="C675" s="9" t="str">
        <f t="shared" si="64"/>
        <v>Ativo</v>
      </c>
      <c r="D675" s="10" t="s">
        <v>1922</v>
      </c>
      <c r="E675" s="11" t="s">
        <v>1923</v>
      </c>
      <c r="F675" s="32" t="s">
        <v>1995</v>
      </c>
      <c r="G675" s="12" t="s">
        <v>1691</v>
      </c>
      <c r="H675" s="13" t="s">
        <v>1996</v>
      </c>
      <c r="I675" s="12" t="s">
        <v>1997</v>
      </c>
      <c r="J675" s="10" t="s">
        <v>197</v>
      </c>
      <c r="K675" s="10" t="s">
        <v>40</v>
      </c>
      <c r="L675" s="10" t="s">
        <v>6</v>
      </c>
      <c r="M675" s="14">
        <v>45497.0</v>
      </c>
      <c r="N675" s="32" t="s">
        <v>1998</v>
      </c>
      <c r="O675" s="10" t="s">
        <v>1999</v>
      </c>
      <c r="P675" s="10" t="s">
        <v>1929</v>
      </c>
      <c r="Q675" s="2"/>
      <c r="R675" s="15"/>
      <c r="S675" s="15"/>
      <c r="T675" s="15"/>
      <c r="U675" s="15"/>
      <c r="V675" s="2"/>
      <c r="W675" s="15"/>
      <c r="X675" s="15"/>
      <c r="Y675" s="15"/>
      <c r="Z675" s="15"/>
      <c r="AA675" s="1"/>
      <c r="AB675" s="10">
        <v>30.0</v>
      </c>
      <c r="AC675" s="14">
        <v>45497.0</v>
      </c>
      <c r="AD675" s="14">
        <v>46411.0</v>
      </c>
      <c r="AE675" s="10">
        <f t="shared" si="63"/>
        <v>320</v>
      </c>
      <c r="AF675" s="2"/>
      <c r="AG675" s="10" t="s">
        <v>680</v>
      </c>
      <c r="AH675" s="12" t="s">
        <v>46</v>
      </c>
      <c r="AI675" s="10" t="s">
        <v>226</v>
      </c>
      <c r="AJ675" s="12" t="s">
        <v>1930</v>
      </c>
      <c r="AK675" s="16" t="s">
        <v>45</v>
      </c>
      <c r="AL675" s="10" t="s">
        <v>49</v>
      </c>
      <c r="AM675" s="12" t="s">
        <v>1931</v>
      </c>
      <c r="AN675" s="10" t="s">
        <v>50</v>
      </c>
    </row>
    <row r="676" ht="30.0" customHeight="1">
      <c r="A676" s="9" t="str">
        <f t="shared" si="48"/>
        <v>N/I</v>
      </c>
      <c r="B676" s="9" t="str">
        <f t="shared" si="49"/>
        <v>N/I</v>
      </c>
      <c r="C676" s="9" t="str">
        <f t="shared" si="64"/>
        <v>Ativo</v>
      </c>
      <c r="D676" s="10" t="s">
        <v>1922</v>
      </c>
      <c r="E676" s="11" t="s">
        <v>1923</v>
      </c>
      <c r="F676" s="32" t="s">
        <v>2000</v>
      </c>
      <c r="G676" s="12" t="s">
        <v>1691</v>
      </c>
      <c r="H676" s="34" t="s">
        <v>2001</v>
      </c>
      <c r="I676" s="12" t="s">
        <v>2002</v>
      </c>
      <c r="J676" s="10" t="s">
        <v>197</v>
      </c>
      <c r="K676" s="10" t="s">
        <v>40</v>
      </c>
      <c r="L676" s="10" t="s">
        <v>6</v>
      </c>
      <c r="M676" s="14">
        <v>45517.0</v>
      </c>
      <c r="N676" s="32" t="s">
        <v>2003</v>
      </c>
      <c r="O676" s="10" t="s">
        <v>2004</v>
      </c>
      <c r="P676" s="10" t="s">
        <v>1929</v>
      </c>
      <c r="Q676" s="2"/>
      <c r="R676" s="15"/>
      <c r="S676" s="15"/>
      <c r="T676" s="15"/>
      <c r="U676" s="15"/>
      <c r="V676" s="2"/>
      <c r="W676" s="15"/>
      <c r="X676" s="15"/>
      <c r="Y676" s="15"/>
      <c r="Z676" s="15"/>
      <c r="AA676" s="1"/>
      <c r="AB676" s="10">
        <v>30.0</v>
      </c>
      <c r="AC676" s="14">
        <v>45517.0</v>
      </c>
      <c r="AD676" s="14">
        <v>46431.0</v>
      </c>
      <c r="AE676" s="10">
        <f t="shared" si="63"/>
        <v>340</v>
      </c>
      <c r="AF676" s="2"/>
      <c r="AG676" s="10" t="s">
        <v>680</v>
      </c>
      <c r="AH676" s="12" t="s">
        <v>46</v>
      </c>
      <c r="AI676" s="10" t="s">
        <v>226</v>
      </c>
      <c r="AJ676" s="12" t="s">
        <v>1930</v>
      </c>
      <c r="AK676" s="16" t="s">
        <v>45</v>
      </c>
      <c r="AL676" s="10" t="s">
        <v>49</v>
      </c>
      <c r="AM676" s="12" t="s">
        <v>1931</v>
      </c>
      <c r="AN676" s="10" t="s">
        <v>50</v>
      </c>
    </row>
    <row r="677" ht="30.0" customHeight="1">
      <c r="A677" s="9" t="str">
        <f t="shared" si="48"/>
        <v>N/I</v>
      </c>
      <c r="B677" s="9" t="str">
        <f t="shared" si="49"/>
        <v>N/I</v>
      </c>
      <c r="C677" s="9" t="str">
        <f t="shared" si="64"/>
        <v>Ativo</v>
      </c>
      <c r="D677" s="10" t="s">
        <v>1922</v>
      </c>
      <c r="E677" s="11" t="s">
        <v>1923</v>
      </c>
      <c r="F677" s="32" t="s">
        <v>2005</v>
      </c>
      <c r="G677" s="12" t="s">
        <v>1691</v>
      </c>
      <c r="H677" s="13" t="s">
        <v>2006</v>
      </c>
      <c r="I677" s="12" t="s">
        <v>2007</v>
      </c>
      <c r="J677" s="10" t="s">
        <v>197</v>
      </c>
      <c r="K677" s="10" t="s">
        <v>40</v>
      </c>
      <c r="L677" s="10" t="s">
        <v>6</v>
      </c>
      <c r="M677" s="14">
        <v>45504.0</v>
      </c>
      <c r="N677" s="32" t="s">
        <v>2008</v>
      </c>
      <c r="O677" s="10" t="s">
        <v>2009</v>
      </c>
      <c r="P677" s="10" t="s">
        <v>1929</v>
      </c>
      <c r="Q677" s="2"/>
      <c r="R677" s="15"/>
      <c r="S677" s="15"/>
      <c r="T677" s="15"/>
      <c r="U677" s="15"/>
      <c r="V677" s="2"/>
      <c r="W677" s="15"/>
      <c r="X677" s="15"/>
      <c r="Y677" s="15"/>
      <c r="Z677" s="15"/>
      <c r="AA677" s="1"/>
      <c r="AB677" s="10">
        <v>30.0</v>
      </c>
      <c r="AC677" s="14">
        <v>45504.0</v>
      </c>
      <c r="AD677" s="14">
        <v>46418.0</v>
      </c>
      <c r="AE677" s="10">
        <f t="shared" si="63"/>
        <v>327</v>
      </c>
      <c r="AF677" s="2"/>
      <c r="AG677" s="10" t="s">
        <v>680</v>
      </c>
      <c r="AH677" s="12" t="s">
        <v>46</v>
      </c>
      <c r="AI677" s="10" t="s">
        <v>226</v>
      </c>
      <c r="AJ677" s="12" t="s">
        <v>1930</v>
      </c>
      <c r="AK677" s="16" t="s">
        <v>45</v>
      </c>
      <c r="AL677" s="10" t="s">
        <v>49</v>
      </c>
      <c r="AM677" s="12" t="s">
        <v>1931</v>
      </c>
      <c r="AN677" s="10" t="s">
        <v>50</v>
      </c>
    </row>
    <row r="678" ht="30.0" customHeight="1">
      <c r="A678" s="9" t="str">
        <f t="shared" si="48"/>
        <v>N/I</v>
      </c>
      <c r="B678" s="9" t="str">
        <f t="shared" si="49"/>
        <v>N/I</v>
      </c>
      <c r="C678" s="9" t="str">
        <f t="shared" si="64"/>
        <v>Ativo</v>
      </c>
      <c r="D678" s="10" t="s">
        <v>1922</v>
      </c>
      <c r="E678" s="11" t="s">
        <v>1923</v>
      </c>
      <c r="F678" s="32" t="s">
        <v>2010</v>
      </c>
      <c r="G678" s="12" t="s">
        <v>1691</v>
      </c>
      <c r="H678" s="13" t="s">
        <v>2011</v>
      </c>
      <c r="I678" s="12" t="s">
        <v>2007</v>
      </c>
      <c r="J678" s="10" t="s">
        <v>197</v>
      </c>
      <c r="K678" s="10" t="s">
        <v>40</v>
      </c>
      <c r="L678" s="10" t="s">
        <v>6</v>
      </c>
      <c r="M678" s="14">
        <v>45509.0</v>
      </c>
      <c r="N678" s="32" t="s">
        <v>2012</v>
      </c>
      <c r="O678" s="10" t="s">
        <v>1124</v>
      </c>
      <c r="P678" s="10" t="s">
        <v>1929</v>
      </c>
      <c r="Q678" s="2"/>
      <c r="R678" s="15"/>
      <c r="S678" s="15"/>
      <c r="T678" s="15"/>
      <c r="U678" s="15"/>
      <c r="V678" s="2"/>
      <c r="W678" s="15"/>
      <c r="X678" s="15"/>
      <c r="Y678" s="15"/>
      <c r="Z678" s="15"/>
      <c r="AA678" s="1"/>
      <c r="AB678" s="10">
        <v>30.0</v>
      </c>
      <c r="AC678" s="14">
        <v>45509.0</v>
      </c>
      <c r="AD678" s="14">
        <v>46423.0</v>
      </c>
      <c r="AE678" s="10">
        <f t="shared" si="63"/>
        <v>332</v>
      </c>
      <c r="AF678" s="2"/>
      <c r="AG678" s="10" t="s">
        <v>680</v>
      </c>
      <c r="AH678" s="12" t="s">
        <v>46</v>
      </c>
      <c r="AI678" s="10" t="s">
        <v>226</v>
      </c>
      <c r="AJ678" s="12" t="s">
        <v>1930</v>
      </c>
      <c r="AK678" s="16" t="s">
        <v>45</v>
      </c>
      <c r="AL678" s="10" t="s">
        <v>49</v>
      </c>
      <c r="AM678" s="12" t="s">
        <v>1931</v>
      </c>
      <c r="AN678" s="10" t="s">
        <v>50</v>
      </c>
    </row>
    <row r="679" ht="30.0" customHeight="1">
      <c r="A679" s="9" t="str">
        <f t="shared" si="48"/>
        <v>N/I</v>
      </c>
      <c r="B679" s="9" t="str">
        <f t="shared" si="49"/>
        <v>N/I</v>
      </c>
      <c r="C679" s="9" t="str">
        <f t="shared" si="64"/>
        <v>Ativo</v>
      </c>
      <c r="D679" s="10" t="s">
        <v>1922</v>
      </c>
      <c r="E679" s="11" t="s">
        <v>1923</v>
      </c>
      <c r="F679" s="32" t="s">
        <v>2013</v>
      </c>
      <c r="G679" s="12" t="s">
        <v>1691</v>
      </c>
      <c r="H679" s="34" t="s">
        <v>2014</v>
      </c>
      <c r="I679" s="12" t="s">
        <v>2015</v>
      </c>
      <c r="J679" s="10" t="s">
        <v>197</v>
      </c>
      <c r="K679" s="10" t="s">
        <v>40</v>
      </c>
      <c r="L679" s="10" t="s">
        <v>6</v>
      </c>
      <c r="M679" s="22">
        <v>45399.0</v>
      </c>
      <c r="N679" s="11" t="s">
        <v>2016</v>
      </c>
      <c r="O679" s="10" t="s">
        <v>2017</v>
      </c>
      <c r="P679" s="10" t="s">
        <v>1929</v>
      </c>
      <c r="Q679" s="2"/>
      <c r="R679" s="15"/>
      <c r="S679" s="15"/>
      <c r="T679" s="15"/>
      <c r="U679" s="15"/>
      <c r="V679" s="1"/>
      <c r="W679" s="15"/>
      <c r="X679" s="15"/>
      <c r="Y679" s="15"/>
      <c r="Z679" s="15"/>
      <c r="AA679" s="1"/>
      <c r="AB679" s="10">
        <v>30.0</v>
      </c>
      <c r="AC679" s="14">
        <v>45399.0</v>
      </c>
      <c r="AD679" s="14">
        <v>46312.0</v>
      </c>
      <c r="AE679" s="10">
        <f t="shared" si="63"/>
        <v>221</v>
      </c>
      <c r="AF679" s="2"/>
      <c r="AG679" s="10" t="s">
        <v>680</v>
      </c>
      <c r="AH679" s="12" t="s">
        <v>46</v>
      </c>
      <c r="AI679" s="10" t="s">
        <v>226</v>
      </c>
      <c r="AJ679" s="12" t="s">
        <v>1930</v>
      </c>
      <c r="AK679" s="16" t="s">
        <v>45</v>
      </c>
      <c r="AL679" s="10" t="s">
        <v>49</v>
      </c>
      <c r="AM679" s="12" t="s">
        <v>1931</v>
      </c>
      <c r="AN679" s="10" t="s">
        <v>50</v>
      </c>
    </row>
    <row r="680" ht="30.0" customHeight="1">
      <c r="A680" s="9" t="str">
        <f t="shared" si="48"/>
        <v>N/I</v>
      </c>
      <c r="B680" s="9" t="str">
        <f t="shared" si="49"/>
        <v>N/I</v>
      </c>
      <c r="C680" s="9" t="str">
        <f t="shared" si="64"/>
        <v>Ativo</v>
      </c>
      <c r="D680" s="10" t="s">
        <v>1922</v>
      </c>
      <c r="E680" s="11" t="s">
        <v>1923</v>
      </c>
      <c r="F680" s="32" t="s">
        <v>2018</v>
      </c>
      <c r="G680" s="12" t="s">
        <v>1691</v>
      </c>
      <c r="H680" s="13" t="s">
        <v>2019</v>
      </c>
      <c r="I680" s="12" t="s">
        <v>324</v>
      </c>
      <c r="J680" s="10" t="s">
        <v>197</v>
      </c>
      <c r="K680" s="10" t="s">
        <v>40</v>
      </c>
      <c r="L680" s="10" t="s">
        <v>6</v>
      </c>
      <c r="M680" s="14">
        <v>45397.0</v>
      </c>
      <c r="N680" s="11" t="s">
        <v>2020</v>
      </c>
      <c r="O680" s="10" t="s">
        <v>2021</v>
      </c>
      <c r="P680" s="10" t="s">
        <v>1929</v>
      </c>
      <c r="Q680" s="2"/>
      <c r="R680" s="15"/>
      <c r="S680" s="15"/>
      <c r="T680" s="15"/>
      <c r="U680" s="15"/>
      <c r="V680" s="1"/>
      <c r="W680" s="15"/>
      <c r="X680" s="15"/>
      <c r="Y680" s="15"/>
      <c r="Z680" s="15"/>
      <c r="AA680" s="1"/>
      <c r="AB680" s="10">
        <v>30.0</v>
      </c>
      <c r="AC680" s="14">
        <v>45397.0</v>
      </c>
      <c r="AD680" s="14">
        <v>46310.0</v>
      </c>
      <c r="AE680" s="10">
        <f t="shared" si="63"/>
        <v>219</v>
      </c>
      <c r="AF680" s="2"/>
      <c r="AG680" s="10" t="s">
        <v>680</v>
      </c>
      <c r="AH680" s="12" t="s">
        <v>46</v>
      </c>
      <c r="AI680" s="10" t="s">
        <v>226</v>
      </c>
      <c r="AJ680" s="12" t="s">
        <v>1930</v>
      </c>
      <c r="AK680" s="16" t="s">
        <v>45</v>
      </c>
      <c r="AL680" s="10" t="s">
        <v>49</v>
      </c>
      <c r="AM680" s="12" t="s">
        <v>1931</v>
      </c>
      <c r="AN680" s="10" t="s">
        <v>50</v>
      </c>
    </row>
    <row r="681" ht="30.0" customHeight="1">
      <c r="A681" s="9" t="str">
        <f t="shared" si="48"/>
        <v>N/I</v>
      </c>
      <c r="B681" s="9" t="str">
        <f t="shared" si="49"/>
        <v>N/I</v>
      </c>
      <c r="C681" s="9" t="str">
        <f t="shared" si="64"/>
        <v>Ativo</v>
      </c>
      <c r="D681" s="10" t="s">
        <v>1922</v>
      </c>
      <c r="E681" s="11" t="s">
        <v>1923</v>
      </c>
      <c r="F681" s="32" t="s">
        <v>2022</v>
      </c>
      <c r="G681" s="12" t="s">
        <v>1691</v>
      </c>
      <c r="H681" s="13" t="s">
        <v>2023</v>
      </c>
      <c r="I681" s="12" t="s">
        <v>324</v>
      </c>
      <c r="J681" s="10" t="s">
        <v>197</v>
      </c>
      <c r="K681" s="10" t="s">
        <v>40</v>
      </c>
      <c r="L681" s="10" t="s">
        <v>6</v>
      </c>
      <c r="M681" s="14">
        <v>45397.0</v>
      </c>
      <c r="N681" s="11" t="s">
        <v>2020</v>
      </c>
      <c r="O681" s="10" t="s">
        <v>2021</v>
      </c>
      <c r="P681" s="10" t="s">
        <v>1929</v>
      </c>
      <c r="Q681" s="2"/>
      <c r="R681" s="15"/>
      <c r="S681" s="15"/>
      <c r="T681" s="15"/>
      <c r="U681" s="15"/>
      <c r="V681" s="1"/>
      <c r="W681" s="15"/>
      <c r="X681" s="15"/>
      <c r="Y681" s="15"/>
      <c r="Z681" s="15"/>
      <c r="AA681" s="1"/>
      <c r="AB681" s="10">
        <v>30.0</v>
      </c>
      <c r="AC681" s="14">
        <v>45397.0</v>
      </c>
      <c r="AD681" s="14">
        <v>46310.0</v>
      </c>
      <c r="AE681" s="10">
        <f t="shared" si="63"/>
        <v>219</v>
      </c>
      <c r="AF681" s="2"/>
      <c r="AG681" s="10" t="s">
        <v>680</v>
      </c>
      <c r="AH681" s="12" t="s">
        <v>46</v>
      </c>
      <c r="AI681" s="10" t="s">
        <v>226</v>
      </c>
      <c r="AJ681" s="12" t="s">
        <v>1930</v>
      </c>
      <c r="AK681" s="16" t="s">
        <v>45</v>
      </c>
      <c r="AL681" s="10" t="s">
        <v>49</v>
      </c>
      <c r="AM681" s="12" t="s">
        <v>1931</v>
      </c>
      <c r="AN681" s="10" t="s">
        <v>50</v>
      </c>
    </row>
    <row r="682" ht="30.0" customHeight="1">
      <c r="A682" s="9" t="str">
        <f t="shared" si="48"/>
        <v>N/I</v>
      </c>
      <c r="B682" s="9" t="str">
        <f t="shared" si="49"/>
        <v>N/I</v>
      </c>
      <c r="C682" s="9" t="str">
        <f t="shared" si="64"/>
        <v>Ativo</v>
      </c>
      <c r="D682" s="10" t="s">
        <v>1922</v>
      </c>
      <c r="E682" s="11" t="s">
        <v>1923</v>
      </c>
      <c r="F682" s="32" t="s">
        <v>2024</v>
      </c>
      <c r="G682" s="12" t="s">
        <v>1691</v>
      </c>
      <c r="H682" s="34" t="s">
        <v>2025</v>
      </c>
      <c r="I682" s="12" t="s">
        <v>324</v>
      </c>
      <c r="J682" s="10" t="s">
        <v>197</v>
      </c>
      <c r="K682" s="10" t="s">
        <v>40</v>
      </c>
      <c r="L682" s="10" t="s">
        <v>6</v>
      </c>
      <c r="M682" s="14">
        <v>45400.0</v>
      </c>
      <c r="N682" s="11" t="s">
        <v>2020</v>
      </c>
      <c r="O682" s="10" t="s">
        <v>2021</v>
      </c>
      <c r="P682" s="10" t="s">
        <v>1929</v>
      </c>
      <c r="Q682" s="2"/>
      <c r="R682" s="15"/>
      <c r="S682" s="15"/>
      <c r="T682" s="15"/>
      <c r="U682" s="15"/>
      <c r="V682" s="1"/>
      <c r="W682" s="15"/>
      <c r="X682" s="15"/>
      <c r="Y682" s="15"/>
      <c r="Z682" s="15"/>
      <c r="AA682" s="1"/>
      <c r="AB682" s="10">
        <v>30.0</v>
      </c>
      <c r="AC682" s="14">
        <v>45400.0</v>
      </c>
      <c r="AD682" s="14">
        <v>46313.0</v>
      </c>
      <c r="AE682" s="10">
        <f t="shared" si="63"/>
        <v>222</v>
      </c>
      <c r="AF682" s="2"/>
      <c r="AG682" s="10" t="s">
        <v>680</v>
      </c>
      <c r="AH682" s="12" t="s">
        <v>46</v>
      </c>
      <c r="AI682" s="10" t="s">
        <v>226</v>
      </c>
      <c r="AJ682" s="12" t="s">
        <v>1930</v>
      </c>
      <c r="AK682" s="16" t="s">
        <v>45</v>
      </c>
      <c r="AL682" s="10" t="s">
        <v>49</v>
      </c>
      <c r="AM682" s="12" t="s">
        <v>1931</v>
      </c>
      <c r="AN682" s="10" t="s">
        <v>50</v>
      </c>
    </row>
    <row r="683" ht="30.0" customHeight="1">
      <c r="A683" s="9" t="str">
        <f t="shared" si="48"/>
        <v>N/I</v>
      </c>
      <c r="B683" s="9" t="str">
        <f t="shared" si="49"/>
        <v>N/I</v>
      </c>
      <c r="C683" s="9" t="str">
        <f t="shared" si="64"/>
        <v>Ativo</v>
      </c>
      <c r="D683" s="10" t="s">
        <v>1922</v>
      </c>
      <c r="E683" s="11" t="s">
        <v>1923</v>
      </c>
      <c r="F683" s="32" t="s">
        <v>2026</v>
      </c>
      <c r="G683" s="12" t="s">
        <v>1691</v>
      </c>
      <c r="H683" s="34" t="s">
        <v>2027</v>
      </c>
      <c r="I683" s="12" t="s">
        <v>2028</v>
      </c>
      <c r="J683" s="10" t="s">
        <v>197</v>
      </c>
      <c r="K683" s="10" t="s">
        <v>40</v>
      </c>
      <c r="L683" s="10" t="s">
        <v>6</v>
      </c>
      <c r="M683" s="14">
        <v>45539.0</v>
      </c>
      <c r="N683" s="32" t="s">
        <v>2029</v>
      </c>
      <c r="O683" s="10" t="s">
        <v>2030</v>
      </c>
      <c r="P683" s="10" t="s">
        <v>1929</v>
      </c>
      <c r="Q683" s="2"/>
      <c r="R683" s="15"/>
      <c r="S683" s="15"/>
      <c r="T683" s="15"/>
      <c r="U683" s="15"/>
      <c r="V683" s="1"/>
      <c r="W683" s="15"/>
      <c r="X683" s="15"/>
      <c r="Y683" s="15"/>
      <c r="Z683" s="15"/>
      <c r="AA683" s="1"/>
      <c r="AB683" s="10">
        <v>30.0</v>
      </c>
      <c r="AC683" s="14">
        <v>45539.0</v>
      </c>
      <c r="AD683" s="14">
        <v>46450.0</v>
      </c>
      <c r="AE683" s="10">
        <f t="shared" si="63"/>
        <v>359</v>
      </c>
      <c r="AF683" s="2"/>
      <c r="AG683" s="10" t="s">
        <v>680</v>
      </c>
      <c r="AH683" s="12" t="s">
        <v>46</v>
      </c>
      <c r="AI683" s="10" t="s">
        <v>226</v>
      </c>
      <c r="AJ683" s="12" t="s">
        <v>1930</v>
      </c>
      <c r="AK683" s="16" t="s">
        <v>45</v>
      </c>
      <c r="AL683" s="10" t="s">
        <v>49</v>
      </c>
      <c r="AM683" s="12" t="s">
        <v>1931</v>
      </c>
      <c r="AN683" s="10" t="s">
        <v>50</v>
      </c>
    </row>
    <row r="684" ht="30.0" customHeight="1">
      <c r="A684" s="9" t="str">
        <f t="shared" si="48"/>
        <v>N/I</v>
      </c>
      <c r="B684" s="9" t="str">
        <f t="shared" si="49"/>
        <v>N/I</v>
      </c>
      <c r="C684" s="9" t="str">
        <f t="shared" si="64"/>
        <v>Ativo</v>
      </c>
      <c r="D684" s="10" t="s">
        <v>1922</v>
      </c>
      <c r="E684" s="11" t="s">
        <v>1923</v>
      </c>
      <c r="F684" s="32" t="s">
        <v>2031</v>
      </c>
      <c r="G684" s="12" t="s">
        <v>1691</v>
      </c>
      <c r="H684" s="34" t="s">
        <v>2032</v>
      </c>
      <c r="I684" s="12" t="s">
        <v>2033</v>
      </c>
      <c r="J684" s="10" t="s">
        <v>197</v>
      </c>
      <c r="K684" s="10" t="s">
        <v>40</v>
      </c>
      <c r="L684" s="10" t="s">
        <v>6</v>
      </c>
      <c r="M684" s="14">
        <v>45523.0</v>
      </c>
      <c r="N684" s="32" t="s">
        <v>2034</v>
      </c>
      <c r="O684" s="10" t="s">
        <v>2035</v>
      </c>
      <c r="P684" s="10" t="s">
        <v>1929</v>
      </c>
      <c r="Q684" s="2"/>
      <c r="R684" s="15"/>
      <c r="S684" s="15"/>
      <c r="T684" s="15"/>
      <c r="U684" s="15"/>
      <c r="V684" s="2"/>
      <c r="W684" s="15"/>
      <c r="X684" s="15"/>
      <c r="Y684" s="15"/>
      <c r="Z684" s="15"/>
      <c r="AA684" s="1"/>
      <c r="AB684" s="10">
        <v>30.0</v>
      </c>
      <c r="AC684" s="14">
        <v>45523.0</v>
      </c>
      <c r="AD684" s="14">
        <v>46437.0</v>
      </c>
      <c r="AE684" s="10">
        <f t="shared" si="63"/>
        <v>346</v>
      </c>
      <c r="AF684" s="2"/>
      <c r="AG684" s="10" t="s">
        <v>680</v>
      </c>
      <c r="AH684" s="12" t="s">
        <v>46</v>
      </c>
      <c r="AI684" s="10" t="s">
        <v>226</v>
      </c>
      <c r="AJ684" s="12" t="s">
        <v>1930</v>
      </c>
      <c r="AK684" s="16" t="s">
        <v>45</v>
      </c>
      <c r="AL684" s="10" t="s">
        <v>49</v>
      </c>
      <c r="AM684" s="12" t="s">
        <v>1931</v>
      </c>
      <c r="AN684" s="10" t="s">
        <v>50</v>
      </c>
    </row>
    <row r="685" ht="30.0" customHeight="1">
      <c r="A685" s="9" t="str">
        <f t="shared" si="48"/>
        <v>N/I</v>
      </c>
      <c r="B685" s="9" t="str">
        <f t="shared" si="49"/>
        <v>N/I</v>
      </c>
      <c r="C685" s="9" t="str">
        <f t="shared" si="64"/>
        <v>Ativo</v>
      </c>
      <c r="D685" s="10" t="s">
        <v>1922</v>
      </c>
      <c r="E685" s="11" t="s">
        <v>1923</v>
      </c>
      <c r="F685" s="32" t="s">
        <v>2036</v>
      </c>
      <c r="G685" s="12" t="s">
        <v>1691</v>
      </c>
      <c r="H685" s="34" t="s">
        <v>2037</v>
      </c>
      <c r="I685" s="12" t="s">
        <v>2033</v>
      </c>
      <c r="J685" s="10" t="s">
        <v>197</v>
      </c>
      <c r="K685" s="10" t="s">
        <v>40</v>
      </c>
      <c r="L685" s="10" t="s">
        <v>6</v>
      </c>
      <c r="M685" s="14">
        <v>45525.0</v>
      </c>
      <c r="N685" s="32" t="s">
        <v>2034</v>
      </c>
      <c r="O685" s="10" t="s">
        <v>2035</v>
      </c>
      <c r="P685" s="10" t="s">
        <v>1929</v>
      </c>
      <c r="Q685" s="2"/>
      <c r="R685" s="15"/>
      <c r="S685" s="15"/>
      <c r="T685" s="15"/>
      <c r="U685" s="15"/>
      <c r="V685" s="2"/>
      <c r="W685" s="15"/>
      <c r="X685" s="15"/>
      <c r="Y685" s="15"/>
      <c r="Z685" s="15"/>
      <c r="AA685" s="1"/>
      <c r="AB685" s="10">
        <v>30.0</v>
      </c>
      <c r="AC685" s="14">
        <v>45525.0</v>
      </c>
      <c r="AD685" s="14">
        <v>46439.0</v>
      </c>
      <c r="AE685" s="10">
        <f t="shared" si="63"/>
        <v>348</v>
      </c>
      <c r="AF685" s="2"/>
      <c r="AG685" s="10" t="s">
        <v>680</v>
      </c>
      <c r="AH685" s="12" t="s">
        <v>46</v>
      </c>
      <c r="AI685" s="10" t="s">
        <v>226</v>
      </c>
      <c r="AJ685" s="12" t="s">
        <v>1930</v>
      </c>
      <c r="AK685" s="16" t="s">
        <v>45</v>
      </c>
      <c r="AL685" s="10" t="s">
        <v>49</v>
      </c>
      <c r="AM685" s="12" t="s">
        <v>1931</v>
      </c>
      <c r="AN685" s="10" t="s">
        <v>50</v>
      </c>
    </row>
    <row r="686" ht="30.0" customHeight="1">
      <c r="A686" s="9" t="str">
        <f t="shared" si="48"/>
        <v>N/I</v>
      </c>
      <c r="B686" s="9" t="str">
        <f t="shared" si="49"/>
        <v>N/I</v>
      </c>
      <c r="C686" s="9" t="str">
        <f t="shared" si="64"/>
        <v>Ativo</v>
      </c>
      <c r="D686" s="10" t="s">
        <v>1922</v>
      </c>
      <c r="E686" s="11" t="s">
        <v>1923</v>
      </c>
      <c r="F686" s="32" t="s">
        <v>2038</v>
      </c>
      <c r="G686" s="12" t="s">
        <v>1691</v>
      </c>
      <c r="H686" s="34" t="s">
        <v>2039</v>
      </c>
      <c r="I686" s="12" t="s">
        <v>2040</v>
      </c>
      <c r="J686" s="10" t="s">
        <v>197</v>
      </c>
      <c r="K686" s="10" t="s">
        <v>40</v>
      </c>
      <c r="L686" s="10" t="s">
        <v>6</v>
      </c>
      <c r="M686" s="14">
        <v>45530.0</v>
      </c>
      <c r="N686" s="32" t="s">
        <v>2041</v>
      </c>
      <c r="O686" s="10" t="s">
        <v>2042</v>
      </c>
      <c r="P686" s="10" t="s">
        <v>1929</v>
      </c>
      <c r="Q686" s="2"/>
      <c r="R686" s="15"/>
      <c r="S686" s="15"/>
      <c r="T686" s="15"/>
      <c r="U686" s="15"/>
      <c r="V686" s="2"/>
      <c r="W686" s="15"/>
      <c r="X686" s="15"/>
      <c r="Y686" s="15"/>
      <c r="Z686" s="15"/>
      <c r="AA686" s="1"/>
      <c r="AB686" s="10">
        <v>30.0</v>
      </c>
      <c r="AC686" s="14">
        <v>45530.0</v>
      </c>
      <c r="AD686" s="14">
        <v>46444.0</v>
      </c>
      <c r="AE686" s="10">
        <f t="shared" si="63"/>
        <v>353</v>
      </c>
      <c r="AF686" s="2"/>
      <c r="AG686" s="10" t="s">
        <v>680</v>
      </c>
      <c r="AH686" s="12" t="s">
        <v>46</v>
      </c>
      <c r="AI686" s="10" t="s">
        <v>226</v>
      </c>
      <c r="AJ686" s="12" t="s">
        <v>1930</v>
      </c>
      <c r="AK686" s="16" t="s">
        <v>45</v>
      </c>
      <c r="AL686" s="10" t="s">
        <v>49</v>
      </c>
      <c r="AM686" s="12" t="s">
        <v>1931</v>
      </c>
      <c r="AN686" s="10" t="s">
        <v>50</v>
      </c>
    </row>
    <row r="687" ht="30.0" customHeight="1">
      <c r="A687" s="9" t="str">
        <f t="shared" si="48"/>
        <v>N/I</v>
      </c>
      <c r="B687" s="9" t="str">
        <f t="shared" si="49"/>
        <v>N/I</v>
      </c>
      <c r="C687" s="9" t="str">
        <f t="shared" si="64"/>
        <v>Ativo</v>
      </c>
      <c r="D687" s="10" t="s">
        <v>1922</v>
      </c>
      <c r="E687" s="11" t="s">
        <v>1923</v>
      </c>
      <c r="F687" s="32" t="s">
        <v>2043</v>
      </c>
      <c r="G687" s="12" t="s">
        <v>1691</v>
      </c>
      <c r="H687" s="13" t="s">
        <v>2044</v>
      </c>
      <c r="I687" s="12" t="s">
        <v>2045</v>
      </c>
      <c r="J687" s="10" t="s">
        <v>197</v>
      </c>
      <c r="K687" s="10" t="s">
        <v>40</v>
      </c>
      <c r="L687" s="10" t="s">
        <v>6</v>
      </c>
      <c r="M687" s="14">
        <v>45397.0</v>
      </c>
      <c r="N687" s="11" t="s">
        <v>2046</v>
      </c>
      <c r="O687" s="10" t="s">
        <v>2047</v>
      </c>
      <c r="P687" s="10" t="s">
        <v>1929</v>
      </c>
      <c r="Q687" s="2"/>
      <c r="R687" s="15"/>
      <c r="S687" s="15"/>
      <c r="T687" s="15"/>
      <c r="U687" s="15"/>
      <c r="V687" s="1"/>
      <c r="W687" s="15"/>
      <c r="X687" s="15"/>
      <c r="Y687" s="15"/>
      <c r="Z687" s="15"/>
      <c r="AA687" s="1"/>
      <c r="AB687" s="10">
        <v>30.0</v>
      </c>
      <c r="AC687" s="14">
        <v>45397.0</v>
      </c>
      <c r="AD687" s="14">
        <v>46310.0</v>
      </c>
      <c r="AE687" s="10">
        <f t="shared" si="63"/>
        <v>219</v>
      </c>
      <c r="AF687" s="2"/>
      <c r="AG687" s="10" t="s">
        <v>680</v>
      </c>
      <c r="AH687" s="12" t="s">
        <v>46</v>
      </c>
      <c r="AI687" s="10" t="s">
        <v>226</v>
      </c>
      <c r="AJ687" s="12" t="s">
        <v>1930</v>
      </c>
      <c r="AK687" s="16" t="s">
        <v>45</v>
      </c>
      <c r="AL687" s="10" t="s">
        <v>49</v>
      </c>
      <c r="AM687" s="12" t="s">
        <v>1931</v>
      </c>
      <c r="AN687" s="10" t="s">
        <v>50</v>
      </c>
    </row>
    <row r="688" ht="30.0" customHeight="1">
      <c r="A688" s="9" t="str">
        <f t="shared" si="48"/>
        <v>N/I</v>
      </c>
      <c r="B688" s="9" t="str">
        <f t="shared" si="49"/>
        <v>N/I</v>
      </c>
      <c r="C688" s="9" t="str">
        <f t="shared" si="64"/>
        <v>Ativo</v>
      </c>
      <c r="D688" s="10" t="s">
        <v>1922</v>
      </c>
      <c r="E688" s="11" t="s">
        <v>1923</v>
      </c>
      <c r="F688" s="32" t="s">
        <v>2048</v>
      </c>
      <c r="G688" s="12" t="s">
        <v>1691</v>
      </c>
      <c r="H688" s="34" t="s">
        <v>2049</v>
      </c>
      <c r="I688" s="12" t="s">
        <v>2045</v>
      </c>
      <c r="J688" s="10" t="s">
        <v>197</v>
      </c>
      <c r="K688" s="10" t="s">
        <v>40</v>
      </c>
      <c r="L688" s="10" t="s">
        <v>6</v>
      </c>
      <c r="M688" s="22">
        <v>45399.0</v>
      </c>
      <c r="N688" s="11" t="s">
        <v>2050</v>
      </c>
      <c r="O688" s="10" t="s">
        <v>2051</v>
      </c>
      <c r="P688" s="10" t="s">
        <v>1929</v>
      </c>
      <c r="Q688" s="2"/>
      <c r="R688" s="15"/>
      <c r="S688" s="15"/>
      <c r="T688" s="15"/>
      <c r="U688" s="15"/>
      <c r="V688" s="1"/>
      <c r="W688" s="15"/>
      <c r="X688" s="15"/>
      <c r="Y688" s="15"/>
      <c r="Z688" s="15"/>
      <c r="AA688" s="1"/>
      <c r="AB688" s="10">
        <v>30.0</v>
      </c>
      <c r="AC688" s="14">
        <v>45399.0</v>
      </c>
      <c r="AD688" s="14">
        <v>46312.0</v>
      </c>
      <c r="AE688" s="10">
        <f t="shared" si="63"/>
        <v>221</v>
      </c>
      <c r="AF688" s="2"/>
      <c r="AG688" s="10" t="s">
        <v>680</v>
      </c>
      <c r="AH688" s="12" t="s">
        <v>46</v>
      </c>
      <c r="AI688" s="10" t="s">
        <v>226</v>
      </c>
      <c r="AJ688" s="12" t="s">
        <v>1930</v>
      </c>
      <c r="AK688" s="16" t="s">
        <v>45</v>
      </c>
      <c r="AL688" s="10" t="s">
        <v>49</v>
      </c>
      <c r="AM688" s="12" t="s">
        <v>1931</v>
      </c>
      <c r="AN688" s="10" t="s">
        <v>50</v>
      </c>
    </row>
    <row r="689" ht="30.0" customHeight="1">
      <c r="A689" s="9" t="str">
        <f t="shared" si="48"/>
        <v>N/I</v>
      </c>
      <c r="B689" s="9" t="str">
        <f t="shared" si="49"/>
        <v>N/I</v>
      </c>
      <c r="C689" s="9" t="str">
        <f t="shared" si="64"/>
        <v>Ativo</v>
      </c>
      <c r="D689" s="10" t="s">
        <v>1922</v>
      </c>
      <c r="E689" s="11" t="s">
        <v>1923</v>
      </c>
      <c r="F689" s="32" t="s">
        <v>2052</v>
      </c>
      <c r="G689" s="12" t="s">
        <v>1691</v>
      </c>
      <c r="H689" s="13" t="s">
        <v>2053</v>
      </c>
      <c r="I689" s="12" t="s">
        <v>2054</v>
      </c>
      <c r="J689" s="10" t="s">
        <v>197</v>
      </c>
      <c r="K689" s="10" t="s">
        <v>40</v>
      </c>
      <c r="L689" s="10" t="s">
        <v>6</v>
      </c>
      <c r="M689" s="14">
        <v>45397.0</v>
      </c>
      <c r="N689" s="32" t="s">
        <v>2055</v>
      </c>
      <c r="O689" s="10" t="s">
        <v>2056</v>
      </c>
      <c r="P689" s="10" t="s">
        <v>1929</v>
      </c>
      <c r="Q689" s="2"/>
      <c r="R689" s="15"/>
      <c r="S689" s="15"/>
      <c r="T689" s="15"/>
      <c r="U689" s="15"/>
      <c r="V689" s="1"/>
      <c r="W689" s="15"/>
      <c r="X689" s="15"/>
      <c r="Y689" s="15"/>
      <c r="Z689" s="15"/>
      <c r="AA689" s="1"/>
      <c r="AB689" s="10">
        <v>30.0</v>
      </c>
      <c r="AC689" s="14">
        <v>45397.0</v>
      </c>
      <c r="AD689" s="14">
        <v>46310.0</v>
      </c>
      <c r="AE689" s="10">
        <f t="shared" si="63"/>
        <v>219</v>
      </c>
      <c r="AF689" s="2"/>
      <c r="AG689" s="10" t="s">
        <v>680</v>
      </c>
      <c r="AH689" s="12" t="s">
        <v>46</v>
      </c>
      <c r="AI689" s="10" t="s">
        <v>226</v>
      </c>
      <c r="AJ689" s="12" t="s">
        <v>1930</v>
      </c>
      <c r="AK689" s="16" t="s">
        <v>45</v>
      </c>
      <c r="AL689" s="10" t="s">
        <v>49</v>
      </c>
      <c r="AM689" s="12" t="s">
        <v>1931</v>
      </c>
      <c r="AN689" s="10" t="s">
        <v>50</v>
      </c>
    </row>
    <row r="690" ht="30.0" customHeight="1">
      <c r="A690" s="9" t="str">
        <f t="shared" si="48"/>
        <v>N/I</v>
      </c>
      <c r="B690" s="9" t="str">
        <f t="shared" si="49"/>
        <v>N/I</v>
      </c>
      <c r="C690" s="9" t="str">
        <f t="shared" si="64"/>
        <v>Ativo</v>
      </c>
      <c r="D690" s="10" t="s">
        <v>1922</v>
      </c>
      <c r="E690" s="11" t="s">
        <v>1923</v>
      </c>
      <c r="F690" s="32" t="s">
        <v>2057</v>
      </c>
      <c r="G690" s="12" t="s">
        <v>1691</v>
      </c>
      <c r="H690" s="34" t="s">
        <v>2058</v>
      </c>
      <c r="I690" s="12" t="s">
        <v>2059</v>
      </c>
      <c r="J690" s="10" t="s">
        <v>197</v>
      </c>
      <c r="K690" s="10" t="s">
        <v>40</v>
      </c>
      <c r="L690" s="10" t="s">
        <v>6</v>
      </c>
      <c r="M690" s="14">
        <v>45539.0</v>
      </c>
      <c r="N690" s="32" t="s">
        <v>2060</v>
      </c>
      <c r="O690" s="10" t="s">
        <v>2061</v>
      </c>
      <c r="P690" s="10" t="s">
        <v>1929</v>
      </c>
      <c r="Q690" s="2"/>
      <c r="R690" s="15"/>
      <c r="S690" s="15"/>
      <c r="T690" s="15"/>
      <c r="U690" s="15"/>
      <c r="V690" s="1"/>
      <c r="W690" s="15"/>
      <c r="X690" s="15"/>
      <c r="Y690" s="15"/>
      <c r="Z690" s="15"/>
      <c r="AA690" s="1"/>
      <c r="AB690" s="10">
        <v>30.0</v>
      </c>
      <c r="AC690" s="14">
        <v>45539.0</v>
      </c>
      <c r="AD690" s="14">
        <v>46450.0</v>
      </c>
      <c r="AE690" s="10">
        <f t="shared" si="63"/>
        <v>359</v>
      </c>
      <c r="AF690" s="2"/>
      <c r="AG690" s="10" t="s">
        <v>680</v>
      </c>
      <c r="AH690" s="12" t="s">
        <v>46</v>
      </c>
      <c r="AI690" s="10" t="s">
        <v>226</v>
      </c>
      <c r="AJ690" s="12" t="s">
        <v>1930</v>
      </c>
      <c r="AK690" s="16" t="s">
        <v>45</v>
      </c>
      <c r="AL690" s="10" t="s">
        <v>49</v>
      </c>
      <c r="AM690" s="12" t="s">
        <v>1931</v>
      </c>
      <c r="AN690" s="10" t="s">
        <v>50</v>
      </c>
    </row>
    <row r="691" ht="30.0" customHeight="1">
      <c r="A691" s="9" t="str">
        <f t="shared" si="48"/>
        <v>N/I</v>
      </c>
      <c r="B691" s="9" t="str">
        <f t="shared" si="49"/>
        <v>N/I</v>
      </c>
      <c r="C691" s="9" t="str">
        <f t="shared" si="64"/>
        <v>Ativo</v>
      </c>
      <c r="D691" s="10" t="s">
        <v>1922</v>
      </c>
      <c r="E691" s="11" t="s">
        <v>1923</v>
      </c>
      <c r="F691" s="32" t="s">
        <v>2062</v>
      </c>
      <c r="G691" s="12" t="s">
        <v>1691</v>
      </c>
      <c r="H691" s="13" t="s">
        <v>2063</v>
      </c>
      <c r="I691" s="12" t="s">
        <v>2064</v>
      </c>
      <c r="J691" s="10" t="s">
        <v>197</v>
      </c>
      <c r="K691" s="10" t="s">
        <v>40</v>
      </c>
      <c r="L691" s="10" t="s">
        <v>6</v>
      </c>
      <c r="M691" s="14">
        <v>45502.0</v>
      </c>
      <c r="N691" s="32" t="s">
        <v>2065</v>
      </c>
      <c r="O691" s="10" t="s">
        <v>2066</v>
      </c>
      <c r="P691" s="10" t="s">
        <v>1929</v>
      </c>
      <c r="Q691" s="2"/>
      <c r="R691" s="15"/>
      <c r="S691" s="15"/>
      <c r="T691" s="15"/>
      <c r="U691" s="15"/>
      <c r="V691" s="2"/>
      <c r="W691" s="15"/>
      <c r="X691" s="15"/>
      <c r="Y691" s="15"/>
      <c r="Z691" s="15"/>
      <c r="AA691" s="1"/>
      <c r="AB691" s="10">
        <v>30.0</v>
      </c>
      <c r="AC691" s="14">
        <v>45502.0</v>
      </c>
      <c r="AD691" s="14">
        <v>46416.0</v>
      </c>
      <c r="AE691" s="10">
        <f t="shared" si="63"/>
        <v>325</v>
      </c>
      <c r="AF691" s="2"/>
      <c r="AG691" s="10" t="s">
        <v>680</v>
      </c>
      <c r="AH691" s="12" t="s">
        <v>46</v>
      </c>
      <c r="AI691" s="10" t="s">
        <v>226</v>
      </c>
      <c r="AJ691" s="12" t="s">
        <v>1930</v>
      </c>
      <c r="AK691" s="16" t="s">
        <v>45</v>
      </c>
      <c r="AL691" s="10" t="s">
        <v>49</v>
      </c>
      <c r="AM691" s="12" t="s">
        <v>1931</v>
      </c>
      <c r="AN691" s="10" t="s">
        <v>50</v>
      </c>
    </row>
    <row r="692" ht="30.0" customHeight="1">
      <c r="A692" s="9" t="str">
        <f t="shared" si="48"/>
        <v>N/I</v>
      </c>
      <c r="B692" s="9" t="str">
        <f t="shared" si="49"/>
        <v>N/I</v>
      </c>
      <c r="C692" s="9" t="str">
        <f t="shared" si="64"/>
        <v>Ativo</v>
      </c>
      <c r="D692" s="10" t="s">
        <v>1922</v>
      </c>
      <c r="E692" s="11" t="s">
        <v>1923</v>
      </c>
      <c r="F692" s="32" t="s">
        <v>2067</v>
      </c>
      <c r="G692" s="12" t="s">
        <v>1691</v>
      </c>
      <c r="H692" s="13" t="s">
        <v>2068</v>
      </c>
      <c r="I692" s="12" t="s">
        <v>2064</v>
      </c>
      <c r="J692" s="10" t="s">
        <v>197</v>
      </c>
      <c r="K692" s="10" t="s">
        <v>40</v>
      </c>
      <c r="L692" s="10" t="s">
        <v>6</v>
      </c>
      <c r="M692" s="14">
        <v>45504.0</v>
      </c>
      <c r="N692" s="32" t="s">
        <v>2065</v>
      </c>
      <c r="O692" s="10" t="s">
        <v>2066</v>
      </c>
      <c r="P692" s="10" t="s">
        <v>1929</v>
      </c>
      <c r="Q692" s="2"/>
      <c r="R692" s="15"/>
      <c r="S692" s="15"/>
      <c r="T692" s="15"/>
      <c r="U692" s="15"/>
      <c r="V692" s="2"/>
      <c r="W692" s="15"/>
      <c r="X692" s="15"/>
      <c r="Y692" s="15"/>
      <c r="Z692" s="15"/>
      <c r="AA692" s="1"/>
      <c r="AB692" s="10">
        <v>30.0</v>
      </c>
      <c r="AC692" s="14">
        <v>45504.0</v>
      </c>
      <c r="AD692" s="14">
        <v>46418.0</v>
      </c>
      <c r="AE692" s="10">
        <f t="shared" si="63"/>
        <v>327</v>
      </c>
      <c r="AF692" s="2"/>
      <c r="AG692" s="10" t="s">
        <v>680</v>
      </c>
      <c r="AH692" s="12" t="s">
        <v>46</v>
      </c>
      <c r="AI692" s="10" t="s">
        <v>226</v>
      </c>
      <c r="AJ692" s="12" t="s">
        <v>1930</v>
      </c>
      <c r="AK692" s="16" t="s">
        <v>45</v>
      </c>
      <c r="AL692" s="10" t="s">
        <v>49</v>
      </c>
      <c r="AM692" s="12" t="s">
        <v>1931</v>
      </c>
      <c r="AN692" s="10" t="s">
        <v>50</v>
      </c>
    </row>
    <row r="693" ht="30.0" customHeight="1">
      <c r="A693" s="9" t="str">
        <f t="shared" si="48"/>
        <v>N/I</v>
      </c>
      <c r="B693" s="9" t="str">
        <f t="shared" si="49"/>
        <v>N/I</v>
      </c>
      <c r="C693" s="9" t="str">
        <f t="shared" si="64"/>
        <v>Ativo</v>
      </c>
      <c r="D693" s="10" t="s">
        <v>1922</v>
      </c>
      <c r="E693" s="11" t="s">
        <v>1923</v>
      </c>
      <c r="F693" s="32" t="s">
        <v>2069</v>
      </c>
      <c r="G693" s="12" t="s">
        <v>1691</v>
      </c>
      <c r="H693" s="34" t="s">
        <v>2070</v>
      </c>
      <c r="I693" s="12" t="s">
        <v>2071</v>
      </c>
      <c r="J693" s="10" t="s">
        <v>197</v>
      </c>
      <c r="K693" s="10" t="s">
        <v>40</v>
      </c>
      <c r="L693" s="10" t="s">
        <v>6</v>
      </c>
      <c r="M693" s="14">
        <v>45523.0</v>
      </c>
      <c r="N693" s="32" t="s">
        <v>2072</v>
      </c>
      <c r="O693" s="10" t="s">
        <v>2073</v>
      </c>
      <c r="P693" s="10" t="s">
        <v>1929</v>
      </c>
      <c r="Q693" s="2"/>
      <c r="R693" s="15"/>
      <c r="S693" s="15"/>
      <c r="T693" s="15"/>
      <c r="U693" s="15"/>
      <c r="V693" s="2"/>
      <c r="W693" s="15"/>
      <c r="X693" s="15"/>
      <c r="Y693" s="15"/>
      <c r="Z693" s="15"/>
      <c r="AA693" s="1"/>
      <c r="AB693" s="10">
        <v>30.0</v>
      </c>
      <c r="AC693" s="14">
        <v>45523.0</v>
      </c>
      <c r="AD693" s="14">
        <v>46437.0</v>
      </c>
      <c r="AE693" s="10">
        <f t="shared" si="63"/>
        <v>346</v>
      </c>
      <c r="AF693" s="2"/>
      <c r="AG693" s="10" t="s">
        <v>680</v>
      </c>
      <c r="AH693" s="12" t="s">
        <v>46</v>
      </c>
      <c r="AI693" s="10" t="s">
        <v>226</v>
      </c>
      <c r="AJ693" s="12" t="s">
        <v>1930</v>
      </c>
      <c r="AK693" s="16" t="s">
        <v>45</v>
      </c>
      <c r="AL693" s="10" t="s">
        <v>49</v>
      </c>
      <c r="AM693" s="12" t="s">
        <v>1931</v>
      </c>
      <c r="AN693" s="10" t="s">
        <v>50</v>
      </c>
    </row>
    <row r="694" ht="30.0" customHeight="1">
      <c r="A694" s="9" t="str">
        <f t="shared" si="48"/>
        <v>N/I</v>
      </c>
      <c r="B694" s="9" t="str">
        <f t="shared" si="49"/>
        <v>N/I</v>
      </c>
      <c r="C694" s="9" t="str">
        <f t="shared" si="64"/>
        <v>Ativo</v>
      </c>
      <c r="D694" s="10" t="s">
        <v>1922</v>
      </c>
      <c r="E694" s="11" t="s">
        <v>1923</v>
      </c>
      <c r="F694" s="32" t="s">
        <v>2074</v>
      </c>
      <c r="G694" s="12" t="s">
        <v>1691</v>
      </c>
      <c r="H694" s="34" t="s">
        <v>2075</v>
      </c>
      <c r="I694" s="12" t="s">
        <v>2071</v>
      </c>
      <c r="J694" s="10" t="s">
        <v>197</v>
      </c>
      <c r="K694" s="10" t="s">
        <v>40</v>
      </c>
      <c r="L694" s="10" t="s">
        <v>6</v>
      </c>
      <c r="M694" s="14">
        <v>45525.0</v>
      </c>
      <c r="N694" s="32" t="s">
        <v>2076</v>
      </c>
      <c r="O694" s="10" t="s">
        <v>2077</v>
      </c>
      <c r="P694" s="10" t="s">
        <v>1929</v>
      </c>
      <c r="Q694" s="2"/>
      <c r="R694" s="15"/>
      <c r="S694" s="15"/>
      <c r="T694" s="15"/>
      <c r="U694" s="15"/>
      <c r="V694" s="2"/>
      <c r="W694" s="15"/>
      <c r="X694" s="15"/>
      <c r="Y694" s="15"/>
      <c r="Z694" s="15"/>
      <c r="AA694" s="1"/>
      <c r="AB694" s="10">
        <v>30.0</v>
      </c>
      <c r="AC694" s="14">
        <v>45525.0</v>
      </c>
      <c r="AD694" s="14">
        <v>46439.0</v>
      </c>
      <c r="AE694" s="10">
        <f t="shared" si="63"/>
        <v>348</v>
      </c>
      <c r="AF694" s="2"/>
      <c r="AG694" s="10" t="s">
        <v>680</v>
      </c>
      <c r="AH694" s="12" t="s">
        <v>46</v>
      </c>
      <c r="AI694" s="10" t="s">
        <v>226</v>
      </c>
      <c r="AJ694" s="12" t="s">
        <v>1930</v>
      </c>
      <c r="AK694" s="16" t="s">
        <v>45</v>
      </c>
      <c r="AL694" s="10" t="s">
        <v>49</v>
      </c>
      <c r="AM694" s="12" t="s">
        <v>1931</v>
      </c>
      <c r="AN694" s="10" t="s">
        <v>50</v>
      </c>
    </row>
    <row r="695" ht="30.0" customHeight="1">
      <c r="A695" s="9" t="str">
        <f t="shared" si="48"/>
        <v>N/I</v>
      </c>
      <c r="B695" s="9" t="str">
        <f t="shared" si="49"/>
        <v>N/I</v>
      </c>
      <c r="C695" s="9" t="str">
        <f t="shared" si="64"/>
        <v>Ativo</v>
      </c>
      <c r="D695" s="10" t="s">
        <v>1922</v>
      </c>
      <c r="E695" s="11" t="s">
        <v>1923</v>
      </c>
      <c r="F695" s="32" t="s">
        <v>2078</v>
      </c>
      <c r="G695" s="12" t="s">
        <v>1691</v>
      </c>
      <c r="H695" s="34" t="s">
        <v>2079</v>
      </c>
      <c r="I695" s="12" t="s">
        <v>2080</v>
      </c>
      <c r="J695" s="10" t="s">
        <v>197</v>
      </c>
      <c r="K695" s="10" t="s">
        <v>40</v>
      </c>
      <c r="L695" s="10" t="s">
        <v>6</v>
      </c>
      <c r="M695" s="14">
        <v>45537.0</v>
      </c>
      <c r="N695" s="32" t="s">
        <v>2081</v>
      </c>
      <c r="O695" s="10" t="s">
        <v>2082</v>
      </c>
      <c r="P695" s="10" t="s">
        <v>1929</v>
      </c>
      <c r="Q695" s="2"/>
      <c r="R695" s="15"/>
      <c r="S695" s="15"/>
      <c r="T695" s="15"/>
      <c r="U695" s="15"/>
      <c r="V695" s="1"/>
      <c r="W695" s="15"/>
      <c r="X695" s="15"/>
      <c r="Y695" s="15"/>
      <c r="Z695" s="15"/>
      <c r="AA695" s="1"/>
      <c r="AB695" s="10">
        <v>30.0</v>
      </c>
      <c r="AC695" s="14">
        <v>45537.0</v>
      </c>
      <c r="AD695" s="14">
        <v>46448.0</v>
      </c>
      <c r="AE695" s="10">
        <f t="shared" si="63"/>
        <v>357</v>
      </c>
      <c r="AF695" s="2"/>
      <c r="AG695" s="10" t="s">
        <v>680</v>
      </c>
      <c r="AH695" s="12" t="s">
        <v>46</v>
      </c>
      <c r="AI695" s="10" t="s">
        <v>226</v>
      </c>
      <c r="AJ695" s="12" t="s">
        <v>1930</v>
      </c>
      <c r="AK695" s="16" t="s">
        <v>45</v>
      </c>
      <c r="AL695" s="10" t="s">
        <v>49</v>
      </c>
      <c r="AM695" s="12" t="s">
        <v>1931</v>
      </c>
      <c r="AN695" s="10" t="s">
        <v>50</v>
      </c>
    </row>
    <row r="696" ht="30.0" customHeight="1">
      <c r="A696" s="9" t="str">
        <f t="shared" si="48"/>
        <v>N/I</v>
      </c>
      <c r="B696" s="9" t="str">
        <f t="shared" si="49"/>
        <v>N/I</v>
      </c>
      <c r="C696" s="9" t="str">
        <f t="shared" si="64"/>
        <v>Ativo</v>
      </c>
      <c r="D696" s="10" t="s">
        <v>1922</v>
      </c>
      <c r="E696" s="11" t="s">
        <v>1923</v>
      </c>
      <c r="F696" s="32" t="s">
        <v>2083</v>
      </c>
      <c r="G696" s="12" t="s">
        <v>1691</v>
      </c>
      <c r="H696" s="34" t="s">
        <v>2084</v>
      </c>
      <c r="I696" s="12" t="s">
        <v>2085</v>
      </c>
      <c r="J696" s="10" t="s">
        <v>197</v>
      </c>
      <c r="K696" s="10" t="s">
        <v>40</v>
      </c>
      <c r="L696" s="10" t="s">
        <v>6</v>
      </c>
      <c r="M696" s="14">
        <v>45544.0</v>
      </c>
      <c r="N696" s="32" t="s">
        <v>2086</v>
      </c>
      <c r="O696" s="10" t="s">
        <v>2087</v>
      </c>
      <c r="P696" s="10" t="s">
        <v>1929</v>
      </c>
      <c r="Q696" s="2"/>
      <c r="R696" s="15"/>
      <c r="S696" s="15"/>
      <c r="T696" s="15"/>
      <c r="U696" s="15"/>
      <c r="V696" s="1"/>
      <c r="W696" s="15"/>
      <c r="X696" s="15"/>
      <c r="Y696" s="15"/>
      <c r="Z696" s="15"/>
      <c r="AA696" s="1"/>
      <c r="AB696" s="10">
        <v>30.0</v>
      </c>
      <c r="AC696" s="14">
        <v>45544.0</v>
      </c>
      <c r="AD696" s="14">
        <v>46455.0</v>
      </c>
      <c r="AE696" s="10">
        <f t="shared" si="63"/>
        <v>364</v>
      </c>
      <c r="AF696" s="2"/>
      <c r="AG696" s="10" t="s">
        <v>680</v>
      </c>
      <c r="AH696" s="12" t="s">
        <v>46</v>
      </c>
      <c r="AI696" s="10" t="s">
        <v>226</v>
      </c>
      <c r="AJ696" s="12" t="s">
        <v>1930</v>
      </c>
      <c r="AK696" s="16" t="s">
        <v>45</v>
      </c>
      <c r="AL696" s="10" t="s">
        <v>49</v>
      </c>
      <c r="AM696" s="12" t="s">
        <v>1931</v>
      </c>
      <c r="AN696" s="10" t="s">
        <v>50</v>
      </c>
    </row>
    <row r="697" ht="30.0" customHeight="1">
      <c r="A697" s="9" t="str">
        <f t="shared" si="48"/>
        <v>N/I</v>
      </c>
      <c r="B697" s="9" t="str">
        <f t="shared" si="49"/>
        <v>N/I</v>
      </c>
      <c r="C697" s="9" t="str">
        <f t="shared" si="64"/>
        <v>Ativo</v>
      </c>
      <c r="D697" s="10" t="s">
        <v>1922</v>
      </c>
      <c r="E697" s="11" t="s">
        <v>1923</v>
      </c>
      <c r="F697" s="32" t="s">
        <v>2088</v>
      </c>
      <c r="G697" s="12" t="s">
        <v>1691</v>
      </c>
      <c r="H697" s="13" t="s">
        <v>2089</v>
      </c>
      <c r="I697" s="12" t="s">
        <v>2090</v>
      </c>
      <c r="J697" s="10" t="s">
        <v>197</v>
      </c>
      <c r="K697" s="10" t="s">
        <v>40</v>
      </c>
      <c r="L697" s="10" t="s">
        <v>6</v>
      </c>
      <c r="M697" s="14">
        <v>45499.0</v>
      </c>
      <c r="N697" s="32" t="s">
        <v>2091</v>
      </c>
      <c r="O697" s="10" t="s">
        <v>2092</v>
      </c>
      <c r="P697" s="10" t="s">
        <v>1929</v>
      </c>
      <c r="Q697" s="2"/>
      <c r="R697" s="15"/>
      <c r="S697" s="15"/>
      <c r="T697" s="15"/>
      <c r="U697" s="15"/>
      <c r="V697" s="2"/>
      <c r="W697" s="15"/>
      <c r="X697" s="15"/>
      <c r="Y697" s="15"/>
      <c r="Z697" s="15"/>
      <c r="AA697" s="1"/>
      <c r="AB697" s="10">
        <v>30.0</v>
      </c>
      <c r="AC697" s="14">
        <v>45499.0</v>
      </c>
      <c r="AD697" s="14">
        <v>46413.0</v>
      </c>
      <c r="AE697" s="10">
        <f t="shared" si="63"/>
        <v>322</v>
      </c>
      <c r="AF697" s="2"/>
      <c r="AG697" s="10" t="s">
        <v>680</v>
      </c>
      <c r="AH697" s="12" t="s">
        <v>46</v>
      </c>
      <c r="AI697" s="10" t="s">
        <v>226</v>
      </c>
      <c r="AJ697" s="12" t="s">
        <v>1930</v>
      </c>
      <c r="AK697" s="16" t="s">
        <v>45</v>
      </c>
      <c r="AL697" s="10" t="s">
        <v>49</v>
      </c>
      <c r="AM697" s="12" t="s">
        <v>1931</v>
      </c>
      <c r="AN697" s="10" t="s">
        <v>50</v>
      </c>
    </row>
    <row r="698" ht="30.0" customHeight="1">
      <c r="A698" s="9" t="str">
        <f t="shared" si="48"/>
        <v>N/I</v>
      </c>
      <c r="B698" s="9" t="str">
        <f t="shared" si="49"/>
        <v>N/I</v>
      </c>
      <c r="C698" s="9" t="str">
        <f t="shared" si="64"/>
        <v>Ativo</v>
      </c>
      <c r="D698" s="10" t="s">
        <v>1922</v>
      </c>
      <c r="E698" s="11" t="s">
        <v>1923</v>
      </c>
      <c r="F698" s="32" t="s">
        <v>2093</v>
      </c>
      <c r="G698" s="12" t="s">
        <v>1691</v>
      </c>
      <c r="H698" s="13" t="s">
        <v>2094</v>
      </c>
      <c r="I698" s="12" t="s">
        <v>2095</v>
      </c>
      <c r="J698" s="10" t="s">
        <v>197</v>
      </c>
      <c r="K698" s="10" t="s">
        <v>40</v>
      </c>
      <c r="L698" s="10" t="s">
        <v>6</v>
      </c>
      <c r="M698" s="14">
        <v>45496.0</v>
      </c>
      <c r="N698" s="32" t="s">
        <v>2096</v>
      </c>
      <c r="O698" s="10" t="s">
        <v>2097</v>
      </c>
      <c r="P698" s="10" t="s">
        <v>1929</v>
      </c>
      <c r="Q698" s="2"/>
      <c r="R698" s="15"/>
      <c r="S698" s="15"/>
      <c r="T698" s="15"/>
      <c r="U698" s="15"/>
      <c r="V698" s="2"/>
      <c r="W698" s="15"/>
      <c r="X698" s="15"/>
      <c r="Y698" s="15"/>
      <c r="Z698" s="15"/>
      <c r="AA698" s="1"/>
      <c r="AB698" s="10">
        <v>30.0</v>
      </c>
      <c r="AC698" s="14">
        <v>45496.0</v>
      </c>
      <c r="AD698" s="14">
        <v>46410.0</v>
      </c>
      <c r="AE698" s="10">
        <f t="shared" si="63"/>
        <v>319</v>
      </c>
      <c r="AF698" s="2"/>
      <c r="AG698" s="10" t="s">
        <v>680</v>
      </c>
      <c r="AH698" s="12" t="s">
        <v>46</v>
      </c>
      <c r="AI698" s="10" t="s">
        <v>226</v>
      </c>
      <c r="AJ698" s="12" t="s">
        <v>1930</v>
      </c>
      <c r="AK698" s="16" t="s">
        <v>45</v>
      </c>
      <c r="AL698" s="10" t="s">
        <v>49</v>
      </c>
      <c r="AM698" s="12" t="s">
        <v>1931</v>
      </c>
      <c r="AN698" s="10" t="s">
        <v>50</v>
      </c>
    </row>
    <row r="699" ht="30.0" customHeight="1">
      <c r="A699" s="9" t="str">
        <f t="shared" si="48"/>
        <v>N/I</v>
      </c>
      <c r="B699" s="9" t="str">
        <f t="shared" si="49"/>
        <v>N/I</v>
      </c>
      <c r="C699" s="9" t="str">
        <f t="shared" si="64"/>
        <v>Ativo</v>
      </c>
      <c r="D699" s="10" t="s">
        <v>1922</v>
      </c>
      <c r="E699" s="11" t="s">
        <v>1923</v>
      </c>
      <c r="F699" s="32" t="s">
        <v>2098</v>
      </c>
      <c r="G699" s="12" t="s">
        <v>1691</v>
      </c>
      <c r="H699" s="13" t="s">
        <v>2099</v>
      </c>
      <c r="I699" s="12" t="s">
        <v>2095</v>
      </c>
      <c r="J699" s="10" t="s">
        <v>197</v>
      </c>
      <c r="K699" s="10" t="s">
        <v>40</v>
      </c>
      <c r="L699" s="10" t="s">
        <v>6</v>
      </c>
      <c r="M699" s="14">
        <v>45497.0</v>
      </c>
      <c r="N699" s="32" t="s">
        <v>2096</v>
      </c>
      <c r="O699" s="10" t="s">
        <v>2100</v>
      </c>
      <c r="P699" s="10" t="s">
        <v>1929</v>
      </c>
      <c r="Q699" s="2"/>
      <c r="R699" s="15"/>
      <c r="S699" s="15"/>
      <c r="T699" s="15"/>
      <c r="U699" s="15"/>
      <c r="V699" s="2"/>
      <c r="W699" s="15"/>
      <c r="X699" s="15"/>
      <c r="Y699" s="15"/>
      <c r="Z699" s="15"/>
      <c r="AA699" s="1"/>
      <c r="AB699" s="10">
        <v>30.0</v>
      </c>
      <c r="AC699" s="14">
        <v>45497.0</v>
      </c>
      <c r="AD699" s="14">
        <v>46411.0</v>
      </c>
      <c r="AE699" s="10">
        <f t="shared" si="63"/>
        <v>320</v>
      </c>
      <c r="AF699" s="2"/>
      <c r="AG699" s="10" t="s">
        <v>680</v>
      </c>
      <c r="AH699" s="12" t="s">
        <v>46</v>
      </c>
      <c r="AI699" s="10" t="s">
        <v>226</v>
      </c>
      <c r="AJ699" s="12" t="s">
        <v>1930</v>
      </c>
      <c r="AK699" s="16" t="s">
        <v>45</v>
      </c>
      <c r="AL699" s="10" t="s">
        <v>49</v>
      </c>
      <c r="AM699" s="12" t="s">
        <v>1931</v>
      </c>
      <c r="AN699" s="10" t="s">
        <v>50</v>
      </c>
    </row>
    <row r="700" ht="30.0" customHeight="1">
      <c r="A700" s="9" t="str">
        <f t="shared" si="48"/>
        <v>N/I</v>
      </c>
      <c r="B700" s="9" t="str">
        <f t="shared" si="49"/>
        <v>N/I</v>
      </c>
      <c r="C700" s="9" t="str">
        <f t="shared" si="64"/>
        <v>Ativo</v>
      </c>
      <c r="D700" s="10" t="s">
        <v>1922</v>
      </c>
      <c r="E700" s="11" t="s">
        <v>1923</v>
      </c>
      <c r="F700" s="32" t="s">
        <v>2101</v>
      </c>
      <c r="G700" s="12" t="s">
        <v>1691</v>
      </c>
      <c r="H700" s="13" t="s">
        <v>2102</v>
      </c>
      <c r="I700" s="12" t="s">
        <v>2103</v>
      </c>
      <c r="J700" s="10" t="s">
        <v>197</v>
      </c>
      <c r="K700" s="10" t="s">
        <v>40</v>
      </c>
      <c r="L700" s="10" t="s">
        <v>6</v>
      </c>
      <c r="M700" s="14">
        <v>45495.0</v>
      </c>
      <c r="N700" s="32" t="s">
        <v>2104</v>
      </c>
      <c r="O700" s="10" t="s">
        <v>2105</v>
      </c>
      <c r="P700" s="10" t="s">
        <v>1929</v>
      </c>
      <c r="Q700" s="2"/>
      <c r="R700" s="15"/>
      <c r="S700" s="15"/>
      <c r="T700" s="15"/>
      <c r="U700" s="15"/>
      <c r="V700" s="1"/>
      <c r="W700" s="15"/>
      <c r="X700" s="15"/>
      <c r="Y700" s="15"/>
      <c r="Z700" s="15"/>
      <c r="AA700" s="1"/>
      <c r="AB700" s="10">
        <v>30.0</v>
      </c>
      <c r="AC700" s="14">
        <v>45495.0</v>
      </c>
      <c r="AD700" s="14">
        <v>46409.0</v>
      </c>
      <c r="AE700" s="10">
        <f t="shared" si="63"/>
        <v>318</v>
      </c>
      <c r="AF700" s="2"/>
      <c r="AG700" s="10" t="s">
        <v>680</v>
      </c>
      <c r="AH700" s="12" t="s">
        <v>46</v>
      </c>
      <c r="AI700" s="10" t="s">
        <v>226</v>
      </c>
      <c r="AJ700" s="12" t="s">
        <v>1930</v>
      </c>
      <c r="AK700" s="16" t="s">
        <v>45</v>
      </c>
      <c r="AL700" s="10" t="s">
        <v>49</v>
      </c>
      <c r="AM700" s="12" t="s">
        <v>1931</v>
      </c>
      <c r="AN700" s="10" t="s">
        <v>50</v>
      </c>
    </row>
    <row r="701" ht="30.0" customHeight="1">
      <c r="A701" s="9" t="str">
        <f t="shared" si="48"/>
        <v>N/I</v>
      </c>
      <c r="B701" s="9" t="str">
        <f t="shared" si="49"/>
        <v>N/I</v>
      </c>
      <c r="C701" s="9" t="str">
        <f t="shared" si="64"/>
        <v>Ativo</v>
      </c>
      <c r="D701" s="10" t="s">
        <v>1922</v>
      </c>
      <c r="E701" s="11" t="s">
        <v>1923</v>
      </c>
      <c r="F701" s="32" t="s">
        <v>2106</v>
      </c>
      <c r="G701" s="12" t="s">
        <v>1691</v>
      </c>
      <c r="H701" s="34" t="s">
        <v>2107</v>
      </c>
      <c r="I701" s="12" t="s">
        <v>2108</v>
      </c>
      <c r="J701" s="10" t="s">
        <v>197</v>
      </c>
      <c r="K701" s="10" t="s">
        <v>40</v>
      </c>
      <c r="L701" s="10" t="s">
        <v>6</v>
      </c>
      <c r="M701" s="14">
        <v>45516.0</v>
      </c>
      <c r="N701" s="47" t="s">
        <v>2109</v>
      </c>
      <c r="O701" s="10" t="s">
        <v>2110</v>
      </c>
      <c r="P701" s="10" t="s">
        <v>1929</v>
      </c>
      <c r="Q701" s="2"/>
      <c r="R701" s="15"/>
      <c r="S701" s="15"/>
      <c r="T701" s="15"/>
      <c r="U701" s="15"/>
      <c r="V701" s="2"/>
      <c r="W701" s="15"/>
      <c r="X701" s="15"/>
      <c r="Y701" s="15"/>
      <c r="Z701" s="15"/>
      <c r="AA701" s="1"/>
      <c r="AB701" s="10">
        <v>30.0</v>
      </c>
      <c r="AC701" s="14">
        <v>45516.0</v>
      </c>
      <c r="AD701" s="14">
        <v>46430.0</v>
      </c>
      <c r="AE701" s="10">
        <f t="shared" si="63"/>
        <v>339</v>
      </c>
      <c r="AF701" s="2"/>
      <c r="AG701" s="10" t="s">
        <v>680</v>
      </c>
      <c r="AH701" s="12" t="s">
        <v>46</v>
      </c>
      <c r="AI701" s="10" t="s">
        <v>226</v>
      </c>
      <c r="AJ701" s="12" t="s">
        <v>1930</v>
      </c>
      <c r="AK701" s="16" t="s">
        <v>45</v>
      </c>
      <c r="AL701" s="10" t="s">
        <v>49</v>
      </c>
      <c r="AM701" s="12" t="s">
        <v>1931</v>
      </c>
      <c r="AN701" s="10" t="s">
        <v>50</v>
      </c>
    </row>
    <row r="702" ht="30.0" customHeight="1">
      <c r="A702" s="9" t="str">
        <f t="shared" si="48"/>
        <v>N/I</v>
      </c>
      <c r="B702" s="9" t="str">
        <f t="shared" si="49"/>
        <v>N/I</v>
      </c>
      <c r="C702" s="9" t="str">
        <f t="shared" si="64"/>
        <v>Ativo</v>
      </c>
      <c r="D702" s="10" t="s">
        <v>1922</v>
      </c>
      <c r="E702" s="11" t="s">
        <v>1923</v>
      </c>
      <c r="F702" s="32" t="s">
        <v>2111</v>
      </c>
      <c r="G702" s="12" t="s">
        <v>1691</v>
      </c>
      <c r="H702" s="13" t="s">
        <v>2112</v>
      </c>
      <c r="I702" s="12" t="s">
        <v>2113</v>
      </c>
      <c r="J702" s="10" t="s">
        <v>197</v>
      </c>
      <c r="K702" s="10" t="s">
        <v>40</v>
      </c>
      <c r="L702" s="10" t="s">
        <v>6</v>
      </c>
      <c r="M702" s="14">
        <v>45509.0</v>
      </c>
      <c r="N702" s="32" t="s">
        <v>1961</v>
      </c>
      <c r="O702" s="10" t="s">
        <v>1962</v>
      </c>
      <c r="P702" s="10" t="s">
        <v>1929</v>
      </c>
      <c r="Q702" s="2"/>
      <c r="R702" s="15"/>
      <c r="S702" s="15"/>
      <c r="T702" s="15"/>
      <c r="U702" s="15"/>
      <c r="V702" s="2"/>
      <c r="W702" s="15"/>
      <c r="X702" s="15"/>
      <c r="Y702" s="15"/>
      <c r="Z702" s="15"/>
      <c r="AA702" s="1"/>
      <c r="AB702" s="10">
        <v>30.0</v>
      </c>
      <c r="AC702" s="14">
        <v>45509.0</v>
      </c>
      <c r="AD702" s="14">
        <v>46423.0</v>
      </c>
      <c r="AE702" s="10">
        <f t="shared" si="63"/>
        <v>332</v>
      </c>
      <c r="AF702" s="2"/>
      <c r="AG702" s="10" t="s">
        <v>680</v>
      </c>
      <c r="AH702" s="12" t="s">
        <v>46</v>
      </c>
      <c r="AI702" s="10" t="s">
        <v>226</v>
      </c>
      <c r="AJ702" s="12" t="s">
        <v>1930</v>
      </c>
      <c r="AK702" s="16" t="s">
        <v>45</v>
      </c>
      <c r="AL702" s="10" t="s">
        <v>49</v>
      </c>
      <c r="AM702" s="12" t="s">
        <v>1931</v>
      </c>
      <c r="AN702" s="10" t="s">
        <v>50</v>
      </c>
    </row>
    <row r="703" ht="30.0" customHeight="1">
      <c r="A703" s="9" t="str">
        <f t="shared" si="48"/>
        <v>N/I</v>
      </c>
      <c r="B703" s="9" t="str">
        <f t="shared" si="49"/>
        <v>N/I</v>
      </c>
      <c r="C703" s="9" t="str">
        <f t="shared" si="64"/>
        <v>Ativo</v>
      </c>
      <c r="D703" s="10" t="s">
        <v>1922</v>
      </c>
      <c r="E703" s="11" t="s">
        <v>1923</v>
      </c>
      <c r="F703" s="32" t="s">
        <v>2114</v>
      </c>
      <c r="G703" s="12" t="s">
        <v>1691</v>
      </c>
      <c r="H703" s="13" t="s">
        <v>2115</v>
      </c>
      <c r="I703" s="12" t="s">
        <v>2113</v>
      </c>
      <c r="J703" s="10" t="s">
        <v>197</v>
      </c>
      <c r="K703" s="10" t="s">
        <v>40</v>
      </c>
      <c r="L703" s="10" t="s">
        <v>6</v>
      </c>
      <c r="M703" s="14">
        <v>45511.0</v>
      </c>
      <c r="N703" s="32" t="s">
        <v>2116</v>
      </c>
      <c r="O703" s="10" t="s">
        <v>2117</v>
      </c>
      <c r="P703" s="10" t="s">
        <v>1929</v>
      </c>
      <c r="Q703" s="2"/>
      <c r="R703" s="15"/>
      <c r="S703" s="15"/>
      <c r="T703" s="15"/>
      <c r="U703" s="15"/>
      <c r="V703" s="2"/>
      <c r="W703" s="15"/>
      <c r="X703" s="15"/>
      <c r="Y703" s="15"/>
      <c r="Z703" s="15"/>
      <c r="AA703" s="1"/>
      <c r="AB703" s="10">
        <v>30.0</v>
      </c>
      <c r="AC703" s="14">
        <v>45511.0</v>
      </c>
      <c r="AD703" s="14">
        <v>46425.0</v>
      </c>
      <c r="AE703" s="10">
        <f t="shared" si="63"/>
        <v>334</v>
      </c>
      <c r="AF703" s="2"/>
      <c r="AG703" s="10" t="s">
        <v>680</v>
      </c>
      <c r="AH703" s="12" t="s">
        <v>46</v>
      </c>
      <c r="AI703" s="10" t="s">
        <v>226</v>
      </c>
      <c r="AJ703" s="12" t="s">
        <v>1930</v>
      </c>
      <c r="AK703" s="16" t="s">
        <v>45</v>
      </c>
      <c r="AL703" s="10" t="s">
        <v>49</v>
      </c>
      <c r="AM703" s="12" t="s">
        <v>1931</v>
      </c>
      <c r="AN703" s="10" t="s">
        <v>50</v>
      </c>
    </row>
    <row r="704" ht="30.0" customHeight="1">
      <c r="A704" s="9" t="str">
        <f t="shared" si="48"/>
        <v>N/I</v>
      </c>
      <c r="B704" s="9" t="str">
        <f t="shared" si="49"/>
        <v>N/I</v>
      </c>
      <c r="C704" s="9" t="str">
        <f t="shared" si="64"/>
        <v>Ativo</v>
      </c>
      <c r="D704" s="10" t="s">
        <v>1922</v>
      </c>
      <c r="E704" s="11" t="s">
        <v>1923</v>
      </c>
      <c r="F704" s="32" t="s">
        <v>2118</v>
      </c>
      <c r="G704" s="12" t="s">
        <v>1691</v>
      </c>
      <c r="H704" s="13" t="s">
        <v>2119</v>
      </c>
      <c r="I704" s="12" t="s">
        <v>2120</v>
      </c>
      <c r="J704" s="10" t="s">
        <v>197</v>
      </c>
      <c r="K704" s="10" t="s">
        <v>40</v>
      </c>
      <c r="L704" s="10" t="s">
        <v>6</v>
      </c>
      <c r="M704" s="14">
        <v>45497.0</v>
      </c>
      <c r="N704" s="32" t="s">
        <v>2121</v>
      </c>
      <c r="O704" s="10" t="s">
        <v>319</v>
      </c>
      <c r="P704" s="10" t="s">
        <v>1929</v>
      </c>
      <c r="Q704" s="2"/>
      <c r="R704" s="15"/>
      <c r="S704" s="15"/>
      <c r="T704" s="15"/>
      <c r="U704" s="15"/>
      <c r="V704" s="2"/>
      <c r="W704" s="15"/>
      <c r="X704" s="15"/>
      <c r="Y704" s="15"/>
      <c r="Z704" s="15"/>
      <c r="AA704" s="1"/>
      <c r="AB704" s="10">
        <v>30.0</v>
      </c>
      <c r="AC704" s="14">
        <v>45497.0</v>
      </c>
      <c r="AD704" s="14">
        <v>46411.0</v>
      </c>
      <c r="AE704" s="10">
        <f t="shared" si="63"/>
        <v>320</v>
      </c>
      <c r="AF704" s="2"/>
      <c r="AG704" s="10" t="s">
        <v>680</v>
      </c>
      <c r="AH704" s="12" t="s">
        <v>46</v>
      </c>
      <c r="AI704" s="10" t="s">
        <v>226</v>
      </c>
      <c r="AJ704" s="12" t="s">
        <v>1930</v>
      </c>
      <c r="AK704" s="16" t="s">
        <v>45</v>
      </c>
      <c r="AL704" s="10" t="s">
        <v>49</v>
      </c>
      <c r="AM704" s="12" t="s">
        <v>1931</v>
      </c>
      <c r="AN704" s="10" t="s">
        <v>50</v>
      </c>
    </row>
    <row r="705" ht="30.0" customHeight="1">
      <c r="A705" s="9" t="str">
        <f t="shared" si="48"/>
        <v>N/I</v>
      </c>
      <c r="B705" s="9" t="str">
        <f t="shared" si="49"/>
        <v>N/I</v>
      </c>
      <c r="C705" s="9" t="str">
        <f t="shared" si="64"/>
        <v>Ativo</v>
      </c>
      <c r="D705" s="10" t="s">
        <v>1922</v>
      </c>
      <c r="E705" s="11" t="s">
        <v>1923</v>
      </c>
      <c r="F705" s="32" t="s">
        <v>2122</v>
      </c>
      <c r="G705" s="12" t="s">
        <v>1691</v>
      </c>
      <c r="H705" s="13" t="s">
        <v>2123</v>
      </c>
      <c r="I705" s="12" t="s">
        <v>2124</v>
      </c>
      <c r="J705" s="10" t="s">
        <v>197</v>
      </c>
      <c r="K705" s="10" t="s">
        <v>40</v>
      </c>
      <c r="L705" s="10" t="s">
        <v>6</v>
      </c>
      <c r="M705" s="14">
        <v>45511.0</v>
      </c>
      <c r="N705" s="32" t="s">
        <v>2125</v>
      </c>
      <c r="O705" s="10" t="s">
        <v>2126</v>
      </c>
      <c r="P705" s="10" t="s">
        <v>1929</v>
      </c>
      <c r="Q705" s="2"/>
      <c r="R705" s="15"/>
      <c r="S705" s="15"/>
      <c r="T705" s="15"/>
      <c r="U705" s="15"/>
      <c r="V705" s="2"/>
      <c r="W705" s="15"/>
      <c r="X705" s="15"/>
      <c r="Y705" s="15"/>
      <c r="Z705" s="15"/>
      <c r="AA705" s="1"/>
      <c r="AB705" s="10">
        <v>30.0</v>
      </c>
      <c r="AC705" s="14">
        <v>45511.0</v>
      </c>
      <c r="AD705" s="14">
        <v>46425.0</v>
      </c>
      <c r="AE705" s="10">
        <f t="shared" si="63"/>
        <v>334</v>
      </c>
      <c r="AF705" s="2"/>
      <c r="AG705" s="10" t="s">
        <v>680</v>
      </c>
      <c r="AH705" s="12" t="s">
        <v>46</v>
      </c>
      <c r="AI705" s="10" t="s">
        <v>226</v>
      </c>
      <c r="AJ705" s="12" t="s">
        <v>1930</v>
      </c>
      <c r="AK705" s="16" t="s">
        <v>45</v>
      </c>
      <c r="AL705" s="10" t="s">
        <v>49</v>
      </c>
      <c r="AM705" s="12" t="s">
        <v>1931</v>
      </c>
      <c r="AN705" s="10" t="s">
        <v>50</v>
      </c>
    </row>
    <row r="706" ht="30.0" customHeight="1">
      <c r="A706" s="9" t="str">
        <f t="shared" si="48"/>
        <v>N/I</v>
      </c>
      <c r="B706" s="9" t="str">
        <f t="shared" si="49"/>
        <v>N/I</v>
      </c>
      <c r="C706" s="9" t="str">
        <f t="shared" si="64"/>
        <v>Ativo</v>
      </c>
      <c r="D706" s="10" t="s">
        <v>1922</v>
      </c>
      <c r="E706" s="11" t="s">
        <v>1923</v>
      </c>
      <c r="F706" s="32" t="s">
        <v>2127</v>
      </c>
      <c r="G706" s="12" t="s">
        <v>1691</v>
      </c>
      <c r="H706" s="13" t="s">
        <v>2128</v>
      </c>
      <c r="I706" s="12" t="s">
        <v>2129</v>
      </c>
      <c r="J706" s="10" t="s">
        <v>197</v>
      </c>
      <c r="K706" s="10" t="s">
        <v>40</v>
      </c>
      <c r="L706" s="10" t="s">
        <v>6</v>
      </c>
      <c r="M706" s="14">
        <v>45511.0</v>
      </c>
      <c r="N706" s="32" t="s">
        <v>2130</v>
      </c>
      <c r="O706" s="10" t="s">
        <v>2131</v>
      </c>
      <c r="P706" s="10" t="s">
        <v>1929</v>
      </c>
      <c r="Q706" s="2"/>
      <c r="R706" s="15"/>
      <c r="S706" s="15"/>
      <c r="T706" s="15"/>
      <c r="U706" s="15"/>
      <c r="V706" s="2"/>
      <c r="W706" s="15"/>
      <c r="X706" s="15"/>
      <c r="Y706" s="15"/>
      <c r="Z706" s="15"/>
      <c r="AA706" s="1"/>
      <c r="AB706" s="10">
        <v>30.0</v>
      </c>
      <c r="AC706" s="14">
        <v>45511.0</v>
      </c>
      <c r="AD706" s="14">
        <v>46425.0</v>
      </c>
      <c r="AE706" s="10">
        <f t="shared" si="63"/>
        <v>334</v>
      </c>
      <c r="AF706" s="2"/>
      <c r="AG706" s="10" t="s">
        <v>680</v>
      </c>
      <c r="AH706" s="12" t="s">
        <v>46</v>
      </c>
      <c r="AI706" s="10" t="s">
        <v>226</v>
      </c>
      <c r="AJ706" s="12" t="s">
        <v>1930</v>
      </c>
      <c r="AK706" s="16" t="s">
        <v>45</v>
      </c>
      <c r="AL706" s="10" t="s">
        <v>49</v>
      </c>
      <c r="AM706" s="12" t="s">
        <v>1931</v>
      </c>
      <c r="AN706" s="10" t="s">
        <v>50</v>
      </c>
    </row>
    <row r="707" ht="30.0" customHeight="1">
      <c r="A707" s="9" t="str">
        <f t="shared" si="48"/>
        <v>N/I</v>
      </c>
      <c r="B707" s="9" t="str">
        <f t="shared" si="49"/>
        <v>N/I</v>
      </c>
      <c r="C707" s="9" t="str">
        <f t="shared" si="64"/>
        <v>Ativo</v>
      </c>
      <c r="D707" s="10" t="s">
        <v>1922</v>
      </c>
      <c r="E707" s="11" t="s">
        <v>1923</v>
      </c>
      <c r="F707" s="32" t="s">
        <v>2132</v>
      </c>
      <c r="G707" s="12" t="s">
        <v>1691</v>
      </c>
      <c r="H707" s="13" t="s">
        <v>2133</v>
      </c>
      <c r="I707" s="12" t="s">
        <v>2134</v>
      </c>
      <c r="J707" s="10" t="s">
        <v>197</v>
      </c>
      <c r="K707" s="10" t="s">
        <v>40</v>
      </c>
      <c r="L707" s="10" t="s">
        <v>6</v>
      </c>
      <c r="M707" s="14">
        <v>45502.0</v>
      </c>
      <c r="N707" s="32" t="s">
        <v>2135</v>
      </c>
      <c r="O707" s="10" t="s">
        <v>2136</v>
      </c>
      <c r="P707" s="10" t="s">
        <v>1929</v>
      </c>
      <c r="Q707" s="2"/>
      <c r="R707" s="15"/>
      <c r="S707" s="15"/>
      <c r="T707" s="15"/>
      <c r="U707" s="15"/>
      <c r="V707" s="2"/>
      <c r="W707" s="15"/>
      <c r="X707" s="15"/>
      <c r="Y707" s="15"/>
      <c r="Z707" s="15"/>
      <c r="AA707" s="1"/>
      <c r="AB707" s="10">
        <v>30.0</v>
      </c>
      <c r="AC707" s="14">
        <v>45502.0</v>
      </c>
      <c r="AD707" s="14">
        <v>46416.0</v>
      </c>
      <c r="AE707" s="10">
        <f t="shared" si="63"/>
        <v>325</v>
      </c>
      <c r="AF707" s="2"/>
      <c r="AG707" s="10" t="s">
        <v>680</v>
      </c>
      <c r="AH707" s="12" t="s">
        <v>46</v>
      </c>
      <c r="AI707" s="10" t="s">
        <v>226</v>
      </c>
      <c r="AJ707" s="12" t="s">
        <v>1930</v>
      </c>
      <c r="AK707" s="16" t="s">
        <v>45</v>
      </c>
      <c r="AL707" s="10" t="s">
        <v>49</v>
      </c>
      <c r="AM707" s="12" t="s">
        <v>1931</v>
      </c>
      <c r="AN707" s="10" t="s">
        <v>50</v>
      </c>
    </row>
    <row r="708" ht="30.0" customHeight="1">
      <c r="A708" s="9" t="str">
        <f t="shared" si="48"/>
        <v>N/I</v>
      </c>
      <c r="B708" s="9" t="str">
        <f t="shared" si="49"/>
        <v>N/I</v>
      </c>
      <c r="C708" s="9" t="str">
        <f t="shared" si="64"/>
        <v>Ativo</v>
      </c>
      <c r="D708" s="10" t="s">
        <v>1922</v>
      </c>
      <c r="E708" s="11" t="s">
        <v>1923</v>
      </c>
      <c r="F708" s="32" t="s">
        <v>2137</v>
      </c>
      <c r="G708" s="12" t="s">
        <v>1691</v>
      </c>
      <c r="H708" s="13" t="s">
        <v>2138</v>
      </c>
      <c r="I708" s="12" t="s">
        <v>2134</v>
      </c>
      <c r="J708" s="10" t="s">
        <v>197</v>
      </c>
      <c r="K708" s="10" t="s">
        <v>40</v>
      </c>
      <c r="L708" s="10" t="s">
        <v>6</v>
      </c>
      <c r="M708" s="14">
        <v>45504.0</v>
      </c>
      <c r="N708" s="32" t="s">
        <v>2139</v>
      </c>
      <c r="O708" s="10" t="s">
        <v>2140</v>
      </c>
      <c r="P708" s="10" t="s">
        <v>1929</v>
      </c>
      <c r="Q708" s="2"/>
      <c r="R708" s="15"/>
      <c r="S708" s="15"/>
      <c r="T708" s="15"/>
      <c r="U708" s="15"/>
      <c r="V708" s="2"/>
      <c r="W708" s="15"/>
      <c r="X708" s="15"/>
      <c r="Y708" s="15"/>
      <c r="Z708" s="15"/>
      <c r="AA708" s="1"/>
      <c r="AB708" s="10">
        <v>30.0</v>
      </c>
      <c r="AC708" s="14">
        <v>45504.0</v>
      </c>
      <c r="AD708" s="14">
        <v>46418.0</v>
      </c>
      <c r="AE708" s="10">
        <f t="shared" si="63"/>
        <v>327</v>
      </c>
      <c r="AF708" s="2"/>
      <c r="AG708" s="10" t="s">
        <v>680</v>
      </c>
      <c r="AH708" s="12" t="s">
        <v>46</v>
      </c>
      <c r="AI708" s="10" t="s">
        <v>226</v>
      </c>
      <c r="AJ708" s="12" t="s">
        <v>1930</v>
      </c>
      <c r="AK708" s="16" t="s">
        <v>45</v>
      </c>
      <c r="AL708" s="10" t="s">
        <v>49</v>
      </c>
      <c r="AM708" s="12" t="s">
        <v>1931</v>
      </c>
      <c r="AN708" s="10" t="s">
        <v>50</v>
      </c>
    </row>
    <row r="709" ht="30.0" customHeight="1">
      <c r="A709" s="9" t="str">
        <f t="shared" si="48"/>
        <v>N/I</v>
      </c>
      <c r="B709" s="9" t="str">
        <f t="shared" si="49"/>
        <v>N/I</v>
      </c>
      <c r="C709" s="9" t="str">
        <f t="shared" si="64"/>
        <v>Ativo</v>
      </c>
      <c r="D709" s="10" t="s">
        <v>1922</v>
      </c>
      <c r="E709" s="11" t="s">
        <v>1923</v>
      </c>
      <c r="F709" s="32" t="s">
        <v>2141</v>
      </c>
      <c r="G709" s="12" t="s">
        <v>1691</v>
      </c>
      <c r="H709" s="34" t="s">
        <v>2142</v>
      </c>
      <c r="I709" s="12" t="s">
        <v>883</v>
      </c>
      <c r="J709" s="10" t="s">
        <v>197</v>
      </c>
      <c r="K709" s="10" t="s">
        <v>40</v>
      </c>
      <c r="L709" s="10" t="s">
        <v>6</v>
      </c>
      <c r="M709" s="14">
        <v>45518.0</v>
      </c>
      <c r="N709" s="32" t="s">
        <v>2143</v>
      </c>
      <c r="O709" s="10" t="s">
        <v>2144</v>
      </c>
      <c r="P709" s="10" t="s">
        <v>1929</v>
      </c>
      <c r="Q709" s="2"/>
      <c r="R709" s="15"/>
      <c r="S709" s="15"/>
      <c r="T709" s="15"/>
      <c r="U709" s="15"/>
      <c r="V709" s="2"/>
      <c r="W709" s="15"/>
      <c r="X709" s="15"/>
      <c r="Y709" s="15"/>
      <c r="Z709" s="15"/>
      <c r="AA709" s="1"/>
      <c r="AB709" s="10">
        <v>30.0</v>
      </c>
      <c r="AC709" s="14">
        <v>45518.0</v>
      </c>
      <c r="AD709" s="14">
        <v>46432.0</v>
      </c>
      <c r="AE709" s="10">
        <f t="shared" si="63"/>
        <v>341</v>
      </c>
      <c r="AF709" s="2"/>
      <c r="AG709" s="10" t="s">
        <v>680</v>
      </c>
      <c r="AH709" s="12" t="s">
        <v>46</v>
      </c>
      <c r="AI709" s="10" t="s">
        <v>226</v>
      </c>
      <c r="AJ709" s="12" t="s">
        <v>1930</v>
      </c>
      <c r="AK709" s="16" t="s">
        <v>45</v>
      </c>
      <c r="AL709" s="10" t="s">
        <v>49</v>
      </c>
      <c r="AM709" s="12" t="s">
        <v>1931</v>
      </c>
      <c r="AN709" s="10" t="s">
        <v>50</v>
      </c>
    </row>
    <row r="710" ht="30.0" customHeight="1">
      <c r="A710" s="9" t="str">
        <f t="shared" si="48"/>
        <v>N/I</v>
      </c>
      <c r="B710" s="9" t="str">
        <f t="shared" si="49"/>
        <v>N/I</v>
      </c>
      <c r="C710" s="9" t="str">
        <f t="shared" si="64"/>
        <v>Ativo</v>
      </c>
      <c r="D710" s="10" t="s">
        <v>1922</v>
      </c>
      <c r="E710" s="11" t="s">
        <v>1923</v>
      </c>
      <c r="F710" s="32" t="s">
        <v>2145</v>
      </c>
      <c r="G710" s="12" t="s">
        <v>1691</v>
      </c>
      <c r="H710" s="34" t="s">
        <v>2146</v>
      </c>
      <c r="I710" s="12" t="s">
        <v>883</v>
      </c>
      <c r="J710" s="10" t="s">
        <v>197</v>
      </c>
      <c r="K710" s="10" t="s">
        <v>40</v>
      </c>
      <c r="L710" s="10" t="s">
        <v>6</v>
      </c>
      <c r="M710" s="14">
        <v>45530.0</v>
      </c>
      <c r="N710" s="32" t="s">
        <v>2143</v>
      </c>
      <c r="O710" s="10" t="s">
        <v>2144</v>
      </c>
      <c r="P710" s="10" t="s">
        <v>1929</v>
      </c>
      <c r="Q710" s="2"/>
      <c r="R710" s="15"/>
      <c r="S710" s="15"/>
      <c r="T710" s="15"/>
      <c r="U710" s="15"/>
      <c r="V710" s="2"/>
      <c r="W710" s="15"/>
      <c r="X710" s="15"/>
      <c r="Y710" s="15"/>
      <c r="Z710" s="15"/>
      <c r="AA710" s="1"/>
      <c r="AB710" s="10">
        <v>30.0</v>
      </c>
      <c r="AC710" s="14">
        <v>45530.0</v>
      </c>
      <c r="AD710" s="14">
        <v>46444.0</v>
      </c>
      <c r="AE710" s="10">
        <f t="shared" si="63"/>
        <v>353</v>
      </c>
      <c r="AF710" s="2"/>
      <c r="AG710" s="10" t="s">
        <v>680</v>
      </c>
      <c r="AH710" s="12" t="s">
        <v>46</v>
      </c>
      <c r="AI710" s="10" t="s">
        <v>226</v>
      </c>
      <c r="AJ710" s="12" t="s">
        <v>1930</v>
      </c>
      <c r="AK710" s="16" t="s">
        <v>45</v>
      </c>
      <c r="AL710" s="10" t="s">
        <v>49</v>
      </c>
      <c r="AM710" s="12" t="s">
        <v>1931</v>
      </c>
      <c r="AN710" s="10" t="s">
        <v>50</v>
      </c>
    </row>
    <row r="711" ht="30.0" customHeight="1">
      <c r="A711" s="9" t="str">
        <f t="shared" si="48"/>
        <v>N/I</v>
      </c>
      <c r="B711" s="9" t="str">
        <f t="shared" si="49"/>
        <v>N/I</v>
      </c>
      <c r="C711" s="9" t="str">
        <f t="shared" si="64"/>
        <v>Ativo</v>
      </c>
      <c r="D711" s="10" t="s">
        <v>1922</v>
      </c>
      <c r="E711" s="11" t="s">
        <v>1923</v>
      </c>
      <c r="F711" s="32" t="s">
        <v>2147</v>
      </c>
      <c r="G711" s="12" t="s">
        <v>1691</v>
      </c>
      <c r="H711" s="34" t="s">
        <v>2148</v>
      </c>
      <c r="I711" s="12" t="s">
        <v>883</v>
      </c>
      <c r="J711" s="10" t="s">
        <v>197</v>
      </c>
      <c r="K711" s="10" t="s">
        <v>40</v>
      </c>
      <c r="L711" s="10" t="s">
        <v>6</v>
      </c>
      <c r="M711" s="14">
        <v>45532.0</v>
      </c>
      <c r="N711" s="32" t="s">
        <v>2143</v>
      </c>
      <c r="O711" s="10" t="s">
        <v>2149</v>
      </c>
      <c r="P711" s="10" t="s">
        <v>1929</v>
      </c>
      <c r="Q711" s="2"/>
      <c r="R711" s="15"/>
      <c r="S711" s="15"/>
      <c r="T711" s="15"/>
      <c r="U711" s="15"/>
      <c r="V711" s="1"/>
      <c r="W711" s="15"/>
      <c r="X711" s="15"/>
      <c r="Y711" s="15"/>
      <c r="Z711" s="15"/>
      <c r="AA711" s="1"/>
      <c r="AB711" s="10">
        <v>30.0</v>
      </c>
      <c r="AC711" s="14">
        <v>45532.0</v>
      </c>
      <c r="AD711" s="14">
        <v>46446.0</v>
      </c>
      <c r="AE711" s="10">
        <f t="shared" si="63"/>
        <v>355</v>
      </c>
      <c r="AF711" s="2"/>
      <c r="AG711" s="10" t="s">
        <v>680</v>
      </c>
      <c r="AH711" s="12" t="s">
        <v>46</v>
      </c>
      <c r="AI711" s="10" t="s">
        <v>226</v>
      </c>
      <c r="AJ711" s="12" t="s">
        <v>1930</v>
      </c>
      <c r="AK711" s="16" t="s">
        <v>45</v>
      </c>
      <c r="AL711" s="10" t="s">
        <v>49</v>
      </c>
      <c r="AM711" s="12" t="s">
        <v>1931</v>
      </c>
      <c r="AN711" s="10" t="s">
        <v>50</v>
      </c>
    </row>
    <row r="712" ht="30.0" customHeight="1">
      <c r="A712" s="9" t="str">
        <f t="shared" si="48"/>
        <v>N/I</v>
      </c>
      <c r="B712" s="9" t="str">
        <f t="shared" si="49"/>
        <v>N/I</v>
      </c>
      <c r="C712" s="9" t="str">
        <f t="shared" si="64"/>
        <v>Ativo</v>
      </c>
      <c r="D712" s="10" t="s">
        <v>1922</v>
      </c>
      <c r="E712" s="11" t="s">
        <v>1923</v>
      </c>
      <c r="F712" s="32" t="s">
        <v>2150</v>
      </c>
      <c r="G712" s="12" t="s">
        <v>1691</v>
      </c>
      <c r="H712" s="13" t="s">
        <v>2151</v>
      </c>
      <c r="I712" s="12" t="s">
        <v>2152</v>
      </c>
      <c r="J712" s="10" t="s">
        <v>197</v>
      </c>
      <c r="K712" s="10" t="s">
        <v>40</v>
      </c>
      <c r="L712" s="10" t="s">
        <v>6</v>
      </c>
      <c r="M712" s="14">
        <v>45392.0</v>
      </c>
      <c r="N712" s="32" t="s">
        <v>2153</v>
      </c>
      <c r="O712" s="10" t="s">
        <v>2154</v>
      </c>
      <c r="P712" s="10" t="s">
        <v>1929</v>
      </c>
      <c r="Q712" s="2"/>
      <c r="R712" s="15"/>
      <c r="S712" s="15"/>
      <c r="T712" s="15"/>
      <c r="U712" s="15"/>
      <c r="V712" s="1"/>
      <c r="W712" s="15"/>
      <c r="X712" s="15"/>
      <c r="Y712" s="15"/>
      <c r="Z712" s="15"/>
      <c r="AA712" s="1"/>
      <c r="AB712" s="10">
        <v>30.0</v>
      </c>
      <c r="AC712" s="14">
        <v>45392.0</v>
      </c>
      <c r="AD712" s="14">
        <v>46305.0</v>
      </c>
      <c r="AE712" s="10">
        <f t="shared" si="63"/>
        <v>214</v>
      </c>
      <c r="AF712" s="2"/>
      <c r="AG712" s="10" t="s">
        <v>680</v>
      </c>
      <c r="AH712" s="12" t="s">
        <v>46</v>
      </c>
      <c r="AI712" s="10" t="s">
        <v>226</v>
      </c>
      <c r="AJ712" s="12" t="s">
        <v>1930</v>
      </c>
      <c r="AK712" s="16" t="s">
        <v>45</v>
      </c>
      <c r="AL712" s="10" t="s">
        <v>49</v>
      </c>
      <c r="AM712" s="12" t="s">
        <v>1931</v>
      </c>
      <c r="AN712" s="10" t="s">
        <v>50</v>
      </c>
    </row>
    <row r="713" ht="30.0" customHeight="1">
      <c r="A713" s="9" t="str">
        <f t="shared" si="48"/>
        <v>N/I</v>
      </c>
      <c r="B713" s="9" t="str">
        <f t="shared" si="49"/>
        <v>N/I</v>
      </c>
      <c r="C713" s="9" t="str">
        <f t="shared" si="64"/>
        <v>Ativo</v>
      </c>
      <c r="D713" s="10" t="s">
        <v>1922</v>
      </c>
      <c r="E713" s="11" t="s">
        <v>1923</v>
      </c>
      <c r="F713" s="32" t="s">
        <v>2155</v>
      </c>
      <c r="G713" s="12" t="s">
        <v>1691</v>
      </c>
      <c r="H713" s="13" t="s">
        <v>2156</v>
      </c>
      <c r="I713" s="12" t="s">
        <v>2152</v>
      </c>
      <c r="J713" s="10" t="s">
        <v>197</v>
      </c>
      <c r="K713" s="10" t="s">
        <v>40</v>
      </c>
      <c r="L713" s="10" t="s">
        <v>6</v>
      </c>
      <c r="M713" s="14">
        <v>45393.0</v>
      </c>
      <c r="N713" s="32" t="s">
        <v>2157</v>
      </c>
      <c r="O713" s="10" t="s">
        <v>2154</v>
      </c>
      <c r="P713" s="10" t="s">
        <v>1929</v>
      </c>
      <c r="Q713" s="2"/>
      <c r="R713" s="15"/>
      <c r="S713" s="15"/>
      <c r="T713" s="15"/>
      <c r="U713" s="15"/>
      <c r="V713" s="1"/>
      <c r="W713" s="15"/>
      <c r="X713" s="15"/>
      <c r="Y713" s="15"/>
      <c r="Z713" s="15"/>
      <c r="AA713" s="1"/>
      <c r="AB713" s="10">
        <v>30.0</v>
      </c>
      <c r="AC713" s="14">
        <v>45393.0</v>
      </c>
      <c r="AD713" s="14">
        <v>46306.0</v>
      </c>
      <c r="AE713" s="10">
        <f t="shared" si="63"/>
        <v>215</v>
      </c>
      <c r="AF713" s="2"/>
      <c r="AG713" s="10" t="s">
        <v>680</v>
      </c>
      <c r="AH713" s="12" t="s">
        <v>46</v>
      </c>
      <c r="AI713" s="10" t="s">
        <v>226</v>
      </c>
      <c r="AJ713" s="12" t="s">
        <v>1930</v>
      </c>
      <c r="AK713" s="16" t="s">
        <v>45</v>
      </c>
      <c r="AL713" s="10" t="s">
        <v>49</v>
      </c>
      <c r="AM713" s="12" t="s">
        <v>1931</v>
      </c>
      <c r="AN713" s="10" t="s">
        <v>50</v>
      </c>
    </row>
    <row r="714" ht="30.0" customHeight="1">
      <c r="A714" s="9" t="str">
        <f t="shared" si="48"/>
        <v>N/I</v>
      </c>
      <c r="B714" s="9" t="str">
        <f t="shared" si="49"/>
        <v>N/I</v>
      </c>
      <c r="C714" s="9" t="str">
        <f t="shared" si="64"/>
        <v>Ativo</v>
      </c>
      <c r="D714" s="10" t="s">
        <v>1922</v>
      </c>
      <c r="E714" s="11" t="s">
        <v>1923</v>
      </c>
      <c r="F714" s="32" t="s">
        <v>2158</v>
      </c>
      <c r="G714" s="12" t="s">
        <v>1691</v>
      </c>
      <c r="H714" s="13" t="s">
        <v>2159</v>
      </c>
      <c r="I714" s="12" t="s">
        <v>2160</v>
      </c>
      <c r="J714" s="10" t="s">
        <v>197</v>
      </c>
      <c r="K714" s="10" t="s">
        <v>40</v>
      </c>
      <c r="L714" s="10" t="s">
        <v>6</v>
      </c>
      <c r="M714" s="14">
        <v>45393.0</v>
      </c>
      <c r="N714" s="32" t="s">
        <v>2161</v>
      </c>
      <c r="O714" s="10" t="s">
        <v>2162</v>
      </c>
      <c r="P714" s="10" t="s">
        <v>1929</v>
      </c>
      <c r="Q714" s="2"/>
      <c r="R714" s="15"/>
      <c r="S714" s="15"/>
      <c r="T714" s="15"/>
      <c r="U714" s="15"/>
      <c r="V714" s="1"/>
      <c r="W714" s="15"/>
      <c r="X714" s="15"/>
      <c r="Y714" s="15"/>
      <c r="Z714" s="15"/>
      <c r="AA714" s="1"/>
      <c r="AB714" s="10">
        <v>30.0</v>
      </c>
      <c r="AC714" s="14">
        <v>45393.0</v>
      </c>
      <c r="AD714" s="14">
        <v>46306.0</v>
      </c>
      <c r="AE714" s="10">
        <f t="shared" si="63"/>
        <v>215</v>
      </c>
      <c r="AF714" s="2"/>
      <c r="AG714" s="10" t="s">
        <v>680</v>
      </c>
      <c r="AH714" s="12" t="s">
        <v>46</v>
      </c>
      <c r="AI714" s="10" t="s">
        <v>226</v>
      </c>
      <c r="AJ714" s="12" t="s">
        <v>1930</v>
      </c>
      <c r="AK714" s="16" t="s">
        <v>45</v>
      </c>
      <c r="AL714" s="10" t="s">
        <v>49</v>
      </c>
      <c r="AM714" s="12" t="s">
        <v>1931</v>
      </c>
      <c r="AN714" s="10" t="s">
        <v>50</v>
      </c>
    </row>
    <row r="715" ht="30.0" customHeight="1">
      <c r="A715" s="9" t="str">
        <f t="shared" si="48"/>
        <v>N/I</v>
      </c>
      <c r="B715" s="9" t="str">
        <f t="shared" si="49"/>
        <v>N/I</v>
      </c>
      <c r="C715" s="9" t="str">
        <f t="shared" si="64"/>
        <v>Ativo</v>
      </c>
      <c r="D715" s="10" t="s">
        <v>1922</v>
      </c>
      <c r="E715" s="11" t="s">
        <v>1923</v>
      </c>
      <c r="F715" s="32" t="s">
        <v>2163</v>
      </c>
      <c r="G715" s="12" t="s">
        <v>1691</v>
      </c>
      <c r="H715" s="34" t="s">
        <v>2164</v>
      </c>
      <c r="I715" s="12" t="s">
        <v>2165</v>
      </c>
      <c r="J715" s="10" t="s">
        <v>197</v>
      </c>
      <c r="K715" s="10" t="s">
        <v>40</v>
      </c>
      <c r="L715" s="10" t="s">
        <v>6</v>
      </c>
      <c r="M715" s="14">
        <v>45516.0</v>
      </c>
      <c r="N715" s="32" t="s">
        <v>2166</v>
      </c>
      <c r="O715" s="10" t="s">
        <v>2167</v>
      </c>
      <c r="P715" s="10" t="s">
        <v>1929</v>
      </c>
      <c r="Q715" s="2"/>
      <c r="R715" s="15"/>
      <c r="S715" s="15"/>
      <c r="T715" s="15"/>
      <c r="U715" s="15"/>
      <c r="V715" s="2"/>
      <c r="W715" s="15"/>
      <c r="X715" s="15"/>
      <c r="Y715" s="15"/>
      <c r="Z715" s="15"/>
      <c r="AA715" s="1"/>
      <c r="AB715" s="10">
        <v>30.0</v>
      </c>
      <c r="AC715" s="14">
        <v>45516.0</v>
      </c>
      <c r="AD715" s="14">
        <v>46430.0</v>
      </c>
      <c r="AE715" s="10">
        <f t="shared" si="63"/>
        <v>339</v>
      </c>
      <c r="AF715" s="2"/>
      <c r="AG715" s="10" t="s">
        <v>680</v>
      </c>
      <c r="AH715" s="12" t="s">
        <v>46</v>
      </c>
      <c r="AI715" s="10" t="s">
        <v>226</v>
      </c>
      <c r="AJ715" s="12" t="s">
        <v>1930</v>
      </c>
      <c r="AK715" s="16" t="s">
        <v>45</v>
      </c>
      <c r="AL715" s="10" t="s">
        <v>49</v>
      </c>
      <c r="AM715" s="12" t="s">
        <v>1931</v>
      </c>
      <c r="AN715" s="10" t="s">
        <v>50</v>
      </c>
    </row>
    <row r="716" ht="30.0" customHeight="1">
      <c r="A716" s="9" t="str">
        <f t="shared" si="48"/>
        <v>N/I</v>
      </c>
      <c r="B716" s="9" t="str">
        <f t="shared" si="49"/>
        <v>N/I</v>
      </c>
      <c r="C716" s="9" t="str">
        <f t="shared" si="64"/>
        <v>Ativo</v>
      </c>
      <c r="D716" s="10" t="s">
        <v>1922</v>
      </c>
      <c r="E716" s="11" t="s">
        <v>1923</v>
      </c>
      <c r="F716" s="32" t="s">
        <v>2168</v>
      </c>
      <c r="G716" s="12" t="s">
        <v>1691</v>
      </c>
      <c r="H716" s="34" t="s">
        <v>2169</v>
      </c>
      <c r="I716" s="12" t="s">
        <v>2170</v>
      </c>
      <c r="J716" s="10" t="s">
        <v>197</v>
      </c>
      <c r="K716" s="10" t="s">
        <v>40</v>
      </c>
      <c r="L716" s="10" t="s">
        <v>6</v>
      </c>
      <c r="M716" s="14">
        <v>45544.0</v>
      </c>
      <c r="N716" s="32" t="s">
        <v>2171</v>
      </c>
      <c r="O716" s="10" t="s">
        <v>2172</v>
      </c>
      <c r="P716" s="10" t="s">
        <v>1929</v>
      </c>
      <c r="Q716" s="2"/>
      <c r="R716" s="15"/>
      <c r="S716" s="15"/>
      <c r="T716" s="15"/>
      <c r="U716" s="15"/>
      <c r="V716" s="1"/>
      <c r="W716" s="15"/>
      <c r="X716" s="15"/>
      <c r="Y716" s="15"/>
      <c r="Z716" s="15"/>
      <c r="AA716" s="1"/>
      <c r="AB716" s="10">
        <v>30.0</v>
      </c>
      <c r="AC716" s="14">
        <v>45544.0</v>
      </c>
      <c r="AD716" s="14">
        <v>46455.0</v>
      </c>
      <c r="AE716" s="10">
        <f t="shared" si="63"/>
        <v>364</v>
      </c>
      <c r="AF716" s="2"/>
      <c r="AG716" s="10" t="s">
        <v>680</v>
      </c>
      <c r="AH716" s="12" t="s">
        <v>46</v>
      </c>
      <c r="AI716" s="10" t="s">
        <v>226</v>
      </c>
      <c r="AJ716" s="12" t="s">
        <v>1930</v>
      </c>
      <c r="AK716" s="16" t="s">
        <v>45</v>
      </c>
      <c r="AL716" s="10" t="s">
        <v>49</v>
      </c>
      <c r="AM716" s="12" t="s">
        <v>1931</v>
      </c>
      <c r="AN716" s="10" t="s">
        <v>50</v>
      </c>
    </row>
    <row r="717" ht="30.0" customHeight="1">
      <c r="A717" s="9" t="str">
        <f t="shared" si="48"/>
        <v>N/I</v>
      </c>
      <c r="B717" s="9" t="str">
        <f t="shared" si="49"/>
        <v>N/I</v>
      </c>
      <c r="C717" s="9" t="str">
        <f t="shared" si="64"/>
        <v>Ativo</v>
      </c>
      <c r="D717" s="10" t="s">
        <v>1922</v>
      </c>
      <c r="E717" s="11" t="s">
        <v>1923</v>
      </c>
      <c r="F717" s="32" t="s">
        <v>2173</v>
      </c>
      <c r="G717" s="12" t="s">
        <v>1691</v>
      </c>
      <c r="H717" s="13" t="s">
        <v>2174</v>
      </c>
      <c r="I717" s="12" t="s">
        <v>2175</v>
      </c>
      <c r="J717" s="10" t="s">
        <v>197</v>
      </c>
      <c r="K717" s="10" t="s">
        <v>40</v>
      </c>
      <c r="L717" s="10" t="s">
        <v>6</v>
      </c>
      <c r="M717" s="14">
        <v>45390.0</v>
      </c>
      <c r="N717" s="11" t="s">
        <v>2176</v>
      </c>
      <c r="O717" s="10" t="s">
        <v>2177</v>
      </c>
      <c r="P717" s="10" t="s">
        <v>1929</v>
      </c>
      <c r="Q717" s="2"/>
      <c r="R717" s="15"/>
      <c r="S717" s="15"/>
      <c r="T717" s="15"/>
      <c r="U717" s="15"/>
      <c r="V717" s="1"/>
      <c r="W717" s="15"/>
      <c r="X717" s="15"/>
      <c r="Y717" s="15"/>
      <c r="Z717" s="15"/>
      <c r="AA717" s="1"/>
      <c r="AB717" s="10">
        <v>30.0</v>
      </c>
      <c r="AC717" s="14">
        <v>45390.0</v>
      </c>
      <c r="AD717" s="14">
        <v>46303.0</v>
      </c>
      <c r="AE717" s="10">
        <f t="shared" si="63"/>
        <v>212</v>
      </c>
      <c r="AF717" s="2"/>
      <c r="AG717" s="10" t="s">
        <v>680</v>
      </c>
      <c r="AH717" s="12" t="s">
        <v>46</v>
      </c>
      <c r="AI717" s="10" t="s">
        <v>226</v>
      </c>
      <c r="AJ717" s="12" t="s">
        <v>1930</v>
      </c>
      <c r="AK717" s="16" t="s">
        <v>45</v>
      </c>
      <c r="AL717" s="10" t="s">
        <v>49</v>
      </c>
      <c r="AM717" s="12" t="s">
        <v>1931</v>
      </c>
      <c r="AN717" s="10" t="s">
        <v>50</v>
      </c>
    </row>
    <row r="718" ht="30.0" customHeight="1">
      <c r="A718" s="9" t="str">
        <f t="shared" si="48"/>
        <v>N/I</v>
      </c>
      <c r="B718" s="9" t="str">
        <f t="shared" si="49"/>
        <v>N/I</v>
      </c>
      <c r="C718" s="9" t="str">
        <f t="shared" si="64"/>
        <v>Ativo</v>
      </c>
      <c r="D718" s="10" t="s">
        <v>1922</v>
      </c>
      <c r="E718" s="11" t="s">
        <v>1923</v>
      </c>
      <c r="F718" s="32" t="s">
        <v>2178</v>
      </c>
      <c r="G718" s="12" t="s">
        <v>1691</v>
      </c>
      <c r="H718" s="13" t="s">
        <v>2179</v>
      </c>
      <c r="I718" s="12" t="s">
        <v>380</v>
      </c>
      <c r="J718" s="10" t="s">
        <v>197</v>
      </c>
      <c r="K718" s="10" t="s">
        <v>40</v>
      </c>
      <c r="L718" s="10" t="s">
        <v>6</v>
      </c>
      <c r="M718" s="14">
        <v>45390.0</v>
      </c>
      <c r="N718" s="11" t="s">
        <v>2180</v>
      </c>
      <c r="O718" s="10" t="s">
        <v>2181</v>
      </c>
      <c r="P718" s="10" t="s">
        <v>1929</v>
      </c>
      <c r="Q718" s="2"/>
      <c r="R718" s="15"/>
      <c r="S718" s="15"/>
      <c r="T718" s="15"/>
      <c r="U718" s="15"/>
      <c r="V718" s="1"/>
      <c r="W718" s="15"/>
      <c r="X718" s="15"/>
      <c r="Y718" s="15"/>
      <c r="Z718" s="15"/>
      <c r="AA718" s="1"/>
      <c r="AB718" s="10">
        <v>30.0</v>
      </c>
      <c r="AC718" s="14">
        <v>45390.0</v>
      </c>
      <c r="AD718" s="14">
        <v>46303.0</v>
      </c>
      <c r="AE718" s="10">
        <f t="shared" si="63"/>
        <v>212</v>
      </c>
      <c r="AF718" s="2"/>
      <c r="AG718" s="10" t="s">
        <v>680</v>
      </c>
      <c r="AH718" s="12" t="s">
        <v>46</v>
      </c>
      <c r="AI718" s="10" t="s">
        <v>226</v>
      </c>
      <c r="AJ718" s="12" t="s">
        <v>1930</v>
      </c>
      <c r="AK718" s="16" t="s">
        <v>45</v>
      </c>
      <c r="AL718" s="10" t="s">
        <v>49</v>
      </c>
      <c r="AM718" s="12" t="s">
        <v>1931</v>
      </c>
      <c r="AN718" s="10" t="s">
        <v>50</v>
      </c>
    </row>
    <row r="719" ht="30.0" customHeight="1">
      <c r="A719" s="9" t="str">
        <f t="shared" si="48"/>
        <v>N/I</v>
      </c>
      <c r="B719" s="9" t="str">
        <f t="shared" si="49"/>
        <v>N/I</v>
      </c>
      <c r="C719" s="9" t="str">
        <f t="shared" si="64"/>
        <v>Ativo</v>
      </c>
      <c r="D719" s="10" t="s">
        <v>1922</v>
      </c>
      <c r="E719" s="11" t="s">
        <v>1923</v>
      </c>
      <c r="F719" s="32" t="s">
        <v>2182</v>
      </c>
      <c r="G719" s="12" t="s">
        <v>1691</v>
      </c>
      <c r="H719" s="13" t="s">
        <v>2183</v>
      </c>
      <c r="I719" s="12" t="s">
        <v>380</v>
      </c>
      <c r="J719" s="10" t="s">
        <v>197</v>
      </c>
      <c r="K719" s="10" t="s">
        <v>40</v>
      </c>
      <c r="L719" s="10" t="s">
        <v>6</v>
      </c>
      <c r="M719" s="14">
        <v>45390.0</v>
      </c>
      <c r="N719" s="11" t="s">
        <v>2180</v>
      </c>
      <c r="O719" s="10" t="s">
        <v>2181</v>
      </c>
      <c r="P719" s="10" t="s">
        <v>1929</v>
      </c>
      <c r="Q719" s="2"/>
      <c r="R719" s="15"/>
      <c r="S719" s="15"/>
      <c r="T719" s="15"/>
      <c r="U719" s="15"/>
      <c r="V719" s="1"/>
      <c r="W719" s="15"/>
      <c r="X719" s="15"/>
      <c r="Y719" s="15"/>
      <c r="Z719" s="15"/>
      <c r="AA719" s="1"/>
      <c r="AB719" s="10">
        <v>30.0</v>
      </c>
      <c r="AC719" s="14">
        <v>45390.0</v>
      </c>
      <c r="AD719" s="14">
        <v>46303.0</v>
      </c>
      <c r="AE719" s="10">
        <f t="shared" si="63"/>
        <v>212</v>
      </c>
      <c r="AF719" s="2"/>
      <c r="AG719" s="10" t="s">
        <v>680</v>
      </c>
      <c r="AH719" s="12" t="s">
        <v>46</v>
      </c>
      <c r="AI719" s="10" t="s">
        <v>226</v>
      </c>
      <c r="AJ719" s="12" t="s">
        <v>1930</v>
      </c>
      <c r="AK719" s="16" t="s">
        <v>45</v>
      </c>
      <c r="AL719" s="10" t="s">
        <v>49</v>
      </c>
      <c r="AM719" s="12" t="s">
        <v>1931</v>
      </c>
      <c r="AN719" s="10" t="s">
        <v>50</v>
      </c>
    </row>
    <row r="720" ht="30.0" customHeight="1">
      <c r="A720" s="9" t="str">
        <f t="shared" si="48"/>
        <v>N/I</v>
      </c>
      <c r="B720" s="9" t="str">
        <f t="shared" si="49"/>
        <v>N/I</v>
      </c>
      <c r="C720" s="9" t="str">
        <f t="shared" si="64"/>
        <v>Ativo</v>
      </c>
      <c r="D720" s="10" t="s">
        <v>1922</v>
      </c>
      <c r="E720" s="11" t="s">
        <v>1923</v>
      </c>
      <c r="F720" s="32" t="s">
        <v>2184</v>
      </c>
      <c r="G720" s="12" t="s">
        <v>1691</v>
      </c>
      <c r="H720" s="13" t="s">
        <v>2185</v>
      </c>
      <c r="I720" s="12" t="s">
        <v>380</v>
      </c>
      <c r="J720" s="10" t="s">
        <v>197</v>
      </c>
      <c r="K720" s="10" t="s">
        <v>40</v>
      </c>
      <c r="L720" s="10" t="s">
        <v>6</v>
      </c>
      <c r="M720" s="14">
        <v>45390.0</v>
      </c>
      <c r="N720" s="32" t="s">
        <v>2186</v>
      </c>
      <c r="O720" s="10" t="s">
        <v>2187</v>
      </c>
      <c r="P720" s="10" t="s">
        <v>1929</v>
      </c>
      <c r="Q720" s="2"/>
      <c r="R720" s="15"/>
      <c r="S720" s="15"/>
      <c r="T720" s="15"/>
      <c r="U720" s="15"/>
      <c r="V720" s="1"/>
      <c r="W720" s="15"/>
      <c r="X720" s="15"/>
      <c r="Y720" s="15"/>
      <c r="Z720" s="15"/>
      <c r="AA720" s="1"/>
      <c r="AB720" s="10">
        <v>30.0</v>
      </c>
      <c r="AC720" s="14">
        <v>45390.0</v>
      </c>
      <c r="AD720" s="14">
        <v>46303.0</v>
      </c>
      <c r="AE720" s="10">
        <f t="shared" si="63"/>
        <v>212</v>
      </c>
      <c r="AF720" s="2"/>
      <c r="AG720" s="10" t="s">
        <v>680</v>
      </c>
      <c r="AH720" s="12" t="s">
        <v>46</v>
      </c>
      <c r="AI720" s="10" t="s">
        <v>226</v>
      </c>
      <c r="AJ720" s="12" t="s">
        <v>1930</v>
      </c>
      <c r="AK720" s="16" t="s">
        <v>45</v>
      </c>
      <c r="AL720" s="10" t="s">
        <v>49</v>
      </c>
      <c r="AM720" s="12" t="s">
        <v>1931</v>
      </c>
      <c r="AN720" s="10" t="s">
        <v>50</v>
      </c>
    </row>
    <row r="721" ht="30.0" customHeight="1">
      <c r="A721" s="9" t="str">
        <f t="shared" si="48"/>
        <v>N/I</v>
      </c>
      <c r="B721" s="9" t="str">
        <f t="shared" si="49"/>
        <v>N/I</v>
      </c>
      <c r="C721" s="9" t="str">
        <f t="shared" si="64"/>
        <v>Ativo</v>
      </c>
      <c r="D721" s="10" t="s">
        <v>1922</v>
      </c>
      <c r="E721" s="11" t="s">
        <v>1923</v>
      </c>
      <c r="F721" s="32" t="s">
        <v>2188</v>
      </c>
      <c r="G721" s="12" t="s">
        <v>1691</v>
      </c>
      <c r="H721" s="13" t="s">
        <v>2189</v>
      </c>
      <c r="I721" s="12" t="s">
        <v>380</v>
      </c>
      <c r="J721" s="10" t="s">
        <v>197</v>
      </c>
      <c r="K721" s="10" t="s">
        <v>40</v>
      </c>
      <c r="L721" s="10" t="s">
        <v>6</v>
      </c>
      <c r="M721" s="14">
        <v>45392.0</v>
      </c>
      <c r="N721" s="32" t="s">
        <v>2190</v>
      </c>
      <c r="O721" s="10" t="s">
        <v>2191</v>
      </c>
      <c r="P721" s="10" t="s">
        <v>1929</v>
      </c>
      <c r="Q721" s="2"/>
      <c r="R721" s="15"/>
      <c r="S721" s="15"/>
      <c r="T721" s="15"/>
      <c r="U721" s="15"/>
      <c r="V721" s="1"/>
      <c r="W721" s="15"/>
      <c r="X721" s="15"/>
      <c r="Y721" s="15"/>
      <c r="Z721" s="15"/>
      <c r="AA721" s="1"/>
      <c r="AB721" s="10">
        <v>30.0</v>
      </c>
      <c r="AC721" s="14">
        <v>45392.0</v>
      </c>
      <c r="AD721" s="14">
        <v>46305.0</v>
      </c>
      <c r="AE721" s="10">
        <f t="shared" si="63"/>
        <v>214</v>
      </c>
      <c r="AF721" s="2"/>
      <c r="AG721" s="10" t="s">
        <v>680</v>
      </c>
      <c r="AH721" s="12" t="s">
        <v>46</v>
      </c>
      <c r="AI721" s="10" t="s">
        <v>226</v>
      </c>
      <c r="AJ721" s="12" t="s">
        <v>1930</v>
      </c>
      <c r="AK721" s="16" t="s">
        <v>45</v>
      </c>
      <c r="AL721" s="10" t="s">
        <v>49</v>
      </c>
      <c r="AM721" s="12" t="s">
        <v>1931</v>
      </c>
      <c r="AN721" s="10" t="s">
        <v>50</v>
      </c>
    </row>
    <row r="722" ht="30.0" customHeight="1">
      <c r="A722" s="9" t="str">
        <f t="shared" si="48"/>
        <v>N/I</v>
      </c>
      <c r="B722" s="9" t="str">
        <f t="shared" si="49"/>
        <v>N/I</v>
      </c>
      <c r="C722" s="9" t="str">
        <f t="shared" si="64"/>
        <v>Ativo</v>
      </c>
      <c r="D722" s="10" t="s">
        <v>1922</v>
      </c>
      <c r="E722" s="11" t="s">
        <v>1923</v>
      </c>
      <c r="F722" s="32" t="s">
        <v>2192</v>
      </c>
      <c r="G722" s="12" t="s">
        <v>1691</v>
      </c>
      <c r="H722" s="13" t="s">
        <v>2193</v>
      </c>
      <c r="I722" s="12" t="s">
        <v>380</v>
      </c>
      <c r="J722" s="10" t="s">
        <v>197</v>
      </c>
      <c r="K722" s="10" t="s">
        <v>40</v>
      </c>
      <c r="L722" s="10" t="s">
        <v>6</v>
      </c>
      <c r="M722" s="14">
        <v>45509.0</v>
      </c>
      <c r="N722" s="32" t="s">
        <v>2194</v>
      </c>
      <c r="O722" s="10" t="s">
        <v>2195</v>
      </c>
      <c r="P722" s="10" t="s">
        <v>1929</v>
      </c>
      <c r="Q722" s="2"/>
      <c r="R722" s="15"/>
      <c r="S722" s="15"/>
      <c r="T722" s="15"/>
      <c r="U722" s="15"/>
      <c r="V722" s="2"/>
      <c r="W722" s="15"/>
      <c r="X722" s="15"/>
      <c r="Y722" s="15"/>
      <c r="Z722" s="15"/>
      <c r="AA722" s="1"/>
      <c r="AB722" s="10">
        <v>30.0</v>
      </c>
      <c r="AC722" s="14">
        <v>45509.0</v>
      </c>
      <c r="AD722" s="14">
        <v>46423.0</v>
      </c>
      <c r="AE722" s="10">
        <f t="shared" si="63"/>
        <v>332</v>
      </c>
      <c r="AF722" s="2"/>
      <c r="AG722" s="10" t="s">
        <v>680</v>
      </c>
      <c r="AH722" s="12" t="s">
        <v>46</v>
      </c>
      <c r="AI722" s="10" t="s">
        <v>226</v>
      </c>
      <c r="AJ722" s="12" t="s">
        <v>1930</v>
      </c>
      <c r="AK722" s="16" t="s">
        <v>45</v>
      </c>
      <c r="AL722" s="10" t="s">
        <v>49</v>
      </c>
      <c r="AM722" s="12" t="s">
        <v>1931</v>
      </c>
      <c r="AN722" s="10" t="s">
        <v>50</v>
      </c>
    </row>
    <row r="723" ht="30.0" customHeight="1">
      <c r="A723" s="9" t="str">
        <f t="shared" si="48"/>
        <v>N/I</v>
      </c>
      <c r="B723" s="9" t="str">
        <f t="shared" si="49"/>
        <v>N/I</v>
      </c>
      <c r="C723" s="9" t="str">
        <f t="shared" si="64"/>
        <v>Ativo</v>
      </c>
      <c r="D723" s="10" t="s">
        <v>1922</v>
      </c>
      <c r="E723" s="11" t="s">
        <v>1923</v>
      </c>
      <c r="F723" s="32" t="s">
        <v>2196</v>
      </c>
      <c r="G723" s="12" t="s">
        <v>1691</v>
      </c>
      <c r="H723" s="34" t="s">
        <v>2197</v>
      </c>
      <c r="I723" s="12" t="s">
        <v>380</v>
      </c>
      <c r="J723" s="10" t="s">
        <v>197</v>
      </c>
      <c r="K723" s="10" t="s">
        <v>40</v>
      </c>
      <c r="L723" s="10" t="s">
        <v>6</v>
      </c>
      <c r="M723" s="14">
        <v>45518.0</v>
      </c>
      <c r="N723" s="32" t="s">
        <v>2198</v>
      </c>
      <c r="O723" s="10" t="s">
        <v>2199</v>
      </c>
      <c r="P723" s="10" t="s">
        <v>1929</v>
      </c>
      <c r="Q723" s="2"/>
      <c r="R723" s="15"/>
      <c r="S723" s="15"/>
      <c r="T723" s="15"/>
      <c r="U723" s="15"/>
      <c r="V723" s="2"/>
      <c r="W723" s="15"/>
      <c r="X723" s="15"/>
      <c r="Y723" s="15"/>
      <c r="Z723" s="15"/>
      <c r="AA723" s="1"/>
      <c r="AB723" s="10">
        <v>30.0</v>
      </c>
      <c r="AC723" s="14">
        <v>45518.0</v>
      </c>
      <c r="AD723" s="14">
        <v>46432.0</v>
      </c>
      <c r="AE723" s="10">
        <f t="shared" si="63"/>
        <v>341</v>
      </c>
      <c r="AF723" s="2"/>
      <c r="AG723" s="10" t="s">
        <v>680</v>
      </c>
      <c r="AH723" s="12" t="s">
        <v>46</v>
      </c>
      <c r="AI723" s="10" t="s">
        <v>226</v>
      </c>
      <c r="AJ723" s="12" t="s">
        <v>1930</v>
      </c>
      <c r="AK723" s="16" t="s">
        <v>45</v>
      </c>
      <c r="AL723" s="10" t="s">
        <v>49</v>
      </c>
      <c r="AM723" s="12" t="s">
        <v>1931</v>
      </c>
      <c r="AN723" s="10" t="s">
        <v>50</v>
      </c>
    </row>
    <row r="724" ht="30.0" customHeight="1">
      <c r="A724" s="9" t="str">
        <f t="shared" si="48"/>
        <v>N/I</v>
      </c>
      <c r="B724" s="9" t="str">
        <f t="shared" si="49"/>
        <v>N/I</v>
      </c>
      <c r="C724" s="9" t="str">
        <f t="shared" si="64"/>
        <v>Ativo</v>
      </c>
      <c r="D724" s="10" t="s">
        <v>1922</v>
      </c>
      <c r="E724" s="11" t="s">
        <v>1923</v>
      </c>
      <c r="F724" s="32" t="s">
        <v>2200</v>
      </c>
      <c r="G724" s="12" t="s">
        <v>1691</v>
      </c>
      <c r="H724" s="13" t="s">
        <v>2201</v>
      </c>
      <c r="I724" s="12" t="s">
        <v>2202</v>
      </c>
      <c r="J724" s="10" t="s">
        <v>197</v>
      </c>
      <c r="K724" s="10" t="s">
        <v>40</v>
      </c>
      <c r="L724" s="10" t="s">
        <v>6</v>
      </c>
      <c r="M724" s="14">
        <v>45502.0</v>
      </c>
      <c r="N724" s="32" t="s">
        <v>2203</v>
      </c>
      <c r="O724" s="10" t="s">
        <v>2204</v>
      </c>
      <c r="P724" s="10" t="s">
        <v>1929</v>
      </c>
      <c r="Q724" s="2"/>
      <c r="R724" s="15"/>
      <c r="S724" s="15"/>
      <c r="T724" s="15"/>
      <c r="U724" s="15"/>
      <c r="V724" s="2"/>
      <c r="W724" s="15"/>
      <c r="X724" s="15"/>
      <c r="Y724" s="15"/>
      <c r="Z724" s="15"/>
      <c r="AA724" s="1"/>
      <c r="AB724" s="10">
        <v>30.0</v>
      </c>
      <c r="AC724" s="14">
        <v>45502.0</v>
      </c>
      <c r="AD724" s="14">
        <v>46416.0</v>
      </c>
      <c r="AE724" s="10">
        <f t="shared" si="63"/>
        <v>325</v>
      </c>
      <c r="AF724" s="2"/>
      <c r="AG724" s="10" t="s">
        <v>680</v>
      </c>
      <c r="AH724" s="12" t="s">
        <v>46</v>
      </c>
      <c r="AI724" s="10" t="s">
        <v>226</v>
      </c>
      <c r="AJ724" s="12" t="s">
        <v>1930</v>
      </c>
      <c r="AK724" s="16" t="s">
        <v>45</v>
      </c>
      <c r="AL724" s="10" t="s">
        <v>49</v>
      </c>
      <c r="AM724" s="12" t="s">
        <v>1931</v>
      </c>
      <c r="AN724" s="10" t="s">
        <v>50</v>
      </c>
    </row>
    <row r="725" ht="30.0" customHeight="1">
      <c r="A725" s="9" t="str">
        <f t="shared" si="48"/>
        <v>N/I</v>
      </c>
      <c r="B725" s="9" t="str">
        <f t="shared" si="49"/>
        <v>N/I</v>
      </c>
      <c r="C725" s="9" t="str">
        <f t="shared" si="64"/>
        <v>Ativo</v>
      </c>
      <c r="D725" s="10" t="s">
        <v>1922</v>
      </c>
      <c r="E725" s="11" t="s">
        <v>1923</v>
      </c>
      <c r="F725" s="32" t="s">
        <v>2205</v>
      </c>
      <c r="G725" s="12" t="s">
        <v>1691</v>
      </c>
      <c r="H725" s="34" t="s">
        <v>2206</v>
      </c>
      <c r="I725" s="12" t="s">
        <v>2207</v>
      </c>
      <c r="J725" s="10" t="s">
        <v>197</v>
      </c>
      <c r="K725" s="10" t="s">
        <v>40</v>
      </c>
      <c r="L725" s="10" t="s">
        <v>6</v>
      </c>
      <c r="M725" s="14">
        <v>45523.0</v>
      </c>
      <c r="N725" s="32" t="s">
        <v>2208</v>
      </c>
      <c r="O725" s="10" t="s">
        <v>2209</v>
      </c>
      <c r="P725" s="10" t="s">
        <v>1929</v>
      </c>
      <c r="Q725" s="2"/>
      <c r="R725" s="15"/>
      <c r="S725" s="15"/>
      <c r="T725" s="15"/>
      <c r="U725" s="15"/>
      <c r="V725" s="2"/>
      <c r="W725" s="15"/>
      <c r="X725" s="15"/>
      <c r="Y725" s="15"/>
      <c r="Z725" s="15"/>
      <c r="AA725" s="1"/>
      <c r="AB725" s="10">
        <v>30.0</v>
      </c>
      <c r="AC725" s="14">
        <v>45523.0</v>
      </c>
      <c r="AD725" s="14">
        <v>46437.0</v>
      </c>
      <c r="AE725" s="10">
        <f t="shared" si="63"/>
        <v>346</v>
      </c>
      <c r="AF725" s="2"/>
      <c r="AG725" s="10" t="s">
        <v>680</v>
      </c>
      <c r="AH725" s="12" t="s">
        <v>46</v>
      </c>
      <c r="AI725" s="10" t="s">
        <v>226</v>
      </c>
      <c r="AJ725" s="12" t="s">
        <v>1930</v>
      </c>
      <c r="AK725" s="16" t="s">
        <v>45</v>
      </c>
      <c r="AL725" s="10" t="s">
        <v>49</v>
      </c>
      <c r="AM725" s="12" t="s">
        <v>1931</v>
      </c>
      <c r="AN725" s="10" t="s">
        <v>50</v>
      </c>
    </row>
    <row r="726" ht="30.0" customHeight="1">
      <c r="A726" s="9" t="str">
        <f t="shared" si="48"/>
        <v>N/I</v>
      </c>
      <c r="B726" s="9" t="str">
        <f t="shared" si="49"/>
        <v>N/I</v>
      </c>
      <c r="C726" s="9" t="str">
        <f t="shared" si="64"/>
        <v>Ativo</v>
      </c>
      <c r="D726" s="10" t="s">
        <v>1922</v>
      </c>
      <c r="E726" s="11" t="s">
        <v>1923</v>
      </c>
      <c r="F726" s="32" t="s">
        <v>2210</v>
      </c>
      <c r="G726" s="12" t="s">
        <v>1691</v>
      </c>
      <c r="H726" s="34" t="s">
        <v>2211</v>
      </c>
      <c r="I726" s="12" t="s">
        <v>2212</v>
      </c>
      <c r="J726" s="10" t="s">
        <v>197</v>
      </c>
      <c r="K726" s="10" t="s">
        <v>40</v>
      </c>
      <c r="L726" s="10" t="s">
        <v>6</v>
      </c>
      <c r="M726" s="14">
        <v>45530.0</v>
      </c>
      <c r="N726" s="32" t="s">
        <v>2213</v>
      </c>
      <c r="O726" s="10" t="s">
        <v>2214</v>
      </c>
      <c r="P726" s="10" t="s">
        <v>1929</v>
      </c>
      <c r="Q726" s="2"/>
      <c r="R726" s="15"/>
      <c r="S726" s="15"/>
      <c r="T726" s="15"/>
      <c r="U726" s="15"/>
      <c r="V726" s="1"/>
      <c r="W726" s="15"/>
      <c r="X726" s="15"/>
      <c r="Y726" s="15"/>
      <c r="Z726" s="15"/>
      <c r="AA726" s="1"/>
      <c r="AB726" s="10">
        <v>30.0</v>
      </c>
      <c r="AC726" s="14">
        <v>45530.0</v>
      </c>
      <c r="AD726" s="14">
        <v>46444.0</v>
      </c>
      <c r="AE726" s="10">
        <f t="shared" si="63"/>
        <v>353</v>
      </c>
      <c r="AF726" s="2"/>
      <c r="AG726" s="10" t="s">
        <v>680</v>
      </c>
      <c r="AH726" s="12" t="s">
        <v>46</v>
      </c>
      <c r="AI726" s="10" t="s">
        <v>226</v>
      </c>
      <c r="AJ726" s="12" t="s">
        <v>1930</v>
      </c>
      <c r="AK726" s="16" t="s">
        <v>45</v>
      </c>
      <c r="AL726" s="10" t="s">
        <v>49</v>
      </c>
      <c r="AM726" s="12" t="s">
        <v>1931</v>
      </c>
      <c r="AN726" s="10" t="s">
        <v>50</v>
      </c>
    </row>
    <row r="727" ht="30.0" customHeight="1">
      <c r="A727" s="9" t="str">
        <f t="shared" si="48"/>
        <v>N/I</v>
      </c>
      <c r="B727" s="9" t="str">
        <f t="shared" si="49"/>
        <v>N/I</v>
      </c>
      <c r="C727" s="9" t="str">
        <f t="shared" si="64"/>
        <v>Ativo</v>
      </c>
      <c r="D727" s="10" t="s">
        <v>1922</v>
      </c>
      <c r="E727" s="11" t="s">
        <v>1923</v>
      </c>
      <c r="F727" s="32" t="s">
        <v>2215</v>
      </c>
      <c r="G727" s="12" t="s">
        <v>1691</v>
      </c>
      <c r="H727" s="34" t="s">
        <v>2216</v>
      </c>
      <c r="I727" s="12" t="s">
        <v>2212</v>
      </c>
      <c r="J727" s="10" t="s">
        <v>197</v>
      </c>
      <c r="K727" s="10" t="s">
        <v>40</v>
      </c>
      <c r="L727" s="10" t="s">
        <v>6</v>
      </c>
      <c r="M727" s="14">
        <v>45532.0</v>
      </c>
      <c r="N727" s="32" t="s">
        <v>2213</v>
      </c>
      <c r="O727" s="10" t="s">
        <v>2214</v>
      </c>
      <c r="P727" s="10" t="s">
        <v>1929</v>
      </c>
      <c r="Q727" s="2"/>
      <c r="R727" s="15"/>
      <c r="S727" s="15"/>
      <c r="T727" s="15"/>
      <c r="U727" s="15"/>
      <c r="V727" s="1"/>
      <c r="W727" s="15"/>
      <c r="X727" s="15"/>
      <c r="Y727" s="15"/>
      <c r="Z727" s="15"/>
      <c r="AA727" s="1"/>
      <c r="AB727" s="10">
        <v>30.0</v>
      </c>
      <c r="AC727" s="14">
        <v>45532.0</v>
      </c>
      <c r="AD727" s="14">
        <v>46446.0</v>
      </c>
      <c r="AE727" s="10">
        <f t="shared" si="63"/>
        <v>355</v>
      </c>
      <c r="AF727" s="2"/>
      <c r="AG727" s="10" t="s">
        <v>680</v>
      </c>
      <c r="AH727" s="12" t="s">
        <v>46</v>
      </c>
      <c r="AI727" s="10" t="s">
        <v>226</v>
      </c>
      <c r="AJ727" s="12" t="s">
        <v>1930</v>
      </c>
      <c r="AK727" s="16" t="s">
        <v>45</v>
      </c>
      <c r="AL727" s="10" t="s">
        <v>49</v>
      </c>
      <c r="AM727" s="12" t="s">
        <v>1931</v>
      </c>
      <c r="AN727" s="10" t="s">
        <v>50</v>
      </c>
    </row>
    <row r="728" ht="30.0" customHeight="1">
      <c r="A728" s="9" t="str">
        <f t="shared" si="48"/>
        <v>N/I</v>
      </c>
      <c r="B728" s="9" t="str">
        <f t="shared" si="49"/>
        <v>N/I</v>
      </c>
      <c r="C728" s="9" t="str">
        <f t="shared" si="64"/>
        <v>Ativo</v>
      </c>
      <c r="D728" s="10" t="s">
        <v>1922</v>
      </c>
      <c r="E728" s="11" t="s">
        <v>1923</v>
      </c>
      <c r="F728" s="32" t="s">
        <v>2217</v>
      </c>
      <c r="G728" s="12" t="s">
        <v>1691</v>
      </c>
      <c r="H728" s="34" t="s">
        <v>2218</v>
      </c>
      <c r="I728" s="12" t="s">
        <v>2212</v>
      </c>
      <c r="J728" s="10" t="s">
        <v>197</v>
      </c>
      <c r="K728" s="10" t="s">
        <v>40</v>
      </c>
      <c r="L728" s="10" t="s">
        <v>6</v>
      </c>
      <c r="M728" s="14">
        <v>45537.0</v>
      </c>
      <c r="N728" s="32" t="s">
        <v>2213</v>
      </c>
      <c r="O728" s="10" t="s">
        <v>2214</v>
      </c>
      <c r="P728" s="10" t="s">
        <v>1929</v>
      </c>
      <c r="Q728" s="2"/>
      <c r="R728" s="15"/>
      <c r="S728" s="15"/>
      <c r="T728" s="15"/>
      <c r="U728" s="15"/>
      <c r="V728" s="1"/>
      <c r="W728" s="15"/>
      <c r="X728" s="15"/>
      <c r="Y728" s="15"/>
      <c r="Z728" s="15"/>
      <c r="AA728" s="1"/>
      <c r="AB728" s="10">
        <v>30.0</v>
      </c>
      <c r="AC728" s="14">
        <v>45537.0</v>
      </c>
      <c r="AD728" s="14">
        <v>46448.0</v>
      </c>
      <c r="AE728" s="10">
        <f t="shared" si="63"/>
        <v>357</v>
      </c>
      <c r="AF728" s="2"/>
      <c r="AG728" s="10" t="s">
        <v>680</v>
      </c>
      <c r="AH728" s="12" t="s">
        <v>46</v>
      </c>
      <c r="AI728" s="10" t="s">
        <v>226</v>
      </c>
      <c r="AJ728" s="12" t="s">
        <v>1930</v>
      </c>
      <c r="AK728" s="16" t="s">
        <v>45</v>
      </c>
      <c r="AL728" s="10" t="s">
        <v>49</v>
      </c>
      <c r="AM728" s="12" t="s">
        <v>1931</v>
      </c>
      <c r="AN728" s="10" t="s">
        <v>50</v>
      </c>
    </row>
    <row r="729" ht="30.0" customHeight="1">
      <c r="A729" s="9" t="str">
        <f t="shared" si="48"/>
        <v>N/I</v>
      </c>
      <c r="B729" s="9" t="str">
        <f t="shared" si="49"/>
        <v>N/I</v>
      </c>
      <c r="C729" s="9" t="str">
        <f t="shared" si="64"/>
        <v>Ativo</v>
      </c>
      <c r="D729" s="10" t="s">
        <v>1922</v>
      </c>
      <c r="E729" s="11" t="s">
        <v>1923</v>
      </c>
      <c r="F729" s="32" t="s">
        <v>2219</v>
      </c>
      <c r="G729" s="12" t="s">
        <v>1691</v>
      </c>
      <c r="H729" s="34" t="s">
        <v>2220</v>
      </c>
      <c r="I729" s="12" t="s">
        <v>2212</v>
      </c>
      <c r="J729" s="10" t="s">
        <v>197</v>
      </c>
      <c r="K729" s="10" t="s">
        <v>40</v>
      </c>
      <c r="L729" s="10" t="s">
        <v>6</v>
      </c>
      <c r="M729" s="14">
        <v>45539.0</v>
      </c>
      <c r="N729" s="32" t="s">
        <v>2221</v>
      </c>
      <c r="O729" s="10" t="s">
        <v>2214</v>
      </c>
      <c r="P729" s="10" t="s">
        <v>1929</v>
      </c>
      <c r="Q729" s="2"/>
      <c r="R729" s="15"/>
      <c r="S729" s="15"/>
      <c r="T729" s="15"/>
      <c r="U729" s="15"/>
      <c r="V729" s="1"/>
      <c r="W729" s="15"/>
      <c r="X729" s="15"/>
      <c r="Y729" s="15"/>
      <c r="Z729" s="15"/>
      <c r="AA729" s="1"/>
      <c r="AB729" s="10">
        <v>30.0</v>
      </c>
      <c r="AC729" s="14">
        <v>45539.0</v>
      </c>
      <c r="AD729" s="14">
        <v>46450.0</v>
      </c>
      <c r="AE729" s="10">
        <f t="shared" si="63"/>
        <v>359</v>
      </c>
      <c r="AF729" s="2"/>
      <c r="AG729" s="10" t="s">
        <v>680</v>
      </c>
      <c r="AH729" s="12" t="s">
        <v>46</v>
      </c>
      <c r="AI729" s="10" t="s">
        <v>226</v>
      </c>
      <c r="AJ729" s="12" t="s">
        <v>1930</v>
      </c>
      <c r="AK729" s="16" t="s">
        <v>45</v>
      </c>
      <c r="AL729" s="10" t="s">
        <v>49</v>
      </c>
      <c r="AM729" s="12" t="s">
        <v>1931</v>
      </c>
      <c r="AN729" s="10" t="s">
        <v>50</v>
      </c>
    </row>
    <row r="730" ht="30.0" customHeight="1">
      <c r="A730" s="9" t="str">
        <f t="shared" si="48"/>
        <v>N/I</v>
      </c>
      <c r="B730" s="9" t="str">
        <f t="shared" si="49"/>
        <v>N/I</v>
      </c>
      <c r="C730" s="9" t="str">
        <f t="shared" si="64"/>
        <v>Ativo</v>
      </c>
      <c r="D730" s="10" t="s">
        <v>1922</v>
      </c>
      <c r="E730" s="11" t="s">
        <v>1923</v>
      </c>
      <c r="F730" s="32" t="s">
        <v>2222</v>
      </c>
      <c r="G730" s="12" t="s">
        <v>1691</v>
      </c>
      <c r="H730" s="34" t="s">
        <v>2223</v>
      </c>
      <c r="I730" s="12" t="s">
        <v>2224</v>
      </c>
      <c r="J730" s="10" t="s">
        <v>197</v>
      </c>
      <c r="K730" s="10" t="s">
        <v>40</v>
      </c>
      <c r="L730" s="10" t="s">
        <v>6</v>
      </c>
      <c r="M730" s="14">
        <v>45539.0</v>
      </c>
      <c r="N730" s="32" t="s">
        <v>2225</v>
      </c>
      <c r="O730" s="10" t="s">
        <v>2226</v>
      </c>
      <c r="P730" s="10" t="s">
        <v>1929</v>
      </c>
      <c r="Q730" s="2"/>
      <c r="R730" s="15"/>
      <c r="S730" s="15"/>
      <c r="T730" s="15"/>
      <c r="U730" s="15"/>
      <c r="V730" s="1"/>
      <c r="W730" s="15"/>
      <c r="X730" s="15"/>
      <c r="Y730" s="15"/>
      <c r="Z730" s="15"/>
      <c r="AA730" s="1"/>
      <c r="AB730" s="10">
        <v>30.0</v>
      </c>
      <c r="AC730" s="14">
        <v>45539.0</v>
      </c>
      <c r="AD730" s="14">
        <v>46450.0</v>
      </c>
      <c r="AE730" s="10">
        <f t="shared" si="63"/>
        <v>359</v>
      </c>
      <c r="AF730" s="2"/>
      <c r="AG730" s="10" t="s">
        <v>680</v>
      </c>
      <c r="AH730" s="12" t="s">
        <v>46</v>
      </c>
      <c r="AI730" s="10" t="s">
        <v>226</v>
      </c>
      <c r="AJ730" s="12" t="s">
        <v>1930</v>
      </c>
      <c r="AK730" s="16" t="s">
        <v>45</v>
      </c>
      <c r="AL730" s="10" t="s">
        <v>49</v>
      </c>
      <c r="AM730" s="12" t="s">
        <v>1931</v>
      </c>
      <c r="AN730" s="10" t="s">
        <v>50</v>
      </c>
    </row>
    <row r="731" ht="30.0" customHeight="1">
      <c r="A731" s="9" t="str">
        <f t="shared" si="48"/>
        <v>N/I</v>
      </c>
      <c r="B731" s="9" t="str">
        <f t="shared" si="49"/>
        <v>N/I</v>
      </c>
      <c r="C731" s="9" t="str">
        <f t="shared" si="64"/>
        <v>N/I</v>
      </c>
      <c r="D731" s="10" t="s">
        <v>1922</v>
      </c>
      <c r="E731" s="11" t="s">
        <v>1923</v>
      </c>
      <c r="F731" s="32"/>
      <c r="G731" s="12" t="s">
        <v>1691</v>
      </c>
      <c r="H731" s="44" t="s">
        <v>187</v>
      </c>
      <c r="I731" s="12"/>
      <c r="J731" s="10" t="s">
        <v>197</v>
      </c>
      <c r="K731" s="10" t="s">
        <v>40</v>
      </c>
      <c r="L731" s="10" t="s">
        <v>6</v>
      </c>
      <c r="M731" s="24" t="s">
        <v>193</v>
      </c>
      <c r="N731" s="11"/>
      <c r="O731" s="10"/>
      <c r="P731" s="10" t="s">
        <v>1929</v>
      </c>
      <c r="Q731" s="2"/>
      <c r="R731" s="15"/>
      <c r="S731" s="15"/>
      <c r="T731" s="15"/>
      <c r="U731" s="15"/>
      <c r="V731" s="1"/>
      <c r="W731" s="15"/>
      <c r="X731" s="15"/>
      <c r="Y731" s="15"/>
      <c r="Z731" s="15"/>
      <c r="AA731" s="1"/>
      <c r="AB731" s="10">
        <v>30.0</v>
      </c>
      <c r="AC731" s="24" t="s">
        <v>1489</v>
      </c>
      <c r="AD731" s="24" t="s">
        <v>1489</v>
      </c>
      <c r="AE731" s="10"/>
      <c r="AF731" s="2"/>
      <c r="AG731" s="10" t="s">
        <v>680</v>
      </c>
      <c r="AH731" s="12" t="s">
        <v>46</v>
      </c>
      <c r="AI731" s="10" t="s">
        <v>226</v>
      </c>
      <c r="AJ731" s="12" t="s">
        <v>1930</v>
      </c>
      <c r="AK731" s="16" t="s">
        <v>45</v>
      </c>
      <c r="AL731" s="10" t="s">
        <v>49</v>
      </c>
      <c r="AM731" s="12" t="s">
        <v>1931</v>
      </c>
      <c r="AN731" s="10" t="s">
        <v>50</v>
      </c>
    </row>
    <row r="732" ht="30.0" customHeight="1">
      <c r="A732" s="9" t="str">
        <f t="shared" si="48"/>
        <v>N/I</v>
      </c>
      <c r="B732" s="9" t="str">
        <f t="shared" si="49"/>
        <v>N/I</v>
      </c>
      <c r="C732" s="9" t="str">
        <f t="shared" si="64"/>
        <v>N/I</v>
      </c>
      <c r="D732" s="10" t="s">
        <v>1922</v>
      </c>
      <c r="E732" s="11" t="s">
        <v>1923</v>
      </c>
      <c r="F732" s="32"/>
      <c r="G732" s="12" t="s">
        <v>1691</v>
      </c>
      <c r="H732" s="44" t="s">
        <v>187</v>
      </c>
      <c r="I732" s="12"/>
      <c r="J732" s="10" t="s">
        <v>197</v>
      </c>
      <c r="K732" s="10" t="s">
        <v>40</v>
      </c>
      <c r="L732" s="10" t="s">
        <v>6</v>
      </c>
      <c r="M732" s="24" t="s">
        <v>193</v>
      </c>
      <c r="N732" s="11"/>
      <c r="O732" s="10"/>
      <c r="P732" s="10" t="s">
        <v>1929</v>
      </c>
      <c r="Q732" s="2"/>
      <c r="R732" s="15"/>
      <c r="S732" s="15"/>
      <c r="T732" s="15"/>
      <c r="U732" s="15"/>
      <c r="V732" s="1"/>
      <c r="W732" s="15"/>
      <c r="X732" s="15"/>
      <c r="Y732" s="15"/>
      <c r="Z732" s="15"/>
      <c r="AA732" s="1"/>
      <c r="AB732" s="10">
        <v>30.0</v>
      </c>
      <c r="AC732" s="24" t="s">
        <v>1489</v>
      </c>
      <c r="AD732" s="24" t="s">
        <v>1489</v>
      </c>
      <c r="AE732" s="10"/>
      <c r="AF732" s="2"/>
      <c r="AG732" s="10" t="s">
        <v>680</v>
      </c>
      <c r="AH732" s="12" t="s">
        <v>46</v>
      </c>
      <c r="AI732" s="10" t="s">
        <v>226</v>
      </c>
      <c r="AJ732" s="12" t="s">
        <v>1930</v>
      </c>
      <c r="AK732" s="16" t="s">
        <v>45</v>
      </c>
      <c r="AL732" s="10" t="s">
        <v>49</v>
      </c>
      <c r="AM732" s="12" t="s">
        <v>1931</v>
      </c>
      <c r="AN732" s="10" t="s">
        <v>50</v>
      </c>
    </row>
    <row r="733" ht="30.0" customHeight="1">
      <c r="A733" s="9" t="str">
        <f t="shared" si="48"/>
        <v>N/I</v>
      </c>
      <c r="B733" s="9" t="str">
        <f t="shared" si="49"/>
        <v>N/I</v>
      </c>
      <c r="C733" s="9" t="str">
        <f t="shared" si="64"/>
        <v>N/I</v>
      </c>
      <c r="D733" s="10" t="s">
        <v>1922</v>
      </c>
      <c r="E733" s="11" t="s">
        <v>1923</v>
      </c>
      <c r="F733" s="32"/>
      <c r="G733" s="12" t="s">
        <v>1691</v>
      </c>
      <c r="H733" s="44" t="s">
        <v>187</v>
      </c>
      <c r="I733" s="12"/>
      <c r="J733" s="10" t="s">
        <v>197</v>
      </c>
      <c r="K733" s="10" t="s">
        <v>40</v>
      </c>
      <c r="L733" s="10" t="s">
        <v>6</v>
      </c>
      <c r="M733" s="24" t="s">
        <v>193</v>
      </c>
      <c r="N733" s="11"/>
      <c r="O733" s="10"/>
      <c r="P733" s="10" t="s">
        <v>1929</v>
      </c>
      <c r="Q733" s="2"/>
      <c r="R733" s="15"/>
      <c r="S733" s="15"/>
      <c r="T733" s="15"/>
      <c r="U733" s="15"/>
      <c r="V733" s="1"/>
      <c r="W733" s="15"/>
      <c r="X733" s="15"/>
      <c r="Y733" s="15"/>
      <c r="Z733" s="15"/>
      <c r="AA733" s="1"/>
      <c r="AB733" s="10">
        <v>30.0</v>
      </c>
      <c r="AC733" s="24" t="s">
        <v>1489</v>
      </c>
      <c r="AD733" s="24" t="s">
        <v>1489</v>
      </c>
      <c r="AE733" s="10"/>
      <c r="AF733" s="2"/>
      <c r="AG733" s="10" t="s">
        <v>680</v>
      </c>
      <c r="AH733" s="12" t="s">
        <v>46</v>
      </c>
      <c r="AI733" s="10" t="s">
        <v>226</v>
      </c>
      <c r="AJ733" s="12" t="s">
        <v>1930</v>
      </c>
      <c r="AK733" s="16" t="s">
        <v>45</v>
      </c>
      <c r="AL733" s="10" t="s">
        <v>49</v>
      </c>
      <c r="AM733" s="12" t="s">
        <v>1931</v>
      </c>
      <c r="AN733" s="10" t="s">
        <v>50</v>
      </c>
    </row>
    <row r="734" ht="30.0" customHeight="1">
      <c r="A734" s="9" t="str">
        <f t="shared" si="48"/>
        <v>N/I</v>
      </c>
      <c r="B734" s="9" t="str">
        <f t="shared" si="49"/>
        <v>N/I</v>
      </c>
      <c r="C734" s="9" t="str">
        <f t="shared" si="64"/>
        <v>N/I</v>
      </c>
      <c r="D734" s="10" t="s">
        <v>1922</v>
      </c>
      <c r="E734" s="11" t="s">
        <v>1923</v>
      </c>
      <c r="F734" s="32"/>
      <c r="G734" s="12" t="s">
        <v>1691</v>
      </c>
      <c r="H734" s="44" t="s">
        <v>187</v>
      </c>
      <c r="I734" s="12"/>
      <c r="J734" s="10" t="s">
        <v>197</v>
      </c>
      <c r="K734" s="10" t="s">
        <v>40</v>
      </c>
      <c r="L734" s="10" t="s">
        <v>6</v>
      </c>
      <c r="M734" s="24" t="s">
        <v>193</v>
      </c>
      <c r="N734" s="11"/>
      <c r="O734" s="10"/>
      <c r="P734" s="10" t="s">
        <v>1929</v>
      </c>
      <c r="Q734" s="2"/>
      <c r="R734" s="15"/>
      <c r="S734" s="15"/>
      <c r="T734" s="15"/>
      <c r="U734" s="15"/>
      <c r="V734" s="1"/>
      <c r="W734" s="15"/>
      <c r="X734" s="15"/>
      <c r="Y734" s="15"/>
      <c r="Z734" s="15"/>
      <c r="AA734" s="1"/>
      <c r="AB734" s="10">
        <v>30.0</v>
      </c>
      <c r="AC734" s="24" t="s">
        <v>1489</v>
      </c>
      <c r="AD734" s="24" t="s">
        <v>1489</v>
      </c>
      <c r="AE734" s="10"/>
      <c r="AF734" s="2"/>
      <c r="AG734" s="10" t="s">
        <v>680</v>
      </c>
      <c r="AH734" s="12" t="s">
        <v>46</v>
      </c>
      <c r="AI734" s="10" t="s">
        <v>226</v>
      </c>
      <c r="AJ734" s="12" t="s">
        <v>1930</v>
      </c>
      <c r="AK734" s="16" t="s">
        <v>45</v>
      </c>
      <c r="AL734" s="10" t="s">
        <v>49</v>
      </c>
      <c r="AM734" s="12" t="s">
        <v>1931</v>
      </c>
      <c r="AN734" s="10" t="s">
        <v>50</v>
      </c>
    </row>
    <row r="735" ht="30.0" customHeight="1">
      <c r="A735" s="9" t="str">
        <f t="shared" si="48"/>
        <v>N/I</v>
      </c>
      <c r="B735" s="9" t="str">
        <f t="shared" si="49"/>
        <v>N/I</v>
      </c>
      <c r="C735" s="9" t="str">
        <f t="shared" si="64"/>
        <v>N/I</v>
      </c>
      <c r="D735" s="10" t="s">
        <v>1922</v>
      </c>
      <c r="E735" s="11" t="s">
        <v>1923</v>
      </c>
      <c r="F735" s="32"/>
      <c r="G735" s="12" t="s">
        <v>1691</v>
      </c>
      <c r="H735" s="44" t="s">
        <v>187</v>
      </c>
      <c r="I735" s="12"/>
      <c r="J735" s="10" t="s">
        <v>197</v>
      </c>
      <c r="K735" s="10" t="s">
        <v>40</v>
      </c>
      <c r="L735" s="10" t="s">
        <v>6</v>
      </c>
      <c r="M735" s="24" t="s">
        <v>193</v>
      </c>
      <c r="N735" s="11"/>
      <c r="O735" s="10"/>
      <c r="P735" s="10" t="s">
        <v>1929</v>
      </c>
      <c r="Q735" s="2"/>
      <c r="R735" s="15"/>
      <c r="S735" s="15"/>
      <c r="T735" s="15"/>
      <c r="U735" s="15"/>
      <c r="V735" s="1"/>
      <c r="W735" s="15"/>
      <c r="X735" s="15"/>
      <c r="Y735" s="15"/>
      <c r="Z735" s="15"/>
      <c r="AA735" s="1"/>
      <c r="AB735" s="10">
        <v>30.0</v>
      </c>
      <c r="AC735" s="24" t="s">
        <v>1489</v>
      </c>
      <c r="AD735" s="24" t="s">
        <v>1489</v>
      </c>
      <c r="AE735" s="10"/>
      <c r="AF735" s="2"/>
      <c r="AG735" s="10" t="s">
        <v>680</v>
      </c>
      <c r="AH735" s="12" t="s">
        <v>46</v>
      </c>
      <c r="AI735" s="10" t="s">
        <v>226</v>
      </c>
      <c r="AJ735" s="12" t="s">
        <v>1930</v>
      </c>
      <c r="AK735" s="16" t="s">
        <v>45</v>
      </c>
      <c r="AL735" s="10" t="s">
        <v>49</v>
      </c>
      <c r="AM735" s="12" t="s">
        <v>1931</v>
      </c>
      <c r="AN735" s="10" t="s">
        <v>50</v>
      </c>
    </row>
    <row r="736" ht="30.0" customHeight="1">
      <c r="A736" s="9" t="str">
        <f t="shared" si="48"/>
        <v>N/I</v>
      </c>
      <c r="B736" s="9" t="str">
        <f t="shared" si="49"/>
        <v>N/I</v>
      </c>
      <c r="C736" s="9" t="str">
        <f t="shared" si="64"/>
        <v>N/I</v>
      </c>
      <c r="D736" s="10" t="s">
        <v>1922</v>
      </c>
      <c r="E736" s="11" t="s">
        <v>1923</v>
      </c>
      <c r="F736" s="32"/>
      <c r="G736" s="12" t="s">
        <v>1691</v>
      </c>
      <c r="H736" s="44" t="s">
        <v>187</v>
      </c>
      <c r="I736" s="12"/>
      <c r="J736" s="10" t="s">
        <v>197</v>
      </c>
      <c r="K736" s="10" t="s">
        <v>40</v>
      </c>
      <c r="L736" s="10" t="s">
        <v>6</v>
      </c>
      <c r="M736" s="24" t="s">
        <v>193</v>
      </c>
      <c r="N736" s="11"/>
      <c r="O736" s="10"/>
      <c r="P736" s="10" t="s">
        <v>1929</v>
      </c>
      <c r="Q736" s="2"/>
      <c r="R736" s="15"/>
      <c r="S736" s="15"/>
      <c r="T736" s="15"/>
      <c r="U736" s="15"/>
      <c r="V736" s="1"/>
      <c r="W736" s="15"/>
      <c r="X736" s="15"/>
      <c r="Y736" s="15"/>
      <c r="Z736" s="15"/>
      <c r="AA736" s="1"/>
      <c r="AB736" s="10">
        <v>30.0</v>
      </c>
      <c r="AC736" s="24" t="s">
        <v>1489</v>
      </c>
      <c r="AD736" s="24" t="s">
        <v>1489</v>
      </c>
      <c r="AE736" s="10"/>
      <c r="AF736" s="2"/>
      <c r="AG736" s="10" t="s">
        <v>680</v>
      </c>
      <c r="AH736" s="12" t="s">
        <v>46</v>
      </c>
      <c r="AI736" s="10" t="s">
        <v>226</v>
      </c>
      <c r="AJ736" s="12" t="s">
        <v>1930</v>
      </c>
      <c r="AK736" s="16" t="s">
        <v>45</v>
      </c>
      <c r="AL736" s="10" t="s">
        <v>49</v>
      </c>
      <c r="AM736" s="12" t="s">
        <v>1931</v>
      </c>
      <c r="AN736" s="10" t="s">
        <v>50</v>
      </c>
    </row>
    <row r="737" ht="30.0" customHeight="1">
      <c r="A737" s="9" t="str">
        <f t="shared" si="48"/>
        <v>N/I</v>
      </c>
      <c r="B737" s="9" t="str">
        <f t="shared" si="49"/>
        <v>N/I</v>
      </c>
      <c r="C737" s="9" t="str">
        <f t="shared" si="64"/>
        <v>N/I</v>
      </c>
      <c r="D737" s="10" t="s">
        <v>1922</v>
      </c>
      <c r="E737" s="11" t="s">
        <v>1923</v>
      </c>
      <c r="F737" s="32"/>
      <c r="G737" s="12" t="s">
        <v>1691</v>
      </c>
      <c r="H737" s="44" t="s">
        <v>187</v>
      </c>
      <c r="I737" s="12"/>
      <c r="J737" s="10" t="s">
        <v>197</v>
      </c>
      <c r="K737" s="10" t="s">
        <v>40</v>
      </c>
      <c r="L737" s="10" t="s">
        <v>6</v>
      </c>
      <c r="M737" s="24" t="s">
        <v>193</v>
      </c>
      <c r="N737" s="11"/>
      <c r="O737" s="10"/>
      <c r="P737" s="10" t="s">
        <v>1929</v>
      </c>
      <c r="Q737" s="2"/>
      <c r="R737" s="15"/>
      <c r="S737" s="15"/>
      <c r="T737" s="15"/>
      <c r="U737" s="15"/>
      <c r="V737" s="1"/>
      <c r="W737" s="15"/>
      <c r="X737" s="15"/>
      <c r="Y737" s="15"/>
      <c r="Z737" s="15"/>
      <c r="AA737" s="1"/>
      <c r="AB737" s="10">
        <v>30.0</v>
      </c>
      <c r="AC737" s="24" t="s">
        <v>1489</v>
      </c>
      <c r="AD737" s="24" t="s">
        <v>1489</v>
      </c>
      <c r="AE737" s="10"/>
      <c r="AF737" s="2"/>
      <c r="AG737" s="10" t="s">
        <v>680</v>
      </c>
      <c r="AH737" s="12" t="s">
        <v>46</v>
      </c>
      <c r="AI737" s="10" t="s">
        <v>226</v>
      </c>
      <c r="AJ737" s="12" t="s">
        <v>1930</v>
      </c>
      <c r="AK737" s="16" t="s">
        <v>45</v>
      </c>
      <c r="AL737" s="10" t="s">
        <v>49</v>
      </c>
      <c r="AM737" s="12" t="s">
        <v>1931</v>
      </c>
      <c r="AN737" s="10" t="s">
        <v>50</v>
      </c>
    </row>
    <row r="738" ht="30.0" customHeight="1">
      <c r="A738" s="9" t="str">
        <f t="shared" si="48"/>
        <v>N/I</v>
      </c>
      <c r="B738" s="9" t="str">
        <f t="shared" si="49"/>
        <v>N/I</v>
      </c>
      <c r="C738" s="9" t="str">
        <f t="shared" si="64"/>
        <v>N/I</v>
      </c>
      <c r="D738" s="10" t="s">
        <v>1922</v>
      </c>
      <c r="E738" s="11" t="s">
        <v>1923</v>
      </c>
      <c r="F738" s="32"/>
      <c r="G738" s="12" t="s">
        <v>1691</v>
      </c>
      <c r="H738" s="44" t="s">
        <v>187</v>
      </c>
      <c r="I738" s="12"/>
      <c r="J738" s="10" t="s">
        <v>197</v>
      </c>
      <c r="K738" s="10" t="s">
        <v>40</v>
      </c>
      <c r="L738" s="10" t="s">
        <v>6</v>
      </c>
      <c r="M738" s="24" t="s">
        <v>193</v>
      </c>
      <c r="N738" s="11"/>
      <c r="O738" s="10"/>
      <c r="P738" s="10" t="s">
        <v>1929</v>
      </c>
      <c r="Q738" s="2"/>
      <c r="R738" s="15"/>
      <c r="S738" s="15"/>
      <c r="T738" s="15"/>
      <c r="U738" s="15"/>
      <c r="V738" s="1"/>
      <c r="W738" s="15"/>
      <c r="X738" s="15"/>
      <c r="Y738" s="15"/>
      <c r="Z738" s="15"/>
      <c r="AA738" s="1"/>
      <c r="AB738" s="10">
        <v>30.0</v>
      </c>
      <c r="AC738" s="24" t="s">
        <v>1489</v>
      </c>
      <c r="AD738" s="24" t="s">
        <v>1489</v>
      </c>
      <c r="AE738" s="10"/>
      <c r="AF738" s="2"/>
      <c r="AG738" s="10" t="s">
        <v>680</v>
      </c>
      <c r="AH738" s="12" t="s">
        <v>46</v>
      </c>
      <c r="AI738" s="10" t="s">
        <v>226</v>
      </c>
      <c r="AJ738" s="12" t="s">
        <v>1930</v>
      </c>
      <c r="AK738" s="16" t="s">
        <v>45</v>
      </c>
      <c r="AL738" s="10" t="s">
        <v>49</v>
      </c>
      <c r="AM738" s="12" t="s">
        <v>1931</v>
      </c>
      <c r="AN738" s="10" t="s">
        <v>50</v>
      </c>
    </row>
    <row r="739" ht="30.0" customHeight="1">
      <c r="A739" s="9" t="str">
        <f t="shared" si="48"/>
        <v>N/I</v>
      </c>
      <c r="B739" s="9" t="str">
        <f t="shared" si="49"/>
        <v>N/I</v>
      </c>
      <c r="C739" s="9" t="str">
        <f t="shared" si="64"/>
        <v>N/I</v>
      </c>
      <c r="D739" s="10" t="s">
        <v>1922</v>
      </c>
      <c r="E739" s="11" t="s">
        <v>1923</v>
      </c>
      <c r="F739" s="32"/>
      <c r="G739" s="12" t="s">
        <v>1691</v>
      </c>
      <c r="H739" s="44" t="s">
        <v>187</v>
      </c>
      <c r="I739" s="12"/>
      <c r="J739" s="10" t="s">
        <v>197</v>
      </c>
      <c r="K739" s="10" t="s">
        <v>40</v>
      </c>
      <c r="L739" s="10" t="s">
        <v>6</v>
      </c>
      <c r="M739" s="24" t="s">
        <v>193</v>
      </c>
      <c r="N739" s="11"/>
      <c r="O739" s="10"/>
      <c r="P739" s="10" t="s">
        <v>1929</v>
      </c>
      <c r="Q739" s="2"/>
      <c r="R739" s="15"/>
      <c r="S739" s="15"/>
      <c r="T739" s="15"/>
      <c r="U739" s="15"/>
      <c r="V739" s="1"/>
      <c r="W739" s="15"/>
      <c r="X739" s="15"/>
      <c r="Y739" s="15"/>
      <c r="Z739" s="15"/>
      <c r="AA739" s="1"/>
      <c r="AB739" s="10">
        <v>30.0</v>
      </c>
      <c r="AC739" s="24" t="s">
        <v>1489</v>
      </c>
      <c r="AD739" s="24" t="s">
        <v>1489</v>
      </c>
      <c r="AE739" s="10"/>
      <c r="AF739" s="2"/>
      <c r="AG739" s="10" t="s">
        <v>680</v>
      </c>
      <c r="AH739" s="12" t="s">
        <v>46</v>
      </c>
      <c r="AI739" s="10" t="s">
        <v>226</v>
      </c>
      <c r="AJ739" s="12" t="s">
        <v>1930</v>
      </c>
      <c r="AK739" s="16" t="s">
        <v>45</v>
      </c>
      <c r="AL739" s="10" t="s">
        <v>49</v>
      </c>
      <c r="AM739" s="12" t="s">
        <v>1931</v>
      </c>
      <c r="AN739" s="10" t="s">
        <v>50</v>
      </c>
    </row>
    <row r="740" ht="30.0" customHeight="1">
      <c r="A740" s="9" t="str">
        <f t="shared" si="48"/>
        <v>N/I</v>
      </c>
      <c r="B740" s="9" t="str">
        <f t="shared" si="49"/>
        <v>N/I</v>
      </c>
      <c r="C740" s="9" t="str">
        <f t="shared" si="64"/>
        <v>N/I</v>
      </c>
      <c r="D740" s="10" t="s">
        <v>1922</v>
      </c>
      <c r="E740" s="11" t="s">
        <v>1923</v>
      </c>
      <c r="F740" s="32"/>
      <c r="G740" s="12" t="s">
        <v>1691</v>
      </c>
      <c r="H740" s="44" t="s">
        <v>187</v>
      </c>
      <c r="I740" s="12"/>
      <c r="J740" s="10" t="s">
        <v>197</v>
      </c>
      <c r="K740" s="10" t="s">
        <v>40</v>
      </c>
      <c r="L740" s="10" t="s">
        <v>6</v>
      </c>
      <c r="M740" s="24" t="s">
        <v>193</v>
      </c>
      <c r="N740" s="11"/>
      <c r="O740" s="10"/>
      <c r="P740" s="10" t="s">
        <v>1929</v>
      </c>
      <c r="Q740" s="2"/>
      <c r="R740" s="15"/>
      <c r="S740" s="15"/>
      <c r="T740" s="15"/>
      <c r="U740" s="15"/>
      <c r="V740" s="1"/>
      <c r="W740" s="15"/>
      <c r="X740" s="15"/>
      <c r="Y740" s="15"/>
      <c r="Z740" s="15"/>
      <c r="AA740" s="1"/>
      <c r="AB740" s="10">
        <v>30.0</v>
      </c>
      <c r="AC740" s="24" t="s">
        <v>1489</v>
      </c>
      <c r="AD740" s="24" t="s">
        <v>1489</v>
      </c>
      <c r="AE740" s="10"/>
      <c r="AF740" s="2"/>
      <c r="AG740" s="10" t="s">
        <v>680</v>
      </c>
      <c r="AH740" s="12" t="s">
        <v>46</v>
      </c>
      <c r="AI740" s="10" t="s">
        <v>226</v>
      </c>
      <c r="AJ740" s="12" t="s">
        <v>1930</v>
      </c>
      <c r="AK740" s="16" t="s">
        <v>45</v>
      </c>
      <c r="AL740" s="10" t="s">
        <v>49</v>
      </c>
      <c r="AM740" s="12" t="s">
        <v>1931</v>
      </c>
      <c r="AN740" s="10" t="s">
        <v>50</v>
      </c>
    </row>
    <row r="741" ht="30.0" customHeight="1">
      <c r="A741" s="9" t="str">
        <f t="shared" si="48"/>
        <v>N/I</v>
      </c>
      <c r="B741" s="9" t="str">
        <f t="shared" si="49"/>
        <v>N/I</v>
      </c>
      <c r="C741" s="9" t="str">
        <f t="shared" si="64"/>
        <v>N/I</v>
      </c>
      <c r="D741" s="10" t="s">
        <v>1922</v>
      </c>
      <c r="E741" s="11" t="s">
        <v>1923</v>
      </c>
      <c r="F741" s="32"/>
      <c r="G741" s="12" t="s">
        <v>1691</v>
      </c>
      <c r="H741" s="44" t="s">
        <v>187</v>
      </c>
      <c r="I741" s="12"/>
      <c r="J741" s="10" t="s">
        <v>197</v>
      </c>
      <c r="K741" s="10" t="s">
        <v>40</v>
      </c>
      <c r="L741" s="10" t="s">
        <v>6</v>
      </c>
      <c r="M741" s="24" t="s">
        <v>193</v>
      </c>
      <c r="N741" s="11"/>
      <c r="O741" s="10"/>
      <c r="P741" s="10" t="s">
        <v>1929</v>
      </c>
      <c r="Q741" s="2"/>
      <c r="R741" s="15"/>
      <c r="S741" s="15"/>
      <c r="T741" s="15"/>
      <c r="U741" s="15"/>
      <c r="V741" s="1"/>
      <c r="W741" s="15"/>
      <c r="X741" s="15"/>
      <c r="Y741" s="15"/>
      <c r="Z741" s="15"/>
      <c r="AA741" s="1"/>
      <c r="AB741" s="10">
        <v>30.0</v>
      </c>
      <c r="AC741" s="24" t="s">
        <v>1489</v>
      </c>
      <c r="AD741" s="24" t="s">
        <v>1489</v>
      </c>
      <c r="AE741" s="10"/>
      <c r="AF741" s="2"/>
      <c r="AG741" s="10" t="s">
        <v>680</v>
      </c>
      <c r="AH741" s="12" t="s">
        <v>46</v>
      </c>
      <c r="AI741" s="10" t="s">
        <v>226</v>
      </c>
      <c r="AJ741" s="12" t="s">
        <v>1930</v>
      </c>
      <c r="AK741" s="16" t="s">
        <v>45</v>
      </c>
      <c r="AL741" s="10" t="s">
        <v>49</v>
      </c>
      <c r="AM741" s="12" t="s">
        <v>1931</v>
      </c>
      <c r="AN741" s="10" t="s">
        <v>50</v>
      </c>
    </row>
    <row r="742" ht="30.0" customHeight="1">
      <c r="A742" s="9" t="str">
        <f t="shared" si="48"/>
        <v>Inativo</v>
      </c>
      <c r="B742" s="9" t="str">
        <f t="shared" si="49"/>
        <v>N/I</v>
      </c>
      <c r="C742" s="9" t="str">
        <f t="shared" si="64"/>
        <v>N/I</v>
      </c>
      <c r="D742" s="10" t="s">
        <v>2227</v>
      </c>
      <c r="E742" s="11" t="s">
        <v>2228</v>
      </c>
      <c r="F742" s="11" t="s">
        <v>2229</v>
      </c>
      <c r="G742" s="12" t="s">
        <v>55</v>
      </c>
      <c r="H742" s="16" t="s">
        <v>2230</v>
      </c>
      <c r="I742" s="12" t="s">
        <v>370</v>
      </c>
      <c r="J742" s="10" t="s">
        <v>89</v>
      </c>
      <c r="K742" s="10" t="s">
        <v>41</v>
      </c>
      <c r="L742" s="10" t="s">
        <v>4</v>
      </c>
      <c r="M742" s="14">
        <v>44812.0</v>
      </c>
      <c r="N742" s="11" t="s">
        <v>371</v>
      </c>
      <c r="O742" s="10" t="s">
        <v>2231</v>
      </c>
      <c r="P742" s="10" t="s">
        <v>2232</v>
      </c>
      <c r="Q742" s="2"/>
      <c r="R742" s="10">
        <v>12.0</v>
      </c>
      <c r="S742" s="14">
        <v>44812.0</v>
      </c>
      <c r="T742" s="14">
        <v>45176.0</v>
      </c>
      <c r="U742" s="10">
        <f t="shared" ref="U742:U779" si="65">T742-TODAY()</f>
        <v>-915</v>
      </c>
      <c r="V742" s="1"/>
      <c r="W742" s="15"/>
      <c r="X742" s="15"/>
      <c r="Y742" s="15"/>
      <c r="Z742" s="15"/>
      <c r="AA742" s="1"/>
      <c r="AB742" s="15"/>
      <c r="AC742" s="15"/>
      <c r="AD742" s="15"/>
      <c r="AE742" s="15"/>
      <c r="AF742" s="2"/>
      <c r="AG742" s="16" t="s">
        <v>45</v>
      </c>
      <c r="AH742" s="16" t="s">
        <v>45</v>
      </c>
      <c r="AI742" s="16" t="s">
        <v>45</v>
      </c>
      <c r="AJ742" s="16" t="s">
        <v>45</v>
      </c>
      <c r="AK742" s="16" t="s">
        <v>45</v>
      </c>
      <c r="AL742" s="10" t="s">
        <v>49</v>
      </c>
      <c r="AM742" s="16" t="s">
        <v>45</v>
      </c>
      <c r="AN742" s="16" t="s">
        <v>45</v>
      </c>
    </row>
    <row r="743" ht="30.0" customHeight="1">
      <c r="A743" s="9" t="str">
        <f t="shared" si="48"/>
        <v>Inativo</v>
      </c>
      <c r="B743" s="9" t="str">
        <f t="shared" si="49"/>
        <v>N/I</v>
      </c>
      <c r="C743" s="9" t="str">
        <f t="shared" si="64"/>
        <v>N/I</v>
      </c>
      <c r="D743" s="10" t="s">
        <v>2227</v>
      </c>
      <c r="E743" s="11" t="s">
        <v>2228</v>
      </c>
      <c r="F743" s="11" t="s">
        <v>2229</v>
      </c>
      <c r="G743" s="12" t="s">
        <v>79</v>
      </c>
      <c r="H743" s="13" t="s">
        <v>2233</v>
      </c>
      <c r="I743" s="12" t="s">
        <v>370</v>
      </c>
      <c r="J743" s="10" t="s">
        <v>89</v>
      </c>
      <c r="K743" s="10" t="s">
        <v>41</v>
      </c>
      <c r="L743" s="10" t="s">
        <v>4</v>
      </c>
      <c r="M743" s="14">
        <v>45218.0</v>
      </c>
      <c r="N743" s="11" t="s">
        <v>371</v>
      </c>
      <c r="O743" s="10" t="s">
        <v>2231</v>
      </c>
      <c r="P743" s="10" t="s">
        <v>2234</v>
      </c>
      <c r="Q743" s="2"/>
      <c r="R743" s="10">
        <v>12.0</v>
      </c>
      <c r="S743" s="14">
        <v>44812.0</v>
      </c>
      <c r="T743" s="14">
        <v>45583.0</v>
      </c>
      <c r="U743" s="10">
        <f t="shared" si="65"/>
        <v>-508</v>
      </c>
      <c r="V743" s="1"/>
      <c r="W743" s="15"/>
      <c r="X743" s="15"/>
      <c r="Y743" s="15"/>
      <c r="Z743" s="15"/>
      <c r="AA743" s="1"/>
      <c r="AB743" s="15"/>
      <c r="AC743" s="15"/>
      <c r="AD743" s="15"/>
      <c r="AE743" s="15"/>
      <c r="AF743" s="2"/>
      <c r="AG743" s="16" t="s">
        <v>45</v>
      </c>
      <c r="AH743" s="12" t="s">
        <v>355</v>
      </c>
      <c r="AI743" s="10" t="s">
        <v>226</v>
      </c>
      <c r="AJ743" s="10" t="s">
        <v>390</v>
      </c>
      <c r="AK743" s="16" t="s">
        <v>45</v>
      </c>
      <c r="AL743" s="10" t="s">
        <v>49</v>
      </c>
      <c r="AM743" s="16" t="s">
        <v>45</v>
      </c>
      <c r="AN743" s="10" t="s">
        <v>320</v>
      </c>
    </row>
    <row r="744" ht="30.0" customHeight="1">
      <c r="A744" s="9" t="str">
        <f t="shared" si="48"/>
        <v>Inativo</v>
      </c>
      <c r="B744" s="9" t="str">
        <f t="shared" si="49"/>
        <v>N/I</v>
      </c>
      <c r="C744" s="9" t="str">
        <f t="shared" si="64"/>
        <v>N/I</v>
      </c>
      <c r="D744" s="10" t="s">
        <v>2227</v>
      </c>
      <c r="E744" s="11" t="s">
        <v>2228</v>
      </c>
      <c r="F744" s="11" t="s">
        <v>2229</v>
      </c>
      <c r="G744" s="12" t="s">
        <v>55</v>
      </c>
      <c r="H744" s="13" t="s">
        <v>2235</v>
      </c>
      <c r="I744" s="12" t="s">
        <v>370</v>
      </c>
      <c r="J744" s="10" t="s">
        <v>89</v>
      </c>
      <c r="K744" s="10" t="s">
        <v>41</v>
      </c>
      <c r="L744" s="10" t="s">
        <v>4</v>
      </c>
      <c r="M744" s="14">
        <v>45299.0</v>
      </c>
      <c r="N744" s="11" t="s">
        <v>371</v>
      </c>
      <c r="O744" s="10" t="s">
        <v>2231</v>
      </c>
      <c r="P744" s="10" t="s">
        <v>2236</v>
      </c>
      <c r="Q744" s="2"/>
      <c r="R744" s="10">
        <v>12.0</v>
      </c>
      <c r="S744" s="14">
        <v>45299.0</v>
      </c>
      <c r="T744" s="14">
        <v>45664.0</v>
      </c>
      <c r="U744" s="10">
        <f t="shared" si="65"/>
        <v>-427</v>
      </c>
      <c r="V744" s="1"/>
      <c r="W744" s="15"/>
      <c r="X744" s="15"/>
      <c r="Y744" s="15"/>
      <c r="Z744" s="15"/>
      <c r="AA744" s="1"/>
      <c r="AB744" s="15"/>
      <c r="AC744" s="15"/>
      <c r="AD744" s="15"/>
      <c r="AE744" s="15"/>
      <c r="AF744" s="2"/>
      <c r="AG744" s="16" t="s">
        <v>45</v>
      </c>
      <c r="AH744" s="10" t="s">
        <v>318</v>
      </c>
      <c r="AI744" s="16" t="s">
        <v>45</v>
      </c>
      <c r="AJ744" s="16" t="s">
        <v>45</v>
      </c>
      <c r="AK744" s="16" t="s">
        <v>45</v>
      </c>
      <c r="AL744" s="10" t="s">
        <v>49</v>
      </c>
      <c r="AM744" s="16" t="s">
        <v>45</v>
      </c>
      <c r="AN744" s="16" t="s">
        <v>45</v>
      </c>
    </row>
    <row r="745" ht="30.0" customHeight="1">
      <c r="A745" s="9" t="str">
        <f t="shared" si="48"/>
        <v>Inativo</v>
      </c>
      <c r="B745" s="9" t="str">
        <f t="shared" si="49"/>
        <v>N/I</v>
      </c>
      <c r="C745" s="9" t="str">
        <f t="shared" si="64"/>
        <v>N/I</v>
      </c>
      <c r="D745" s="10" t="s">
        <v>2227</v>
      </c>
      <c r="E745" s="11" t="s">
        <v>2228</v>
      </c>
      <c r="F745" s="11" t="s">
        <v>2229</v>
      </c>
      <c r="G745" s="12" t="s">
        <v>55</v>
      </c>
      <c r="H745" s="13" t="s">
        <v>2237</v>
      </c>
      <c r="I745" s="12" t="s">
        <v>370</v>
      </c>
      <c r="J745" s="10" t="s">
        <v>89</v>
      </c>
      <c r="K745" s="10" t="s">
        <v>41</v>
      </c>
      <c r="L745" s="10" t="s">
        <v>4</v>
      </c>
      <c r="M745" s="14">
        <v>45300.0</v>
      </c>
      <c r="N745" s="11" t="s">
        <v>371</v>
      </c>
      <c r="O745" s="10" t="s">
        <v>2231</v>
      </c>
      <c r="P745" s="10" t="s">
        <v>2236</v>
      </c>
      <c r="Q745" s="2"/>
      <c r="R745" s="10">
        <v>12.0</v>
      </c>
      <c r="S745" s="14">
        <v>45300.0</v>
      </c>
      <c r="T745" s="14">
        <v>45665.0</v>
      </c>
      <c r="U745" s="10">
        <f t="shared" si="65"/>
        <v>-426</v>
      </c>
      <c r="V745" s="1"/>
      <c r="W745" s="15"/>
      <c r="X745" s="15"/>
      <c r="Y745" s="15"/>
      <c r="Z745" s="15"/>
      <c r="AA745" s="1"/>
      <c r="AB745" s="15"/>
      <c r="AC745" s="15"/>
      <c r="AD745" s="15"/>
      <c r="AE745" s="15"/>
      <c r="AF745" s="2"/>
      <c r="AG745" s="16" t="s">
        <v>45</v>
      </c>
      <c r="AH745" s="10" t="s">
        <v>318</v>
      </c>
      <c r="AI745" s="16" t="s">
        <v>45</v>
      </c>
      <c r="AJ745" s="16" t="s">
        <v>45</v>
      </c>
      <c r="AK745" s="16" t="s">
        <v>45</v>
      </c>
      <c r="AL745" s="10" t="s">
        <v>49</v>
      </c>
      <c r="AM745" s="16" t="s">
        <v>45</v>
      </c>
      <c r="AN745" s="16" t="s">
        <v>45</v>
      </c>
    </row>
    <row r="746" ht="30.0" customHeight="1">
      <c r="A746" s="9" t="str">
        <f t="shared" si="48"/>
        <v>Ativo</v>
      </c>
      <c r="B746" s="9" t="str">
        <f t="shared" si="49"/>
        <v>N/I</v>
      </c>
      <c r="C746" s="9" t="str">
        <f t="shared" si="64"/>
        <v>N/I</v>
      </c>
      <c r="D746" s="10" t="s">
        <v>2227</v>
      </c>
      <c r="E746" s="11" t="s">
        <v>2228</v>
      </c>
      <c r="F746" s="11" t="s">
        <v>2229</v>
      </c>
      <c r="G746" s="12" t="s">
        <v>116</v>
      </c>
      <c r="H746" s="13" t="s">
        <v>2238</v>
      </c>
      <c r="I746" s="12" t="s">
        <v>370</v>
      </c>
      <c r="J746" s="10" t="s">
        <v>89</v>
      </c>
      <c r="K746" s="10" t="s">
        <v>41</v>
      </c>
      <c r="L746" s="10" t="s">
        <v>4</v>
      </c>
      <c r="M746" s="14">
        <v>46009.0</v>
      </c>
      <c r="N746" s="11" t="s">
        <v>371</v>
      </c>
      <c r="O746" s="10" t="s">
        <v>2231</v>
      </c>
      <c r="P746" s="10" t="s">
        <v>2239</v>
      </c>
      <c r="Q746" s="2"/>
      <c r="R746" s="10">
        <v>24.0</v>
      </c>
      <c r="S746" s="14">
        <v>46009.0</v>
      </c>
      <c r="T746" s="14">
        <v>46739.0</v>
      </c>
      <c r="U746" s="10">
        <f t="shared" si="65"/>
        <v>648</v>
      </c>
      <c r="V746" s="1"/>
      <c r="W746" s="15"/>
      <c r="X746" s="15"/>
      <c r="Y746" s="15"/>
      <c r="Z746" s="15"/>
      <c r="AA746" s="1"/>
      <c r="AB746" s="15"/>
      <c r="AC746" s="15"/>
      <c r="AD746" s="15"/>
      <c r="AE746" s="15"/>
      <c r="AF746" s="2"/>
      <c r="AG746" s="16" t="s">
        <v>45</v>
      </c>
      <c r="AH746" s="16" t="s">
        <v>45</v>
      </c>
      <c r="AI746" s="16" t="s">
        <v>45</v>
      </c>
      <c r="AJ746" s="16" t="s">
        <v>45</v>
      </c>
      <c r="AK746" s="16" t="s">
        <v>45</v>
      </c>
      <c r="AL746" s="10" t="s">
        <v>49</v>
      </c>
      <c r="AM746" s="16" t="s">
        <v>45</v>
      </c>
      <c r="AN746" s="10" t="s">
        <v>50</v>
      </c>
    </row>
    <row r="747" ht="30.0" customHeight="1">
      <c r="A747" s="9" t="str">
        <f t="shared" si="48"/>
        <v>Ativo</v>
      </c>
      <c r="B747" s="9" t="str">
        <f t="shared" si="49"/>
        <v>N/I</v>
      </c>
      <c r="C747" s="9" t="str">
        <f t="shared" si="64"/>
        <v>N/I</v>
      </c>
      <c r="D747" s="10" t="s">
        <v>2227</v>
      </c>
      <c r="E747" s="11" t="s">
        <v>2228</v>
      </c>
      <c r="F747" s="11" t="s">
        <v>2229</v>
      </c>
      <c r="G747" s="12" t="s">
        <v>116</v>
      </c>
      <c r="H747" s="13" t="s">
        <v>2240</v>
      </c>
      <c r="I747" s="12" t="s">
        <v>370</v>
      </c>
      <c r="J747" s="10" t="s">
        <v>89</v>
      </c>
      <c r="K747" s="10" t="s">
        <v>41</v>
      </c>
      <c r="L747" s="10" t="s">
        <v>4</v>
      </c>
      <c r="M747" s="14">
        <v>46009.0</v>
      </c>
      <c r="N747" s="11" t="s">
        <v>371</v>
      </c>
      <c r="O747" s="10" t="s">
        <v>2231</v>
      </c>
      <c r="P747" s="10" t="s">
        <v>2239</v>
      </c>
      <c r="Q747" s="2"/>
      <c r="R747" s="10">
        <v>24.0</v>
      </c>
      <c r="S747" s="14">
        <v>46009.0</v>
      </c>
      <c r="T747" s="14">
        <v>46739.0</v>
      </c>
      <c r="U747" s="10">
        <f t="shared" si="65"/>
        <v>648</v>
      </c>
      <c r="V747" s="1"/>
      <c r="W747" s="15"/>
      <c r="X747" s="15"/>
      <c r="Y747" s="15"/>
      <c r="Z747" s="15"/>
      <c r="AA747" s="1"/>
      <c r="AB747" s="15"/>
      <c r="AC747" s="15"/>
      <c r="AD747" s="15"/>
      <c r="AE747" s="15"/>
      <c r="AF747" s="2"/>
      <c r="AG747" s="16" t="s">
        <v>45</v>
      </c>
      <c r="AH747" s="16" t="s">
        <v>45</v>
      </c>
      <c r="AI747" s="16" t="s">
        <v>45</v>
      </c>
      <c r="AJ747" s="16" t="s">
        <v>45</v>
      </c>
      <c r="AK747" s="16" t="s">
        <v>45</v>
      </c>
      <c r="AL747" s="10" t="s">
        <v>49</v>
      </c>
      <c r="AM747" s="16" t="s">
        <v>45</v>
      </c>
      <c r="AN747" s="10" t="s">
        <v>50</v>
      </c>
    </row>
    <row r="748" ht="30.0" customHeight="1">
      <c r="A748" s="9" t="str">
        <f t="shared" si="48"/>
        <v>Inativo</v>
      </c>
      <c r="B748" s="9" t="str">
        <f t="shared" si="49"/>
        <v>N/I</v>
      </c>
      <c r="C748" s="9" t="str">
        <f t="shared" si="64"/>
        <v>N/I</v>
      </c>
      <c r="D748" s="10" t="s">
        <v>2227</v>
      </c>
      <c r="E748" s="11" t="s">
        <v>2228</v>
      </c>
      <c r="F748" s="11" t="s">
        <v>2241</v>
      </c>
      <c r="G748" s="12" t="s">
        <v>52</v>
      </c>
      <c r="H748" s="48" t="s">
        <v>2242</v>
      </c>
      <c r="I748" s="12" t="s">
        <v>1345</v>
      </c>
      <c r="J748" s="10" t="s">
        <v>521</v>
      </c>
      <c r="K748" s="10" t="s">
        <v>263</v>
      </c>
      <c r="L748" s="10" t="s">
        <v>4</v>
      </c>
      <c r="M748" s="14">
        <v>45559.0</v>
      </c>
      <c r="N748" s="32" t="s">
        <v>2243</v>
      </c>
      <c r="O748" s="10" t="s">
        <v>2244</v>
      </c>
      <c r="P748" s="10" t="s">
        <v>2245</v>
      </c>
      <c r="Q748" s="2"/>
      <c r="R748" s="10">
        <v>12.0</v>
      </c>
      <c r="S748" s="14">
        <v>45559.0</v>
      </c>
      <c r="T748" s="14">
        <v>45924.0</v>
      </c>
      <c r="U748" s="10">
        <f t="shared" si="65"/>
        <v>-167</v>
      </c>
      <c r="V748" s="1"/>
      <c r="W748" s="15"/>
      <c r="X748" s="15"/>
      <c r="Y748" s="15"/>
      <c r="Z748" s="15"/>
      <c r="AA748" s="1"/>
      <c r="AB748" s="15"/>
      <c r="AC748" s="15"/>
      <c r="AD748" s="15"/>
      <c r="AE748" s="15"/>
      <c r="AF748" s="2"/>
      <c r="AG748" s="16" t="s">
        <v>45</v>
      </c>
      <c r="AH748" s="16" t="s">
        <v>45</v>
      </c>
      <c r="AI748" s="16" t="s">
        <v>45</v>
      </c>
      <c r="AJ748" s="16" t="s">
        <v>45</v>
      </c>
      <c r="AK748" s="16" t="s">
        <v>45</v>
      </c>
      <c r="AL748" s="10" t="s">
        <v>49</v>
      </c>
      <c r="AM748" s="16" t="s">
        <v>45</v>
      </c>
      <c r="AN748" s="10" t="s">
        <v>50</v>
      </c>
    </row>
    <row r="749" ht="30.0" customHeight="1">
      <c r="A749" s="9" t="str">
        <f t="shared" si="48"/>
        <v>Inativo</v>
      </c>
      <c r="B749" s="9" t="str">
        <f t="shared" si="49"/>
        <v>N/I</v>
      </c>
      <c r="C749" s="9" t="str">
        <f t="shared" si="64"/>
        <v>N/I</v>
      </c>
      <c r="D749" s="10" t="s">
        <v>2227</v>
      </c>
      <c r="E749" s="11" t="s">
        <v>2228</v>
      </c>
      <c r="F749" s="11" t="s">
        <v>2241</v>
      </c>
      <c r="G749" s="12" t="s">
        <v>52</v>
      </c>
      <c r="H749" s="48" t="s">
        <v>2246</v>
      </c>
      <c r="I749" s="12" t="s">
        <v>1345</v>
      </c>
      <c r="J749" s="10" t="s">
        <v>521</v>
      </c>
      <c r="K749" s="10" t="s">
        <v>263</v>
      </c>
      <c r="L749" s="10" t="s">
        <v>4</v>
      </c>
      <c r="M749" s="14">
        <v>45559.0</v>
      </c>
      <c r="N749" s="32" t="s">
        <v>2243</v>
      </c>
      <c r="O749" s="10" t="s">
        <v>2244</v>
      </c>
      <c r="P749" s="10" t="s">
        <v>2245</v>
      </c>
      <c r="Q749" s="2"/>
      <c r="R749" s="10">
        <v>12.0</v>
      </c>
      <c r="S749" s="14">
        <v>45559.0</v>
      </c>
      <c r="T749" s="14">
        <v>45924.0</v>
      </c>
      <c r="U749" s="10">
        <f t="shared" si="65"/>
        <v>-167</v>
      </c>
      <c r="V749" s="1"/>
      <c r="W749" s="15"/>
      <c r="X749" s="15"/>
      <c r="Y749" s="15"/>
      <c r="Z749" s="15"/>
      <c r="AA749" s="1"/>
      <c r="AB749" s="15"/>
      <c r="AC749" s="15"/>
      <c r="AD749" s="15"/>
      <c r="AE749" s="15"/>
      <c r="AF749" s="2"/>
      <c r="AG749" s="16" t="s">
        <v>45</v>
      </c>
      <c r="AH749" s="16" t="s">
        <v>45</v>
      </c>
      <c r="AI749" s="16" t="s">
        <v>45</v>
      </c>
      <c r="AJ749" s="16" t="s">
        <v>45</v>
      </c>
      <c r="AK749" s="16" t="s">
        <v>45</v>
      </c>
      <c r="AL749" s="10" t="s">
        <v>49</v>
      </c>
      <c r="AM749" s="16" t="s">
        <v>45</v>
      </c>
      <c r="AN749" s="10" t="s">
        <v>50</v>
      </c>
    </row>
    <row r="750" ht="30.0" customHeight="1">
      <c r="A750" s="9" t="str">
        <f t="shared" si="48"/>
        <v>Inativo</v>
      </c>
      <c r="B750" s="9" t="str">
        <f t="shared" si="49"/>
        <v>N/I</v>
      </c>
      <c r="C750" s="9" t="str">
        <f t="shared" si="64"/>
        <v>N/I</v>
      </c>
      <c r="D750" s="10" t="s">
        <v>2227</v>
      </c>
      <c r="E750" s="11" t="s">
        <v>2228</v>
      </c>
      <c r="F750" s="11" t="s">
        <v>2241</v>
      </c>
      <c r="G750" s="12" t="s">
        <v>58</v>
      </c>
      <c r="H750" s="48" t="s">
        <v>2247</v>
      </c>
      <c r="I750" s="12" t="s">
        <v>1345</v>
      </c>
      <c r="J750" s="10" t="s">
        <v>521</v>
      </c>
      <c r="K750" s="10" t="s">
        <v>263</v>
      </c>
      <c r="L750" s="10" t="s">
        <v>4</v>
      </c>
      <c r="M750" s="14">
        <v>45559.0</v>
      </c>
      <c r="N750" s="32" t="s">
        <v>2243</v>
      </c>
      <c r="O750" s="10" t="s">
        <v>2244</v>
      </c>
      <c r="P750" s="10" t="s">
        <v>2245</v>
      </c>
      <c r="Q750" s="2"/>
      <c r="R750" s="10">
        <v>12.0</v>
      </c>
      <c r="S750" s="14">
        <v>45559.0</v>
      </c>
      <c r="T750" s="14">
        <v>45924.0</v>
      </c>
      <c r="U750" s="10">
        <f t="shared" si="65"/>
        <v>-167</v>
      </c>
      <c r="V750" s="1"/>
      <c r="W750" s="15"/>
      <c r="X750" s="15"/>
      <c r="Y750" s="15"/>
      <c r="Z750" s="15"/>
      <c r="AA750" s="1"/>
      <c r="AB750" s="15"/>
      <c r="AC750" s="15"/>
      <c r="AD750" s="15"/>
      <c r="AE750" s="15"/>
      <c r="AF750" s="2"/>
      <c r="AG750" s="16" t="s">
        <v>45</v>
      </c>
      <c r="AH750" s="16" t="s">
        <v>45</v>
      </c>
      <c r="AI750" s="16" t="s">
        <v>45</v>
      </c>
      <c r="AJ750" s="16" t="s">
        <v>45</v>
      </c>
      <c r="AK750" s="16" t="s">
        <v>45</v>
      </c>
      <c r="AL750" s="10" t="s">
        <v>49</v>
      </c>
      <c r="AM750" s="16" t="s">
        <v>45</v>
      </c>
      <c r="AN750" s="10" t="s">
        <v>50</v>
      </c>
    </row>
    <row r="751" ht="30.0" customHeight="1">
      <c r="A751" s="9" t="str">
        <f t="shared" si="48"/>
        <v>Inativo</v>
      </c>
      <c r="B751" s="9" t="str">
        <f t="shared" si="49"/>
        <v>N/I</v>
      </c>
      <c r="C751" s="9" t="str">
        <f t="shared" si="64"/>
        <v>N/I</v>
      </c>
      <c r="D751" s="10" t="s">
        <v>2227</v>
      </c>
      <c r="E751" s="11" t="s">
        <v>2228</v>
      </c>
      <c r="F751" s="11" t="s">
        <v>2241</v>
      </c>
      <c r="G751" s="12" t="s">
        <v>58</v>
      </c>
      <c r="H751" s="48" t="s">
        <v>2248</v>
      </c>
      <c r="I751" s="12" t="s">
        <v>1345</v>
      </c>
      <c r="J751" s="10" t="s">
        <v>521</v>
      </c>
      <c r="K751" s="10" t="s">
        <v>263</v>
      </c>
      <c r="L751" s="10" t="s">
        <v>4</v>
      </c>
      <c r="M751" s="14">
        <v>45559.0</v>
      </c>
      <c r="N751" s="32" t="s">
        <v>2243</v>
      </c>
      <c r="O751" s="10" t="s">
        <v>2244</v>
      </c>
      <c r="P751" s="10" t="s">
        <v>2245</v>
      </c>
      <c r="Q751" s="2"/>
      <c r="R751" s="10">
        <v>12.0</v>
      </c>
      <c r="S751" s="14">
        <v>45559.0</v>
      </c>
      <c r="T751" s="14">
        <v>45924.0</v>
      </c>
      <c r="U751" s="10">
        <f t="shared" si="65"/>
        <v>-167</v>
      </c>
      <c r="V751" s="1"/>
      <c r="W751" s="15"/>
      <c r="X751" s="15"/>
      <c r="Y751" s="15"/>
      <c r="Z751" s="15"/>
      <c r="AA751" s="1"/>
      <c r="AB751" s="15"/>
      <c r="AC751" s="15"/>
      <c r="AD751" s="15"/>
      <c r="AE751" s="15"/>
      <c r="AF751" s="2"/>
      <c r="AG751" s="16" t="s">
        <v>45</v>
      </c>
      <c r="AH751" s="16" t="s">
        <v>45</v>
      </c>
      <c r="AI751" s="16" t="s">
        <v>45</v>
      </c>
      <c r="AJ751" s="16" t="s">
        <v>45</v>
      </c>
      <c r="AK751" s="16" t="s">
        <v>45</v>
      </c>
      <c r="AL751" s="10" t="s">
        <v>49</v>
      </c>
      <c r="AM751" s="16" t="s">
        <v>45</v>
      </c>
      <c r="AN751" s="10" t="s">
        <v>50</v>
      </c>
    </row>
    <row r="752" ht="30.0" customHeight="1">
      <c r="A752" s="9" t="str">
        <f t="shared" si="48"/>
        <v>Inativo</v>
      </c>
      <c r="B752" s="9" t="str">
        <f t="shared" si="49"/>
        <v>N/I</v>
      </c>
      <c r="C752" s="9" t="str">
        <f t="shared" si="64"/>
        <v>N/I</v>
      </c>
      <c r="D752" s="10" t="s">
        <v>2227</v>
      </c>
      <c r="E752" s="11" t="s">
        <v>2228</v>
      </c>
      <c r="F752" s="11" t="s">
        <v>2241</v>
      </c>
      <c r="G752" s="12" t="s">
        <v>52</v>
      </c>
      <c r="H752" s="48" t="s">
        <v>2249</v>
      </c>
      <c r="I752" s="12" t="s">
        <v>1345</v>
      </c>
      <c r="J752" s="10" t="s">
        <v>521</v>
      </c>
      <c r="K752" s="10" t="s">
        <v>263</v>
      </c>
      <c r="L752" s="10" t="s">
        <v>4</v>
      </c>
      <c r="M752" s="14">
        <v>45560.0</v>
      </c>
      <c r="N752" s="32" t="s">
        <v>2243</v>
      </c>
      <c r="O752" s="10" t="s">
        <v>2244</v>
      </c>
      <c r="P752" s="10" t="s">
        <v>2245</v>
      </c>
      <c r="Q752" s="2"/>
      <c r="R752" s="10">
        <v>12.0</v>
      </c>
      <c r="S752" s="14">
        <v>45560.0</v>
      </c>
      <c r="T752" s="14">
        <v>45925.0</v>
      </c>
      <c r="U752" s="10">
        <f t="shared" si="65"/>
        <v>-166</v>
      </c>
      <c r="V752" s="1"/>
      <c r="W752" s="15"/>
      <c r="X752" s="15"/>
      <c r="Y752" s="15"/>
      <c r="Z752" s="15"/>
      <c r="AA752" s="1"/>
      <c r="AB752" s="15"/>
      <c r="AC752" s="15"/>
      <c r="AD752" s="15"/>
      <c r="AE752" s="15"/>
      <c r="AF752" s="2"/>
      <c r="AG752" s="16" t="s">
        <v>45</v>
      </c>
      <c r="AH752" s="16" t="s">
        <v>45</v>
      </c>
      <c r="AI752" s="16" t="s">
        <v>45</v>
      </c>
      <c r="AJ752" s="16" t="s">
        <v>45</v>
      </c>
      <c r="AK752" s="16" t="s">
        <v>45</v>
      </c>
      <c r="AL752" s="10" t="s">
        <v>49</v>
      </c>
      <c r="AM752" s="16" t="s">
        <v>45</v>
      </c>
      <c r="AN752" s="10" t="s">
        <v>50</v>
      </c>
    </row>
    <row r="753" ht="30.0" customHeight="1">
      <c r="A753" s="9" t="str">
        <f t="shared" si="48"/>
        <v>Inativo</v>
      </c>
      <c r="B753" s="9" t="str">
        <f t="shared" si="49"/>
        <v>N/I</v>
      </c>
      <c r="C753" s="9" t="str">
        <f t="shared" si="64"/>
        <v>N/I</v>
      </c>
      <c r="D753" s="10" t="s">
        <v>2227</v>
      </c>
      <c r="E753" s="11" t="s">
        <v>2228</v>
      </c>
      <c r="F753" s="11" t="s">
        <v>2241</v>
      </c>
      <c r="G753" s="12" t="s">
        <v>52</v>
      </c>
      <c r="H753" s="48" t="s">
        <v>2250</v>
      </c>
      <c r="I753" s="12" t="s">
        <v>1345</v>
      </c>
      <c r="J753" s="10" t="s">
        <v>521</v>
      </c>
      <c r="K753" s="10" t="s">
        <v>263</v>
      </c>
      <c r="L753" s="10" t="s">
        <v>4</v>
      </c>
      <c r="M753" s="14">
        <v>45560.0</v>
      </c>
      <c r="N753" s="32" t="s">
        <v>2243</v>
      </c>
      <c r="O753" s="10" t="s">
        <v>2244</v>
      </c>
      <c r="P753" s="10" t="s">
        <v>2245</v>
      </c>
      <c r="Q753" s="2"/>
      <c r="R753" s="10">
        <v>12.0</v>
      </c>
      <c r="S753" s="14">
        <v>45560.0</v>
      </c>
      <c r="T753" s="14">
        <v>45925.0</v>
      </c>
      <c r="U753" s="10">
        <f t="shared" si="65"/>
        <v>-166</v>
      </c>
      <c r="V753" s="1"/>
      <c r="W753" s="15"/>
      <c r="X753" s="15"/>
      <c r="Y753" s="15"/>
      <c r="Z753" s="15"/>
      <c r="AA753" s="1"/>
      <c r="AB753" s="15"/>
      <c r="AC753" s="15"/>
      <c r="AD753" s="15"/>
      <c r="AE753" s="15"/>
      <c r="AF753" s="2"/>
      <c r="AG753" s="16" t="s">
        <v>45</v>
      </c>
      <c r="AH753" s="16" t="s">
        <v>45</v>
      </c>
      <c r="AI753" s="16" t="s">
        <v>45</v>
      </c>
      <c r="AJ753" s="16" t="s">
        <v>45</v>
      </c>
      <c r="AK753" s="16" t="s">
        <v>45</v>
      </c>
      <c r="AL753" s="10" t="s">
        <v>49</v>
      </c>
      <c r="AM753" s="16" t="s">
        <v>45</v>
      </c>
      <c r="AN753" s="10" t="s">
        <v>50</v>
      </c>
    </row>
    <row r="754" ht="30.0" customHeight="1">
      <c r="A754" s="9" t="str">
        <f t="shared" si="48"/>
        <v>Inativo</v>
      </c>
      <c r="B754" s="9" t="str">
        <f t="shared" si="49"/>
        <v>N/I</v>
      </c>
      <c r="C754" s="9" t="str">
        <f t="shared" si="64"/>
        <v>N/I</v>
      </c>
      <c r="D754" s="10" t="s">
        <v>2227</v>
      </c>
      <c r="E754" s="11" t="s">
        <v>2228</v>
      </c>
      <c r="F754" s="11" t="s">
        <v>2241</v>
      </c>
      <c r="G754" s="12" t="s">
        <v>94</v>
      </c>
      <c r="H754" s="41" t="s">
        <v>2251</v>
      </c>
      <c r="I754" s="12" t="s">
        <v>1345</v>
      </c>
      <c r="J754" s="10" t="s">
        <v>521</v>
      </c>
      <c r="K754" s="10" t="s">
        <v>263</v>
      </c>
      <c r="L754" s="10" t="s">
        <v>4</v>
      </c>
      <c r="M754" s="14">
        <v>45561.0</v>
      </c>
      <c r="N754" s="32" t="s">
        <v>2243</v>
      </c>
      <c r="O754" s="10" t="s">
        <v>2244</v>
      </c>
      <c r="P754" s="10" t="s">
        <v>2245</v>
      </c>
      <c r="Q754" s="2"/>
      <c r="R754" s="10">
        <v>12.0</v>
      </c>
      <c r="S754" s="14">
        <v>45561.0</v>
      </c>
      <c r="T754" s="14">
        <v>45926.0</v>
      </c>
      <c r="U754" s="10">
        <f t="shared" si="65"/>
        <v>-165</v>
      </c>
      <c r="V754" s="1"/>
      <c r="W754" s="15"/>
      <c r="X754" s="15"/>
      <c r="Y754" s="15"/>
      <c r="Z754" s="15"/>
      <c r="AA754" s="1"/>
      <c r="AB754" s="15"/>
      <c r="AC754" s="15"/>
      <c r="AD754" s="15"/>
      <c r="AE754" s="15"/>
      <c r="AF754" s="2"/>
      <c r="AG754" s="16" t="s">
        <v>45</v>
      </c>
      <c r="AH754" s="16" t="s">
        <v>45</v>
      </c>
      <c r="AI754" s="16" t="s">
        <v>45</v>
      </c>
      <c r="AJ754" s="16" t="s">
        <v>45</v>
      </c>
      <c r="AK754" s="16" t="s">
        <v>45</v>
      </c>
      <c r="AL754" s="10" t="s">
        <v>49</v>
      </c>
      <c r="AM754" s="16" t="s">
        <v>45</v>
      </c>
      <c r="AN754" s="10" t="s">
        <v>50</v>
      </c>
    </row>
    <row r="755" ht="30.0" customHeight="1">
      <c r="A755" s="9" t="str">
        <f t="shared" si="48"/>
        <v>Inativo</v>
      </c>
      <c r="B755" s="9" t="str">
        <f t="shared" si="49"/>
        <v>N/I</v>
      </c>
      <c r="C755" s="9" t="str">
        <f t="shared" si="64"/>
        <v>N/I</v>
      </c>
      <c r="D755" s="10" t="s">
        <v>2227</v>
      </c>
      <c r="E755" s="11" t="s">
        <v>2228</v>
      </c>
      <c r="F755" s="11" t="s">
        <v>2241</v>
      </c>
      <c r="G755" s="12" t="s">
        <v>94</v>
      </c>
      <c r="H755" s="41" t="s">
        <v>2252</v>
      </c>
      <c r="I755" s="12" t="s">
        <v>1345</v>
      </c>
      <c r="J755" s="10" t="s">
        <v>521</v>
      </c>
      <c r="K755" s="10" t="s">
        <v>263</v>
      </c>
      <c r="L755" s="10" t="s">
        <v>4</v>
      </c>
      <c r="M755" s="14">
        <v>45561.0</v>
      </c>
      <c r="N755" s="32" t="s">
        <v>2243</v>
      </c>
      <c r="O755" s="10" t="s">
        <v>2244</v>
      </c>
      <c r="P755" s="10" t="s">
        <v>2245</v>
      </c>
      <c r="Q755" s="2"/>
      <c r="R755" s="10">
        <v>12.0</v>
      </c>
      <c r="S755" s="14">
        <v>45561.0</v>
      </c>
      <c r="T755" s="14">
        <v>45926.0</v>
      </c>
      <c r="U755" s="10">
        <f t="shared" si="65"/>
        <v>-165</v>
      </c>
      <c r="V755" s="1"/>
      <c r="W755" s="15"/>
      <c r="X755" s="15"/>
      <c r="Y755" s="15"/>
      <c r="Z755" s="15"/>
      <c r="AA755" s="1"/>
      <c r="AB755" s="15"/>
      <c r="AC755" s="15"/>
      <c r="AD755" s="15"/>
      <c r="AE755" s="15"/>
      <c r="AF755" s="2"/>
      <c r="AG755" s="16" t="s">
        <v>45</v>
      </c>
      <c r="AH755" s="16" t="s">
        <v>45</v>
      </c>
      <c r="AI755" s="16" t="s">
        <v>45</v>
      </c>
      <c r="AJ755" s="16" t="s">
        <v>45</v>
      </c>
      <c r="AK755" s="16" t="s">
        <v>45</v>
      </c>
      <c r="AL755" s="10" t="s">
        <v>49</v>
      </c>
      <c r="AM755" s="16" t="s">
        <v>45</v>
      </c>
      <c r="AN755" s="10" t="s">
        <v>50</v>
      </c>
    </row>
    <row r="756" ht="30.0" customHeight="1">
      <c r="A756" s="9" t="str">
        <f t="shared" si="48"/>
        <v>Inativo</v>
      </c>
      <c r="B756" s="9" t="str">
        <f t="shared" si="49"/>
        <v>N/I</v>
      </c>
      <c r="C756" s="9" t="str">
        <f t="shared" si="64"/>
        <v>N/I</v>
      </c>
      <c r="D756" s="10" t="s">
        <v>2227</v>
      </c>
      <c r="E756" s="11" t="s">
        <v>2228</v>
      </c>
      <c r="F756" s="11" t="s">
        <v>2241</v>
      </c>
      <c r="G756" s="12" t="s">
        <v>94</v>
      </c>
      <c r="H756" s="41" t="s">
        <v>2253</v>
      </c>
      <c r="I756" s="12" t="s">
        <v>1345</v>
      </c>
      <c r="J756" s="10" t="s">
        <v>521</v>
      </c>
      <c r="K756" s="10" t="s">
        <v>263</v>
      </c>
      <c r="L756" s="10" t="s">
        <v>4</v>
      </c>
      <c r="M756" s="14">
        <v>45561.0</v>
      </c>
      <c r="N756" s="32" t="s">
        <v>2243</v>
      </c>
      <c r="O756" s="10" t="s">
        <v>2244</v>
      </c>
      <c r="P756" s="10" t="s">
        <v>2245</v>
      </c>
      <c r="Q756" s="2"/>
      <c r="R756" s="10">
        <v>12.0</v>
      </c>
      <c r="S756" s="14">
        <v>45561.0</v>
      </c>
      <c r="T756" s="14">
        <v>45926.0</v>
      </c>
      <c r="U756" s="10">
        <f t="shared" si="65"/>
        <v>-165</v>
      </c>
      <c r="V756" s="1"/>
      <c r="W756" s="15"/>
      <c r="X756" s="15"/>
      <c r="Y756" s="15"/>
      <c r="Z756" s="15"/>
      <c r="AA756" s="1"/>
      <c r="AB756" s="15"/>
      <c r="AC756" s="15"/>
      <c r="AD756" s="15"/>
      <c r="AE756" s="15"/>
      <c r="AF756" s="2"/>
      <c r="AG756" s="16" t="s">
        <v>45</v>
      </c>
      <c r="AH756" s="16" t="s">
        <v>45</v>
      </c>
      <c r="AI756" s="16" t="s">
        <v>45</v>
      </c>
      <c r="AJ756" s="16" t="s">
        <v>45</v>
      </c>
      <c r="AK756" s="16" t="s">
        <v>45</v>
      </c>
      <c r="AL756" s="10" t="s">
        <v>49</v>
      </c>
      <c r="AM756" s="16" t="s">
        <v>45</v>
      </c>
      <c r="AN756" s="10" t="s">
        <v>50</v>
      </c>
    </row>
    <row r="757" ht="30.0" customHeight="1">
      <c r="A757" s="9" t="str">
        <f t="shared" si="48"/>
        <v>Inativo</v>
      </c>
      <c r="B757" s="9" t="str">
        <f t="shared" si="49"/>
        <v>N/I</v>
      </c>
      <c r="C757" s="9" t="str">
        <f t="shared" si="64"/>
        <v>N/I</v>
      </c>
      <c r="D757" s="10" t="s">
        <v>2227</v>
      </c>
      <c r="E757" s="11" t="s">
        <v>2228</v>
      </c>
      <c r="F757" s="11" t="s">
        <v>2241</v>
      </c>
      <c r="G757" s="12" t="s">
        <v>94</v>
      </c>
      <c r="H757" s="41" t="s">
        <v>2254</v>
      </c>
      <c r="I757" s="12" t="s">
        <v>1345</v>
      </c>
      <c r="J757" s="10" t="s">
        <v>521</v>
      </c>
      <c r="K757" s="10" t="s">
        <v>263</v>
      </c>
      <c r="L757" s="10" t="s">
        <v>4</v>
      </c>
      <c r="M757" s="14">
        <v>45561.0</v>
      </c>
      <c r="N757" s="32" t="s">
        <v>2243</v>
      </c>
      <c r="O757" s="10" t="s">
        <v>2244</v>
      </c>
      <c r="P757" s="10" t="s">
        <v>2245</v>
      </c>
      <c r="Q757" s="2"/>
      <c r="R757" s="10">
        <v>12.0</v>
      </c>
      <c r="S757" s="14">
        <v>45561.0</v>
      </c>
      <c r="T757" s="14">
        <v>45926.0</v>
      </c>
      <c r="U757" s="10">
        <f t="shared" si="65"/>
        <v>-165</v>
      </c>
      <c r="V757" s="1"/>
      <c r="W757" s="15"/>
      <c r="X757" s="15"/>
      <c r="Y757" s="15"/>
      <c r="Z757" s="15"/>
      <c r="AA757" s="1"/>
      <c r="AB757" s="15"/>
      <c r="AC757" s="15"/>
      <c r="AD757" s="15"/>
      <c r="AE757" s="15"/>
      <c r="AF757" s="2"/>
      <c r="AG757" s="16" t="s">
        <v>45</v>
      </c>
      <c r="AH757" s="16" t="s">
        <v>45</v>
      </c>
      <c r="AI757" s="16" t="s">
        <v>45</v>
      </c>
      <c r="AJ757" s="16" t="s">
        <v>45</v>
      </c>
      <c r="AK757" s="16" t="s">
        <v>45</v>
      </c>
      <c r="AL757" s="10" t="s">
        <v>49</v>
      </c>
      <c r="AM757" s="16" t="s">
        <v>45</v>
      </c>
      <c r="AN757" s="10" t="s">
        <v>50</v>
      </c>
    </row>
    <row r="758" ht="30.0" customHeight="1">
      <c r="A758" s="9" t="str">
        <f t="shared" si="48"/>
        <v>Inativo</v>
      </c>
      <c r="B758" s="9" t="str">
        <f t="shared" si="49"/>
        <v>N/I</v>
      </c>
      <c r="C758" s="9" t="str">
        <f t="shared" si="64"/>
        <v>N/I</v>
      </c>
      <c r="D758" s="10" t="s">
        <v>2227</v>
      </c>
      <c r="E758" s="11" t="s">
        <v>2228</v>
      </c>
      <c r="F758" s="11" t="s">
        <v>2241</v>
      </c>
      <c r="G758" s="12" t="s">
        <v>94</v>
      </c>
      <c r="H758" s="41" t="s">
        <v>2255</v>
      </c>
      <c r="I758" s="12" t="s">
        <v>1345</v>
      </c>
      <c r="J758" s="10" t="s">
        <v>521</v>
      </c>
      <c r="K758" s="10" t="s">
        <v>263</v>
      </c>
      <c r="L758" s="10" t="s">
        <v>4</v>
      </c>
      <c r="M758" s="14">
        <v>45561.0</v>
      </c>
      <c r="N758" s="32" t="s">
        <v>2243</v>
      </c>
      <c r="O758" s="10" t="s">
        <v>2244</v>
      </c>
      <c r="P758" s="10" t="s">
        <v>2245</v>
      </c>
      <c r="Q758" s="2"/>
      <c r="R758" s="10">
        <v>12.0</v>
      </c>
      <c r="S758" s="14">
        <v>45561.0</v>
      </c>
      <c r="T758" s="14">
        <v>45926.0</v>
      </c>
      <c r="U758" s="10">
        <f t="shared" si="65"/>
        <v>-165</v>
      </c>
      <c r="V758" s="1"/>
      <c r="W758" s="15"/>
      <c r="X758" s="15"/>
      <c r="Y758" s="15"/>
      <c r="Z758" s="15"/>
      <c r="AA758" s="1"/>
      <c r="AB758" s="15"/>
      <c r="AC758" s="15"/>
      <c r="AD758" s="15"/>
      <c r="AE758" s="15"/>
      <c r="AF758" s="2"/>
      <c r="AG758" s="16" t="s">
        <v>45</v>
      </c>
      <c r="AH758" s="16" t="s">
        <v>45</v>
      </c>
      <c r="AI758" s="16" t="s">
        <v>45</v>
      </c>
      <c r="AJ758" s="16" t="s">
        <v>45</v>
      </c>
      <c r="AK758" s="16" t="s">
        <v>45</v>
      </c>
      <c r="AL758" s="10" t="s">
        <v>49</v>
      </c>
      <c r="AM758" s="16" t="s">
        <v>45</v>
      </c>
      <c r="AN758" s="10" t="s">
        <v>50</v>
      </c>
    </row>
    <row r="759" ht="30.0" customHeight="1">
      <c r="A759" s="9" t="str">
        <f t="shared" si="48"/>
        <v>Inativo</v>
      </c>
      <c r="B759" s="9" t="str">
        <f t="shared" si="49"/>
        <v>N/I</v>
      </c>
      <c r="C759" s="9" t="str">
        <f t="shared" si="64"/>
        <v>N/I</v>
      </c>
      <c r="D759" s="10" t="s">
        <v>2227</v>
      </c>
      <c r="E759" s="11" t="s">
        <v>2228</v>
      </c>
      <c r="F759" s="11" t="s">
        <v>2241</v>
      </c>
      <c r="G759" s="12" t="s">
        <v>94</v>
      </c>
      <c r="H759" s="41" t="s">
        <v>2256</v>
      </c>
      <c r="I759" s="12" t="s">
        <v>1345</v>
      </c>
      <c r="J759" s="10" t="s">
        <v>521</v>
      </c>
      <c r="K759" s="10" t="s">
        <v>263</v>
      </c>
      <c r="L759" s="10" t="s">
        <v>4</v>
      </c>
      <c r="M759" s="14">
        <v>45561.0</v>
      </c>
      <c r="N759" s="32" t="s">
        <v>2243</v>
      </c>
      <c r="O759" s="10" t="s">
        <v>2244</v>
      </c>
      <c r="P759" s="10" t="s">
        <v>2245</v>
      </c>
      <c r="Q759" s="2"/>
      <c r="R759" s="10">
        <v>12.0</v>
      </c>
      <c r="S759" s="14">
        <v>45561.0</v>
      </c>
      <c r="T759" s="14">
        <v>45926.0</v>
      </c>
      <c r="U759" s="10">
        <f t="shared" si="65"/>
        <v>-165</v>
      </c>
      <c r="V759" s="1"/>
      <c r="W759" s="15"/>
      <c r="X759" s="15"/>
      <c r="Y759" s="15"/>
      <c r="Z759" s="15"/>
      <c r="AA759" s="1"/>
      <c r="AB759" s="15"/>
      <c r="AC759" s="15"/>
      <c r="AD759" s="15"/>
      <c r="AE759" s="15"/>
      <c r="AF759" s="2"/>
      <c r="AG759" s="16" t="s">
        <v>45</v>
      </c>
      <c r="AH759" s="16" t="s">
        <v>45</v>
      </c>
      <c r="AI759" s="16" t="s">
        <v>45</v>
      </c>
      <c r="AJ759" s="16" t="s">
        <v>45</v>
      </c>
      <c r="AK759" s="16" t="s">
        <v>45</v>
      </c>
      <c r="AL759" s="10" t="s">
        <v>49</v>
      </c>
      <c r="AM759" s="16" t="s">
        <v>45</v>
      </c>
      <c r="AN759" s="10" t="s">
        <v>50</v>
      </c>
    </row>
    <row r="760" ht="30.0" customHeight="1">
      <c r="A760" s="9" t="str">
        <f t="shared" si="48"/>
        <v>Inativo</v>
      </c>
      <c r="B760" s="9" t="str">
        <f t="shared" si="49"/>
        <v>N/I</v>
      </c>
      <c r="C760" s="9" t="str">
        <f t="shared" si="64"/>
        <v>N/I</v>
      </c>
      <c r="D760" s="10" t="s">
        <v>2227</v>
      </c>
      <c r="E760" s="11" t="s">
        <v>2228</v>
      </c>
      <c r="F760" s="11" t="s">
        <v>2241</v>
      </c>
      <c r="G760" s="12" t="s">
        <v>94</v>
      </c>
      <c r="H760" s="41" t="s">
        <v>2257</v>
      </c>
      <c r="I760" s="12" t="s">
        <v>1345</v>
      </c>
      <c r="J760" s="10" t="s">
        <v>521</v>
      </c>
      <c r="K760" s="10" t="s">
        <v>263</v>
      </c>
      <c r="L760" s="10" t="s">
        <v>4</v>
      </c>
      <c r="M760" s="14">
        <v>45561.0</v>
      </c>
      <c r="N760" s="32" t="s">
        <v>2243</v>
      </c>
      <c r="O760" s="10" t="s">
        <v>2244</v>
      </c>
      <c r="P760" s="10" t="s">
        <v>2245</v>
      </c>
      <c r="Q760" s="2"/>
      <c r="R760" s="10">
        <v>12.0</v>
      </c>
      <c r="S760" s="14">
        <v>45561.0</v>
      </c>
      <c r="T760" s="14">
        <v>45926.0</v>
      </c>
      <c r="U760" s="10">
        <f t="shared" si="65"/>
        <v>-165</v>
      </c>
      <c r="V760" s="1"/>
      <c r="W760" s="15"/>
      <c r="X760" s="15"/>
      <c r="Y760" s="15"/>
      <c r="Z760" s="15"/>
      <c r="AA760" s="1"/>
      <c r="AB760" s="15"/>
      <c r="AC760" s="15"/>
      <c r="AD760" s="15"/>
      <c r="AE760" s="15"/>
      <c r="AF760" s="2"/>
      <c r="AG760" s="16" t="s">
        <v>45</v>
      </c>
      <c r="AH760" s="16" t="s">
        <v>45</v>
      </c>
      <c r="AI760" s="16" t="s">
        <v>45</v>
      </c>
      <c r="AJ760" s="16" t="s">
        <v>45</v>
      </c>
      <c r="AK760" s="16" t="s">
        <v>45</v>
      </c>
      <c r="AL760" s="10" t="s">
        <v>49</v>
      </c>
      <c r="AM760" s="16" t="s">
        <v>45</v>
      </c>
      <c r="AN760" s="10" t="s">
        <v>50</v>
      </c>
    </row>
    <row r="761" ht="30.0" customHeight="1">
      <c r="A761" s="9" t="str">
        <f t="shared" si="48"/>
        <v>Inativo</v>
      </c>
      <c r="B761" s="9" t="str">
        <f t="shared" si="49"/>
        <v>N/I</v>
      </c>
      <c r="C761" s="9" t="str">
        <f t="shared" si="64"/>
        <v>N/I</v>
      </c>
      <c r="D761" s="10" t="s">
        <v>2227</v>
      </c>
      <c r="E761" s="11" t="s">
        <v>2228</v>
      </c>
      <c r="F761" s="11" t="s">
        <v>2241</v>
      </c>
      <c r="G761" s="12" t="s">
        <v>94</v>
      </c>
      <c r="H761" s="41" t="s">
        <v>2258</v>
      </c>
      <c r="I761" s="12" t="s">
        <v>1345</v>
      </c>
      <c r="J761" s="10" t="s">
        <v>521</v>
      </c>
      <c r="K761" s="10" t="s">
        <v>263</v>
      </c>
      <c r="L761" s="10" t="s">
        <v>4</v>
      </c>
      <c r="M761" s="14">
        <v>45561.0</v>
      </c>
      <c r="N761" s="32" t="s">
        <v>2243</v>
      </c>
      <c r="O761" s="10" t="s">
        <v>2244</v>
      </c>
      <c r="P761" s="10" t="s">
        <v>2245</v>
      </c>
      <c r="Q761" s="2"/>
      <c r="R761" s="10">
        <v>12.0</v>
      </c>
      <c r="S761" s="14">
        <v>45561.0</v>
      </c>
      <c r="T761" s="14">
        <v>45926.0</v>
      </c>
      <c r="U761" s="10">
        <f t="shared" si="65"/>
        <v>-165</v>
      </c>
      <c r="V761" s="1"/>
      <c r="W761" s="15"/>
      <c r="X761" s="15"/>
      <c r="Y761" s="15"/>
      <c r="Z761" s="15"/>
      <c r="AA761" s="1"/>
      <c r="AB761" s="15"/>
      <c r="AC761" s="15"/>
      <c r="AD761" s="15"/>
      <c r="AE761" s="15"/>
      <c r="AF761" s="2"/>
      <c r="AG761" s="16" t="s">
        <v>45</v>
      </c>
      <c r="AH761" s="16" t="s">
        <v>45</v>
      </c>
      <c r="AI761" s="16" t="s">
        <v>45</v>
      </c>
      <c r="AJ761" s="16" t="s">
        <v>45</v>
      </c>
      <c r="AK761" s="16" t="s">
        <v>45</v>
      </c>
      <c r="AL761" s="10" t="s">
        <v>49</v>
      </c>
      <c r="AM761" s="16" t="s">
        <v>45</v>
      </c>
      <c r="AN761" s="10" t="s">
        <v>50</v>
      </c>
    </row>
    <row r="762" ht="30.0" customHeight="1">
      <c r="A762" s="9" t="str">
        <f t="shared" si="48"/>
        <v>Inativo</v>
      </c>
      <c r="B762" s="9" t="str">
        <f t="shared" si="49"/>
        <v>N/I</v>
      </c>
      <c r="C762" s="9" t="str">
        <f t="shared" si="64"/>
        <v>N/I</v>
      </c>
      <c r="D762" s="10" t="s">
        <v>2227</v>
      </c>
      <c r="E762" s="11" t="s">
        <v>2228</v>
      </c>
      <c r="F762" s="11" t="s">
        <v>2241</v>
      </c>
      <c r="G762" s="12" t="s">
        <v>94</v>
      </c>
      <c r="H762" s="48" t="s">
        <v>2259</v>
      </c>
      <c r="I762" s="12" t="s">
        <v>1345</v>
      </c>
      <c r="J762" s="10" t="s">
        <v>521</v>
      </c>
      <c r="K762" s="10" t="s">
        <v>263</v>
      </c>
      <c r="L762" s="10" t="s">
        <v>4</v>
      </c>
      <c r="M762" s="14">
        <v>45561.0</v>
      </c>
      <c r="N762" s="32" t="s">
        <v>2243</v>
      </c>
      <c r="O762" s="10" t="s">
        <v>2244</v>
      </c>
      <c r="P762" s="10" t="s">
        <v>2245</v>
      </c>
      <c r="Q762" s="2"/>
      <c r="R762" s="10">
        <v>12.0</v>
      </c>
      <c r="S762" s="14">
        <v>45561.0</v>
      </c>
      <c r="T762" s="14">
        <v>45926.0</v>
      </c>
      <c r="U762" s="10">
        <f t="shared" si="65"/>
        <v>-165</v>
      </c>
      <c r="V762" s="1"/>
      <c r="W762" s="15"/>
      <c r="X762" s="15"/>
      <c r="Y762" s="15"/>
      <c r="Z762" s="15"/>
      <c r="AA762" s="1"/>
      <c r="AB762" s="15"/>
      <c r="AC762" s="15"/>
      <c r="AD762" s="15"/>
      <c r="AE762" s="15"/>
      <c r="AF762" s="2"/>
      <c r="AG762" s="16" t="s">
        <v>45</v>
      </c>
      <c r="AH762" s="16" t="s">
        <v>45</v>
      </c>
      <c r="AI762" s="16" t="s">
        <v>45</v>
      </c>
      <c r="AJ762" s="16" t="s">
        <v>45</v>
      </c>
      <c r="AK762" s="16" t="s">
        <v>45</v>
      </c>
      <c r="AL762" s="10" t="s">
        <v>49</v>
      </c>
      <c r="AM762" s="16" t="s">
        <v>45</v>
      </c>
      <c r="AN762" s="10" t="s">
        <v>50</v>
      </c>
    </row>
    <row r="763" ht="30.0" customHeight="1">
      <c r="A763" s="9" t="str">
        <f t="shared" si="48"/>
        <v>Inativo</v>
      </c>
      <c r="B763" s="9" t="str">
        <f t="shared" si="49"/>
        <v>N/I</v>
      </c>
      <c r="C763" s="9" t="str">
        <f t="shared" si="64"/>
        <v>N/I</v>
      </c>
      <c r="D763" s="10" t="s">
        <v>2227</v>
      </c>
      <c r="E763" s="11" t="s">
        <v>2228</v>
      </c>
      <c r="F763" s="11" t="s">
        <v>2241</v>
      </c>
      <c r="G763" s="12" t="s">
        <v>52</v>
      </c>
      <c r="H763" s="48" t="s">
        <v>2260</v>
      </c>
      <c r="I763" s="12" t="s">
        <v>1345</v>
      </c>
      <c r="J763" s="10" t="s">
        <v>521</v>
      </c>
      <c r="K763" s="10" t="s">
        <v>263</v>
      </c>
      <c r="L763" s="10" t="s">
        <v>4</v>
      </c>
      <c r="M763" s="14">
        <v>45628.0</v>
      </c>
      <c r="N763" s="32" t="s">
        <v>2243</v>
      </c>
      <c r="O763" s="10" t="s">
        <v>2244</v>
      </c>
      <c r="P763" s="10" t="s">
        <v>2245</v>
      </c>
      <c r="Q763" s="2"/>
      <c r="R763" s="10">
        <v>12.0</v>
      </c>
      <c r="S763" s="14">
        <v>45628.0</v>
      </c>
      <c r="T763" s="14">
        <v>45993.0</v>
      </c>
      <c r="U763" s="10">
        <f t="shared" si="65"/>
        <v>-98</v>
      </c>
      <c r="V763" s="1"/>
      <c r="W763" s="15"/>
      <c r="X763" s="15"/>
      <c r="Y763" s="15"/>
      <c r="Z763" s="15"/>
      <c r="AA763" s="1"/>
      <c r="AB763" s="15"/>
      <c r="AC763" s="15"/>
      <c r="AD763" s="15"/>
      <c r="AE763" s="15"/>
      <c r="AF763" s="2"/>
      <c r="AG763" s="16" t="s">
        <v>45</v>
      </c>
      <c r="AH763" s="16" t="s">
        <v>45</v>
      </c>
      <c r="AI763" s="16" t="s">
        <v>45</v>
      </c>
      <c r="AJ763" s="16" t="s">
        <v>45</v>
      </c>
      <c r="AK763" s="16" t="s">
        <v>45</v>
      </c>
      <c r="AL763" s="10" t="s">
        <v>49</v>
      </c>
      <c r="AM763" s="16" t="s">
        <v>45</v>
      </c>
      <c r="AN763" s="10" t="s">
        <v>50</v>
      </c>
    </row>
    <row r="764" ht="30.0" customHeight="1">
      <c r="A764" s="9" t="str">
        <f t="shared" si="48"/>
        <v>Inativo</v>
      </c>
      <c r="B764" s="9" t="str">
        <f t="shared" si="49"/>
        <v>N/I</v>
      </c>
      <c r="C764" s="9" t="str">
        <f t="shared" si="64"/>
        <v>N/I</v>
      </c>
      <c r="D764" s="10" t="s">
        <v>2227</v>
      </c>
      <c r="E764" s="11" t="s">
        <v>2228</v>
      </c>
      <c r="F764" s="11" t="s">
        <v>2241</v>
      </c>
      <c r="G764" s="12" t="s">
        <v>52</v>
      </c>
      <c r="H764" s="48" t="s">
        <v>2261</v>
      </c>
      <c r="I764" s="12" t="s">
        <v>1345</v>
      </c>
      <c r="J764" s="10" t="s">
        <v>521</v>
      </c>
      <c r="K764" s="10" t="s">
        <v>263</v>
      </c>
      <c r="L764" s="10" t="s">
        <v>4</v>
      </c>
      <c r="M764" s="14">
        <v>45630.0</v>
      </c>
      <c r="N764" s="32" t="s">
        <v>2243</v>
      </c>
      <c r="O764" s="10" t="s">
        <v>2244</v>
      </c>
      <c r="P764" s="10" t="s">
        <v>2245</v>
      </c>
      <c r="Q764" s="2"/>
      <c r="R764" s="10">
        <v>12.0</v>
      </c>
      <c r="S764" s="14">
        <v>45630.0</v>
      </c>
      <c r="T764" s="14">
        <v>45995.0</v>
      </c>
      <c r="U764" s="10">
        <f t="shared" si="65"/>
        <v>-96</v>
      </c>
      <c r="V764" s="1"/>
      <c r="W764" s="15"/>
      <c r="X764" s="15"/>
      <c r="Y764" s="15"/>
      <c r="Z764" s="15"/>
      <c r="AA764" s="1"/>
      <c r="AB764" s="15"/>
      <c r="AC764" s="15"/>
      <c r="AD764" s="15"/>
      <c r="AE764" s="15"/>
      <c r="AF764" s="2"/>
      <c r="AG764" s="16" t="s">
        <v>45</v>
      </c>
      <c r="AH764" s="16" t="s">
        <v>45</v>
      </c>
      <c r="AI764" s="16" t="s">
        <v>45</v>
      </c>
      <c r="AJ764" s="16" t="s">
        <v>45</v>
      </c>
      <c r="AK764" s="16" t="s">
        <v>45</v>
      </c>
      <c r="AL764" s="10" t="s">
        <v>49</v>
      </c>
      <c r="AM764" s="16" t="s">
        <v>45</v>
      </c>
      <c r="AN764" s="10" t="s">
        <v>50</v>
      </c>
    </row>
    <row r="765" ht="30.0" customHeight="1">
      <c r="A765" s="9" t="str">
        <f t="shared" si="48"/>
        <v>Inativo</v>
      </c>
      <c r="B765" s="9" t="str">
        <f t="shared" si="49"/>
        <v>N/I</v>
      </c>
      <c r="C765" s="9" t="str">
        <f t="shared" si="64"/>
        <v>N/I</v>
      </c>
      <c r="D765" s="10" t="s">
        <v>2227</v>
      </c>
      <c r="E765" s="11" t="s">
        <v>2228</v>
      </c>
      <c r="F765" s="11" t="s">
        <v>2241</v>
      </c>
      <c r="G765" s="12" t="s">
        <v>52</v>
      </c>
      <c r="H765" s="48" t="s">
        <v>2262</v>
      </c>
      <c r="I765" s="12" t="s">
        <v>1345</v>
      </c>
      <c r="J765" s="10" t="s">
        <v>521</v>
      </c>
      <c r="K765" s="10" t="s">
        <v>263</v>
      </c>
      <c r="L765" s="10" t="s">
        <v>4</v>
      </c>
      <c r="M765" s="14">
        <v>45631.0</v>
      </c>
      <c r="N765" s="32" t="s">
        <v>2243</v>
      </c>
      <c r="O765" s="10" t="s">
        <v>2244</v>
      </c>
      <c r="P765" s="10" t="s">
        <v>2245</v>
      </c>
      <c r="Q765" s="2"/>
      <c r="R765" s="10">
        <v>12.0</v>
      </c>
      <c r="S765" s="14">
        <v>45631.0</v>
      </c>
      <c r="T765" s="14">
        <v>45996.0</v>
      </c>
      <c r="U765" s="10">
        <f t="shared" si="65"/>
        <v>-95</v>
      </c>
      <c r="V765" s="1"/>
      <c r="W765" s="15"/>
      <c r="X765" s="15"/>
      <c r="Y765" s="15"/>
      <c r="Z765" s="15"/>
      <c r="AA765" s="1"/>
      <c r="AB765" s="15"/>
      <c r="AC765" s="15"/>
      <c r="AD765" s="15"/>
      <c r="AE765" s="15"/>
      <c r="AF765" s="2"/>
      <c r="AG765" s="16" t="s">
        <v>45</v>
      </c>
      <c r="AH765" s="16" t="s">
        <v>45</v>
      </c>
      <c r="AI765" s="16" t="s">
        <v>45</v>
      </c>
      <c r="AJ765" s="16" t="s">
        <v>45</v>
      </c>
      <c r="AK765" s="16" t="s">
        <v>45</v>
      </c>
      <c r="AL765" s="10" t="s">
        <v>49</v>
      </c>
      <c r="AM765" s="16" t="s">
        <v>45</v>
      </c>
      <c r="AN765" s="10" t="s">
        <v>50</v>
      </c>
    </row>
    <row r="766" ht="30.0" customHeight="1">
      <c r="A766" s="9" t="str">
        <f t="shared" si="48"/>
        <v>Inativo</v>
      </c>
      <c r="B766" s="9" t="str">
        <f t="shared" si="49"/>
        <v>N/I</v>
      </c>
      <c r="C766" s="9" t="str">
        <f t="shared" si="64"/>
        <v>N/I</v>
      </c>
      <c r="D766" s="10" t="s">
        <v>2227</v>
      </c>
      <c r="E766" s="11" t="s">
        <v>2228</v>
      </c>
      <c r="F766" s="11" t="s">
        <v>2241</v>
      </c>
      <c r="G766" s="12" t="s">
        <v>52</v>
      </c>
      <c r="H766" s="48" t="s">
        <v>2263</v>
      </c>
      <c r="I766" s="12" t="s">
        <v>1345</v>
      </c>
      <c r="J766" s="10" t="s">
        <v>521</v>
      </c>
      <c r="K766" s="10" t="s">
        <v>263</v>
      </c>
      <c r="L766" s="10" t="s">
        <v>4</v>
      </c>
      <c r="M766" s="14">
        <v>45632.0</v>
      </c>
      <c r="N766" s="32" t="s">
        <v>2243</v>
      </c>
      <c r="O766" s="10" t="s">
        <v>2244</v>
      </c>
      <c r="P766" s="10" t="s">
        <v>2245</v>
      </c>
      <c r="Q766" s="2"/>
      <c r="R766" s="10">
        <v>12.0</v>
      </c>
      <c r="S766" s="14">
        <v>45632.0</v>
      </c>
      <c r="T766" s="14">
        <v>45997.0</v>
      </c>
      <c r="U766" s="10">
        <f t="shared" si="65"/>
        <v>-94</v>
      </c>
      <c r="V766" s="1"/>
      <c r="W766" s="15"/>
      <c r="X766" s="15"/>
      <c r="Y766" s="15"/>
      <c r="Z766" s="15"/>
      <c r="AA766" s="1"/>
      <c r="AB766" s="15"/>
      <c r="AC766" s="15"/>
      <c r="AD766" s="15"/>
      <c r="AE766" s="15"/>
      <c r="AF766" s="2"/>
      <c r="AG766" s="16" t="s">
        <v>45</v>
      </c>
      <c r="AH766" s="16" t="s">
        <v>45</v>
      </c>
      <c r="AI766" s="16" t="s">
        <v>45</v>
      </c>
      <c r="AJ766" s="16" t="s">
        <v>45</v>
      </c>
      <c r="AK766" s="16" t="s">
        <v>45</v>
      </c>
      <c r="AL766" s="10" t="s">
        <v>49</v>
      </c>
      <c r="AM766" s="16" t="s">
        <v>45</v>
      </c>
      <c r="AN766" s="10" t="s">
        <v>50</v>
      </c>
    </row>
    <row r="767" ht="30.0" customHeight="1">
      <c r="A767" s="9" t="str">
        <f t="shared" si="48"/>
        <v>Inativo</v>
      </c>
      <c r="B767" s="9" t="str">
        <f t="shared" si="49"/>
        <v>N/I</v>
      </c>
      <c r="C767" s="9" t="str">
        <f t="shared" si="64"/>
        <v>N/I</v>
      </c>
      <c r="D767" s="10" t="s">
        <v>2227</v>
      </c>
      <c r="E767" s="11" t="s">
        <v>2228</v>
      </c>
      <c r="F767" s="11" t="s">
        <v>2241</v>
      </c>
      <c r="G767" s="12" t="s">
        <v>52</v>
      </c>
      <c r="H767" s="48" t="s">
        <v>2264</v>
      </c>
      <c r="I767" s="12" t="s">
        <v>1345</v>
      </c>
      <c r="J767" s="10" t="s">
        <v>521</v>
      </c>
      <c r="K767" s="10" t="s">
        <v>263</v>
      </c>
      <c r="L767" s="10" t="s">
        <v>4</v>
      </c>
      <c r="M767" s="14">
        <v>45632.0</v>
      </c>
      <c r="N767" s="32" t="s">
        <v>2243</v>
      </c>
      <c r="O767" s="10" t="s">
        <v>2244</v>
      </c>
      <c r="P767" s="10" t="s">
        <v>2245</v>
      </c>
      <c r="Q767" s="2"/>
      <c r="R767" s="10">
        <v>12.0</v>
      </c>
      <c r="S767" s="14">
        <v>45632.0</v>
      </c>
      <c r="T767" s="14">
        <v>45997.0</v>
      </c>
      <c r="U767" s="10">
        <f t="shared" si="65"/>
        <v>-94</v>
      </c>
      <c r="V767" s="1"/>
      <c r="W767" s="15"/>
      <c r="X767" s="15"/>
      <c r="Y767" s="15"/>
      <c r="Z767" s="15"/>
      <c r="AA767" s="1"/>
      <c r="AB767" s="15"/>
      <c r="AC767" s="15"/>
      <c r="AD767" s="15"/>
      <c r="AE767" s="15"/>
      <c r="AF767" s="2"/>
      <c r="AG767" s="16" t="s">
        <v>45</v>
      </c>
      <c r="AH767" s="16" t="s">
        <v>45</v>
      </c>
      <c r="AI767" s="16" t="s">
        <v>45</v>
      </c>
      <c r="AJ767" s="16" t="s">
        <v>45</v>
      </c>
      <c r="AK767" s="16" t="s">
        <v>45</v>
      </c>
      <c r="AL767" s="10" t="s">
        <v>49</v>
      </c>
      <c r="AM767" s="16" t="s">
        <v>45</v>
      </c>
      <c r="AN767" s="10" t="s">
        <v>50</v>
      </c>
    </row>
    <row r="768" ht="30.0" customHeight="1">
      <c r="A768" s="9" t="str">
        <f t="shared" si="48"/>
        <v>Inativo</v>
      </c>
      <c r="B768" s="9" t="str">
        <f t="shared" si="49"/>
        <v>N/I</v>
      </c>
      <c r="C768" s="9" t="str">
        <f t="shared" si="64"/>
        <v>N/I</v>
      </c>
      <c r="D768" s="10" t="s">
        <v>2227</v>
      </c>
      <c r="E768" s="11" t="s">
        <v>2228</v>
      </c>
      <c r="F768" s="11" t="s">
        <v>2241</v>
      </c>
      <c r="G768" s="12" t="s">
        <v>58</v>
      </c>
      <c r="H768" s="48" t="s">
        <v>2265</v>
      </c>
      <c r="I768" s="12" t="s">
        <v>1345</v>
      </c>
      <c r="J768" s="10" t="s">
        <v>521</v>
      </c>
      <c r="K768" s="10" t="s">
        <v>263</v>
      </c>
      <c r="L768" s="10" t="s">
        <v>4</v>
      </c>
      <c r="M768" s="14">
        <v>45632.0</v>
      </c>
      <c r="N768" s="32" t="s">
        <v>2243</v>
      </c>
      <c r="O768" s="10" t="s">
        <v>2244</v>
      </c>
      <c r="P768" s="10" t="s">
        <v>2245</v>
      </c>
      <c r="Q768" s="2"/>
      <c r="R768" s="10">
        <v>12.0</v>
      </c>
      <c r="S768" s="14">
        <v>45632.0</v>
      </c>
      <c r="T768" s="14">
        <v>45997.0</v>
      </c>
      <c r="U768" s="10">
        <f t="shared" si="65"/>
        <v>-94</v>
      </c>
      <c r="V768" s="1"/>
      <c r="W768" s="15"/>
      <c r="X768" s="15"/>
      <c r="Y768" s="15"/>
      <c r="Z768" s="15"/>
      <c r="AA768" s="1"/>
      <c r="AB768" s="15"/>
      <c r="AC768" s="15"/>
      <c r="AD768" s="15"/>
      <c r="AE768" s="15"/>
      <c r="AF768" s="2"/>
      <c r="AG768" s="16" t="s">
        <v>45</v>
      </c>
      <c r="AH768" s="16" t="s">
        <v>45</v>
      </c>
      <c r="AI768" s="16" t="s">
        <v>45</v>
      </c>
      <c r="AJ768" s="16" t="s">
        <v>45</v>
      </c>
      <c r="AK768" s="16" t="s">
        <v>45</v>
      </c>
      <c r="AL768" s="10" t="s">
        <v>49</v>
      </c>
      <c r="AM768" s="16" t="s">
        <v>45</v>
      </c>
      <c r="AN768" s="10" t="s">
        <v>50</v>
      </c>
    </row>
    <row r="769" ht="30.0" customHeight="1">
      <c r="A769" s="9" t="str">
        <f t="shared" si="48"/>
        <v>Inativo</v>
      </c>
      <c r="B769" s="9" t="str">
        <f t="shared" si="49"/>
        <v>N/I</v>
      </c>
      <c r="C769" s="9" t="str">
        <f t="shared" si="64"/>
        <v>N/I</v>
      </c>
      <c r="D769" s="10" t="s">
        <v>2227</v>
      </c>
      <c r="E769" s="11" t="s">
        <v>2228</v>
      </c>
      <c r="F769" s="11" t="s">
        <v>2241</v>
      </c>
      <c r="G769" s="12" t="s">
        <v>58</v>
      </c>
      <c r="H769" s="48" t="s">
        <v>2266</v>
      </c>
      <c r="I769" s="12" t="s">
        <v>1345</v>
      </c>
      <c r="J769" s="10" t="s">
        <v>521</v>
      </c>
      <c r="K769" s="10" t="s">
        <v>263</v>
      </c>
      <c r="L769" s="10" t="s">
        <v>4</v>
      </c>
      <c r="M769" s="14">
        <v>45632.0</v>
      </c>
      <c r="N769" s="32" t="s">
        <v>2243</v>
      </c>
      <c r="O769" s="10" t="s">
        <v>2244</v>
      </c>
      <c r="P769" s="10" t="s">
        <v>2245</v>
      </c>
      <c r="Q769" s="2"/>
      <c r="R769" s="10">
        <v>12.0</v>
      </c>
      <c r="S769" s="14">
        <v>45632.0</v>
      </c>
      <c r="T769" s="14">
        <v>45997.0</v>
      </c>
      <c r="U769" s="10">
        <f t="shared" si="65"/>
        <v>-94</v>
      </c>
      <c r="V769" s="1"/>
      <c r="W769" s="15"/>
      <c r="X769" s="15"/>
      <c r="Y769" s="15"/>
      <c r="Z769" s="15"/>
      <c r="AA769" s="1"/>
      <c r="AB769" s="15"/>
      <c r="AC769" s="15"/>
      <c r="AD769" s="15"/>
      <c r="AE769" s="15"/>
      <c r="AF769" s="2"/>
      <c r="AG769" s="16" t="s">
        <v>45</v>
      </c>
      <c r="AH769" s="16" t="s">
        <v>45</v>
      </c>
      <c r="AI769" s="16" t="s">
        <v>45</v>
      </c>
      <c r="AJ769" s="16" t="s">
        <v>45</v>
      </c>
      <c r="AK769" s="16" t="s">
        <v>45</v>
      </c>
      <c r="AL769" s="10" t="s">
        <v>49</v>
      </c>
      <c r="AM769" s="16" t="s">
        <v>45</v>
      </c>
      <c r="AN769" s="10" t="s">
        <v>50</v>
      </c>
    </row>
    <row r="770" ht="30.0" customHeight="1">
      <c r="A770" s="9" t="str">
        <f t="shared" si="48"/>
        <v>Inativo</v>
      </c>
      <c r="B770" s="9" t="str">
        <f t="shared" si="49"/>
        <v>N/I</v>
      </c>
      <c r="C770" s="9" t="str">
        <f t="shared" si="64"/>
        <v>N/I</v>
      </c>
      <c r="D770" s="10" t="s">
        <v>2227</v>
      </c>
      <c r="E770" s="11" t="s">
        <v>2228</v>
      </c>
      <c r="F770" s="11" t="s">
        <v>2241</v>
      </c>
      <c r="G770" s="12" t="s">
        <v>52</v>
      </c>
      <c r="H770" s="48" t="s">
        <v>2267</v>
      </c>
      <c r="I770" s="12" t="s">
        <v>1345</v>
      </c>
      <c r="J770" s="10" t="s">
        <v>521</v>
      </c>
      <c r="K770" s="10" t="s">
        <v>263</v>
      </c>
      <c r="L770" s="10" t="s">
        <v>4</v>
      </c>
      <c r="M770" s="14">
        <v>45635.0</v>
      </c>
      <c r="N770" s="32" t="s">
        <v>2243</v>
      </c>
      <c r="O770" s="10" t="s">
        <v>2244</v>
      </c>
      <c r="P770" s="10" t="s">
        <v>2245</v>
      </c>
      <c r="Q770" s="2"/>
      <c r="R770" s="10">
        <v>12.0</v>
      </c>
      <c r="S770" s="14">
        <v>45635.0</v>
      </c>
      <c r="T770" s="14">
        <v>46000.0</v>
      </c>
      <c r="U770" s="10">
        <f t="shared" si="65"/>
        <v>-91</v>
      </c>
      <c r="V770" s="1"/>
      <c r="W770" s="15"/>
      <c r="X770" s="15"/>
      <c r="Y770" s="15"/>
      <c r="Z770" s="15"/>
      <c r="AA770" s="1"/>
      <c r="AB770" s="15"/>
      <c r="AC770" s="15"/>
      <c r="AD770" s="15"/>
      <c r="AE770" s="15"/>
      <c r="AF770" s="2"/>
      <c r="AG770" s="16" t="s">
        <v>45</v>
      </c>
      <c r="AH770" s="16" t="s">
        <v>45</v>
      </c>
      <c r="AI770" s="16" t="s">
        <v>45</v>
      </c>
      <c r="AJ770" s="16" t="s">
        <v>45</v>
      </c>
      <c r="AK770" s="16" t="s">
        <v>45</v>
      </c>
      <c r="AL770" s="10" t="s">
        <v>49</v>
      </c>
      <c r="AM770" s="16" t="s">
        <v>45</v>
      </c>
      <c r="AN770" s="10" t="s">
        <v>50</v>
      </c>
    </row>
    <row r="771" ht="30.0" customHeight="1">
      <c r="A771" s="9" t="str">
        <f t="shared" si="48"/>
        <v>Inativo</v>
      </c>
      <c r="B771" s="9" t="str">
        <f t="shared" si="49"/>
        <v>N/I</v>
      </c>
      <c r="C771" s="9" t="str">
        <f t="shared" si="64"/>
        <v>N/I</v>
      </c>
      <c r="D771" s="10" t="s">
        <v>2227</v>
      </c>
      <c r="E771" s="11" t="s">
        <v>2228</v>
      </c>
      <c r="F771" s="11" t="s">
        <v>2241</v>
      </c>
      <c r="G771" s="12" t="s">
        <v>58</v>
      </c>
      <c r="H771" s="48" t="s">
        <v>2268</v>
      </c>
      <c r="I771" s="12" t="s">
        <v>1345</v>
      </c>
      <c r="J771" s="10" t="s">
        <v>521</v>
      </c>
      <c r="K771" s="10" t="s">
        <v>263</v>
      </c>
      <c r="L771" s="10" t="s">
        <v>4</v>
      </c>
      <c r="M771" s="14">
        <v>45636.0</v>
      </c>
      <c r="N771" s="32" t="s">
        <v>2243</v>
      </c>
      <c r="O771" s="10" t="s">
        <v>2244</v>
      </c>
      <c r="P771" s="10" t="s">
        <v>2245</v>
      </c>
      <c r="Q771" s="2"/>
      <c r="R771" s="10">
        <v>12.0</v>
      </c>
      <c r="S771" s="14">
        <v>45636.0</v>
      </c>
      <c r="T771" s="14">
        <v>46001.0</v>
      </c>
      <c r="U771" s="10">
        <f t="shared" si="65"/>
        <v>-90</v>
      </c>
      <c r="V771" s="1"/>
      <c r="W771" s="15"/>
      <c r="X771" s="15"/>
      <c r="Y771" s="15"/>
      <c r="Z771" s="15"/>
      <c r="AA771" s="1"/>
      <c r="AB771" s="15"/>
      <c r="AC771" s="15"/>
      <c r="AD771" s="15"/>
      <c r="AE771" s="15"/>
      <c r="AF771" s="2"/>
      <c r="AG771" s="16" t="s">
        <v>45</v>
      </c>
      <c r="AH771" s="16" t="s">
        <v>45</v>
      </c>
      <c r="AI771" s="16" t="s">
        <v>45</v>
      </c>
      <c r="AJ771" s="16" t="s">
        <v>45</v>
      </c>
      <c r="AK771" s="16" t="s">
        <v>45</v>
      </c>
      <c r="AL771" s="10" t="s">
        <v>49</v>
      </c>
      <c r="AM771" s="16" t="s">
        <v>45</v>
      </c>
      <c r="AN771" s="10" t="s">
        <v>50</v>
      </c>
    </row>
    <row r="772" ht="30.0" customHeight="1">
      <c r="A772" s="9" t="str">
        <f t="shared" si="48"/>
        <v>Inativo</v>
      </c>
      <c r="B772" s="9" t="str">
        <f t="shared" si="49"/>
        <v>N/I</v>
      </c>
      <c r="C772" s="9" t="str">
        <f t="shared" si="64"/>
        <v>N/I</v>
      </c>
      <c r="D772" s="10" t="s">
        <v>2227</v>
      </c>
      <c r="E772" s="11" t="s">
        <v>2228</v>
      </c>
      <c r="F772" s="11" t="s">
        <v>2241</v>
      </c>
      <c r="G772" s="12" t="s">
        <v>58</v>
      </c>
      <c r="H772" s="48" t="s">
        <v>2269</v>
      </c>
      <c r="I772" s="12" t="s">
        <v>1345</v>
      </c>
      <c r="J772" s="10" t="s">
        <v>521</v>
      </c>
      <c r="K772" s="10" t="s">
        <v>263</v>
      </c>
      <c r="L772" s="10" t="s">
        <v>4</v>
      </c>
      <c r="M772" s="14">
        <v>45636.0</v>
      </c>
      <c r="N772" s="32" t="s">
        <v>2243</v>
      </c>
      <c r="O772" s="10" t="s">
        <v>2244</v>
      </c>
      <c r="P772" s="10" t="s">
        <v>2245</v>
      </c>
      <c r="Q772" s="2"/>
      <c r="R772" s="10">
        <v>12.0</v>
      </c>
      <c r="S772" s="14">
        <v>45636.0</v>
      </c>
      <c r="T772" s="14">
        <v>46001.0</v>
      </c>
      <c r="U772" s="10">
        <f t="shared" si="65"/>
        <v>-90</v>
      </c>
      <c r="V772" s="1"/>
      <c r="W772" s="15"/>
      <c r="X772" s="15"/>
      <c r="Y772" s="15"/>
      <c r="Z772" s="15"/>
      <c r="AA772" s="1"/>
      <c r="AB772" s="15"/>
      <c r="AC772" s="15"/>
      <c r="AD772" s="15"/>
      <c r="AE772" s="15"/>
      <c r="AF772" s="2"/>
      <c r="AG772" s="16" t="s">
        <v>45</v>
      </c>
      <c r="AH772" s="16" t="s">
        <v>45</v>
      </c>
      <c r="AI772" s="16" t="s">
        <v>45</v>
      </c>
      <c r="AJ772" s="16" t="s">
        <v>45</v>
      </c>
      <c r="AK772" s="16" t="s">
        <v>45</v>
      </c>
      <c r="AL772" s="10" t="s">
        <v>49</v>
      </c>
      <c r="AM772" s="16" t="s">
        <v>45</v>
      </c>
      <c r="AN772" s="10" t="s">
        <v>50</v>
      </c>
    </row>
    <row r="773" ht="30.0" customHeight="1">
      <c r="A773" s="9" t="str">
        <f t="shared" si="48"/>
        <v>Inativo</v>
      </c>
      <c r="B773" s="9" t="str">
        <f t="shared" si="49"/>
        <v>N/I</v>
      </c>
      <c r="C773" s="9" t="str">
        <f t="shared" si="64"/>
        <v>N/I</v>
      </c>
      <c r="D773" s="10" t="s">
        <v>2227</v>
      </c>
      <c r="E773" s="11" t="s">
        <v>2228</v>
      </c>
      <c r="F773" s="11" t="s">
        <v>2241</v>
      </c>
      <c r="G773" s="12" t="s">
        <v>58</v>
      </c>
      <c r="H773" s="48" t="s">
        <v>2270</v>
      </c>
      <c r="I773" s="12" t="s">
        <v>1345</v>
      </c>
      <c r="J773" s="10" t="s">
        <v>521</v>
      </c>
      <c r="K773" s="10" t="s">
        <v>263</v>
      </c>
      <c r="L773" s="10" t="s">
        <v>4</v>
      </c>
      <c r="M773" s="14">
        <v>45636.0</v>
      </c>
      <c r="N773" s="32" t="s">
        <v>2243</v>
      </c>
      <c r="O773" s="10" t="s">
        <v>2244</v>
      </c>
      <c r="P773" s="10" t="s">
        <v>2245</v>
      </c>
      <c r="Q773" s="2"/>
      <c r="R773" s="10">
        <v>12.0</v>
      </c>
      <c r="S773" s="14">
        <v>45636.0</v>
      </c>
      <c r="T773" s="14">
        <v>46001.0</v>
      </c>
      <c r="U773" s="10">
        <f t="shared" si="65"/>
        <v>-90</v>
      </c>
      <c r="V773" s="1"/>
      <c r="W773" s="15"/>
      <c r="X773" s="15"/>
      <c r="Y773" s="15"/>
      <c r="Z773" s="15"/>
      <c r="AA773" s="1"/>
      <c r="AB773" s="15"/>
      <c r="AC773" s="15"/>
      <c r="AD773" s="15"/>
      <c r="AE773" s="15"/>
      <c r="AF773" s="2"/>
      <c r="AG773" s="16" t="s">
        <v>45</v>
      </c>
      <c r="AH773" s="16" t="s">
        <v>45</v>
      </c>
      <c r="AI773" s="16" t="s">
        <v>45</v>
      </c>
      <c r="AJ773" s="16" t="s">
        <v>45</v>
      </c>
      <c r="AK773" s="16" t="s">
        <v>45</v>
      </c>
      <c r="AL773" s="10" t="s">
        <v>49</v>
      </c>
      <c r="AM773" s="16" t="s">
        <v>45</v>
      </c>
      <c r="AN773" s="10" t="s">
        <v>50</v>
      </c>
    </row>
    <row r="774" ht="30.0" customHeight="1">
      <c r="A774" s="9" t="str">
        <f t="shared" si="48"/>
        <v>Inativo</v>
      </c>
      <c r="B774" s="9" t="str">
        <f t="shared" si="49"/>
        <v>N/I</v>
      </c>
      <c r="C774" s="9" t="str">
        <f t="shared" si="64"/>
        <v>N/I</v>
      </c>
      <c r="D774" s="10" t="s">
        <v>2227</v>
      </c>
      <c r="E774" s="11" t="s">
        <v>2228</v>
      </c>
      <c r="F774" s="11" t="s">
        <v>2241</v>
      </c>
      <c r="G774" s="12" t="s">
        <v>58</v>
      </c>
      <c r="H774" s="48" t="s">
        <v>2271</v>
      </c>
      <c r="I774" s="12" t="s">
        <v>1345</v>
      </c>
      <c r="J774" s="10" t="s">
        <v>521</v>
      </c>
      <c r="K774" s="10" t="s">
        <v>263</v>
      </c>
      <c r="L774" s="10" t="s">
        <v>4</v>
      </c>
      <c r="M774" s="14">
        <v>45636.0</v>
      </c>
      <c r="N774" s="32" t="s">
        <v>2243</v>
      </c>
      <c r="O774" s="10" t="s">
        <v>2244</v>
      </c>
      <c r="P774" s="10" t="s">
        <v>2245</v>
      </c>
      <c r="Q774" s="2"/>
      <c r="R774" s="10">
        <v>12.0</v>
      </c>
      <c r="S774" s="14">
        <v>45636.0</v>
      </c>
      <c r="T774" s="14">
        <v>46001.0</v>
      </c>
      <c r="U774" s="10">
        <f t="shared" si="65"/>
        <v>-90</v>
      </c>
      <c r="V774" s="1"/>
      <c r="W774" s="15"/>
      <c r="X774" s="15"/>
      <c r="Y774" s="15"/>
      <c r="Z774" s="15"/>
      <c r="AA774" s="1"/>
      <c r="AB774" s="15"/>
      <c r="AC774" s="15"/>
      <c r="AD774" s="15"/>
      <c r="AE774" s="15"/>
      <c r="AF774" s="2"/>
      <c r="AG774" s="16" t="s">
        <v>45</v>
      </c>
      <c r="AH774" s="16" t="s">
        <v>45</v>
      </c>
      <c r="AI774" s="16" t="s">
        <v>45</v>
      </c>
      <c r="AJ774" s="16" t="s">
        <v>45</v>
      </c>
      <c r="AK774" s="16" t="s">
        <v>45</v>
      </c>
      <c r="AL774" s="10" t="s">
        <v>49</v>
      </c>
      <c r="AM774" s="16" t="s">
        <v>45</v>
      </c>
      <c r="AN774" s="10" t="s">
        <v>50</v>
      </c>
    </row>
    <row r="775" ht="30.0" customHeight="1">
      <c r="A775" s="9" t="str">
        <f t="shared" si="48"/>
        <v>Inativo</v>
      </c>
      <c r="B775" s="9" t="str">
        <f t="shared" si="49"/>
        <v>N/I</v>
      </c>
      <c r="C775" s="9" t="str">
        <f t="shared" si="64"/>
        <v>N/I</v>
      </c>
      <c r="D775" s="10" t="s">
        <v>2227</v>
      </c>
      <c r="E775" s="11" t="s">
        <v>2228</v>
      </c>
      <c r="F775" s="11" t="s">
        <v>2241</v>
      </c>
      <c r="G775" s="12" t="s">
        <v>58</v>
      </c>
      <c r="H775" s="48" t="s">
        <v>2272</v>
      </c>
      <c r="I775" s="12" t="s">
        <v>1345</v>
      </c>
      <c r="J775" s="10" t="s">
        <v>521</v>
      </c>
      <c r="K775" s="10" t="s">
        <v>263</v>
      </c>
      <c r="L775" s="10" t="s">
        <v>4</v>
      </c>
      <c r="M775" s="14">
        <v>45636.0</v>
      </c>
      <c r="N775" s="32" t="s">
        <v>2243</v>
      </c>
      <c r="O775" s="10" t="s">
        <v>2244</v>
      </c>
      <c r="P775" s="10" t="s">
        <v>2245</v>
      </c>
      <c r="Q775" s="2"/>
      <c r="R775" s="10">
        <v>12.0</v>
      </c>
      <c r="S775" s="14">
        <v>45636.0</v>
      </c>
      <c r="T775" s="14">
        <v>46001.0</v>
      </c>
      <c r="U775" s="10">
        <f t="shared" si="65"/>
        <v>-90</v>
      </c>
      <c r="V775" s="1"/>
      <c r="W775" s="15"/>
      <c r="X775" s="15"/>
      <c r="Y775" s="15"/>
      <c r="Z775" s="15"/>
      <c r="AA775" s="1"/>
      <c r="AB775" s="15"/>
      <c r="AC775" s="15"/>
      <c r="AD775" s="15"/>
      <c r="AE775" s="15"/>
      <c r="AF775" s="2"/>
      <c r="AG775" s="16" t="s">
        <v>45</v>
      </c>
      <c r="AH775" s="16" t="s">
        <v>45</v>
      </c>
      <c r="AI775" s="16" t="s">
        <v>45</v>
      </c>
      <c r="AJ775" s="16" t="s">
        <v>45</v>
      </c>
      <c r="AK775" s="16" t="s">
        <v>45</v>
      </c>
      <c r="AL775" s="10" t="s">
        <v>49</v>
      </c>
      <c r="AM775" s="16" t="s">
        <v>45</v>
      </c>
      <c r="AN775" s="10" t="s">
        <v>50</v>
      </c>
    </row>
    <row r="776" ht="30.0" customHeight="1">
      <c r="A776" s="9" t="str">
        <f t="shared" si="48"/>
        <v>Inativo</v>
      </c>
      <c r="B776" s="9" t="str">
        <f t="shared" si="49"/>
        <v>N/I</v>
      </c>
      <c r="C776" s="9" t="str">
        <f t="shared" si="64"/>
        <v>N/I</v>
      </c>
      <c r="D776" s="10" t="s">
        <v>2227</v>
      </c>
      <c r="E776" s="11" t="s">
        <v>2228</v>
      </c>
      <c r="F776" s="11" t="s">
        <v>2241</v>
      </c>
      <c r="G776" s="12" t="s">
        <v>52</v>
      </c>
      <c r="H776" s="48" t="s">
        <v>2273</v>
      </c>
      <c r="I776" s="12" t="s">
        <v>1345</v>
      </c>
      <c r="J776" s="10" t="s">
        <v>521</v>
      </c>
      <c r="K776" s="10" t="s">
        <v>263</v>
      </c>
      <c r="L776" s="10" t="s">
        <v>4</v>
      </c>
      <c r="M776" s="14">
        <v>45649.0</v>
      </c>
      <c r="N776" s="32" t="s">
        <v>2243</v>
      </c>
      <c r="O776" s="10" t="s">
        <v>2244</v>
      </c>
      <c r="P776" s="10" t="s">
        <v>2245</v>
      </c>
      <c r="Q776" s="2"/>
      <c r="R776" s="10">
        <v>12.0</v>
      </c>
      <c r="S776" s="14">
        <v>45649.0</v>
      </c>
      <c r="T776" s="14">
        <v>46014.0</v>
      </c>
      <c r="U776" s="10">
        <f t="shared" si="65"/>
        <v>-77</v>
      </c>
      <c r="V776" s="1"/>
      <c r="W776" s="15"/>
      <c r="X776" s="15"/>
      <c r="Y776" s="15"/>
      <c r="Z776" s="15"/>
      <c r="AA776" s="1"/>
      <c r="AB776" s="15"/>
      <c r="AC776" s="15"/>
      <c r="AD776" s="15"/>
      <c r="AE776" s="15"/>
      <c r="AF776" s="2"/>
      <c r="AG776" s="16" t="s">
        <v>45</v>
      </c>
      <c r="AH776" s="16" t="s">
        <v>45</v>
      </c>
      <c r="AI776" s="16" t="s">
        <v>45</v>
      </c>
      <c r="AJ776" s="16" t="s">
        <v>45</v>
      </c>
      <c r="AK776" s="16" t="s">
        <v>45</v>
      </c>
      <c r="AL776" s="10" t="s">
        <v>49</v>
      </c>
      <c r="AM776" s="16" t="s">
        <v>45</v>
      </c>
      <c r="AN776" s="10" t="s">
        <v>50</v>
      </c>
    </row>
    <row r="777" ht="30.0" customHeight="1">
      <c r="A777" s="9" t="str">
        <f t="shared" si="48"/>
        <v>Inativo</v>
      </c>
      <c r="B777" s="9" t="str">
        <f t="shared" si="49"/>
        <v>N/I</v>
      </c>
      <c r="C777" s="9" t="str">
        <f t="shared" si="64"/>
        <v>N/I</v>
      </c>
      <c r="D777" s="10" t="s">
        <v>2227</v>
      </c>
      <c r="E777" s="11" t="s">
        <v>2228</v>
      </c>
      <c r="F777" s="11" t="s">
        <v>2241</v>
      </c>
      <c r="G777" s="12" t="s">
        <v>116</v>
      </c>
      <c r="H777" s="48" t="s">
        <v>2274</v>
      </c>
      <c r="I777" s="12" t="s">
        <v>1345</v>
      </c>
      <c r="J777" s="10" t="s">
        <v>521</v>
      </c>
      <c r="K777" s="10" t="s">
        <v>263</v>
      </c>
      <c r="L777" s="10" t="s">
        <v>4</v>
      </c>
      <c r="M777" s="14">
        <v>45673.0</v>
      </c>
      <c r="N777" s="32" t="s">
        <v>2243</v>
      </c>
      <c r="O777" s="10" t="s">
        <v>2244</v>
      </c>
      <c r="P777" s="10" t="s">
        <v>2245</v>
      </c>
      <c r="Q777" s="2"/>
      <c r="R777" s="10">
        <v>12.0</v>
      </c>
      <c r="S777" s="14">
        <v>45673.0</v>
      </c>
      <c r="T777" s="14">
        <v>46038.0</v>
      </c>
      <c r="U777" s="10">
        <f t="shared" si="65"/>
        <v>-53</v>
      </c>
      <c r="V777" s="1"/>
      <c r="W777" s="15"/>
      <c r="X777" s="15"/>
      <c r="Y777" s="15"/>
      <c r="Z777" s="15"/>
      <c r="AA777" s="1"/>
      <c r="AB777" s="15"/>
      <c r="AC777" s="15"/>
      <c r="AD777" s="15"/>
      <c r="AE777" s="15"/>
      <c r="AF777" s="2"/>
      <c r="AG777" s="16" t="s">
        <v>45</v>
      </c>
      <c r="AH777" s="16" t="s">
        <v>45</v>
      </c>
      <c r="AI777" s="16" t="s">
        <v>45</v>
      </c>
      <c r="AJ777" s="16" t="s">
        <v>45</v>
      </c>
      <c r="AK777" s="16" t="s">
        <v>45</v>
      </c>
      <c r="AL777" s="10" t="s">
        <v>49</v>
      </c>
      <c r="AM777" s="16" t="s">
        <v>45</v>
      </c>
      <c r="AN777" s="10" t="s">
        <v>50</v>
      </c>
    </row>
    <row r="778" ht="30.0" customHeight="1">
      <c r="A778" s="9" t="str">
        <f t="shared" si="48"/>
        <v>Inativo</v>
      </c>
      <c r="B778" s="9" t="str">
        <f t="shared" si="49"/>
        <v>N/I</v>
      </c>
      <c r="C778" s="9" t="str">
        <f t="shared" si="64"/>
        <v>N/I</v>
      </c>
      <c r="D778" s="10" t="s">
        <v>2227</v>
      </c>
      <c r="E778" s="11" t="s">
        <v>2228</v>
      </c>
      <c r="F778" s="11" t="s">
        <v>2241</v>
      </c>
      <c r="G778" s="12" t="s">
        <v>116</v>
      </c>
      <c r="H778" s="48" t="s">
        <v>2275</v>
      </c>
      <c r="I778" s="12" t="s">
        <v>1345</v>
      </c>
      <c r="J778" s="10" t="s">
        <v>521</v>
      </c>
      <c r="K778" s="10" t="s">
        <v>263</v>
      </c>
      <c r="L778" s="10" t="s">
        <v>4</v>
      </c>
      <c r="M778" s="14">
        <v>45674.0</v>
      </c>
      <c r="N778" s="32" t="s">
        <v>2243</v>
      </c>
      <c r="O778" s="10" t="s">
        <v>2244</v>
      </c>
      <c r="P778" s="10" t="s">
        <v>2245</v>
      </c>
      <c r="Q778" s="2"/>
      <c r="R778" s="10">
        <v>12.0</v>
      </c>
      <c r="S778" s="14">
        <v>45674.0</v>
      </c>
      <c r="T778" s="14">
        <v>46039.0</v>
      </c>
      <c r="U778" s="10">
        <f t="shared" si="65"/>
        <v>-52</v>
      </c>
      <c r="V778" s="1"/>
      <c r="W778" s="15"/>
      <c r="X778" s="15"/>
      <c r="Y778" s="15"/>
      <c r="Z778" s="15"/>
      <c r="AA778" s="1"/>
      <c r="AB778" s="15"/>
      <c r="AC778" s="15"/>
      <c r="AD778" s="15"/>
      <c r="AE778" s="15"/>
      <c r="AF778" s="2"/>
      <c r="AG778" s="16" t="s">
        <v>45</v>
      </c>
      <c r="AH778" s="16" t="s">
        <v>45</v>
      </c>
      <c r="AI778" s="16" t="s">
        <v>45</v>
      </c>
      <c r="AJ778" s="16" t="s">
        <v>45</v>
      </c>
      <c r="AK778" s="16" t="s">
        <v>45</v>
      </c>
      <c r="AL778" s="10" t="s">
        <v>49</v>
      </c>
      <c r="AM778" s="16" t="s">
        <v>45</v>
      </c>
      <c r="AN778" s="10" t="s">
        <v>50</v>
      </c>
    </row>
    <row r="779" ht="30.0" customHeight="1">
      <c r="A779" s="9" t="str">
        <f t="shared" si="48"/>
        <v>Inativo</v>
      </c>
      <c r="B779" s="9" t="str">
        <f t="shared" si="49"/>
        <v>N/I</v>
      </c>
      <c r="C779" s="9" t="str">
        <f t="shared" si="64"/>
        <v>N/I</v>
      </c>
      <c r="D779" s="10" t="s">
        <v>2227</v>
      </c>
      <c r="E779" s="11" t="s">
        <v>2228</v>
      </c>
      <c r="F779" s="11" t="s">
        <v>2241</v>
      </c>
      <c r="G779" s="12" t="s">
        <v>116</v>
      </c>
      <c r="H779" s="48" t="s">
        <v>2276</v>
      </c>
      <c r="I779" s="12" t="s">
        <v>1345</v>
      </c>
      <c r="J779" s="10" t="s">
        <v>521</v>
      </c>
      <c r="K779" s="10" t="s">
        <v>263</v>
      </c>
      <c r="L779" s="10" t="s">
        <v>4</v>
      </c>
      <c r="M779" s="14">
        <v>45677.0</v>
      </c>
      <c r="N779" s="32" t="s">
        <v>2243</v>
      </c>
      <c r="O779" s="10" t="s">
        <v>2244</v>
      </c>
      <c r="P779" s="10" t="s">
        <v>2245</v>
      </c>
      <c r="Q779" s="2"/>
      <c r="R779" s="10">
        <v>12.0</v>
      </c>
      <c r="S779" s="14">
        <v>45677.0</v>
      </c>
      <c r="T779" s="14">
        <v>46042.0</v>
      </c>
      <c r="U779" s="10">
        <f t="shared" si="65"/>
        <v>-49</v>
      </c>
      <c r="V779" s="1"/>
      <c r="W779" s="15"/>
      <c r="X779" s="15"/>
      <c r="Y779" s="15"/>
      <c r="Z779" s="15"/>
      <c r="AA779" s="1"/>
      <c r="AB779" s="15"/>
      <c r="AC779" s="15"/>
      <c r="AD779" s="15"/>
      <c r="AE779" s="15"/>
      <c r="AF779" s="2"/>
      <c r="AG779" s="16" t="s">
        <v>45</v>
      </c>
      <c r="AH779" s="16" t="s">
        <v>45</v>
      </c>
      <c r="AI779" s="16" t="s">
        <v>45</v>
      </c>
      <c r="AJ779" s="16" t="s">
        <v>45</v>
      </c>
      <c r="AK779" s="16" t="s">
        <v>45</v>
      </c>
      <c r="AL779" s="10" t="s">
        <v>49</v>
      </c>
      <c r="AM779" s="16" t="s">
        <v>45</v>
      </c>
      <c r="AN779" s="10" t="s">
        <v>50</v>
      </c>
    </row>
    <row r="780" ht="30.0" customHeight="1">
      <c r="A780" s="9" t="str">
        <f t="shared" si="48"/>
        <v>N/I</v>
      </c>
      <c r="B780" s="9" t="str">
        <f t="shared" si="49"/>
        <v>N/I</v>
      </c>
      <c r="C780" s="9" t="str">
        <f t="shared" si="64"/>
        <v>N/I</v>
      </c>
      <c r="D780" s="10" t="s">
        <v>2277</v>
      </c>
      <c r="E780" s="11" t="s">
        <v>2278</v>
      </c>
      <c r="F780" s="11" t="s">
        <v>2279</v>
      </c>
      <c r="G780" s="12" t="s">
        <v>55</v>
      </c>
      <c r="H780" s="27" t="s">
        <v>2280</v>
      </c>
      <c r="I780" s="12" t="s">
        <v>324</v>
      </c>
      <c r="J780" s="10" t="s">
        <v>197</v>
      </c>
      <c r="K780" s="10" t="s">
        <v>40</v>
      </c>
      <c r="L780" s="10" t="s">
        <v>4</v>
      </c>
      <c r="M780" s="14">
        <v>44652.0</v>
      </c>
      <c r="N780" s="11" t="s">
        <v>2281</v>
      </c>
      <c r="O780" s="10" t="s">
        <v>2282</v>
      </c>
      <c r="P780" s="10" t="s">
        <v>2283</v>
      </c>
      <c r="Q780" s="2"/>
      <c r="R780" s="10">
        <v>12.0</v>
      </c>
      <c r="S780" s="49" t="s">
        <v>180</v>
      </c>
      <c r="T780" s="49" t="s">
        <v>180</v>
      </c>
      <c r="U780" s="10"/>
      <c r="V780" s="1"/>
      <c r="W780" s="15"/>
      <c r="X780" s="15"/>
      <c r="Y780" s="15"/>
      <c r="Z780" s="15"/>
      <c r="AA780" s="1"/>
      <c r="AB780" s="15"/>
      <c r="AC780" s="15"/>
      <c r="AD780" s="15"/>
      <c r="AE780" s="15"/>
      <c r="AF780" s="2"/>
      <c r="AG780" s="16" t="s">
        <v>45</v>
      </c>
      <c r="AH780" s="12" t="s">
        <v>46</v>
      </c>
      <c r="AI780" s="16" t="s">
        <v>45</v>
      </c>
      <c r="AJ780" s="10" t="s">
        <v>356</v>
      </c>
      <c r="AK780" s="16" t="s">
        <v>45</v>
      </c>
      <c r="AL780" s="10" t="s">
        <v>49</v>
      </c>
      <c r="AM780" s="16" t="s">
        <v>45</v>
      </c>
      <c r="AN780" s="10" t="s">
        <v>50</v>
      </c>
    </row>
    <row r="781" ht="30.0" customHeight="1">
      <c r="A781" s="9" t="str">
        <f t="shared" si="48"/>
        <v>Inativo</v>
      </c>
      <c r="B781" s="9" t="str">
        <f t="shared" si="49"/>
        <v>N/I</v>
      </c>
      <c r="C781" s="9" t="str">
        <f t="shared" si="64"/>
        <v>N/I</v>
      </c>
      <c r="D781" s="10" t="s">
        <v>2277</v>
      </c>
      <c r="E781" s="11" t="s">
        <v>2278</v>
      </c>
      <c r="F781" s="11" t="s">
        <v>2279</v>
      </c>
      <c r="G781" s="12" t="s">
        <v>52</v>
      </c>
      <c r="H781" s="25" t="s">
        <v>187</v>
      </c>
      <c r="I781" s="12" t="s">
        <v>324</v>
      </c>
      <c r="J781" s="10" t="s">
        <v>197</v>
      </c>
      <c r="K781" s="10" t="s">
        <v>40</v>
      </c>
      <c r="L781" s="10" t="s">
        <v>4</v>
      </c>
      <c r="M781" s="24" t="s">
        <v>193</v>
      </c>
      <c r="N781" s="11" t="s">
        <v>2281</v>
      </c>
      <c r="O781" s="10" t="s">
        <v>2282</v>
      </c>
      <c r="P781" s="10" t="s">
        <v>2283</v>
      </c>
      <c r="Q781" s="2"/>
      <c r="R781" s="10">
        <v>12.0</v>
      </c>
      <c r="S781" s="14">
        <v>44652.0</v>
      </c>
      <c r="T781" s="14">
        <v>45017.0</v>
      </c>
      <c r="U781" s="10">
        <f>T781-TODAY()</f>
        <v>-1074</v>
      </c>
      <c r="V781" s="1"/>
      <c r="W781" s="15"/>
      <c r="X781" s="15"/>
      <c r="Y781" s="15"/>
      <c r="Z781" s="15"/>
      <c r="AA781" s="1"/>
      <c r="AB781" s="15"/>
      <c r="AC781" s="15"/>
      <c r="AD781" s="15"/>
      <c r="AE781" s="15"/>
      <c r="AF781" s="2"/>
      <c r="AG781" s="16" t="s">
        <v>45</v>
      </c>
      <c r="AH781" s="12" t="s">
        <v>46</v>
      </c>
      <c r="AI781" s="16" t="s">
        <v>45</v>
      </c>
      <c r="AJ781" s="10" t="s">
        <v>356</v>
      </c>
      <c r="AK781" s="16" t="s">
        <v>45</v>
      </c>
      <c r="AL781" s="10" t="s">
        <v>49</v>
      </c>
      <c r="AM781" s="16" t="s">
        <v>45</v>
      </c>
      <c r="AN781" s="10" t="s">
        <v>50</v>
      </c>
    </row>
    <row r="782" ht="30.0" customHeight="1">
      <c r="A782" s="9" t="str">
        <f t="shared" si="48"/>
        <v>N/I</v>
      </c>
      <c r="B782" s="9" t="str">
        <f t="shared" si="49"/>
        <v>Inativo</v>
      </c>
      <c r="C782" s="9" t="str">
        <f t="shared" si="64"/>
        <v>N/I</v>
      </c>
      <c r="D782" s="10" t="s">
        <v>2284</v>
      </c>
      <c r="E782" s="11" t="s">
        <v>2285</v>
      </c>
      <c r="F782" s="32" t="s">
        <v>2286</v>
      </c>
      <c r="G782" s="12" t="s">
        <v>94</v>
      </c>
      <c r="H782" s="20" t="s">
        <v>2287</v>
      </c>
      <c r="I782" s="12" t="s">
        <v>836</v>
      </c>
      <c r="J782" s="10" t="s">
        <v>837</v>
      </c>
      <c r="K782" s="10" t="s">
        <v>209</v>
      </c>
      <c r="L782" s="10" t="s">
        <v>264</v>
      </c>
      <c r="M782" s="14">
        <v>42426.0</v>
      </c>
      <c r="N782" s="11" t="s">
        <v>1221</v>
      </c>
      <c r="O782" s="10" t="s">
        <v>1218</v>
      </c>
      <c r="P782" s="10" t="s">
        <v>2288</v>
      </c>
      <c r="Q782" s="2"/>
      <c r="R782" s="15"/>
      <c r="S782" s="15"/>
      <c r="T782" s="15"/>
      <c r="U782" s="15"/>
      <c r="V782" s="1"/>
      <c r="W782" s="10">
        <v>12.0</v>
      </c>
      <c r="X782" s="14">
        <v>45054.0</v>
      </c>
      <c r="Y782" s="14">
        <v>45419.0</v>
      </c>
      <c r="Z782" s="10">
        <f t="shared" ref="Z782:Z786" si="66">Y782-TODAY()</f>
        <v>-672</v>
      </c>
      <c r="AA782" s="1"/>
      <c r="AB782" s="15"/>
      <c r="AC782" s="15"/>
      <c r="AD782" s="15"/>
      <c r="AE782" s="15"/>
      <c r="AF782" s="2"/>
      <c r="AG782" s="10" t="s">
        <v>290</v>
      </c>
      <c r="AH782" s="12" t="s">
        <v>355</v>
      </c>
      <c r="AI782" s="10" t="s">
        <v>226</v>
      </c>
      <c r="AJ782" s="10" t="s">
        <v>291</v>
      </c>
      <c r="AK782" s="16" t="s">
        <v>45</v>
      </c>
      <c r="AL782" s="10" t="s">
        <v>2289</v>
      </c>
      <c r="AM782" s="10" t="s">
        <v>319</v>
      </c>
      <c r="AN782" s="10" t="s">
        <v>50</v>
      </c>
    </row>
    <row r="783" ht="30.0" customHeight="1">
      <c r="A783" s="9" t="str">
        <f t="shared" si="48"/>
        <v>N/I</v>
      </c>
      <c r="B783" s="9" t="str">
        <f t="shared" si="49"/>
        <v>Inativo</v>
      </c>
      <c r="C783" s="9" t="str">
        <f t="shared" si="64"/>
        <v>N/I</v>
      </c>
      <c r="D783" s="10" t="s">
        <v>2284</v>
      </c>
      <c r="E783" s="11" t="s">
        <v>2285</v>
      </c>
      <c r="F783" s="32" t="s">
        <v>2290</v>
      </c>
      <c r="G783" s="12" t="s">
        <v>94</v>
      </c>
      <c r="H783" s="20" t="s">
        <v>2291</v>
      </c>
      <c r="I783" s="12" t="s">
        <v>836</v>
      </c>
      <c r="J783" s="10" t="s">
        <v>837</v>
      </c>
      <c r="K783" s="10" t="s">
        <v>209</v>
      </c>
      <c r="L783" s="10" t="s">
        <v>264</v>
      </c>
      <c r="M783" s="14">
        <v>42660.0</v>
      </c>
      <c r="N783" s="11" t="s">
        <v>1221</v>
      </c>
      <c r="O783" s="10" t="s">
        <v>1218</v>
      </c>
      <c r="P783" s="10" t="s">
        <v>2288</v>
      </c>
      <c r="Q783" s="2"/>
      <c r="R783" s="15"/>
      <c r="S783" s="15"/>
      <c r="T783" s="15"/>
      <c r="U783" s="15"/>
      <c r="V783" s="1"/>
      <c r="W783" s="10">
        <v>12.0</v>
      </c>
      <c r="X783" s="14">
        <v>45054.0</v>
      </c>
      <c r="Y783" s="14">
        <v>45419.0</v>
      </c>
      <c r="Z783" s="10">
        <f t="shared" si="66"/>
        <v>-672</v>
      </c>
      <c r="AA783" s="1"/>
      <c r="AB783" s="15"/>
      <c r="AC783" s="15"/>
      <c r="AD783" s="15"/>
      <c r="AE783" s="15"/>
      <c r="AF783" s="2"/>
      <c r="AG783" s="10" t="s">
        <v>290</v>
      </c>
      <c r="AH783" s="12" t="s">
        <v>355</v>
      </c>
      <c r="AI783" s="10" t="s">
        <v>226</v>
      </c>
      <c r="AJ783" s="10" t="s">
        <v>291</v>
      </c>
      <c r="AK783" s="16" t="s">
        <v>45</v>
      </c>
      <c r="AL783" s="10" t="s">
        <v>2289</v>
      </c>
      <c r="AM783" s="10" t="s">
        <v>319</v>
      </c>
      <c r="AN783" s="10" t="s">
        <v>50</v>
      </c>
    </row>
    <row r="784" ht="30.0" customHeight="1">
      <c r="A784" s="9" t="str">
        <f t="shared" si="48"/>
        <v>N/I</v>
      </c>
      <c r="B784" s="9" t="str">
        <f t="shared" si="49"/>
        <v>Inativo</v>
      </c>
      <c r="C784" s="9" t="str">
        <f t="shared" si="64"/>
        <v>N/I</v>
      </c>
      <c r="D784" s="10" t="s">
        <v>2284</v>
      </c>
      <c r="E784" s="11" t="s">
        <v>2285</v>
      </c>
      <c r="F784" s="32" t="s">
        <v>2290</v>
      </c>
      <c r="G784" s="12" t="s">
        <v>94</v>
      </c>
      <c r="H784" s="20" t="s">
        <v>2292</v>
      </c>
      <c r="I784" s="12" t="s">
        <v>836</v>
      </c>
      <c r="J784" s="10" t="s">
        <v>837</v>
      </c>
      <c r="K784" s="10" t="s">
        <v>209</v>
      </c>
      <c r="L784" s="10" t="s">
        <v>264</v>
      </c>
      <c r="M784" s="14">
        <v>42660.0</v>
      </c>
      <c r="N784" s="11" t="s">
        <v>1221</v>
      </c>
      <c r="O784" s="10" t="s">
        <v>1218</v>
      </c>
      <c r="P784" s="10" t="s">
        <v>2288</v>
      </c>
      <c r="Q784" s="2"/>
      <c r="R784" s="15"/>
      <c r="S784" s="15"/>
      <c r="T784" s="15"/>
      <c r="U784" s="15"/>
      <c r="V784" s="1"/>
      <c r="W784" s="10">
        <v>12.0</v>
      </c>
      <c r="X784" s="14">
        <v>45054.0</v>
      </c>
      <c r="Y784" s="14">
        <v>45419.0</v>
      </c>
      <c r="Z784" s="10">
        <f t="shared" si="66"/>
        <v>-672</v>
      </c>
      <c r="AA784" s="1"/>
      <c r="AB784" s="15"/>
      <c r="AC784" s="15"/>
      <c r="AD784" s="15"/>
      <c r="AE784" s="15"/>
      <c r="AF784" s="2"/>
      <c r="AG784" s="10" t="s">
        <v>290</v>
      </c>
      <c r="AH784" s="12" t="s">
        <v>355</v>
      </c>
      <c r="AI784" s="10" t="s">
        <v>226</v>
      </c>
      <c r="AJ784" s="10" t="s">
        <v>291</v>
      </c>
      <c r="AK784" s="16" t="s">
        <v>45</v>
      </c>
      <c r="AL784" s="10" t="s">
        <v>2289</v>
      </c>
      <c r="AM784" s="10" t="s">
        <v>319</v>
      </c>
      <c r="AN784" s="10" t="s">
        <v>50</v>
      </c>
    </row>
    <row r="785" ht="30.0" customHeight="1">
      <c r="A785" s="9" t="str">
        <f t="shared" si="48"/>
        <v>N/I</v>
      </c>
      <c r="B785" s="9" t="str">
        <f t="shared" si="49"/>
        <v>Inativo</v>
      </c>
      <c r="C785" s="9" t="str">
        <f t="shared" si="64"/>
        <v>N/I</v>
      </c>
      <c r="D785" s="10" t="s">
        <v>2284</v>
      </c>
      <c r="E785" s="11" t="s">
        <v>2285</v>
      </c>
      <c r="F785" s="32" t="s">
        <v>2293</v>
      </c>
      <c r="G785" s="12" t="s">
        <v>94</v>
      </c>
      <c r="H785" s="20" t="s">
        <v>2294</v>
      </c>
      <c r="I785" s="12" t="s">
        <v>836</v>
      </c>
      <c r="J785" s="10" t="s">
        <v>837</v>
      </c>
      <c r="K785" s="10" t="s">
        <v>209</v>
      </c>
      <c r="L785" s="10" t="s">
        <v>264</v>
      </c>
      <c r="M785" s="14">
        <v>42663.0</v>
      </c>
      <c r="N785" s="11" t="s">
        <v>2295</v>
      </c>
      <c r="O785" s="10" t="s">
        <v>2296</v>
      </c>
      <c r="P785" s="10" t="s">
        <v>2288</v>
      </c>
      <c r="Q785" s="2"/>
      <c r="R785" s="15"/>
      <c r="S785" s="15"/>
      <c r="T785" s="15"/>
      <c r="U785" s="15"/>
      <c r="V785" s="1"/>
      <c r="W785" s="10">
        <v>12.0</v>
      </c>
      <c r="X785" s="14">
        <v>45054.0</v>
      </c>
      <c r="Y785" s="14">
        <v>45419.0</v>
      </c>
      <c r="Z785" s="10">
        <f t="shared" si="66"/>
        <v>-672</v>
      </c>
      <c r="AA785" s="1"/>
      <c r="AB785" s="15"/>
      <c r="AC785" s="15"/>
      <c r="AD785" s="15"/>
      <c r="AE785" s="15"/>
      <c r="AF785" s="2"/>
      <c r="AG785" s="10" t="s">
        <v>290</v>
      </c>
      <c r="AH785" s="12" t="s">
        <v>355</v>
      </c>
      <c r="AI785" s="10" t="s">
        <v>226</v>
      </c>
      <c r="AJ785" s="10" t="s">
        <v>291</v>
      </c>
      <c r="AK785" s="16" t="s">
        <v>45</v>
      </c>
      <c r="AL785" s="10" t="s">
        <v>2289</v>
      </c>
      <c r="AM785" s="10" t="s">
        <v>319</v>
      </c>
      <c r="AN785" s="10" t="s">
        <v>50</v>
      </c>
    </row>
    <row r="786" ht="30.0" customHeight="1">
      <c r="A786" s="9" t="str">
        <f t="shared" si="48"/>
        <v>N/I</v>
      </c>
      <c r="B786" s="9" t="str">
        <f t="shared" si="49"/>
        <v>Inativo</v>
      </c>
      <c r="C786" s="9" t="str">
        <f t="shared" si="64"/>
        <v>N/I</v>
      </c>
      <c r="D786" s="10" t="s">
        <v>2284</v>
      </c>
      <c r="E786" s="11" t="s">
        <v>2285</v>
      </c>
      <c r="F786" s="32" t="s">
        <v>1227</v>
      </c>
      <c r="G786" s="12" t="s">
        <v>94</v>
      </c>
      <c r="H786" s="20" t="s">
        <v>2297</v>
      </c>
      <c r="I786" s="12" t="s">
        <v>836</v>
      </c>
      <c r="J786" s="10" t="s">
        <v>837</v>
      </c>
      <c r="K786" s="10" t="s">
        <v>209</v>
      </c>
      <c r="L786" s="10" t="s">
        <v>264</v>
      </c>
      <c r="M786" s="14">
        <v>42663.0</v>
      </c>
      <c r="N786" s="11" t="s">
        <v>1229</v>
      </c>
      <c r="O786" s="10" t="s">
        <v>1230</v>
      </c>
      <c r="P786" s="10" t="s">
        <v>2288</v>
      </c>
      <c r="Q786" s="2"/>
      <c r="R786" s="15"/>
      <c r="S786" s="15"/>
      <c r="T786" s="15"/>
      <c r="U786" s="15"/>
      <c r="V786" s="1"/>
      <c r="W786" s="10">
        <v>12.0</v>
      </c>
      <c r="X786" s="14">
        <v>45054.0</v>
      </c>
      <c r="Y786" s="14">
        <v>45419.0</v>
      </c>
      <c r="Z786" s="10">
        <f t="shared" si="66"/>
        <v>-672</v>
      </c>
      <c r="AA786" s="1"/>
      <c r="AB786" s="15"/>
      <c r="AC786" s="15"/>
      <c r="AD786" s="15"/>
      <c r="AE786" s="15"/>
      <c r="AF786" s="2"/>
      <c r="AG786" s="10" t="s">
        <v>290</v>
      </c>
      <c r="AH786" s="12" t="s">
        <v>355</v>
      </c>
      <c r="AI786" s="10" t="s">
        <v>226</v>
      </c>
      <c r="AJ786" s="10" t="s">
        <v>291</v>
      </c>
      <c r="AK786" s="16" t="s">
        <v>45</v>
      </c>
      <c r="AL786" s="10" t="s">
        <v>2289</v>
      </c>
      <c r="AM786" s="10" t="s">
        <v>319</v>
      </c>
      <c r="AN786" s="10" t="s">
        <v>50</v>
      </c>
    </row>
    <row r="787" ht="30.0" customHeight="1">
      <c r="A787" s="9" t="str">
        <f t="shared" si="48"/>
        <v>N/I</v>
      </c>
      <c r="B787" s="9" t="str">
        <f t="shared" si="49"/>
        <v>N/I</v>
      </c>
      <c r="C787" s="9" t="str">
        <f t="shared" si="64"/>
        <v>Inativo</v>
      </c>
      <c r="D787" s="10" t="s">
        <v>2298</v>
      </c>
      <c r="E787" s="11" t="s">
        <v>2299</v>
      </c>
      <c r="F787" s="11" t="s">
        <v>2300</v>
      </c>
      <c r="G787" s="12" t="s">
        <v>711</v>
      </c>
      <c r="H787" s="27" t="s">
        <v>2301</v>
      </c>
      <c r="I787" s="12" t="s">
        <v>2302</v>
      </c>
      <c r="J787" s="10" t="s">
        <v>858</v>
      </c>
      <c r="K787" s="10" t="s">
        <v>41</v>
      </c>
      <c r="L787" s="10" t="s">
        <v>6</v>
      </c>
      <c r="M787" s="14">
        <v>44755.0</v>
      </c>
      <c r="N787" s="11" t="s">
        <v>2303</v>
      </c>
      <c r="O787" s="10" t="s">
        <v>2304</v>
      </c>
      <c r="P787" s="10" t="s">
        <v>2305</v>
      </c>
      <c r="Q787" s="2"/>
      <c r="R787" s="15"/>
      <c r="S787" s="15"/>
      <c r="T787" s="15"/>
      <c r="U787" s="15"/>
      <c r="V787" s="1"/>
      <c r="W787" s="15"/>
      <c r="X787" s="15"/>
      <c r="Y787" s="15"/>
      <c r="Z787" s="15"/>
      <c r="AA787" s="1"/>
      <c r="AB787" s="10">
        <v>12.0</v>
      </c>
      <c r="AC787" s="14">
        <v>45112.0</v>
      </c>
      <c r="AD787" s="14">
        <v>45487.0</v>
      </c>
      <c r="AE787" s="10">
        <f t="shared" ref="AE787:AE788" si="67">AD787-TODAY()</f>
        <v>-604</v>
      </c>
      <c r="AF787" s="2"/>
      <c r="AG787" s="16" t="s">
        <v>45</v>
      </c>
      <c r="AH787" s="16" t="s">
        <v>45</v>
      </c>
      <c r="AI787" s="16" t="s">
        <v>45</v>
      </c>
      <c r="AJ787" s="16" t="s">
        <v>45</v>
      </c>
      <c r="AK787" s="16" t="s">
        <v>45</v>
      </c>
      <c r="AL787" s="16" t="s">
        <v>45</v>
      </c>
      <c r="AM787" s="16" t="s">
        <v>45</v>
      </c>
      <c r="AN787" s="16" t="s">
        <v>45</v>
      </c>
    </row>
    <row r="788" ht="30.0" customHeight="1">
      <c r="A788" s="9" t="str">
        <f t="shared" si="48"/>
        <v>N/I</v>
      </c>
      <c r="B788" s="9" t="str">
        <f t="shared" si="49"/>
        <v>N/I</v>
      </c>
      <c r="C788" s="9" t="str">
        <f t="shared" si="64"/>
        <v>Ativo</v>
      </c>
      <c r="D788" s="10" t="s">
        <v>2306</v>
      </c>
      <c r="E788" s="11" t="s">
        <v>2307</v>
      </c>
      <c r="F788" s="50" t="s">
        <v>398</v>
      </c>
      <c r="G788" s="12" t="s">
        <v>52</v>
      </c>
      <c r="H788" s="27" t="s">
        <v>2308</v>
      </c>
      <c r="I788" s="12" t="s">
        <v>332</v>
      </c>
      <c r="J788" s="10" t="s">
        <v>197</v>
      </c>
      <c r="K788" s="10" t="s">
        <v>40</v>
      </c>
      <c r="L788" s="10" t="s">
        <v>6</v>
      </c>
      <c r="M788" s="14">
        <v>45078.0</v>
      </c>
      <c r="N788" s="11" t="s">
        <v>2309</v>
      </c>
      <c r="O788" s="10" t="s">
        <v>401</v>
      </c>
      <c r="P788" s="10" t="s">
        <v>2310</v>
      </c>
      <c r="Q788" s="2"/>
      <c r="R788" s="15"/>
      <c r="S788" s="15"/>
      <c r="T788" s="15"/>
      <c r="U788" s="15"/>
      <c r="V788" s="1"/>
      <c r="W788" s="15"/>
      <c r="X788" s="15"/>
      <c r="Y788" s="15"/>
      <c r="Z788" s="15"/>
      <c r="AA788" s="1"/>
      <c r="AB788" s="10">
        <v>36.0</v>
      </c>
      <c r="AC788" s="14">
        <v>45423.0</v>
      </c>
      <c r="AD788" s="14">
        <v>46517.0</v>
      </c>
      <c r="AE788" s="10">
        <f t="shared" si="67"/>
        <v>426</v>
      </c>
      <c r="AF788" s="2"/>
      <c r="AG788" s="16" t="s">
        <v>45</v>
      </c>
      <c r="AH788" s="12" t="s">
        <v>355</v>
      </c>
      <c r="AI788" s="16" t="s">
        <v>45</v>
      </c>
      <c r="AJ788" s="10" t="s">
        <v>227</v>
      </c>
      <c r="AK788" s="16" t="s">
        <v>45</v>
      </c>
      <c r="AL788" s="16" t="s">
        <v>45</v>
      </c>
      <c r="AM788" s="16" t="s">
        <v>45</v>
      </c>
      <c r="AN788" s="16" t="s">
        <v>45</v>
      </c>
    </row>
    <row r="789" ht="30.0" customHeight="1">
      <c r="A789" s="9" t="str">
        <f t="shared" si="48"/>
        <v>N/I</v>
      </c>
      <c r="B789" s="9" t="str">
        <f t="shared" si="49"/>
        <v>N/I</v>
      </c>
      <c r="C789" s="9" t="str">
        <f t="shared" si="64"/>
        <v>N/I</v>
      </c>
      <c r="D789" s="10" t="s">
        <v>2311</v>
      </c>
      <c r="E789" s="11" t="s">
        <v>2312</v>
      </c>
      <c r="F789" s="11"/>
      <c r="G789" s="12" t="s">
        <v>94</v>
      </c>
      <c r="H789" s="25" t="s">
        <v>187</v>
      </c>
      <c r="I789" s="12"/>
      <c r="J789" s="10"/>
      <c r="K789" s="10"/>
      <c r="L789" s="10" t="s">
        <v>4</v>
      </c>
      <c r="M789" s="24" t="s">
        <v>193</v>
      </c>
      <c r="N789" s="11"/>
      <c r="O789" s="10"/>
      <c r="P789" s="10" t="s">
        <v>2313</v>
      </c>
      <c r="Q789" s="2"/>
      <c r="R789" s="10">
        <v>60.0</v>
      </c>
      <c r="S789" s="24" t="s">
        <v>1489</v>
      </c>
      <c r="T789" s="24" t="s">
        <v>1489</v>
      </c>
      <c r="U789" s="10"/>
      <c r="V789" s="1"/>
      <c r="W789" s="15"/>
      <c r="X789" s="15"/>
      <c r="Y789" s="15"/>
      <c r="Z789" s="15"/>
      <c r="AA789" s="1"/>
      <c r="AB789" s="15"/>
      <c r="AC789" s="15"/>
      <c r="AD789" s="15"/>
      <c r="AE789" s="15"/>
      <c r="AF789" s="2"/>
      <c r="AG789" s="16" t="s">
        <v>45</v>
      </c>
      <c r="AH789" s="16" t="s">
        <v>45</v>
      </c>
      <c r="AI789" s="16" t="s">
        <v>45</v>
      </c>
      <c r="AJ789" s="16" t="s">
        <v>45</v>
      </c>
      <c r="AK789" s="16" t="s">
        <v>45</v>
      </c>
      <c r="AL789" s="16" t="s">
        <v>45</v>
      </c>
      <c r="AM789" s="10" t="s">
        <v>320</v>
      </c>
      <c r="AN789" s="10"/>
    </row>
    <row r="790" ht="30.0" customHeight="1">
      <c r="A790" s="9" t="str">
        <f t="shared" si="48"/>
        <v>N/I</v>
      </c>
      <c r="B790" s="9" t="str">
        <f t="shared" si="49"/>
        <v>N/I</v>
      </c>
      <c r="C790" s="9" t="str">
        <f t="shared" si="64"/>
        <v>N/I</v>
      </c>
      <c r="D790" s="10" t="s">
        <v>2311</v>
      </c>
      <c r="E790" s="11" t="s">
        <v>2312</v>
      </c>
      <c r="F790" s="11"/>
      <c r="G790" s="12" t="s">
        <v>94</v>
      </c>
      <c r="H790" s="25" t="s">
        <v>187</v>
      </c>
      <c r="I790" s="12"/>
      <c r="J790" s="10"/>
      <c r="K790" s="10"/>
      <c r="L790" s="10" t="s">
        <v>4</v>
      </c>
      <c r="M790" s="24" t="s">
        <v>193</v>
      </c>
      <c r="N790" s="11"/>
      <c r="O790" s="10"/>
      <c r="P790" s="10" t="s">
        <v>2313</v>
      </c>
      <c r="Q790" s="2"/>
      <c r="R790" s="10">
        <v>60.0</v>
      </c>
      <c r="S790" s="24" t="s">
        <v>1489</v>
      </c>
      <c r="T790" s="24" t="s">
        <v>1489</v>
      </c>
      <c r="U790" s="10"/>
      <c r="V790" s="1"/>
      <c r="W790" s="15"/>
      <c r="X790" s="15"/>
      <c r="Y790" s="15"/>
      <c r="Z790" s="15"/>
      <c r="AA790" s="1"/>
      <c r="AB790" s="15"/>
      <c r="AC790" s="15"/>
      <c r="AD790" s="15"/>
      <c r="AE790" s="15"/>
      <c r="AF790" s="2"/>
      <c r="AG790" s="16" t="s">
        <v>45</v>
      </c>
      <c r="AH790" s="16" t="s">
        <v>45</v>
      </c>
      <c r="AI790" s="16" t="s">
        <v>45</v>
      </c>
      <c r="AJ790" s="16" t="s">
        <v>45</v>
      </c>
      <c r="AK790" s="16" t="s">
        <v>45</v>
      </c>
      <c r="AL790" s="16" t="s">
        <v>45</v>
      </c>
      <c r="AM790" s="10" t="s">
        <v>320</v>
      </c>
      <c r="AN790" s="10"/>
    </row>
    <row r="791" ht="30.0" customHeight="1">
      <c r="A791" s="9" t="str">
        <f t="shared" si="48"/>
        <v>N/I</v>
      </c>
      <c r="B791" s="9" t="str">
        <f t="shared" si="49"/>
        <v>N/I</v>
      </c>
      <c r="C791" s="9" t="str">
        <f t="shared" si="64"/>
        <v>N/I</v>
      </c>
      <c r="D791" s="10" t="s">
        <v>2311</v>
      </c>
      <c r="E791" s="11" t="s">
        <v>2312</v>
      </c>
      <c r="F791" s="11"/>
      <c r="G791" s="12" t="s">
        <v>94</v>
      </c>
      <c r="H791" s="25" t="s">
        <v>187</v>
      </c>
      <c r="I791" s="12"/>
      <c r="J791" s="10"/>
      <c r="K791" s="10"/>
      <c r="L791" s="10" t="s">
        <v>4</v>
      </c>
      <c r="M791" s="24" t="s">
        <v>193</v>
      </c>
      <c r="N791" s="11"/>
      <c r="O791" s="10"/>
      <c r="P791" s="10" t="s">
        <v>2313</v>
      </c>
      <c r="Q791" s="2"/>
      <c r="R791" s="10">
        <v>60.0</v>
      </c>
      <c r="S791" s="24" t="s">
        <v>1489</v>
      </c>
      <c r="T791" s="24" t="s">
        <v>1489</v>
      </c>
      <c r="U791" s="10"/>
      <c r="V791" s="1"/>
      <c r="W791" s="15"/>
      <c r="X791" s="15"/>
      <c r="Y791" s="15"/>
      <c r="Z791" s="15"/>
      <c r="AA791" s="1"/>
      <c r="AB791" s="15"/>
      <c r="AC791" s="15"/>
      <c r="AD791" s="15"/>
      <c r="AE791" s="15"/>
      <c r="AF791" s="2"/>
      <c r="AG791" s="16" t="s">
        <v>45</v>
      </c>
      <c r="AH791" s="16" t="s">
        <v>45</v>
      </c>
      <c r="AI791" s="16" t="s">
        <v>45</v>
      </c>
      <c r="AJ791" s="16" t="s">
        <v>45</v>
      </c>
      <c r="AK791" s="16" t="s">
        <v>45</v>
      </c>
      <c r="AL791" s="16" t="s">
        <v>45</v>
      </c>
      <c r="AM791" s="10" t="s">
        <v>320</v>
      </c>
      <c r="AN791" s="10"/>
    </row>
    <row r="792" ht="30.0" customHeight="1">
      <c r="A792" s="9" t="str">
        <f t="shared" si="48"/>
        <v>N/I</v>
      </c>
      <c r="B792" s="9" t="str">
        <f t="shared" si="49"/>
        <v>N/I</v>
      </c>
      <c r="C792" s="9" t="str">
        <f t="shared" si="64"/>
        <v>N/I</v>
      </c>
      <c r="D792" s="10" t="s">
        <v>2311</v>
      </c>
      <c r="E792" s="11" t="s">
        <v>2312</v>
      </c>
      <c r="F792" s="11"/>
      <c r="G792" s="12" t="s">
        <v>94</v>
      </c>
      <c r="H792" s="25" t="s">
        <v>187</v>
      </c>
      <c r="I792" s="12"/>
      <c r="J792" s="10"/>
      <c r="K792" s="10"/>
      <c r="L792" s="10" t="s">
        <v>4</v>
      </c>
      <c r="M792" s="24" t="s">
        <v>193</v>
      </c>
      <c r="N792" s="11"/>
      <c r="O792" s="10"/>
      <c r="P792" s="10" t="s">
        <v>2313</v>
      </c>
      <c r="Q792" s="2"/>
      <c r="R792" s="10">
        <v>60.0</v>
      </c>
      <c r="S792" s="24" t="s">
        <v>1489</v>
      </c>
      <c r="T792" s="24" t="s">
        <v>1489</v>
      </c>
      <c r="U792" s="10"/>
      <c r="V792" s="1"/>
      <c r="W792" s="15"/>
      <c r="X792" s="15"/>
      <c r="Y792" s="15"/>
      <c r="Z792" s="15"/>
      <c r="AA792" s="1"/>
      <c r="AB792" s="15"/>
      <c r="AC792" s="15"/>
      <c r="AD792" s="15"/>
      <c r="AE792" s="15"/>
      <c r="AF792" s="2"/>
      <c r="AG792" s="16" t="s">
        <v>45</v>
      </c>
      <c r="AH792" s="16" t="s">
        <v>45</v>
      </c>
      <c r="AI792" s="16" t="s">
        <v>45</v>
      </c>
      <c r="AJ792" s="16" t="s">
        <v>45</v>
      </c>
      <c r="AK792" s="16" t="s">
        <v>45</v>
      </c>
      <c r="AL792" s="16" t="s">
        <v>45</v>
      </c>
      <c r="AM792" s="10" t="s">
        <v>320</v>
      </c>
      <c r="AN792" s="10"/>
    </row>
    <row r="793" ht="30.0" customHeight="1">
      <c r="A793" s="9" t="str">
        <f t="shared" si="48"/>
        <v>Inativo</v>
      </c>
      <c r="B793" s="9" t="str">
        <f t="shared" si="49"/>
        <v>N/I</v>
      </c>
      <c r="C793" s="9" t="str">
        <f t="shared" si="64"/>
        <v>N/I</v>
      </c>
      <c r="D793" s="10" t="s">
        <v>2314</v>
      </c>
      <c r="E793" s="11" t="s">
        <v>2315</v>
      </c>
      <c r="F793" s="32" t="s">
        <v>2316</v>
      </c>
      <c r="G793" s="12" t="s">
        <v>2317</v>
      </c>
      <c r="H793" s="34" t="s">
        <v>2318</v>
      </c>
      <c r="I793" s="12" t="s">
        <v>2319</v>
      </c>
      <c r="J793" s="10" t="s">
        <v>222</v>
      </c>
      <c r="K793" s="10" t="s">
        <v>40</v>
      </c>
      <c r="L793" s="10" t="s">
        <v>4</v>
      </c>
      <c r="M793" s="14">
        <v>45076.0</v>
      </c>
      <c r="N793" s="32" t="s">
        <v>2320</v>
      </c>
      <c r="O793" s="10" t="s">
        <v>2321</v>
      </c>
      <c r="P793" s="10" t="s">
        <v>2322</v>
      </c>
      <c r="Q793" s="2"/>
      <c r="R793" s="10">
        <v>12.0</v>
      </c>
      <c r="S793" s="14">
        <v>45076.0</v>
      </c>
      <c r="T793" s="14">
        <v>45441.0</v>
      </c>
      <c r="U793" s="10">
        <f t="shared" ref="U793:U803" si="68">T793-TODAY()</f>
        <v>-650</v>
      </c>
      <c r="V793" s="1"/>
      <c r="W793" s="15"/>
      <c r="X793" s="15"/>
      <c r="Y793" s="15"/>
      <c r="Z793" s="15"/>
      <c r="AA793" s="1"/>
      <c r="AB793" s="15"/>
      <c r="AC793" s="15"/>
      <c r="AD793" s="15"/>
      <c r="AE793" s="15"/>
      <c r="AF793" s="2"/>
      <c r="AG793" s="16" t="s">
        <v>45</v>
      </c>
      <c r="AH793" s="16" t="s">
        <v>45</v>
      </c>
      <c r="AI793" s="16" t="s">
        <v>45</v>
      </c>
      <c r="AJ793" s="16" t="s">
        <v>45</v>
      </c>
      <c r="AK793" s="16" t="s">
        <v>45</v>
      </c>
      <c r="AL793" s="10" t="s">
        <v>49</v>
      </c>
      <c r="AM793" s="16" t="s">
        <v>45</v>
      </c>
      <c r="AN793" s="16" t="s">
        <v>45</v>
      </c>
    </row>
    <row r="794" ht="30.0" customHeight="1">
      <c r="A794" s="9" t="str">
        <f t="shared" si="48"/>
        <v>Inativo</v>
      </c>
      <c r="B794" s="9" t="str">
        <f t="shared" si="49"/>
        <v>N/I</v>
      </c>
      <c r="C794" s="9" t="str">
        <f t="shared" si="64"/>
        <v>N/I</v>
      </c>
      <c r="D794" s="10" t="s">
        <v>2314</v>
      </c>
      <c r="E794" s="11" t="s">
        <v>2315</v>
      </c>
      <c r="F794" s="32" t="s">
        <v>2316</v>
      </c>
      <c r="G794" s="12" t="s">
        <v>2317</v>
      </c>
      <c r="H794" s="34" t="s">
        <v>2323</v>
      </c>
      <c r="I794" s="12" t="s">
        <v>2319</v>
      </c>
      <c r="J794" s="10" t="s">
        <v>222</v>
      </c>
      <c r="K794" s="10" t="s">
        <v>40</v>
      </c>
      <c r="L794" s="10" t="s">
        <v>4</v>
      </c>
      <c r="M794" s="14">
        <v>45076.0</v>
      </c>
      <c r="N794" s="32" t="s">
        <v>2320</v>
      </c>
      <c r="O794" s="10" t="s">
        <v>2321</v>
      </c>
      <c r="P794" s="10" t="s">
        <v>2322</v>
      </c>
      <c r="Q794" s="2"/>
      <c r="R794" s="10">
        <v>12.0</v>
      </c>
      <c r="S794" s="14">
        <v>45076.0</v>
      </c>
      <c r="T794" s="14">
        <v>45441.0</v>
      </c>
      <c r="U794" s="10">
        <f t="shared" si="68"/>
        <v>-650</v>
      </c>
      <c r="V794" s="1"/>
      <c r="W794" s="15"/>
      <c r="X794" s="15"/>
      <c r="Y794" s="15"/>
      <c r="Z794" s="15"/>
      <c r="AA794" s="1"/>
      <c r="AB794" s="15"/>
      <c r="AC794" s="15"/>
      <c r="AD794" s="15"/>
      <c r="AE794" s="15"/>
      <c r="AF794" s="2"/>
      <c r="AG794" s="16" t="s">
        <v>45</v>
      </c>
      <c r="AH794" s="16" t="s">
        <v>45</v>
      </c>
      <c r="AI794" s="16" t="s">
        <v>45</v>
      </c>
      <c r="AJ794" s="16" t="s">
        <v>45</v>
      </c>
      <c r="AK794" s="16" t="s">
        <v>45</v>
      </c>
      <c r="AL794" s="10" t="s">
        <v>49</v>
      </c>
      <c r="AM794" s="16" t="s">
        <v>45</v>
      </c>
      <c r="AN794" s="16" t="s">
        <v>45</v>
      </c>
    </row>
    <row r="795" ht="30.0" customHeight="1">
      <c r="A795" s="9" t="str">
        <f t="shared" si="48"/>
        <v>Inativo</v>
      </c>
      <c r="B795" s="9" t="str">
        <f t="shared" si="49"/>
        <v>N/I</v>
      </c>
      <c r="C795" s="9" t="str">
        <f t="shared" si="64"/>
        <v>N/I</v>
      </c>
      <c r="D795" s="10" t="s">
        <v>2314</v>
      </c>
      <c r="E795" s="11" t="s">
        <v>2315</v>
      </c>
      <c r="F795" s="32" t="s">
        <v>2316</v>
      </c>
      <c r="G795" s="12" t="s">
        <v>2324</v>
      </c>
      <c r="H795" s="34" t="s">
        <v>2325</v>
      </c>
      <c r="I795" s="12" t="s">
        <v>2319</v>
      </c>
      <c r="J795" s="10" t="s">
        <v>222</v>
      </c>
      <c r="K795" s="10" t="s">
        <v>40</v>
      </c>
      <c r="L795" s="10" t="s">
        <v>4</v>
      </c>
      <c r="M795" s="14">
        <v>45076.0</v>
      </c>
      <c r="N795" s="32" t="s">
        <v>2320</v>
      </c>
      <c r="O795" s="10" t="s">
        <v>2321</v>
      </c>
      <c r="P795" s="10" t="s">
        <v>2322</v>
      </c>
      <c r="Q795" s="2"/>
      <c r="R795" s="10">
        <v>12.0</v>
      </c>
      <c r="S795" s="14">
        <v>45076.0</v>
      </c>
      <c r="T795" s="14">
        <v>45441.0</v>
      </c>
      <c r="U795" s="10">
        <f t="shared" si="68"/>
        <v>-650</v>
      </c>
      <c r="V795" s="1"/>
      <c r="W795" s="15"/>
      <c r="X795" s="15"/>
      <c r="Y795" s="15"/>
      <c r="Z795" s="15"/>
      <c r="AA795" s="1"/>
      <c r="AB795" s="15"/>
      <c r="AC795" s="15"/>
      <c r="AD795" s="15"/>
      <c r="AE795" s="15"/>
      <c r="AF795" s="2"/>
      <c r="AG795" s="16" t="s">
        <v>45</v>
      </c>
      <c r="AH795" s="16" t="s">
        <v>45</v>
      </c>
      <c r="AI795" s="16" t="s">
        <v>45</v>
      </c>
      <c r="AJ795" s="16" t="s">
        <v>45</v>
      </c>
      <c r="AK795" s="16" t="s">
        <v>45</v>
      </c>
      <c r="AL795" s="10" t="s">
        <v>49</v>
      </c>
      <c r="AM795" s="16" t="s">
        <v>45</v>
      </c>
      <c r="AN795" s="16" t="s">
        <v>45</v>
      </c>
    </row>
    <row r="796" ht="30.0" customHeight="1">
      <c r="A796" s="9" t="str">
        <f t="shared" si="48"/>
        <v>Inativo</v>
      </c>
      <c r="B796" s="9" t="str">
        <f t="shared" si="49"/>
        <v>N/I</v>
      </c>
      <c r="C796" s="9" t="str">
        <f t="shared" si="64"/>
        <v>N/I</v>
      </c>
      <c r="D796" s="10" t="s">
        <v>2314</v>
      </c>
      <c r="E796" s="11" t="s">
        <v>2315</v>
      </c>
      <c r="F796" s="32" t="s">
        <v>2316</v>
      </c>
      <c r="G796" s="12" t="s">
        <v>2324</v>
      </c>
      <c r="H796" s="34" t="s">
        <v>2326</v>
      </c>
      <c r="I796" s="12" t="s">
        <v>2319</v>
      </c>
      <c r="J796" s="10" t="s">
        <v>222</v>
      </c>
      <c r="K796" s="10" t="s">
        <v>40</v>
      </c>
      <c r="L796" s="10" t="s">
        <v>4</v>
      </c>
      <c r="M796" s="14">
        <v>45076.0</v>
      </c>
      <c r="N796" s="32" t="s">
        <v>2320</v>
      </c>
      <c r="O796" s="10" t="s">
        <v>2321</v>
      </c>
      <c r="P796" s="10" t="s">
        <v>2322</v>
      </c>
      <c r="Q796" s="2"/>
      <c r="R796" s="10">
        <v>12.0</v>
      </c>
      <c r="S796" s="14">
        <v>45076.0</v>
      </c>
      <c r="T796" s="14">
        <v>45441.0</v>
      </c>
      <c r="U796" s="10">
        <f t="shared" si="68"/>
        <v>-650</v>
      </c>
      <c r="V796" s="1"/>
      <c r="W796" s="15"/>
      <c r="X796" s="15"/>
      <c r="Y796" s="15"/>
      <c r="Z796" s="15"/>
      <c r="AA796" s="1"/>
      <c r="AB796" s="15"/>
      <c r="AC796" s="15"/>
      <c r="AD796" s="15"/>
      <c r="AE796" s="15"/>
      <c r="AF796" s="2"/>
      <c r="AG796" s="16" t="s">
        <v>45</v>
      </c>
      <c r="AH796" s="16" t="s">
        <v>45</v>
      </c>
      <c r="AI796" s="16" t="s">
        <v>45</v>
      </c>
      <c r="AJ796" s="16" t="s">
        <v>45</v>
      </c>
      <c r="AK796" s="16" t="s">
        <v>45</v>
      </c>
      <c r="AL796" s="10" t="s">
        <v>49</v>
      </c>
      <c r="AM796" s="16" t="s">
        <v>45</v>
      </c>
      <c r="AN796" s="16" t="s">
        <v>45</v>
      </c>
    </row>
    <row r="797" ht="30.0" customHeight="1">
      <c r="A797" s="9" t="str">
        <f t="shared" si="48"/>
        <v>Inativo</v>
      </c>
      <c r="B797" s="9" t="str">
        <f t="shared" si="49"/>
        <v>N/I</v>
      </c>
      <c r="C797" s="9" t="str">
        <f t="shared" si="64"/>
        <v>N/I</v>
      </c>
      <c r="D797" s="10" t="s">
        <v>2314</v>
      </c>
      <c r="E797" s="11" t="s">
        <v>2315</v>
      </c>
      <c r="F797" s="32" t="s">
        <v>2316</v>
      </c>
      <c r="G797" s="12" t="s">
        <v>2324</v>
      </c>
      <c r="H797" s="34" t="s">
        <v>2327</v>
      </c>
      <c r="I797" s="12" t="s">
        <v>2319</v>
      </c>
      <c r="J797" s="10" t="s">
        <v>222</v>
      </c>
      <c r="K797" s="10" t="s">
        <v>40</v>
      </c>
      <c r="L797" s="10" t="s">
        <v>4</v>
      </c>
      <c r="M797" s="14">
        <v>45076.0</v>
      </c>
      <c r="N797" s="32" t="s">
        <v>2320</v>
      </c>
      <c r="O797" s="10" t="s">
        <v>2321</v>
      </c>
      <c r="P797" s="10" t="s">
        <v>2322</v>
      </c>
      <c r="Q797" s="2"/>
      <c r="R797" s="10">
        <v>12.0</v>
      </c>
      <c r="S797" s="14">
        <v>45076.0</v>
      </c>
      <c r="T797" s="14">
        <v>45441.0</v>
      </c>
      <c r="U797" s="10">
        <f t="shared" si="68"/>
        <v>-650</v>
      </c>
      <c r="V797" s="1"/>
      <c r="W797" s="15"/>
      <c r="X797" s="15"/>
      <c r="Y797" s="15"/>
      <c r="Z797" s="15"/>
      <c r="AA797" s="1"/>
      <c r="AB797" s="15"/>
      <c r="AC797" s="15"/>
      <c r="AD797" s="15"/>
      <c r="AE797" s="15"/>
      <c r="AF797" s="2"/>
      <c r="AG797" s="16" t="s">
        <v>45</v>
      </c>
      <c r="AH797" s="16" t="s">
        <v>45</v>
      </c>
      <c r="AI797" s="16" t="s">
        <v>45</v>
      </c>
      <c r="AJ797" s="16" t="s">
        <v>45</v>
      </c>
      <c r="AK797" s="16" t="s">
        <v>45</v>
      </c>
      <c r="AL797" s="10" t="s">
        <v>49</v>
      </c>
      <c r="AM797" s="16" t="s">
        <v>45</v>
      </c>
      <c r="AN797" s="16" t="s">
        <v>45</v>
      </c>
    </row>
    <row r="798" ht="30.0" customHeight="1">
      <c r="A798" s="9" t="str">
        <f t="shared" si="48"/>
        <v>Inativo</v>
      </c>
      <c r="B798" s="9" t="str">
        <f t="shared" si="49"/>
        <v>N/I</v>
      </c>
      <c r="C798" s="9" t="str">
        <f t="shared" si="64"/>
        <v>N/I</v>
      </c>
      <c r="D798" s="10" t="s">
        <v>2314</v>
      </c>
      <c r="E798" s="11" t="s">
        <v>2315</v>
      </c>
      <c r="F798" s="32" t="s">
        <v>2316</v>
      </c>
      <c r="G798" s="12" t="s">
        <v>2324</v>
      </c>
      <c r="H798" s="34" t="s">
        <v>2328</v>
      </c>
      <c r="I798" s="12" t="s">
        <v>2319</v>
      </c>
      <c r="J798" s="10" t="s">
        <v>222</v>
      </c>
      <c r="K798" s="10" t="s">
        <v>40</v>
      </c>
      <c r="L798" s="10" t="s">
        <v>4</v>
      </c>
      <c r="M798" s="14">
        <v>45076.0</v>
      </c>
      <c r="N798" s="32" t="s">
        <v>2320</v>
      </c>
      <c r="O798" s="10" t="s">
        <v>2321</v>
      </c>
      <c r="P798" s="10" t="s">
        <v>2322</v>
      </c>
      <c r="Q798" s="2"/>
      <c r="R798" s="10">
        <v>12.0</v>
      </c>
      <c r="S798" s="14">
        <v>45076.0</v>
      </c>
      <c r="T798" s="14">
        <v>45441.0</v>
      </c>
      <c r="U798" s="10">
        <f t="shared" si="68"/>
        <v>-650</v>
      </c>
      <c r="V798" s="2"/>
      <c r="W798" s="15"/>
      <c r="X798" s="15"/>
      <c r="Y798" s="15"/>
      <c r="Z798" s="15"/>
      <c r="AA798" s="1"/>
      <c r="AB798" s="15"/>
      <c r="AC798" s="15"/>
      <c r="AD798" s="15"/>
      <c r="AE798" s="15"/>
      <c r="AF798" s="2"/>
      <c r="AG798" s="16" t="s">
        <v>45</v>
      </c>
      <c r="AH798" s="16" t="s">
        <v>45</v>
      </c>
      <c r="AI798" s="16" t="s">
        <v>45</v>
      </c>
      <c r="AJ798" s="16" t="s">
        <v>45</v>
      </c>
      <c r="AK798" s="16" t="s">
        <v>45</v>
      </c>
      <c r="AL798" s="10" t="s">
        <v>49</v>
      </c>
      <c r="AM798" s="16" t="s">
        <v>45</v>
      </c>
      <c r="AN798" s="16" t="s">
        <v>45</v>
      </c>
    </row>
    <row r="799" ht="30.0" customHeight="1">
      <c r="A799" s="9" t="str">
        <f t="shared" si="48"/>
        <v>Inativo</v>
      </c>
      <c r="B799" s="9" t="str">
        <f t="shared" si="49"/>
        <v>N/I</v>
      </c>
      <c r="C799" s="9" t="str">
        <f t="shared" si="64"/>
        <v>N/I</v>
      </c>
      <c r="D799" s="10" t="s">
        <v>2314</v>
      </c>
      <c r="E799" s="11" t="s">
        <v>2315</v>
      </c>
      <c r="F799" s="32" t="s">
        <v>2316</v>
      </c>
      <c r="G799" s="12" t="s">
        <v>2324</v>
      </c>
      <c r="H799" s="34" t="s">
        <v>2329</v>
      </c>
      <c r="I799" s="12" t="s">
        <v>2319</v>
      </c>
      <c r="J799" s="10" t="s">
        <v>222</v>
      </c>
      <c r="K799" s="10" t="s">
        <v>40</v>
      </c>
      <c r="L799" s="10" t="s">
        <v>4</v>
      </c>
      <c r="M799" s="14">
        <v>45076.0</v>
      </c>
      <c r="N799" s="32" t="s">
        <v>2320</v>
      </c>
      <c r="O799" s="10" t="s">
        <v>2321</v>
      </c>
      <c r="P799" s="10" t="s">
        <v>2322</v>
      </c>
      <c r="Q799" s="2"/>
      <c r="R799" s="10">
        <v>12.0</v>
      </c>
      <c r="S799" s="14">
        <v>45076.0</v>
      </c>
      <c r="T799" s="14">
        <v>45441.0</v>
      </c>
      <c r="U799" s="10">
        <f t="shared" si="68"/>
        <v>-650</v>
      </c>
      <c r="V799" s="2"/>
      <c r="W799" s="15"/>
      <c r="X799" s="15"/>
      <c r="Y799" s="15"/>
      <c r="Z799" s="15"/>
      <c r="AA799" s="1"/>
      <c r="AB799" s="15"/>
      <c r="AC799" s="15"/>
      <c r="AD799" s="15"/>
      <c r="AE799" s="15"/>
      <c r="AF799" s="2"/>
      <c r="AG799" s="16" t="s">
        <v>45</v>
      </c>
      <c r="AH799" s="16" t="s">
        <v>45</v>
      </c>
      <c r="AI799" s="16" t="s">
        <v>45</v>
      </c>
      <c r="AJ799" s="16" t="s">
        <v>45</v>
      </c>
      <c r="AK799" s="16" t="s">
        <v>45</v>
      </c>
      <c r="AL799" s="10" t="s">
        <v>49</v>
      </c>
      <c r="AM799" s="16" t="s">
        <v>45</v>
      </c>
      <c r="AN799" s="16" t="s">
        <v>45</v>
      </c>
    </row>
    <row r="800" ht="30.0" customHeight="1">
      <c r="A800" s="9" t="str">
        <f t="shared" si="48"/>
        <v>Inativo</v>
      </c>
      <c r="B800" s="9" t="str">
        <f t="shared" si="49"/>
        <v>N/I</v>
      </c>
      <c r="C800" s="9" t="str">
        <f t="shared" si="64"/>
        <v>N/I</v>
      </c>
      <c r="D800" s="10" t="s">
        <v>2314</v>
      </c>
      <c r="E800" s="11" t="s">
        <v>2315</v>
      </c>
      <c r="F800" s="32" t="s">
        <v>2316</v>
      </c>
      <c r="G800" s="12" t="s">
        <v>94</v>
      </c>
      <c r="H800" s="34" t="s">
        <v>2330</v>
      </c>
      <c r="I800" s="12" t="s">
        <v>2319</v>
      </c>
      <c r="J800" s="10" t="s">
        <v>222</v>
      </c>
      <c r="K800" s="10" t="s">
        <v>40</v>
      </c>
      <c r="L800" s="10" t="s">
        <v>4</v>
      </c>
      <c r="M800" s="14">
        <v>45076.0</v>
      </c>
      <c r="N800" s="32" t="s">
        <v>2320</v>
      </c>
      <c r="O800" s="10" t="s">
        <v>2321</v>
      </c>
      <c r="P800" s="10" t="s">
        <v>2322</v>
      </c>
      <c r="Q800" s="2"/>
      <c r="R800" s="10">
        <v>12.0</v>
      </c>
      <c r="S800" s="14">
        <v>45076.0</v>
      </c>
      <c r="T800" s="14">
        <v>45441.0</v>
      </c>
      <c r="U800" s="10">
        <f t="shared" si="68"/>
        <v>-650</v>
      </c>
      <c r="V800" s="2"/>
      <c r="W800" s="15"/>
      <c r="X800" s="15"/>
      <c r="Y800" s="15"/>
      <c r="Z800" s="15"/>
      <c r="AA800" s="1"/>
      <c r="AB800" s="15"/>
      <c r="AC800" s="15"/>
      <c r="AD800" s="15"/>
      <c r="AE800" s="15"/>
      <c r="AF800" s="2"/>
      <c r="AG800" s="16" t="s">
        <v>45</v>
      </c>
      <c r="AH800" s="16" t="s">
        <v>45</v>
      </c>
      <c r="AI800" s="16" t="s">
        <v>45</v>
      </c>
      <c r="AJ800" s="16" t="s">
        <v>45</v>
      </c>
      <c r="AK800" s="16" t="s">
        <v>45</v>
      </c>
      <c r="AL800" s="10" t="s">
        <v>49</v>
      </c>
      <c r="AM800" s="16" t="s">
        <v>45</v>
      </c>
      <c r="AN800" s="16" t="s">
        <v>45</v>
      </c>
    </row>
    <row r="801" ht="30.0" customHeight="1">
      <c r="A801" s="9" t="str">
        <f t="shared" si="48"/>
        <v>Inativo</v>
      </c>
      <c r="B801" s="9" t="str">
        <f t="shared" si="49"/>
        <v>N/I</v>
      </c>
      <c r="C801" s="9" t="str">
        <f t="shared" si="64"/>
        <v>N/I</v>
      </c>
      <c r="D801" s="10" t="s">
        <v>2314</v>
      </c>
      <c r="E801" s="11" t="s">
        <v>2315</v>
      </c>
      <c r="F801" s="32" t="s">
        <v>2316</v>
      </c>
      <c r="G801" s="12" t="s">
        <v>2317</v>
      </c>
      <c r="H801" s="34" t="s">
        <v>2331</v>
      </c>
      <c r="I801" s="12" t="s">
        <v>2319</v>
      </c>
      <c r="J801" s="10" t="s">
        <v>222</v>
      </c>
      <c r="K801" s="10" t="s">
        <v>40</v>
      </c>
      <c r="L801" s="10" t="s">
        <v>4</v>
      </c>
      <c r="M801" s="14">
        <v>45161.0</v>
      </c>
      <c r="N801" s="32" t="s">
        <v>2320</v>
      </c>
      <c r="O801" s="10" t="s">
        <v>2321</v>
      </c>
      <c r="P801" s="10" t="s">
        <v>2332</v>
      </c>
      <c r="Q801" s="2"/>
      <c r="R801" s="10">
        <v>12.0</v>
      </c>
      <c r="S801" s="14">
        <v>45161.0</v>
      </c>
      <c r="T801" s="14">
        <v>45526.0</v>
      </c>
      <c r="U801" s="10">
        <f t="shared" si="68"/>
        <v>-565</v>
      </c>
      <c r="V801" s="2"/>
      <c r="W801" s="15"/>
      <c r="X801" s="15"/>
      <c r="Y801" s="15"/>
      <c r="Z801" s="15"/>
      <c r="AA801" s="1"/>
      <c r="AB801" s="15"/>
      <c r="AC801" s="15"/>
      <c r="AD801" s="15"/>
      <c r="AE801" s="15"/>
      <c r="AF801" s="2"/>
      <c r="AG801" s="16" t="s">
        <v>45</v>
      </c>
      <c r="AH801" s="16" t="s">
        <v>45</v>
      </c>
      <c r="AI801" s="16" t="s">
        <v>45</v>
      </c>
      <c r="AJ801" s="16" t="s">
        <v>45</v>
      </c>
      <c r="AK801" s="16" t="s">
        <v>45</v>
      </c>
      <c r="AL801" s="10" t="s">
        <v>49</v>
      </c>
      <c r="AM801" s="16" t="s">
        <v>45</v>
      </c>
      <c r="AN801" s="16" t="s">
        <v>45</v>
      </c>
    </row>
    <row r="802" ht="30.0" customHeight="1">
      <c r="A802" s="9" t="str">
        <f t="shared" si="48"/>
        <v>Inativo</v>
      </c>
      <c r="B802" s="9" t="str">
        <f t="shared" si="49"/>
        <v>N/I</v>
      </c>
      <c r="C802" s="9" t="str">
        <f t="shared" si="64"/>
        <v>N/I</v>
      </c>
      <c r="D802" s="10" t="s">
        <v>2314</v>
      </c>
      <c r="E802" s="11" t="s">
        <v>2315</v>
      </c>
      <c r="F802" s="32" t="s">
        <v>2316</v>
      </c>
      <c r="G802" s="12" t="s">
        <v>2317</v>
      </c>
      <c r="H802" s="34" t="s">
        <v>2333</v>
      </c>
      <c r="I802" s="12" t="s">
        <v>2319</v>
      </c>
      <c r="J802" s="10" t="s">
        <v>222</v>
      </c>
      <c r="K802" s="10" t="s">
        <v>40</v>
      </c>
      <c r="L802" s="10" t="s">
        <v>4</v>
      </c>
      <c r="M802" s="14">
        <v>45161.0</v>
      </c>
      <c r="N802" s="32" t="s">
        <v>2320</v>
      </c>
      <c r="O802" s="10" t="s">
        <v>2321</v>
      </c>
      <c r="P802" s="10" t="s">
        <v>2332</v>
      </c>
      <c r="Q802" s="2"/>
      <c r="R802" s="10">
        <v>12.0</v>
      </c>
      <c r="S802" s="14">
        <v>45161.0</v>
      </c>
      <c r="T802" s="14">
        <v>45526.0</v>
      </c>
      <c r="U802" s="10">
        <f t="shared" si="68"/>
        <v>-565</v>
      </c>
      <c r="V802" s="2"/>
      <c r="W802" s="15"/>
      <c r="X802" s="15"/>
      <c r="Y802" s="15"/>
      <c r="Z802" s="15"/>
      <c r="AA802" s="1"/>
      <c r="AB802" s="15"/>
      <c r="AC802" s="15"/>
      <c r="AD802" s="15"/>
      <c r="AE802" s="15"/>
      <c r="AF802" s="2"/>
      <c r="AG802" s="16" t="s">
        <v>45</v>
      </c>
      <c r="AH802" s="16" t="s">
        <v>45</v>
      </c>
      <c r="AI802" s="16" t="s">
        <v>45</v>
      </c>
      <c r="AJ802" s="16" t="s">
        <v>45</v>
      </c>
      <c r="AK802" s="16" t="s">
        <v>45</v>
      </c>
      <c r="AL802" s="10" t="s">
        <v>49</v>
      </c>
      <c r="AM802" s="16" t="s">
        <v>45</v>
      </c>
      <c r="AN802" s="16" t="s">
        <v>45</v>
      </c>
    </row>
    <row r="803" ht="30.0" customHeight="1">
      <c r="A803" s="9" t="str">
        <f t="shared" si="48"/>
        <v>Inativo</v>
      </c>
      <c r="B803" s="9" t="str">
        <f t="shared" si="49"/>
        <v>N/I</v>
      </c>
      <c r="C803" s="9" t="str">
        <f t="shared" si="64"/>
        <v>N/I</v>
      </c>
      <c r="D803" s="10" t="s">
        <v>2314</v>
      </c>
      <c r="E803" s="11" t="s">
        <v>2315</v>
      </c>
      <c r="F803" s="32" t="s">
        <v>2316</v>
      </c>
      <c r="G803" s="12" t="s">
        <v>94</v>
      </c>
      <c r="H803" s="34" t="s">
        <v>2334</v>
      </c>
      <c r="I803" s="12" t="s">
        <v>2319</v>
      </c>
      <c r="J803" s="10" t="s">
        <v>222</v>
      </c>
      <c r="K803" s="10" t="s">
        <v>40</v>
      </c>
      <c r="L803" s="10" t="s">
        <v>4</v>
      </c>
      <c r="M803" s="14">
        <v>45161.0</v>
      </c>
      <c r="N803" s="32" t="s">
        <v>2320</v>
      </c>
      <c r="O803" s="10" t="s">
        <v>2321</v>
      </c>
      <c r="P803" s="10" t="s">
        <v>2332</v>
      </c>
      <c r="Q803" s="2"/>
      <c r="R803" s="10">
        <v>12.0</v>
      </c>
      <c r="S803" s="14">
        <v>45161.0</v>
      </c>
      <c r="T803" s="14">
        <v>45526.0</v>
      </c>
      <c r="U803" s="10">
        <f t="shared" si="68"/>
        <v>-565</v>
      </c>
      <c r="V803" s="2"/>
      <c r="W803" s="15"/>
      <c r="X803" s="15"/>
      <c r="Y803" s="15"/>
      <c r="Z803" s="15"/>
      <c r="AA803" s="1"/>
      <c r="AB803" s="15"/>
      <c r="AC803" s="15"/>
      <c r="AD803" s="15"/>
      <c r="AE803" s="15"/>
      <c r="AF803" s="2"/>
      <c r="AG803" s="16" t="s">
        <v>45</v>
      </c>
      <c r="AH803" s="16" t="s">
        <v>45</v>
      </c>
      <c r="AI803" s="16" t="s">
        <v>45</v>
      </c>
      <c r="AJ803" s="16" t="s">
        <v>45</v>
      </c>
      <c r="AK803" s="16" t="s">
        <v>45</v>
      </c>
      <c r="AL803" s="10" t="s">
        <v>49</v>
      </c>
      <c r="AM803" s="16" t="s">
        <v>45</v>
      </c>
      <c r="AN803" s="16" t="s">
        <v>45</v>
      </c>
    </row>
    <row r="804" ht="30.0" customHeight="1">
      <c r="A804" s="9" t="str">
        <f t="shared" si="48"/>
        <v>N/I</v>
      </c>
      <c r="B804" s="9" t="str">
        <f t="shared" si="49"/>
        <v>Ativo</v>
      </c>
      <c r="C804" s="9" t="str">
        <f t="shared" si="64"/>
        <v>N/I</v>
      </c>
      <c r="D804" s="10" t="s">
        <v>2335</v>
      </c>
      <c r="E804" s="11" t="s">
        <v>2336</v>
      </c>
      <c r="F804" s="11" t="s">
        <v>2337</v>
      </c>
      <c r="G804" s="12" t="s">
        <v>94</v>
      </c>
      <c r="H804" s="41" t="s">
        <v>2338</v>
      </c>
      <c r="I804" s="12" t="s">
        <v>463</v>
      </c>
      <c r="J804" s="10" t="s">
        <v>222</v>
      </c>
      <c r="K804" s="10" t="s">
        <v>40</v>
      </c>
      <c r="L804" s="10" t="s">
        <v>264</v>
      </c>
      <c r="M804" s="14">
        <v>44175.0</v>
      </c>
      <c r="N804" s="32" t="s">
        <v>2339</v>
      </c>
      <c r="O804" s="10" t="s">
        <v>2340</v>
      </c>
      <c r="P804" s="10" t="s">
        <v>2341</v>
      </c>
      <c r="Q804" s="2"/>
      <c r="R804" s="15"/>
      <c r="S804" s="15"/>
      <c r="T804" s="15"/>
      <c r="U804" s="15"/>
      <c r="V804" s="2"/>
      <c r="W804" s="10">
        <v>12.0</v>
      </c>
      <c r="X804" s="14">
        <v>45906.0</v>
      </c>
      <c r="Y804" s="14">
        <v>46271.0</v>
      </c>
      <c r="Z804" s="10">
        <f t="shared" ref="Z804:Z806" si="69">Y804-TODAY()</f>
        <v>180</v>
      </c>
      <c r="AA804" s="1"/>
      <c r="AB804" s="15"/>
      <c r="AC804" s="15"/>
      <c r="AD804" s="15"/>
      <c r="AE804" s="15"/>
      <c r="AF804" s="2"/>
      <c r="AG804" s="10" t="s">
        <v>290</v>
      </c>
      <c r="AH804" s="12" t="s">
        <v>355</v>
      </c>
      <c r="AI804" s="10" t="s">
        <v>226</v>
      </c>
      <c r="AJ804" s="10" t="s">
        <v>227</v>
      </c>
      <c r="AK804" s="16" t="s">
        <v>45</v>
      </c>
      <c r="AL804" s="10" t="s">
        <v>2289</v>
      </c>
      <c r="AM804" s="16" t="s">
        <v>45</v>
      </c>
      <c r="AN804" s="10" t="s">
        <v>320</v>
      </c>
    </row>
    <row r="805" ht="30.0" customHeight="1">
      <c r="A805" s="9" t="str">
        <f t="shared" si="48"/>
        <v>N/I</v>
      </c>
      <c r="B805" s="9" t="str">
        <f t="shared" si="49"/>
        <v>Ativo</v>
      </c>
      <c r="C805" s="9" t="str">
        <f t="shared" si="64"/>
        <v>N/I</v>
      </c>
      <c r="D805" s="10" t="s">
        <v>2335</v>
      </c>
      <c r="E805" s="11" t="s">
        <v>2336</v>
      </c>
      <c r="F805" s="11"/>
      <c r="G805" s="12" t="s">
        <v>94</v>
      </c>
      <c r="H805" s="41" t="s">
        <v>2342</v>
      </c>
      <c r="I805" s="12" t="s">
        <v>380</v>
      </c>
      <c r="J805" s="10" t="s">
        <v>197</v>
      </c>
      <c r="K805" s="10" t="s">
        <v>40</v>
      </c>
      <c r="L805" s="10" t="s">
        <v>264</v>
      </c>
      <c r="M805" s="14">
        <v>43920.0</v>
      </c>
      <c r="N805" s="32" t="s">
        <v>2343</v>
      </c>
      <c r="O805" s="10" t="s">
        <v>2344</v>
      </c>
      <c r="P805" s="10" t="s">
        <v>2341</v>
      </c>
      <c r="Q805" s="2"/>
      <c r="R805" s="15"/>
      <c r="S805" s="15"/>
      <c r="T805" s="15"/>
      <c r="U805" s="15"/>
      <c r="V805" s="2"/>
      <c r="W805" s="10">
        <v>12.0</v>
      </c>
      <c r="X805" s="14">
        <v>45906.0</v>
      </c>
      <c r="Y805" s="14">
        <v>46271.0</v>
      </c>
      <c r="Z805" s="10">
        <f t="shared" si="69"/>
        <v>180</v>
      </c>
      <c r="AA805" s="1"/>
      <c r="AB805" s="15"/>
      <c r="AC805" s="15"/>
      <c r="AD805" s="15"/>
      <c r="AE805" s="15"/>
      <c r="AF805" s="2"/>
      <c r="AG805" s="10" t="s">
        <v>290</v>
      </c>
      <c r="AH805" s="12" t="s">
        <v>355</v>
      </c>
      <c r="AI805" s="10" t="s">
        <v>226</v>
      </c>
      <c r="AJ805" s="10" t="s">
        <v>227</v>
      </c>
      <c r="AK805" s="16" t="s">
        <v>45</v>
      </c>
      <c r="AL805" s="10" t="s">
        <v>2289</v>
      </c>
      <c r="AM805" s="16" t="s">
        <v>45</v>
      </c>
      <c r="AN805" s="10" t="s">
        <v>320</v>
      </c>
    </row>
    <row r="806" ht="30.0" customHeight="1">
      <c r="A806" s="9" t="str">
        <f t="shared" si="48"/>
        <v>N/I</v>
      </c>
      <c r="B806" s="9" t="str">
        <f t="shared" si="49"/>
        <v>Ativo</v>
      </c>
      <c r="C806" s="9" t="str">
        <f t="shared" si="64"/>
        <v>N/I</v>
      </c>
      <c r="D806" s="10" t="s">
        <v>2335</v>
      </c>
      <c r="E806" s="11" t="s">
        <v>2336</v>
      </c>
      <c r="F806" s="11"/>
      <c r="G806" s="12" t="s">
        <v>94</v>
      </c>
      <c r="H806" s="41" t="s">
        <v>2345</v>
      </c>
      <c r="I806" s="12" t="s">
        <v>380</v>
      </c>
      <c r="J806" s="10" t="s">
        <v>197</v>
      </c>
      <c r="K806" s="10" t="s">
        <v>40</v>
      </c>
      <c r="L806" s="10" t="s">
        <v>264</v>
      </c>
      <c r="M806" s="14">
        <v>44179.0</v>
      </c>
      <c r="N806" s="32" t="s">
        <v>2346</v>
      </c>
      <c r="O806" s="10" t="s">
        <v>2347</v>
      </c>
      <c r="P806" s="10" t="s">
        <v>2341</v>
      </c>
      <c r="Q806" s="2"/>
      <c r="R806" s="15"/>
      <c r="S806" s="15"/>
      <c r="T806" s="15"/>
      <c r="U806" s="15"/>
      <c r="V806" s="2"/>
      <c r="W806" s="10">
        <v>12.0</v>
      </c>
      <c r="X806" s="14">
        <v>45906.0</v>
      </c>
      <c r="Y806" s="14">
        <v>46271.0</v>
      </c>
      <c r="Z806" s="10">
        <f t="shared" si="69"/>
        <v>180</v>
      </c>
      <c r="AA806" s="1"/>
      <c r="AB806" s="15"/>
      <c r="AC806" s="15"/>
      <c r="AD806" s="15"/>
      <c r="AE806" s="15"/>
      <c r="AF806" s="2"/>
      <c r="AG806" s="10" t="s">
        <v>290</v>
      </c>
      <c r="AH806" s="12" t="s">
        <v>355</v>
      </c>
      <c r="AI806" s="10" t="s">
        <v>226</v>
      </c>
      <c r="AJ806" s="10" t="s">
        <v>227</v>
      </c>
      <c r="AK806" s="16" t="s">
        <v>45</v>
      </c>
      <c r="AL806" s="10" t="s">
        <v>2289</v>
      </c>
      <c r="AM806" s="16" t="s">
        <v>45</v>
      </c>
      <c r="AN806" s="10" t="s">
        <v>320</v>
      </c>
    </row>
    <row r="807" ht="30.0" customHeight="1">
      <c r="A807" s="9" t="str">
        <f t="shared" si="48"/>
        <v>Ativo</v>
      </c>
      <c r="B807" s="9" t="str">
        <f t="shared" si="49"/>
        <v>N/I</v>
      </c>
      <c r="C807" s="9" t="str">
        <f t="shared" si="64"/>
        <v>N/I</v>
      </c>
      <c r="D807" s="10" t="s">
        <v>2348</v>
      </c>
      <c r="E807" s="11" t="s">
        <v>2349</v>
      </c>
      <c r="F807" s="11" t="s">
        <v>2350</v>
      </c>
      <c r="G807" s="12" t="s">
        <v>94</v>
      </c>
      <c r="H807" s="34" t="s">
        <v>2351</v>
      </c>
      <c r="I807" s="12" t="s">
        <v>2352</v>
      </c>
      <c r="J807" s="10" t="s">
        <v>895</v>
      </c>
      <c r="K807" s="10" t="s">
        <v>41</v>
      </c>
      <c r="L807" s="10" t="s">
        <v>4</v>
      </c>
      <c r="M807" s="14">
        <v>45030.0</v>
      </c>
      <c r="N807" s="11" t="s">
        <v>2353</v>
      </c>
      <c r="O807" s="10" t="s">
        <v>2354</v>
      </c>
      <c r="P807" s="10" t="s">
        <v>2355</v>
      </c>
      <c r="Q807" s="2"/>
      <c r="R807" s="10">
        <v>60.0</v>
      </c>
      <c r="S807" s="14">
        <v>45030.0</v>
      </c>
      <c r="T807" s="14">
        <v>46856.0</v>
      </c>
      <c r="U807" s="10">
        <f t="shared" ref="U807:U851" si="70">T807-TODAY()</f>
        <v>765</v>
      </c>
      <c r="V807" s="2"/>
      <c r="W807" s="15"/>
      <c r="X807" s="15"/>
      <c r="Y807" s="15"/>
      <c r="Z807" s="15"/>
      <c r="AA807" s="1"/>
      <c r="AB807" s="15"/>
      <c r="AC807" s="15"/>
      <c r="AD807" s="15"/>
      <c r="AE807" s="15"/>
      <c r="AF807" s="2"/>
      <c r="AG807" s="16" t="s">
        <v>45</v>
      </c>
      <c r="AH807" s="12" t="s">
        <v>46</v>
      </c>
      <c r="AI807" s="10" t="s">
        <v>226</v>
      </c>
      <c r="AJ807" s="10" t="s">
        <v>390</v>
      </c>
      <c r="AK807" s="16" t="s">
        <v>45</v>
      </c>
      <c r="AL807" s="10" t="s">
        <v>49</v>
      </c>
      <c r="AM807" s="10" t="s">
        <v>664</v>
      </c>
      <c r="AN807" s="10" t="s">
        <v>320</v>
      </c>
    </row>
    <row r="808" ht="30.0" customHeight="1">
      <c r="A808" s="9" t="str">
        <f t="shared" si="48"/>
        <v>Ativo</v>
      </c>
      <c r="B808" s="9" t="str">
        <f t="shared" si="49"/>
        <v>N/I</v>
      </c>
      <c r="C808" s="9" t="str">
        <f t="shared" si="64"/>
        <v>N/I</v>
      </c>
      <c r="D808" s="10" t="s">
        <v>2348</v>
      </c>
      <c r="E808" s="11" t="s">
        <v>2349</v>
      </c>
      <c r="F808" s="11" t="s">
        <v>2356</v>
      </c>
      <c r="G808" s="12" t="s">
        <v>94</v>
      </c>
      <c r="H808" s="34" t="s">
        <v>2357</v>
      </c>
      <c r="I808" s="12" t="s">
        <v>2358</v>
      </c>
      <c r="J808" s="10" t="s">
        <v>895</v>
      </c>
      <c r="K808" s="10" t="s">
        <v>41</v>
      </c>
      <c r="L808" s="10" t="s">
        <v>4</v>
      </c>
      <c r="M808" s="14">
        <v>45029.0</v>
      </c>
      <c r="N808" s="11" t="s">
        <v>2359</v>
      </c>
      <c r="O808" s="10" t="s">
        <v>2360</v>
      </c>
      <c r="P808" s="10" t="s">
        <v>2355</v>
      </c>
      <c r="Q808" s="2"/>
      <c r="R808" s="10">
        <v>60.0</v>
      </c>
      <c r="S808" s="14">
        <v>45029.0</v>
      </c>
      <c r="T808" s="14">
        <v>46855.0</v>
      </c>
      <c r="U808" s="10">
        <f t="shared" si="70"/>
        <v>764</v>
      </c>
      <c r="V808" s="2"/>
      <c r="W808" s="15"/>
      <c r="X808" s="15"/>
      <c r="Y808" s="15"/>
      <c r="Z808" s="15"/>
      <c r="AA808" s="1"/>
      <c r="AB808" s="15"/>
      <c r="AC808" s="15"/>
      <c r="AD808" s="15"/>
      <c r="AE808" s="15"/>
      <c r="AF808" s="2"/>
      <c r="AG808" s="16" t="s">
        <v>45</v>
      </c>
      <c r="AH808" s="12" t="s">
        <v>46</v>
      </c>
      <c r="AI808" s="10" t="s">
        <v>226</v>
      </c>
      <c r="AJ808" s="10" t="s">
        <v>390</v>
      </c>
      <c r="AK808" s="16" t="s">
        <v>45</v>
      </c>
      <c r="AL808" s="10" t="s">
        <v>49</v>
      </c>
      <c r="AM808" s="10" t="s">
        <v>664</v>
      </c>
      <c r="AN808" s="10" t="s">
        <v>320</v>
      </c>
    </row>
    <row r="809" ht="30.0" customHeight="1">
      <c r="A809" s="9" t="str">
        <f t="shared" si="48"/>
        <v>Inativo</v>
      </c>
      <c r="B809" s="9" t="str">
        <f t="shared" si="49"/>
        <v>N/I</v>
      </c>
      <c r="C809" s="9" t="str">
        <f t="shared" si="64"/>
        <v>N/I</v>
      </c>
      <c r="D809" s="10" t="s">
        <v>2348</v>
      </c>
      <c r="E809" s="11" t="s">
        <v>2349</v>
      </c>
      <c r="F809" s="11" t="s">
        <v>2361</v>
      </c>
      <c r="G809" s="12" t="s">
        <v>94</v>
      </c>
      <c r="H809" s="34" t="s">
        <v>2362</v>
      </c>
      <c r="I809" s="12" t="s">
        <v>2363</v>
      </c>
      <c r="J809" s="10" t="s">
        <v>895</v>
      </c>
      <c r="K809" s="10" t="s">
        <v>41</v>
      </c>
      <c r="L809" s="10" t="s">
        <v>4</v>
      </c>
      <c r="M809" s="14">
        <v>43851.0</v>
      </c>
      <c r="N809" s="32" t="s">
        <v>2364</v>
      </c>
      <c r="O809" s="10" t="s">
        <v>2365</v>
      </c>
      <c r="P809" s="10" t="s">
        <v>2366</v>
      </c>
      <c r="Q809" s="2"/>
      <c r="R809" s="10">
        <v>60.0</v>
      </c>
      <c r="S809" s="14">
        <v>43851.0</v>
      </c>
      <c r="T809" s="14">
        <v>45677.0</v>
      </c>
      <c r="U809" s="10">
        <f t="shared" si="70"/>
        <v>-414</v>
      </c>
      <c r="V809" s="2"/>
      <c r="W809" s="15"/>
      <c r="X809" s="15"/>
      <c r="Y809" s="15"/>
      <c r="Z809" s="15"/>
      <c r="AA809" s="1"/>
      <c r="AB809" s="15"/>
      <c r="AC809" s="15"/>
      <c r="AD809" s="15"/>
      <c r="AE809" s="15"/>
      <c r="AF809" s="2"/>
      <c r="AG809" s="16" t="s">
        <v>45</v>
      </c>
      <c r="AH809" s="12" t="s">
        <v>46</v>
      </c>
      <c r="AI809" s="10" t="s">
        <v>226</v>
      </c>
      <c r="AJ809" s="10" t="s">
        <v>390</v>
      </c>
      <c r="AK809" s="16" t="s">
        <v>45</v>
      </c>
      <c r="AL809" s="10" t="s">
        <v>49</v>
      </c>
      <c r="AM809" s="10" t="s">
        <v>664</v>
      </c>
      <c r="AN809" s="10" t="s">
        <v>320</v>
      </c>
    </row>
    <row r="810" ht="30.0" customHeight="1">
      <c r="A810" s="9" t="str">
        <f t="shared" si="48"/>
        <v>Ativo</v>
      </c>
      <c r="B810" s="9" t="str">
        <f t="shared" si="49"/>
        <v>N/I</v>
      </c>
      <c r="C810" s="9" t="str">
        <f t="shared" si="64"/>
        <v>N/I</v>
      </c>
      <c r="D810" s="10" t="s">
        <v>2348</v>
      </c>
      <c r="E810" s="11" t="s">
        <v>2349</v>
      </c>
      <c r="F810" s="11" t="s">
        <v>2367</v>
      </c>
      <c r="G810" s="12" t="s">
        <v>94</v>
      </c>
      <c r="H810" s="34" t="s">
        <v>2368</v>
      </c>
      <c r="I810" s="12" t="s">
        <v>1107</v>
      </c>
      <c r="J810" s="10" t="s">
        <v>895</v>
      </c>
      <c r="K810" s="10" t="s">
        <v>41</v>
      </c>
      <c r="L810" s="10" t="s">
        <v>4</v>
      </c>
      <c r="M810" s="14">
        <v>45027.0</v>
      </c>
      <c r="N810" s="11" t="s">
        <v>2369</v>
      </c>
      <c r="O810" s="10" t="s">
        <v>2370</v>
      </c>
      <c r="P810" s="10" t="s">
        <v>2355</v>
      </c>
      <c r="Q810" s="2"/>
      <c r="R810" s="10">
        <v>60.0</v>
      </c>
      <c r="S810" s="14">
        <v>45027.0</v>
      </c>
      <c r="T810" s="14">
        <v>46853.0</v>
      </c>
      <c r="U810" s="10">
        <f t="shared" si="70"/>
        <v>762</v>
      </c>
      <c r="V810" s="2"/>
      <c r="W810" s="15"/>
      <c r="X810" s="15"/>
      <c r="Y810" s="15"/>
      <c r="Z810" s="15"/>
      <c r="AA810" s="1"/>
      <c r="AB810" s="15"/>
      <c r="AC810" s="15"/>
      <c r="AD810" s="15"/>
      <c r="AE810" s="15"/>
      <c r="AF810" s="2"/>
      <c r="AG810" s="16" t="s">
        <v>45</v>
      </c>
      <c r="AH810" s="12" t="s">
        <v>46</v>
      </c>
      <c r="AI810" s="10" t="s">
        <v>226</v>
      </c>
      <c r="AJ810" s="10" t="s">
        <v>390</v>
      </c>
      <c r="AK810" s="16" t="s">
        <v>45</v>
      </c>
      <c r="AL810" s="10" t="s">
        <v>49</v>
      </c>
      <c r="AM810" s="10" t="s">
        <v>664</v>
      </c>
      <c r="AN810" s="10" t="s">
        <v>320</v>
      </c>
    </row>
    <row r="811" ht="30.0" customHeight="1">
      <c r="A811" s="9" t="str">
        <f t="shared" si="48"/>
        <v>Ativo</v>
      </c>
      <c r="B811" s="9" t="str">
        <f t="shared" si="49"/>
        <v>N/I</v>
      </c>
      <c r="C811" s="9" t="str">
        <f t="shared" si="64"/>
        <v>N/I</v>
      </c>
      <c r="D811" s="10" t="s">
        <v>2348</v>
      </c>
      <c r="E811" s="11" t="s">
        <v>2349</v>
      </c>
      <c r="F811" s="11" t="s">
        <v>2371</v>
      </c>
      <c r="G811" s="12" t="s">
        <v>94</v>
      </c>
      <c r="H811" s="34" t="s">
        <v>2372</v>
      </c>
      <c r="I811" s="12" t="s">
        <v>2373</v>
      </c>
      <c r="J811" s="10" t="s">
        <v>895</v>
      </c>
      <c r="K811" s="10" t="s">
        <v>41</v>
      </c>
      <c r="L811" s="10" t="s">
        <v>4</v>
      </c>
      <c r="M811" s="14">
        <v>45033.0</v>
      </c>
      <c r="N811" s="11" t="s">
        <v>2374</v>
      </c>
      <c r="O811" s="10" t="s">
        <v>2375</v>
      </c>
      <c r="P811" s="10" t="s">
        <v>2355</v>
      </c>
      <c r="Q811" s="2"/>
      <c r="R811" s="10">
        <v>60.0</v>
      </c>
      <c r="S811" s="14">
        <v>45033.0</v>
      </c>
      <c r="T811" s="14">
        <v>46859.0</v>
      </c>
      <c r="U811" s="10">
        <f t="shared" si="70"/>
        <v>768</v>
      </c>
      <c r="V811" s="2"/>
      <c r="W811" s="15"/>
      <c r="X811" s="15"/>
      <c r="Y811" s="15"/>
      <c r="Z811" s="15"/>
      <c r="AA811" s="1"/>
      <c r="AB811" s="15"/>
      <c r="AC811" s="15"/>
      <c r="AD811" s="15"/>
      <c r="AE811" s="15"/>
      <c r="AF811" s="2"/>
      <c r="AG811" s="16" t="s">
        <v>45</v>
      </c>
      <c r="AH811" s="12" t="s">
        <v>46</v>
      </c>
      <c r="AI811" s="10" t="s">
        <v>226</v>
      </c>
      <c r="AJ811" s="10" t="s">
        <v>390</v>
      </c>
      <c r="AK811" s="16" t="s">
        <v>45</v>
      </c>
      <c r="AL811" s="10" t="s">
        <v>49</v>
      </c>
      <c r="AM811" s="10" t="s">
        <v>664</v>
      </c>
      <c r="AN811" s="10" t="s">
        <v>320</v>
      </c>
    </row>
    <row r="812" ht="30.0" customHeight="1">
      <c r="A812" s="9" t="str">
        <f t="shared" si="48"/>
        <v>Ativo</v>
      </c>
      <c r="B812" s="9" t="str">
        <f t="shared" si="49"/>
        <v>N/I</v>
      </c>
      <c r="C812" s="9" t="str">
        <f t="shared" si="64"/>
        <v>N/I</v>
      </c>
      <c r="D812" s="10" t="s">
        <v>2348</v>
      </c>
      <c r="E812" s="11" t="s">
        <v>2349</v>
      </c>
      <c r="F812" s="11" t="s">
        <v>2376</v>
      </c>
      <c r="G812" s="12" t="s">
        <v>94</v>
      </c>
      <c r="H812" s="34" t="s">
        <v>2377</v>
      </c>
      <c r="I812" s="12" t="s">
        <v>2378</v>
      </c>
      <c r="J812" s="10" t="s">
        <v>895</v>
      </c>
      <c r="K812" s="10" t="s">
        <v>41</v>
      </c>
      <c r="L812" s="10" t="s">
        <v>4</v>
      </c>
      <c r="M812" s="14">
        <v>45026.0</v>
      </c>
      <c r="N812" s="11" t="s">
        <v>2379</v>
      </c>
      <c r="O812" s="10" t="s">
        <v>2380</v>
      </c>
      <c r="P812" s="10" t="s">
        <v>2355</v>
      </c>
      <c r="Q812" s="2"/>
      <c r="R812" s="10">
        <v>60.0</v>
      </c>
      <c r="S812" s="14">
        <v>45026.0</v>
      </c>
      <c r="T812" s="14">
        <v>46852.0</v>
      </c>
      <c r="U812" s="10">
        <f t="shared" si="70"/>
        <v>761</v>
      </c>
      <c r="V812" s="2"/>
      <c r="W812" s="15"/>
      <c r="X812" s="15"/>
      <c r="Y812" s="15"/>
      <c r="Z812" s="15"/>
      <c r="AA812" s="1"/>
      <c r="AB812" s="15"/>
      <c r="AC812" s="15"/>
      <c r="AD812" s="15"/>
      <c r="AE812" s="15"/>
      <c r="AF812" s="2"/>
      <c r="AG812" s="16" t="s">
        <v>45</v>
      </c>
      <c r="AH812" s="12" t="s">
        <v>46</v>
      </c>
      <c r="AI812" s="10" t="s">
        <v>226</v>
      </c>
      <c r="AJ812" s="10" t="s">
        <v>390</v>
      </c>
      <c r="AK812" s="16" t="s">
        <v>45</v>
      </c>
      <c r="AL812" s="10" t="s">
        <v>49</v>
      </c>
      <c r="AM812" s="10" t="s">
        <v>664</v>
      </c>
      <c r="AN812" s="10" t="s">
        <v>320</v>
      </c>
    </row>
    <row r="813" ht="30.0" customHeight="1">
      <c r="A813" s="9" t="str">
        <f t="shared" si="48"/>
        <v>Ativo</v>
      </c>
      <c r="B813" s="9" t="str">
        <f t="shared" si="49"/>
        <v>N/I</v>
      </c>
      <c r="C813" s="9" t="str">
        <f t="shared" si="64"/>
        <v>N/I</v>
      </c>
      <c r="D813" s="10" t="s">
        <v>2348</v>
      </c>
      <c r="E813" s="11" t="s">
        <v>2349</v>
      </c>
      <c r="F813" s="11" t="s">
        <v>2381</v>
      </c>
      <c r="G813" s="12" t="s">
        <v>94</v>
      </c>
      <c r="H813" s="34" t="s">
        <v>2382</v>
      </c>
      <c r="I813" s="12" t="s">
        <v>2383</v>
      </c>
      <c r="J813" s="10" t="s">
        <v>895</v>
      </c>
      <c r="K813" s="10" t="s">
        <v>41</v>
      </c>
      <c r="L813" s="10" t="s">
        <v>4</v>
      </c>
      <c r="M813" s="14">
        <v>45075.0</v>
      </c>
      <c r="N813" s="32" t="s">
        <v>2384</v>
      </c>
      <c r="O813" s="10" t="s">
        <v>2385</v>
      </c>
      <c r="P813" s="10" t="s">
        <v>2386</v>
      </c>
      <c r="Q813" s="2"/>
      <c r="R813" s="10">
        <v>60.0</v>
      </c>
      <c r="S813" s="14">
        <v>45075.0</v>
      </c>
      <c r="T813" s="14">
        <v>46901.0</v>
      </c>
      <c r="U813" s="10">
        <f t="shared" si="70"/>
        <v>810</v>
      </c>
      <c r="V813" s="2"/>
      <c r="W813" s="15"/>
      <c r="X813" s="15"/>
      <c r="Y813" s="15"/>
      <c r="Z813" s="15"/>
      <c r="AA813" s="1"/>
      <c r="AB813" s="15"/>
      <c r="AC813" s="15"/>
      <c r="AD813" s="15"/>
      <c r="AE813" s="15"/>
      <c r="AF813" s="2"/>
      <c r="AG813" s="16" t="s">
        <v>45</v>
      </c>
      <c r="AH813" s="12" t="s">
        <v>46</v>
      </c>
      <c r="AI813" s="10" t="s">
        <v>226</v>
      </c>
      <c r="AJ813" s="10" t="s">
        <v>390</v>
      </c>
      <c r="AK813" s="16" t="s">
        <v>45</v>
      </c>
      <c r="AL813" s="10" t="s">
        <v>49</v>
      </c>
      <c r="AM813" s="10" t="s">
        <v>664</v>
      </c>
      <c r="AN813" s="10" t="s">
        <v>320</v>
      </c>
    </row>
    <row r="814" ht="30.0" customHeight="1">
      <c r="A814" s="9" t="str">
        <f t="shared" si="48"/>
        <v>Ativo</v>
      </c>
      <c r="B814" s="9" t="str">
        <f t="shared" si="49"/>
        <v>N/I</v>
      </c>
      <c r="C814" s="9" t="str">
        <f t="shared" si="64"/>
        <v>N/I</v>
      </c>
      <c r="D814" s="10" t="s">
        <v>2348</v>
      </c>
      <c r="E814" s="11" t="s">
        <v>2349</v>
      </c>
      <c r="F814" s="11" t="s">
        <v>2387</v>
      </c>
      <c r="G814" s="12" t="s">
        <v>94</v>
      </c>
      <c r="H814" s="34" t="s">
        <v>2388</v>
      </c>
      <c r="I814" s="12" t="s">
        <v>2389</v>
      </c>
      <c r="J814" s="10" t="s">
        <v>895</v>
      </c>
      <c r="K814" s="10" t="s">
        <v>41</v>
      </c>
      <c r="L814" s="10" t="s">
        <v>4</v>
      </c>
      <c r="M814" s="14">
        <v>45328.0</v>
      </c>
      <c r="N814" s="32" t="s">
        <v>2390</v>
      </c>
      <c r="O814" s="10" t="s">
        <v>2391</v>
      </c>
      <c r="P814" s="10" t="s">
        <v>2392</v>
      </c>
      <c r="Q814" s="2"/>
      <c r="R814" s="10">
        <v>60.0</v>
      </c>
      <c r="S814" s="14">
        <v>45328.0</v>
      </c>
      <c r="T814" s="14">
        <v>47154.0</v>
      </c>
      <c r="U814" s="10">
        <f t="shared" si="70"/>
        <v>1063</v>
      </c>
      <c r="V814" s="2"/>
      <c r="W814" s="15"/>
      <c r="X814" s="15"/>
      <c r="Y814" s="15"/>
      <c r="Z814" s="15"/>
      <c r="AA814" s="1"/>
      <c r="AB814" s="15"/>
      <c r="AC814" s="15"/>
      <c r="AD814" s="15"/>
      <c r="AE814" s="15"/>
      <c r="AF814" s="2"/>
      <c r="AG814" s="16" t="s">
        <v>45</v>
      </c>
      <c r="AH814" s="12" t="s">
        <v>46</v>
      </c>
      <c r="AI814" s="10" t="s">
        <v>226</v>
      </c>
      <c r="AJ814" s="10" t="s">
        <v>390</v>
      </c>
      <c r="AK814" s="16" t="s">
        <v>45</v>
      </c>
      <c r="AL814" s="10" t="s">
        <v>49</v>
      </c>
      <c r="AM814" s="10" t="s">
        <v>664</v>
      </c>
      <c r="AN814" s="10" t="s">
        <v>320</v>
      </c>
    </row>
    <row r="815" ht="30.0" customHeight="1">
      <c r="A815" s="9" t="str">
        <f t="shared" si="48"/>
        <v>Ativo</v>
      </c>
      <c r="B815" s="9" t="str">
        <f t="shared" si="49"/>
        <v>N/I</v>
      </c>
      <c r="C815" s="9" t="str">
        <f t="shared" si="64"/>
        <v>N/I</v>
      </c>
      <c r="D815" s="10" t="s">
        <v>2348</v>
      </c>
      <c r="E815" s="11" t="s">
        <v>2349</v>
      </c>
      <c r="F815" s="11" t="s">
        <v>2393</v>
      </c>
      <c r="G815" s="12" t="s">
        <v>94</v>
      </c>
      <c r="H815" s="34" t="s">
        <v>2394</v>
      </c>
      <c r="I815" s="12" t="s">
        <v>2395</v>
      </c>
      <c r="J815" s="10" t="s">
        <v>895</v>
      </c>
      <c r="K815" s="10" t="s">
        <v>41</v>
      </c>
      <c r="L815" s="10" t="s">
        <v>4</v>
      </c>
      <c r="M815" s="14">
        <v>45027.0</v>
      </c>
      <c r="N815" s="11" t="s">
        <v>2396</v>
      </c>
      <c r="O815" s="10" t="s">
        <v>2397</v>
      </c>
      <c r="P815" s="10" t="s">
        <v>2355</v>
      </c>
      <c r="Q815" s="2"/>
      <c r="R815" s="10">
        <v>60.0</v>
      </c>
      <c r="S815" s="14">
        <v>45027.0</v>
      </c>
      <c r="T815" s="14">
        <v>46853.0</v>
      </c>
      <c r="U815" s="10">
        <f t="shared" si="70"/>
        <v>762</v>
      </c>
      <c r="V815" s="2"/>
      <c r="W815" s="15"/>
      <c r="X815" s="15"/>
      <c r="Y815" s="15"/>
      <c r="Z815" s="15"/>
      <c r="AA815" s="1"/>
      <c r="AB815" s="15"/>
      <c r="AC815" s="15"/>
      <c r="AD815" s="15"/>
      <c r="AE815" s="15"/>
      <c r="AF815" s="2"/>
      <c r="AG815" s="16" t="s">
        <v>45</v>
      </c>
      <c r="AH815" s="12" t="s">
        <v>46</v>
      </c>
      <c r="AI815" s="10" t="s">
        <v>226</v>
      </c>
      <c r="AJ815" s="10" t="s">
        <v>390</v>
      </c>
      <c r="AK815" s="16" t="s">
        <v>45</v>
      </c>
      <c r="AL815" s="10" t="s">
        <v>49</v>
      </c>
      <c r="AM815" s="10" t="s">
        <v>664</v>
      </c>
      <c r="AN815" s="10" t="s">
        <v>320</v>
      </c>
    </row>
    <row r="816" ht="30.0" customHeight="1">
      <c r="A816" s="9" t="str">
        <f t="shared" si="48"/>
        <v>Ativo</v>
      </c>
      <c r="B816" s="9" t="str">
        <f t="shared" si="49"/>
        <v>N/I</v>
      </c>
      <c r="C816" s="9" t="str">
        <f t="shared" si="64"/>
        <v>N/I</v>
      </c>
      <c r="D816" s="10" t="s">
        <v>2348</v>
      </c>
      <c r="E816" s="11" t="s">
        <v>2349</v>
      </c>
      <c r="F816" s="11" t="s">
        <v>2398</v>
      </c>
      <c r="G816" s="12" t="s">
        <v>94</v>
      </c>
      <c r="H816" s="34" t="s">
        <v>2399</v>
      </c>
      <c r="I816" s="12" t="s">
        <v>2400</v>
      </c>
      <c r="J816" s="10" t="s">
        <v>895</v>
      </c>
      <c r="K816" s="10" t="s">
        <v>41</v>
      </c>
      <c r="L816" s="10" t="s">
        <v>4</v>
      </c>
      <c r="M816" s="14">
        <v>45265.0</v>
      </c>
      <c r="N816" s="32" t="s">
        <v>2401</v>
      </c>
      <c r="O816" s="10" t="s">
        <v>2402</v>
      </c>
      <c r="P816" s="10" t="s">
        <v>2403</v>
      </c>
      <c r="Q816" s="2"/>
      <c r="R816" s="10">
        <v>60.0</v>
      </c>
      <c r="S816" s="14">
        <v>45265.0</v>
      </c>
      <c r="T816" s="14">
        <v>47091.0</v>
      </c>
      <c r="U816" s="10">
        <f t="shared" si="70"/>
        <v>1000</v>
      </c>
      <c r="V816" s="2"/>
      <c r="W816" s="15"/>
      <c r="X816" s="15"/>
      <c r="Y816" s="15"/>
      <c r="Z816" s="15"/>
      <c r="AA816" s="1"/>
      <c r="AB816" s="15"/>
      <c r="AC816" s="15"/>
      <c r="AD816" s="15"/>
      <c r="AE816" s="15"/>
      <c r="AF816" s="2"/>
      <c r="AG816" s="16" t="s">
        <v>45</v>
      </c>
      <c r="AH816" s="12" t="s">
        <v>46</v>
      </c>
      <c r="AI816" s="10" t="s">
        <v>226</v>
      </c>
      <c r="AJ816" s="10" t="s">
        <v>390</v>
      </c>
      <c r="AK816" s="16" t="s">
        <v>45</v>
      </c>
      <c r="AL816" s="10" t="s">
        <v>49</v>
      </c>
      <c r="AM816" s="10" t="s">
        <v>664</v>
      </c>
      <c r="AN816" s="10" t="s">
        <v>320</v>
      </c>
    </row>
    <row r="817" ht="30.0" customHeight="1">
      <c r="A817" s="9" t="str">
        <f t="shared" si="48"/>
        <v>Ativo</v>
      </c>
      <c r="B817" s="9" t="str">
        <f t="shared" si="49"/>
        <v>N/I</v>
      </c>
      <c r="C817" s="9" t="str">
        <f t="shared" si="64"/>
        <v>N/I</v>
      </c>
      <c r="D817" s="10" t="s">
        <v>2348</v>
      </c>
      <c r="E817" s="11" t="s">
        <v>2349</v>
      </c>
      <c r="F817" s="11" t="s">
        <v>2404</v>
      </c>
      <c r="G817" s="12" t="s">
        <v>94</v>
      </c>
      <c r="H817" s="34" t="s">
        <v>2405</v>
      </c>
      <c r="I817" s="12" t="s">
        <v>1312</v>
      </c>
      <c r="J817" s="10" t="s">
        <v>895</v>
      </c>
      <c r="K817" s="10" t="s">
        <v>41</v>
      </c>
      <c r="L817" s="10" t="s">
        <v>4</v>
      </c>
      <c r="M817" s="14">
        <v>45028.0</v>
      </c>
      <c r="N817" s="11" t="s">
        <v>2406</v>
      </c>
      <c r="O817" s="10"/>
      <c r="P817" s="10" t="s">
        <v>2355</v>
      </c>
      <c r="Q817" s="2"/>
      <c r="R817" s="10">
        <v>60.0</v>
      </c>
      <c r="S817" s="14">
        <v>45028.0</v>
      </c>
      <c r="T817" s="14">
        <v>46854.0</v>
      </c>
      <c r="U817" s="10">
        <f t="shared" si="70"/>
        <v>763</v>
      </c>
      <c r="V817" s="2"/>
      <c r="W817" s="15"/>
      <c r="X817" s="15"/>
      <c r="Y817" s="15"/>
      <c r="Z817" s="15"/>
      <c r="AA817" s="1"/>
      <c r="AB817" s="15"/>
      <c r="AC817" s="15"/>
      <c r="AD817" s="15"/>
      <c r="AE817" s="15"/>
      <c r="AF817" s="2"/>
      <c r="AG817" s="16" t="s">
        <v>45</v>
      </c>
      <c r="AH817" s="12" t="s">
        <v>46</v>
      </c>
      <c r="AI817" s="10" t="s">
        <v>226</v>
      </c>
      <c r="AJ817" s="10" t="s">
        <v>390</v>
      </c>
      <c r="AK817" s="16" t="s">
        <v>45</v>
      </c>
      <c r="AL817" s="10" t="s">
        <v>49</v>
      </c>
      <c r="AM817" s="10" t="s">
        <v>664</v>
      </c>
      <c r="AN817" s="10" t="s">
        <v>320</v>
      </c>
    </row>
    <row r="818" ht="30.0" customHeight="1">
      <c r="A818" s="9" t="str">
        <f t="shared" si="48"/>
        <v>Inativo</v>
      </c>
      <c r="B818" s="9" t="str">
        <f t="shared" si="49"/>
        <v>N/I</v>
      </c>
      <c r="C818" s="9" t="str">
        <f t="shared" si="64"/>
        <v>N/I</v>
      </c>
      <c r="D818" s="10" t="s">
        <v>2348</v>
      </c>
      <c r="E818" s="11" t="s">
        <v>2349</v>
      </c>
      <c r="F818" s="11" t="s">
        <v>2407</v>
      </c>
      <c r="G818" s="12" t="s">
        <v>94</v>
      </c>
      <c r="H818" s="34" t="s">
        <v>2408</v>
      </c>
      <c r="I818" s="12" t="s">
        <v>894</v>
      </c>
      <c r="J818" s="10" t="s">
        <v>895</v>
      </c>
      <c r="K818" s="10" t="s">
        <v>41</v>
      </c>
      <c r="L818" s="10" t="s">
        <v>4</v>
      </c>
      <c r="M818" s="14">
        <v>43851.0</v>
      </c>
      <c r="N818" s="32" t="s">
        <v>2409</v>
      </c>
      <c r="O818" s="10" t="s">
        <v>2410</v>
      </c>
      <c r="P818" s="10" t="s">
        <v>2366</v>
      </c>
      <c r="Q818" s="2"/>
      <c r="R818" s="10">
        <v>60.0</v>
      </c>
      <c r="S818" s="14">
        <v>43851.0</v>
      </c>
      <c r="T818" s="14">
        <v>45677.0</v>
      </c>
      <c r="U818" s="10">
        <f t="shared" si="70"/>
        <v>-414</v>
      </c>
      <c r="V818" s="2"/>
      <c r="W818" s="15"/>
      <c r="X818" s="15"/>
      <c r="Y818" s="15"/>
      <c r="Z818" s="15"/>
      <c r="AA818" s="1"/>
      <c r="AB818" s="15"/>
      <c r="AC818" s="15"/>
      <c r="AD818" s="15"/>
      <c r="AE818" s="15"/>
      <c r="AF818" s="2"/>
      <c r="AG818" s="16" t="s">
        <v>45</v>
      </c>
      <c r="AH818" s="12" t="s">
        <v>46</v>
      </c>
      <c r="AI818" s="10" t="s">
        <v>226</v>
      </c>
      <c r="AJ818" s="10" t="s">
        <v>390</v>
      </c>
      <c r="AK818" s="16" t="s">
        <v>45</v>
      </c>
      <c r="AL818" s="10" t="s">
        <v>49</v>
      </c>
      <c r="AM818" s="10" t="s">
        <v>664</v>
      </c>
      <c r="AN818" s="10" t="s">
        <v>320</v>
      </c>
    </row>
    <row r="819" ht="30.0" customHeight="1">
      <c r="A819" s="9" t="str">
        <f t="shared" si="48"/>
        <v>Ativo</v>
      </c>
      <c r="B819" s="9" t="str">
        <f t="shared" si="49"/>
        <v>N/I</v>
      </c>
      <c r="C819" s="9" t="str">
        <f t="shared" si="64"/>
        <v>N/I</v>
      </c>
      <c r="D819" s="10" t="s">
        <v>2348</v>
      </c>
      <c r="E819" s="11" t="s">
        <v>2349</v>
      </c>
      <c r="F819" s="11" t="s">
        <v>2411</v>
      </c>
      <c r="G819" s="12" t="s">
        <v>94</v>
      </c>
      <c r="H819" s="34" t="s">
        <v>2412</v>
      </c>
      <c r="I819" s="12" t="s">
        <v>2413</v>
      </c>
      <c r="J819" s="10" t="s">
        <v>895</v>
      </c>
      <c r="K819" s="10" t="s">
        <v>41</v>
      </c>
      <c r="L819" s="10" t="s">
        <v>4</v>
      </c>
      <c r="M819" s="14">
        <v>45330.0</v>
      </c>
      <c r="N819" s="32" t="s">
        <v>2414</v>
      </c>
      <c r="O819" s="10" t="s">
        <v>2415</v>
      </c>
      <c r="P819" s="10" t="s">
        <v>2392</v>
      </c>
      <c r="Q819" s="2"/>
      <c r="R819" s="10">
        <v>60.0</v>
      </c>
      <c r="S819" s="14">
        <v>45330.0</v>
      </c>
      <c r="T819" s="14">
        <v>47156.0</v>
      </c>
      <c r="U819" s="10">
        <f t="shared" si="70"/>
        <v>1065</v>
      </c>
      <c r="V819" s="2"/>
      <c r="W819" s="15"/>
      <c r="X819" s="15"/>
      <c r="Y819" s="15"/>
      <c r="Z819" s="15"/>
      <c r="AA819" s="1"/>
      <c r="AB819" s="15"/>
      <c r="AC819" s="15"/>
      <c r="AD819" s="15"/>
      <c r="AE819" s="15"/>
      <c r="AF819" s="2"/>
      <c r="AG819" s="16" t="s">
        <v>45</v>
      </c>
      <c r="AH819" s="12" t="s">
        <v>46</v>
      </c>
      <c r="AI819" s="10" t="s">
        <v>226</v>
      </c>
      <c r="AJ819" s="10" t="s">
        <v>390</v>
      </c>
      <c r="AK819" s="16" t="s">
        <v>45</v>
      </c>
      <c r="AL819" s="10" t="s">
        <v>49</v>
      </c>
      <c r="AM819" s="10" t="s">
        <v>664</v>
      </c>
      <c r="AN819" s="10" t="s">
        <v>320</v>
      </c>
    </row>
    <row r="820" ht="30.0" customHeight="1">
      <c r="A820" s="9" t="str">
        <f t="shared" si="48"/>
        <v>Inativo</v>
      </c>
      <c r="B820" s="9" t="str">
        <f t="shared" si="49"/>
        <v>N/I</v>
      </c>
      <c r="C820" s="9" t="str">
        <f t="shared" si="64"/>
        <v>N/I</v>
      </c>
      <c r="D820" s="10" t="s">
        <v>2416</v>
      </c>
      <c r="E820" s="11" t="s">
        <v>2417</v>
      </c>
      <c r="F820" s="11" t="s">
        <v>2418</v>
      </c>
      <c r="G820" s="12" t="s">
        <v>94</v>
      </c>
      <c r="H820" s="13" t="s">
        <v>2419</v>
      </c>
      <c r="I820" s="12" t="s">
        <v>990</v>
      </c>
      <c r="J820" s="10" t="s">
        <v>583</v>
      </c>
      <c r="K820" s="10" t="s">
        <v>41</v>
      </c>
      <c r="L820" s="10" t="s">
        <v>4</v>
      </c>
      <c r="M820" s="22">
        <v>44638.0</v>
      </c>
      <c r="N820" s="32" t="s">
        <v>2420</v>
      </c>
      <c r="O820" s="10" t="s">
        <v>2421</v>
      </c>
      <c r="P820" s="10" t="s">
        <v>2422</v>
      </c>
      <c r="Q820" s="2"/>
      <c r="R820" s="10">
        <v>36.0</v>
      </c>
      <c r="S820" s="14">
        <v>44638.0</v>
      </c>
      <c r="T820" s="14">
        <v>45733.0</v>
      </c>
      <c r="U820" s="10">
        <f t="shared" si="70"/>
        <v>-358</v>
      </c>
      <c r="V820" s="2"/>
      <c r="W820" s="15"/>
      <c r="X820" s="15"/>
      <c r="Y820" s="15"/>
      <c r="Z820" s="15"/>
      <c r="AA820" s="2"/>
      <c r="AB820" s="15"/>
      <c r="AC820" s="15"/>
      <c r="AD820" s="15"/>
      <c r="AE820" s="15"/>
      <c r="AF820" s="2"/>
      <c r="AG820" s="16" t="s">
        <v>45</v>
      </c>
      <c r="AH820" s="10" t="s">
        <v>318</v>
      </c>
      <c r="AI820" s="10" t="s">
        <v>319</v>
      </c>
      <c r="AJ820" s="10" t="s">
        <v>2423</v>
      </c>
      <c r="AK820" s="16" t="s">
        <v>45</v>
      </c>
      <c r="AL820" s="10" t="s">
        <v>49</v>
      </c>
      <c r="AM820" s="10" t="s">
        <v>780</v>
      </c>
      <c r="AN820" s="16" t="s">
        <v>45</v>
      </c>
    </row>
    <row r="821" ht="30.0" customHeight="1">
      <c r="A821" s="9" t="str">
        <f t="shared" si="48"/>
        <v>Inativo</v>
      </c>
      <c r="B821" s="9" t="str">
        <f t="shared" si="49"/>
        <v>N/I</v>
      </c>
      <c r="C821" s="9" t="str">
        <f t="shared" si="64"/>
        <v>N/I</v>
      </c>
      <c r="D821" s="10" t="s">
        <v>2416</v>
      </c>
      <c r="E821" s="11" t="s">
        <v>2417</v>
      </c>
      <c r="F821" s="11" t="s">
        <v>2424</v>
      </c>
      <c r="G821" s="12" t="s">
        <v>94</v>
      </c>
      <c r="H821" s="13" t="s">
        <v>2425</v>
      </c>
      <c r="I821" s="12" t="s">
        <v>2426</v>
      </c>
      <c r="J821" s="10" t="s">
        <v>583</v>
      </c>
      <c r="K821" s="10" t="s">
        <v>41</v>
      </c>
      <c r="L821" s="10" t="s">
        <v>4</v>
      </c>
      <c r="M821" s="22">
        <v>44607.0</v>
      </c>
      <c r="N821" s="32" t="s">
        <v>2427</v>
      </c>
      <c r="O821" s="10" t="s">
        <v>2428</v>
      </c>
      <c r="P821" s="10" t="s">
        <v>2422</v>
      </c>
      <c r="Q821" s="2"/>
      <c r="R821" s="10">
        <v>36.0</v>
      </c>
      <c r="S821" s="14">
        <v>44607.0</v>
      </c>
      <c r="T821" s="14">
        <v>45702.0</v>
      </c>
      <c r="U821" s="10">
        <f t="shared" si="70"/>
        <v>-389</v>
      </c>
      <c r="V821" s="2"/>
      <c r="W821" s="15"/>
      <c r="X821" s="15"/>
      <c r="Y821" s="15"/>
      <c r="Z821" s="15"/>
      <c r="AA821" s="1"/>
      <c r="AB821" s="15"/>
      <c r="AC821" s="15"/>
      <c r="AD821" s="15"/>
      <c r="AE821" s="15"/>
      <c r="AF821" s="2"/>
      <c r="AG821" s="16" t="s">
        <v>45</v>
      </c>
      <c r="AH821" s="10" t="s">
        <v>318</v>
      </c>
      <c r="AI821" s="10" t="s">
        <v>319</v>
      </c>
      <c r="AJ821" s="10" t="s">
        <v>2423</v>
      </c>
      <c r="AK821" s="16" t="s">
        <v>45</v>
      </c>
      <c r="AL821" s="10" t="s">
        <v>49</v>
      </c>
      <c r="AM821" s="10" t="s">
        <v>780</v>
      </c>
      <c r="AN821" s="16" t="s">
        <v>45</v>
      </c>
    </row>
    <row r="822" ht="30.0" customHeight="1">
      <c r="A822" s="9" t="str">
        <f t="shared" si="48"/>
        <v>Inativo</v>
      </c>
      <c r="B822" s="9" t="str">
        <f t="shared" si="49"/>
        <v>N/I</v>
      </c>
      <c r="C822" s="9" t="str">
        <f t="shared" si="64"/>
        <v>N/I</v>
      </c>
      <c r="D822" s="10" t="s">
        <v>2416</v>
      </c>
      <c r="E822" s="11" t="s">
        <v>2417</v>
      </c>
      <c r="F822" s="11" t="s">
        <v>2429</v>
      </c>
      <c r="G822" s="12" t="s">
        <v>94</v>
      </c>
      <c r="H822" s="13" t="s">
        <v>2430</v>
      </c>
      <c r="I822" s="12" t="s">
        <v>2431</v>
      </c>
      <c r="J822" s="10" t="s">
        <v>583</v>
      </c>
      <c r="K822" s="10" t="s">
        <v>41</v>
      </c>
      <c r="L822" s="10" t="s">
        <v>4</v>
      </c>
      <c r="M822" s="22">
        <v>44609.0</v>
      </c>
      <c r="N822" s="32" t="s">
        <v>2432</v>
      </c>
      <c r="O822" s="10" t="s">
        <v>2433</v>
      </c>
      <c r="P822" s="10" t="s">
        <v>2422</v>
      </c>
      <c r="Q822" s="2"/>
      <c r="R822" s="10">
        <v>36.0</v>
      </c>
      <c r="S822" s="14">
        <v>44609.0</v>
      </c>
      <c r="T822" s="14">
        <v>45704.0</v>
      </c>
      <c r="U822" s="10">
        <f t="shared" si="70"/>
        <v>-387</v>
      </c>
      <c r="V822" s="2"/>
      <c r="W822" s="15"/>
      <c r="X822" s="15"/>
      <c r="Y822" s="15"/>
      <c r="Z822" s="15"/>
      <c r="AA822" s="1"/>
      <c r="AB822" s="15"/>
      <c r="AC822" s="15"/>
      <c r="AD822" s="15"/>
      <c r="AE822" s="15"/>
      <c r="AF822" s="2"/>
      <c r="AG822" s="16" t="s">
        <v>45</v>
      </c>
      <c r="AH822" s="10" t="s">
        <v>318</v>
      </c>
      <c r="AI822" s="10" t="s">
        <v>319</v>
      </c>
      <c r="AJ822" s="10" t="s">
        <v>2423</v>
      </c>
      <c r="AK822" s="16" t="s">
        <v>45</v>
      </c>
      <c r="AL822" s="10" t="s">
        <v>49</v>
      </c>
      <c r="AM822" s="10" t="s">
        <v>780</v>
      </c>
      <c r="AN822" s="16" t="s">
        <v>45</v>
      </c>
    </row>
    <row r="823" ht="30.0" customHeight="1">
      <c r="A823" s="9" t="str">
        <f t="shared" si="48"/>
        <v>Inativo</v>
      </c>
      <c r="B823" s="9" t="str">
        <f t="shared" si="49"/>
        <v>N/I</v>
      </c>
      <c r="C823" s="9" t="str">
        <f t="shared" si="64"/>
        <v>N/I</v>
      </c>
      <c r="D823" s="10" t="s">
        <v>2416</v>
      </c>
      <c r="E823" s="11" t="s">
        <v>2417</v>
      </c>
      <c r="F823" s="11" t="s">
        <v>2434</v>
      </c>
      <c r="G823" s="12" t="s">
        <v>94</v>
      </c>
      <c r="H823" s="13" t="s">
        <v>2435</v>
      </c>
      <c r="I823" s="12" t="s">
        <v>582</v>
      </c>
      <c r="J823" s="10" t="s">
        <v>583</v>
      </c>
      <c r="K823" s="10" t="s">
        <v>41</v>
      </c>
      <c r="L823" s="10" t="s">
        <v>4</v>
      </c>
      <c r="M823" s="22">
        <v>44610.0</v>
      </c>
      <c r="N823" s="32" t="s">
        <v>2436</v>
      </c>
      <c r="O823" s="10" t="s">
        <v>2437</v>
      </c>
      <c r="P823" s="10" t="s">
        <v>2422</v>
      </c>
      <c r="Q823" s="2"/>
      <c r="R823" s="10">
        <v>36.0</v>
      </c>
      <c r="S823" s="14">
        <v>44610.0</v>
      </c>
      <c r="T823" s="14">
        <v>45705.0</v>
      </c>
      <c r="U823" s="10">
        <f t="shared" si="70"/>
        <v>-386</v>
      </c>
      <c r="V823" s="2"/>
      <c r="W823" s="15"/>
      <c r="X823" s="15"/>
      <c r="Y823" s="15"/>
      <c r="Z823" s="15"/>
      <c r="AA823" s="1"/>
      <c r="AB823" s="15"/>
      <c r="AC823" s="15"/>
      <c r="AD823" s="15"/>
      <c r="AE823" s="15"/>
      <c r="AF823" s="2"/>
      <c r="AG823" s="16" t="s">
        <v>45</v>
      </c>
      <c r="AH823" s="10" t="s">
        <v>318</v>
      </c>
      <c r="AI823" s="10" t="s">
        <v>319</v>
      </c>
      <c r="AJ823" s="10" t="s">
        <v>2423</v>
      </c>
      <c r="AK823" s="16" t="s">
        <v>45</v>
      </c>
      <c r="AL823" s="10" t="s">
        <v>49</v>
      </c>
      <c r="AM823" s="10" t="s">
        <v>780</v>
      </c>
      <c r="AN823" s="16" t="s">
        <v>45</v>
      </c>
    </row>
    <row r="824" ht="30.0" customHeight="1">
      <c r="A824" s="9" t="str">
        <f t="shared" si="48"/>
        <v>Inativo</v>
      </c>
      <c r="B824" s="9" t="str">
        <f t="shared" si="49"/>
        <v>N/I</v>
      </c>
      <c r="C824" s="9" t="str">
        <f t="shared" si="64"/>
        <v>N/I</v>
      </c>
      <c r="D824" s="10" t="s">
        <v>2416</v>
      </c>
      <c r="E824" s="11" t="s">
        <v>2417</v>
      </c>
      <c r="F824" s="11" t="s">
        <v>2438</v>
      </c>
      <c r="G824" s="12" t="s">
        <v>94</v>
      </c>
      <c r="H824" s="13" t="s">
        <v>2439</v>
      </c>
      <c r="I824" s="12" t="s">
        <v>643</v>
      </c>
      <c r="J824" s="10" t="s">
        <v>583</v>
      </c>
      <c r="K824" s="10" t="s">
        <v>41</v>
      </c>
      <c r="L824" s="10" t="s">
        <v>4</v>
      </c>
      <c r="M824" s="22">
        <v>44611.0</v>
      </c>
      <c r="N824" s="32" t="s">
        <v>2440</v>
      </c>
      <c r="O824" s="10" t="s">
        <v>2441</v>
      </c>
      <c r="P824" s="10" t="s">
        <v>2422</v>
      </c>
      <c r="Q824" s="2"/>
      <c r="R824" s="10">
        <v>36.0</v>
      </c>
      <c r="S824" s="14">
        <v>44611.0</v>
      </c>
      <c r="T824" s="14">
        <v>45706.0</v>
      </c>
      <c r="U824" s="10">
        <f t="shared" si="70"/>
        <v>-385</v>
      </c>
      <c r="V824" s="2"/>
      <c r="W824" s="15"/>
      <c r="X824" s="15"/>
      <c r="Y824" s="15"/>
      <c r="Z824" s="15"/>
      <c r="AA824" s="1"/>
      <c r="AB824" s="15"/>
      <c r="AC824" s="15"/>
      <c r="AD824" s="15"/>
      <c r="AE824" s="15"/>
      <c r="AF824" s="2"/>
      <c r="AG824" s="16" t="s">
        <v>45</v>
      </c>
      <c r="AH824" s="10" t="s">
        <v>318</v>
      </c>
      <c r="AI824" s="10" t="s">
        <v>319</v>
      </c>
      <c r="AJ824" s="10" t="s">
        <v>2423</v>
      </c>
      <c r="AK824" s="16" t="s">
        <v>45</v>
      </c>
      <c r="AL824" s="10" t="s">
        <v>49</v>
      </c>
      <c r="AM824" s="10" t="s">
        <v>780</v>
      </c>
      <c r="AN824" s="16" t="s">
        <v>45</v>
      </c>
    </row>
    <row r="825" ht="30.0" customHeight="1">
      <c r="A825" s="9" t="str">
        <f t="shared" si="48"/>
        <v>Inativo</v>
      </c>
      <c r="B825" s="9" t="str">
        <f t="shared" si="49"/>
        <v>N/I</v>
      </c>
      <c r="C825" s="9" t="str">
        <f t="shared" si="64"/>
        <v>N/I</v>
      </c>
      <c r="D825" s="10" t="s">
        <v>2416</v>
      </c>
      <c r="E825" s="11" t="s">
        <v>2417</v>
      </c>
      <c r="F825" s="11" t="s">
        <v>2438</v>
      </c>
      <c r="G825" s="12" t="s">
        <v>94</v>
      </c>
      <c r="H825" s="13" t="s">
        <v>2442</v>
      </c>
      <c r="I825" s="12" t="s">
        <v>643</v>
      </c>
      <c r="J825" s="10" t="s">
        <v>583</v>
      </c>
      <c r="K825" s="10" t="s">
        <v>41</v>
      </c>
      <c r="L825" s="10" t="s">
        <v>4</v>
      </c>
      <c r="M825" s="22">
        <v>44611.0</v>
      </c>
      <c r="N825" s="32" t="s">
        <v>2440</v>
      </c>
      <c r="O825" s="10" t="s">
        <v>2441</v>
      </c>
      <c r="P825" s="10" t="s">
        <v>2422</v>
      </c>
      <c r="Q825" s="2"/>
      <c r="R825" s="10">
        <v>36.0</v>
      </c>
      <c r="S825" s="14">
        <v>44611.0</v>
      </c>
      <c r="T825" s="14">
        <v>45706.0</v>
      </c>
      <c r="U825" s="10">
        <f t="shared" si="70"/>
        <v>-385</v>
      </c>
      <c r="V825" s="2"/>
      <c r="W825" s="15"/>
      <c r="X825" s="15"/>
      <c r="Y825" s="15"/>
      <c r="Z825" s="15"/>
      <c r="AA825" s="1"/>
      <c r="AB825" s="15"/>
      <c r="AC825" s="15"/>
      <c r="AD825" s="15"/>
      <c r="AE825" s="15"/>
      <c r="AF825" s="2"/>
      <c r="AG825" s="16" t="s">
        <v>45</v>
      </c>
      <c r="AH825" s="10" t="s">
        <v>318</v>
      </c>
      <c r="AI825" s="10" t="s">
        <v>319</v>
      </c>
      <c r="AJ825" s="10" t="s">
        <v>2423</v>
      </c>
      <c r="AK825" s="16" t="s">
        <v>45</v>
      </c>
      <c r="AL825" s="10" t="s">
        <v>49</v>
      </c>
      <c r="AM825" s="10" t="s">
        <v>780</v>
      </c>
      <c r="AN825" s="16" t="s">
        <v>45</v>
      </c>
    </row>
    <row r="826" ht="30.0" customHeight="1">
      <c r="A826" s="9" t="str">
        <f t="shared" si="48"/>
        <v>Inativo</v>
      </c>
      <c r="B826" s="9" t="str">
        <f t="shared" si="49"/>
        <v>N/I</v>
      </c>
      <c r="C826" s="9" t="str">
        <f t="shared" si="64"/>
        <v>N/I</v>
      </c>
      <c r="D826" s="10" t="s">
        <v>2416</v>
      </c>
      <c r="E826" s="11" t="s">
        <v>2417</v>
      </c>
      <c r="F826" s="11" t="s">
        <v>435</v>
      </c>
      <c r="G826" s="12" t="s">
        <v>94</v>
      </c>
      <c r="H826" s="13" t="s">
        <v>2443</v>
      </c>
      <c r="I826" s="12" t="s">
        <v>643</v>
      </c>
      <c r="J826" s="10" t="s">
        <v>583</v>
      </c>
      <c r="K826" s="10" t="s">
        <v>41</v>
      </c>
      <c r="L826" s="10" t="s">
        <v>4</v>
      </c>
      <c r="M826" s="22">
        <v>44611.0</v>
      </c>
      <c r="N826" s="32" t="s">
        <v>2444</v>
      </c>
      <c r="O826" s="10" t="s">
        <v>2445</v>
      </c>
      <c r="P826" s="10" t="s">
        <v>2422</v>
      </c>
      <c r="Q826" s="2"/>
      <c r="R826" s="10">
        <v>36.0</v>
      </c>
      <c r="S826" s="14">
        <v>44611.0</v>
      </c>
      <c r="T826" s="14">
        <v>45706.0</v>
      </c>
      <c r="U826" s="10">
        <f t="shared" si="70"/>
        <v>-385</v>
      </c>
      <c r="V826" s="2"/>
      <c r="W826" s="15"/>
      <c r="X826" s="15"/>
      <c r="Y826" s="15"/>
      <c r="Z826" s="15"/>
      <c r="AA826" s="2"/>
      <c r="AB826" s="15"/>
      <c r="AC826" s="15"/>
      <c r="AD826" s="15"/>
      <c r="AE826" s="15"/>
      <c r="AF826" s="2"/>
      <c r="AG826" s="16" t="s">
        <v>45</v>
      </c>
      <c r="AH826" s="10" t="s">
        <v>318</v>
      </c>
      <c r="AI826" s="10" t="s">
        <v>319</v>
      </c>
      <c r="AJ826" s="10" t="s">
        <v>2423</v>
      </c>
      <c r="AK826" s="16" t="s">
        <v>45</v>
      </c>
      <c r="AL826" s="10" t="s">
        <v>49</v>
      </c>
      <c r="AM826" s="10" t="s">
        <v>780</v>
      </c>
      <c r="AN826" s="16" t="s">
        <v>45</v>
      </c>
    </row>
    <row r="827" ht="30.0" customHeight="1">
      <c r="A827" s="9" t="str">
        <f t="shared" si="48"/>
        <v>Inativo</v>
      </c>
      <c r="B827" s="9" t="str">
        <f t="shared" si="49"/>
        <v>N/I</v>
      </c>
      <c r="C827" s="9" t="str">
        <f t="shared" si="64"/>
        <v>N/I</v>
      </c>
      <c r="D827" s="10" t="s">
        <v>2446</v>
      </c>
      <c r="E827" s="11" t="s">
        <v>2447</v>
      </c>
      <c r="F827" s="11" t="s">
        <v>2448</v>
      </c>
      <c r="G827" s="12" t="s">
        <v>448</v>
      </c>
      <c r="H827" s="13" t="s">
        <v>2449</v>
      </c>
      <c r="I827" s="12" t="s">
        <v>2450</v>
      </c>
      <c r="J827" s="10" t="s">
        <v>216</v>
      </c>
      <c r="K827" s="10" t="s">
        <v>40</v>
      </c>
      <c r="L827" s="10" t="s">
        <v>4</v>
      </c>
      <c r="M827" s="14">
        <v>44167.0</v>
      </c>
      <c r="N827" s="32" t="s">
        <v>2451</v>
      </c>
      <c r="O827" s="10" t="s">
        <v>2452</v>
      </c>
      <c r="P827" s="10" t="s">
        <v>2453</v>
      </c>
      <c r="Q827" s="2"/>
      <c r="R827" s="10">
        <v>48.0</v>
      </c>
      <c r="S827" s="14">
        <v>44167.0</v>
      </c>
      <c r="T827" s="14">
        <v>45627.0</v>
      </c>
      <c r="U827" s="10">
        <f t="shared" si="70"/>
        <v>-464</v>
      </c>
      <c r="V827" s="2"/>
      <c r="W827" s="15"/>
      <c r="X827" s="15"/>
      <c r="Y827" s="15"/>
      <c r="Z827" s="15"/>
      <c r="AA827" s="1"/>
      <c r="AB827" s="15"/>
      <c r="AC827" s="15"/>
      <c r="AD827" s="15"/>
      <c r="AE827" s="15"/>
      <c r="AF827" s="2"/>
      <c r="AG827" s="16" t="s">
        <v>45</v>
      </c>
      <c r="AH827" s="12" t="s">
        <v>355</v>
      </c>
      <c r="AI827" s="10" t="s">
        <v>291</v>
      </c>
      <c r="AJ827" s="10" t="s">
        <v>291</v>
      </c>
      <c r="AK827" s="16" t="s">
        <v>45</v>
      </c>
      <c r="AL827" s="10" t="s">
        <v>49</v>
      </c>
      <c r="AM827" s="16" t="s">
        <v>45</v>
      </c>
      <c r="AN827" s="16" t="s">
        <v>45</v>
      </c>
    </row>
    <row r="828" ht="30.0" customHeight="1">
      <c r="A828" s="9" t="str">
        <f t="shared" si="48"/>
        <v>Inativo</v>
      </c>
      <c r="B828" s="9" t="str">
        <f t="shared" si="49"/>
        <v>N/I</v>
      </c>
      <c r="C828" s="9" t="str">
        <f t="shared" si="64"/>
        <v>N/I</v>
      </c>
      <c r="D828" s="10" t="s">
        <v>2446</v>
      </c>
      <c r="E828" s="11" t="s">
        <v>2447</v>
      </c>
      <c r="F828" s="11" t="s">
        <v>2454</v>
      </c>
      <c r="G828" s="12" t="s">
        <v>448</v>
      </c>
      <c r="H828" s="13" t="s">
        <v>2455</v>
      </c>
      <c r="I828" s="12" t="s">
        <v>2456</v>
      </c>
      <c r="J828" s="10" t="s">
        <v>216</v>
      </c>
      <c r="K828" s="10" t="s">
        <v>40</v>
      </c>
      <c r="L828" s="10" t="s">
        <v>4</v>
      </c>
      <c r="M828" s="14">
        <v>44168.0</v>
      </c>
      <c r="N828" s="32" t="s">
        <v>2457</v>
      </c>
      <c r="O828" s="10" t="s">
        <v>2458</v>
      </c>
      <c r="P828" s="10" t="s">
        <v>2453</v>
      </c>
      <c r="Q828" s="2"/>
      <c r="R828" s="10">
        <v>48.0</v>
      </c>
      <c r="S828" s="14">
        <v>44168.0</v>
      </c>
      <c r="T828" s="14">
        <v>45628.0</v>
      </c>
      <c r="U828" s="10">
        <f t="shared" si="70"/>
        <v>-463</v>
      </c>
      <c r="V828" s="2"/>
      <c r="W828" s="15"/>
      <c r="X828" s="15"/>
      <c r="Y828" s="15"/>
      <c r="Z828" s="15"/>
      <c r="AA828" s="1"/>
      <c r="AB828" s="15"/>
      <c r="AC828" s="15"/>
      <c r="AD828" s="15"/>
      <c r="AE828" s="15"/>
      <c r="AF828" s="2"/>
      <c r="AG828" s="16" t="s">
        <v>45</v>
      </c>
      <c r="AH828" s="12" t="s">
        <v>355</v>
      </c>
      <c r="AI828" s="10" t="s">
        <v>291</v>
      </c>
      <c r="AJ828" s="10" t="s">
        <v>291</v>
      </c>
      <c r="AK828" s="16" t="s">
        <v>45</v>
      </c>
      <c r="AL828" s="10" t="s">
        <v>49</v>
      </c>
      <c r="AM828" s="16" t="s">
        <v>45</v>
      </c>
      <c r="AN828" s="16" t="s">
        <v>45</v>
      </c>
    </row>
    <row r="829" ht="30.0" customHeight="1">
      <c r="A829" s="9" t="str">
        <f t="shared" si="48"/>
        <v>Inativo</v>
      </c>
      <c r="B829" s="9" t="str">
        <f t="shared" si="49"/>
        <v>N/I</v>
      </c>
      <c r="C829" s="9" t="str">
        <f t="shared" si="64"/>
        <v>N/I</v>
      </c>
      <c r="D829" s="10" t="s">
        <v>2446</v>
      </c>
      <c r="E829" s="11" t="s">
        <v>2447</v>
      </c>
      <c r="F829" s="11" t="s">
        <v>2459</v>
      </c>
      <c r="G829" s="12" t="s">
        <v>448</v>
      </c>
      <c r="H829" s="13" t="s">
        <v>2460</v>
      </c>
      <c r="I829" s="12" t="s">
        <v>2461</v>
      </c>
      <c r="J829" s="10" t="s">
        <v>216</v>
      </c>
      <c r="K829" s="10" t="s">
        <v>40</v>
      </c>
      <c r="L829" s="10" t="s">
        <v>4</v>
      </c>
      <c r="M829" s="14">
        <v>44169.0</v>
      </c>
      <c r="N829" s="32" t="s">
        <v>2462</v>
      </c>
      <c r="O829" s="10" t="s">
        <v>2463</v>
      </c>
      <c r="P829" s="10" t="s">
        <v>2453</v>
      </c>
      <c r="Q829" s="2"/>
      <c r="R829" s="10">
        <v>48.0</v>
      </c>
      <c r="S829" s="14">
        <v>44169.0</v>
      </c>
      <c r="T829" s="14">
        <v>45629.0</v>
      </c>
      <c r="U829" s="10">
        <f t="shared" si="70"/>
        <v>-462</v>
      </c>
      <c r="V829" s="2"/>
      <c r="W829" s="15"/>
      <c r="X829" s="15"/>
      <c r="Y829" s="15"/>
      <c r="Z829" s="15"/>
      <c r="AA829" s="1"/>
      <c r="AB829" s="15"/>
      <c r="AC829" s="15"/>
      <c r="AD829" s="15"/>
      <c r="AE829" s="15"/>
      <c r="AF829" s="2"/>
      <c r="AG829" s="16" t="s">
        <v>45</v>
      </c>
      <c r="AH829" s="12" t="s">
        <v>355</v>
      </c>
      <c r="AI829" s="10" t="s">
        <v>291</v>
      </c>
      <c r="AJ829" s="10" t="s">
        <v>291</v>
      </c>
      <c r="AK829" s="16" t="s">
        <v>45</v>
      </c>
      <c r="AL829" s="10" t="s">
        <v>49</v>
      </c>
      <c r="AM829" s="16" t="s">
        <v>45</v>
      </c>
      <c r="AN829" s="16" t="s">
        <v>45</v>
      </c>
    </row>
    <row r="830" ht="30.0" customHeight="1">
      <c r="A830" s="9" t="str">
        <f t="shared" si="48"/>
        <v>Inativo</v>
      </c>
      <c r="B830" s="9" t="str">
        <f t="shared" si="49"/>
        <v>N/I</v>
      </c>
      <c r="C830" s="9" t="str">
        <f t="shared" si="64"/>
        <v>N/I</v>
      </c>
      <c r="D830" s="10" t="s">
        <v>2446</v>
      </c>
      <c r="E830" s="11" t="s">
        <v>2447</v>
      </c>
      <c r="F830" s="11" t="s">
        <v>2464</v>
      </c>
      <c r="G830" s="12" t="s">
        <v>448</v>
      </c>
      <c r="H830" s="13" t="s">
        <v>2465</v>
      </c>
      <c r="I830" s="12" t="s">
        <v>512</v>
      </c>
      <c r="J830" s="10" t="s">
        <v>216</v>
      </c>
      <c r="K830" s="10" t="s">
        <v>40</v>
      </c>
      <c r="L830" s="10" t="s">
        <v>4</v>
      </c>
      <c r="M830" s="14">
        <v>44172.0</v>
      </c>
      <c r="N830" s="32" t="s">
        <v>2466</v>
      </c>
      <c r="O830" s="10" t="s">
        <v>2467</v>
      </c>
      <c r="P830" s="10" t="s">
        <v>2453</v>
      </c>
      <c r="Q830" s="2"/>
      <c r="R830" s="10">
        <v>48.0</v>
      </c>
      <c r="S830" s="14">
        <v>44172.0</v>
      </c>
      <c r="T830" s="14">
        <v>45632.0</v>
      </c>
      <c r="U830" s="10">
        <f t="shared" si="70"/>
        <v>-459</v>
      </c>
      <c r="V830" s="2"/>
      <c r="W830" s="15"/>
      <c r="X830" s="15"/>
      <c r="Y830" s="15"/>
      <c r="Z830" s="15"/>
      <c r="AA830" s="1"/>
      <c r="AB830" s="15"/>
      <c r="AC830" s="15"/>
      <c r="AD830" s="15"/>
      <c r="AE830" s="15"/>
      <c r="AF830" s="2"/>
      <c r="AG830" s="16" t="s">
        <v>45</v>
      </c>
      <c r="AH830" s="12" t="s">
        <v>355</v>
      </c>
      <c r="AI830" s="10" t="s">
        <v>291</v>
      </c>
      <c r="AJ830" s="10" t="s">
        <v>291</v>
      </c>
      <c r="AK830" s="16" t="s">
        <v>45</v>
      </c>
      <c r="AL830" s="10" t="s">
        <v>49</v>
      </c>
      <c r="AM830" s="16" t="s">
        <v>45</v>
      </c>
      <c r="AN830" s="16" t="s">
        <v>45</v>
      </c>
    </row>
    <row r="831" ht="30.0" customHeight="1">
      <c r="A831" s="9" t="str">
        <f t="shared" si="48"/>
        <v>Inativo</v>
      </c>
      <c r="B831" s="9" t="str">
        <f t="shared" si="49"/>
        <v>N/I</v>
      </c>
      <c r="C831" s="9" t="str">
        <f t="shared" si="64"/>
        <v>N/I</v>
      </c>
      <c r="D831" s="10" t="s">
        <v>2446</v>
      </c>
      <c r="E831" s="11" t="s">
        <v>2447</v>
      </c>
      <c r="F831" s="11" t="s">
        <v>2468</v>
      </c>
      <c r="G831" s="12" t="s">
        <v>448</v>
      </c>
      <c r="H831" s="13" t="s">
        <v>2469</v>
      </c>
      <c r="I831" s="12" t="s">
        <v>2470</v>
      </c>
      <c r="J831" s="10" t="s">
        <v>216</v>
      </c>
      <c r="K831" s="10" t="s">
        <v>40</v>
      </c>
      <c r="L831" s="10" t="s">
        <v>4</v>
      </c>
      <c r="M831" s="14">
        <v>44167.0</v>
      </c>
      <c r="N831" s="32" t="s">
        <v>2471</v>
      </c>
      <c r="O831" s="10" t="s">
        <v>2472</v>
      </c>
      <c r="P831" s="10" t="s">
        <v>2453</v>
      </c>
      <c r="Q831" s="2"/>
      <c r="R831" s="10">
        <v>48.0</v>
      </c>
      <c r="S831" s="14">
        <v>44167.0</v>
      </c>
      <c r="T831" s="14">
        <v>45627.0</v>
      </c>
      <c r="U831" s="10">
        <f t="shared" si="70"/>
        <v>-464</v>
      </c>
      <c r="V831" s="2"/>
      <c r="W831" s="15"/>
      <c r="X831" s="15"/>
      <c r="Y831" s="15"/>
      <c r="Z831" s="15"/>
      <c r="AA831" s="1"/>
      <c r="AB831" s="15"/>
      <c r="AC831" s="15"/>
      <c r="AD831" s="15"/>
      <c r="AE831" s="15"/>
      <c r="AF831" s="2"/>
      <c r="AG831" s="16" t="s">
        <v>45</v>
      </c>
      <c r="AH831" s="12" t="s">
        <v>355</v>
      </c>
      <c r="AI831" s="10" t="s">
        <v>291</v>
      </c>
      <c r="AJ831" s="10" t="s">
        <v>291</v>
      </c>
      <c r="AK831" s="16" t="s">
        <v>45</v>
      </c>
      <c r="AL831" s="10" t="s">
        <v>49</v>
      </c>
      <c r="AM831" s="16" t="s">
        <v>45</v>
      </c>
      <c r="AN831" s="16" t="s">
        <v>45</v>
      </c>
    </row>
    <row r="832" ht="30.0" customHeight="1">
      <c r="A832" s="9" t="str">
        <f t="shared" si="48"/>
        <v>Inativo</v>
      </c>
      <c r="B832" s="9" t="str">
        <f t="shared" si="49"/>
        <v>N/I</v>
      </c>
      <c r="C832" s="9" t="str">
        <f t="shared" si="64"/>
        <v>N/I</v>
      </c>
      <c r="D832" s="10" t="s">
        <v>2446</v>
      </c>
      <c r="E832" s="11" t="s">
        <v>2447</v>
      </c>
      <c r="F832" s="11" t="s">
        <v>2473</v>
      </c>
      <c r="G832" s="12" t="s">
        <v>448</v>
      </c>
      <c r="H832" s="13" t="s">
        <v>2474</v>
      </c>
      <c r="I832" s="12" t="s">
        <v>2475</v>
      </c>
      <c r="J832" s="10" t="s">
        <v>216</v>
      </c>
      <c r="K832" s="10" t="s">
        <v>40</v>
      </c>
      <c r="L832" s="10" t="s">
        <v>4</v>
      </c>
      <c r="M832" s="14">
        <v>44168.0</v>
      </c>
      <c r="N832" s="32" t="s">
        <v>2476</v>
      </c>
      <c r="O832" s="10" t="s">
        <v>2477</v>
      </c>
      <c r="P832" s="10" t="s">
        <v>2453</v>
      </c>
      <c r="Q832" s="2"/>
      <c r="R832" s="10">
        <v>48.0</v>
      </c>
      <c r="S832" s="14">
        <v>44168.0</v>
      </c>
      <c r="T832" s="14">
        <v>45628.0</v>
      </c>
      <c r="U832" s="10">
        <f t="shared" si="70"/>
        <v>-463</v>
      </c>
      <c r="V832" s="2"/>
      <c r="W832" s="15"/>
      <c r="X832" s="15"/>
      <c r="Y832" s="15"/>
      <c r="Z832" s="15"/>
      <c r="AA832" s="1"/>
      <c r="AB832" s="15"/>
      <c r="AC832" s="15"/>
      <c r="AD832" s="15"/>
      <c r="AE832" s="15"/>
      <c r="AF832" s="2"/>
      <c r="AG832" s="16" t="s">
        <v>45</v>
      </c>
      <c r="AH832" s="12" t="s">
        <v>355</v>
      </c>
      <c r="AI832" s="10" t="s">
        <v>291</v>
      </c>
      <c r="AJ832" s="10" t="s">
        <v>291</v>
      </c>
      <c r="AK832" s="16" t="s">
        <v>45</v>
      </c>
      <c r="AL832" s="10" t="s">
        <v>49</v>
      </c>
      <c r="AM832" s="16" t="s">
        <v>45</v>
      </c>
      <c r="AN832" s="16" t="s">
        <v>45</v>
      </c>
    </row>
    <row r="833" ht="30.0" customHeight="1">
      <c r="A833" s="9" t="str">
        <f t="shared" si="48"/>
        <v>Ativo</v>
      </c>
      <c r="B833" s="9" t="str">
        <f t="shared" si="49"/>
        <v>N/I</v>
      </c>
      <c r="C833" s="9" t="str">
        <f t="shared" si="64"/>
        <v>N/I</v>
      </c>
      <c r="D833" s="10" t="s">
        <v>2478</v>
      </c>
      <c r="E833" s="11" t="s">
        <v>2479</v>
      </c>
      <c r="F833" s="32" t="s">
        <v>2480</v>
      </c>
      <c r="G833" s="12" t="s">
        <v>94</v>
      </c>
      <c r="H833" s="13" t="s">
        <v>2481</v>
      </c>
      <c r="I833" s="12" t="s">
        <v>131</v>
      </c>
      <c r="J833" s="10" t="s">
        <v>132</v>
      </c>
      <c r="K833" s="10" t="s">
        <v>41</v>
      </c>
      <c r="L833" s="10" t="s">
        <v>4</v>
      </c>
      <c r="M833" s="14">
        <v>44550.0</v>
      </c>
      <c r="N833" s="32" t="s">
        <v>2482</v>
      </c>
      <c r="O833" s="10" t="s">
        <v>2483</v>
      </c>
      <c r="P833" s="10" t="s">
        <v>2484</v>
      </c>
      <c r="Q833" s="2"/>
      <c r="R833" s="10">
        <v>60.0</v>
      </c>
      <c r="S833" s="14">
        <v>44550.0</v>
      </c>
      <c r="T833" s="14">
        <v>46375.0</v>
      </c>
      <c r="U833" s="10">
        <f t="shared" si="70"/>
        <v>284</v>
      </c>
      <c r="V833" s="2"/>
      <c r="W833" s="15"/>
      <c r="X833" s="15"/>
      <c r="Y833" s="15"/>
      <c r="Z833" s="15"/>
      <c r="AA833" s="1"/>
      <c r="AB833" s="15"/>
      <c r="AC833" s="15"/>
      <c r="AD833" s="15"/>
      <c r="AE833" s="15"/>
      <c r="AF833" s="2"/>
      <c r="AG833" s="16" t="s">
        <v>45</v>
      </c>
      <c r="AH833" s="12" t="s">
        <v>46</v>
      </c>
      <c r="AI833" s="10" t="s">
        <v>2485</v>
      </c>
      <c r="AJ833" s="10" t="s">
        <v>664</v>
      </c>
      <c r="AK833" s="16" t="s">
        <v>45</v>
      </c>
      <c r="AL833" s="10" t="s">
        <v>49</v>
      </c>
      <c r="AM833" s="16" t="s">
        <v>45</v>
      </c>
      <c r="AN833" s="10" t="s">
        <v>320</v>
      </c>
    </row>
    <row r="834" ht="30.0" customHeight="1">
      <c r="A834" s="9" t="str">
        <f t="shared" si="48"/>
        <v>Ativo</v>
      </c>
      <c r="B834" s="9" t="str">
        <f t="shared" si="49"/>
        <v>N/I</v>
      </c>
      <c r="C834" s="9" t="str">
        <f t="shared" si="64"/>
        <v>N/I</v>
      </c>
      <c r="D834" s="10" t="s">
        <v>2478</v>
      </c>
      <c r="E834" s="11" t="s">
        <v>2479</v>
      </c>
      <c r="F834" s="32" t="s">
        <v>2486</v>
      </c>
      <c r="G834" s="12" t="s">
        <v>94</v>
      </c>
      <c r="H834" s="13" t="s">
        <v>2487</v>
      </c>
      <c r="I834" s="12" t="s">
        <v>131</v>
      </c>
      <c r="J834" s="10" t="s">
        <v>132</v>
      </c>
      <c r="K834" s="10" t="s">
        <v>41</v>
      </c>
      <c r="L834" s="10" t="s">
        <v>4</v>
      </c>
      <c r="M834" s="14">
        <v>44551.0</v>
      </c>
      <c r="N834" s="32" t="s">
        <v>2488</v>
      </c>
      <c r="O834" s="10" t="s">
        <v>2489</v>
      </c>
      <c r="P834" s="10" t="s">
        <v>2484</v>
      </c>
      <c r="Q834" s="2"/>
      <c r="R834" s="10">
        <v>60.0</v>
      </c>
      <c r="S834" s="14">
        <v>44551.0</v>
      </c>
      <c r="T834" s="14">
        <v>46376.0</v>
      </c>
      <c r="U834" s="10">
        <f t="shared" si="70"/>
        <v>285</v>
      </c>
      <c r="V834" s="2"/>
      <c r="W834" s="15"/>
      <c r="X834" s="15"/>
      <c r="Y834" s="15"/>
      <c r="Z834" s="15"/>
      <c r="AA834" s="1"/>
      <c r="AB834" s="15"/>
      <c r="AC834" s="15"/>
      <c r="AD834" s="15"/>
      <c r="AE834" s="15"/>
      <c r="AF834" s="2"/>
      <c r="AG834" s="16" t="s">
        <v>45</v>
      </c>
      <c r="AH834" s="12" t="s">
        <v>46</v>
      </c>
      <c r="AI834" s="10" t="s">
        <v>2485</v>
      </c>
      <c r="AJ834" s="10" t="s">
        <v>664</v>
      </c>
      <c r="AK834" s="16" t="s">
        <v>45</v>
      </c>
      <c r="AL834" s="10" t="s">
        <v>49</v>
      </c>
      <c r="AM834" s="16" t="s">
        <v>45</v>
      </c>
      <c r="AN834" s="10" t="s">
        <v>320</v>
      </c>
    </row>
    <row r="835" ht="30.0" customHeight="1">
      <c r="A835" s="9" t="str">
        <f t="shared" si="48"/>
        <v>Ativo</v>
      </c>
      <c r="B835" s="9" t="str">
        <f t="shared" si="49"/>
        <v>N/I</v>
      </c>
      <c r="C835" s="9" t="str">
        <f t="shared" si="64"/>
        <v>N/I</v>
      </c>
      <c r="D835" s="10" t="s">
        <v>2478</v>
      </c>
      <c r="E835" s="11" t="s">
        <v>2479</v>
      </c>
      <c r="F835" s="32" t="s">
        <v>2486</v>
      </c>
      <c r="G835" s="12" t="s">
        <v>94</v>
      </c>
      <c r="H835" s="13" t="s">
        <v>2490</v>
      </c>
      <c r="I835" s="12" t="s">
        <v>131</v>
      </c>
      <c r="J835" s="10" t="s">
        <v>132</v>
      </c>
      <c r="K835" s="10" t="s">
        <v>41</v>
      </c>
      <c r="L835" s="10" t="s">
        <v>4</v>
      </c>
      <c r="M835" s="14">
        <v>44551.0</v>
      </c>
      <c r="N835" s="32" t="s">
        <v>2488</v>
      </c>
      <c r="O835" s="10" t="s">
        <v>2489</v>
      </c>
      <c r="P835" s="10" t="s">
        <v>2484</v>
      </c>
      <c r="Q835" s="2"/>
      <c r="R835" s="10">
        <v>60.0</v>
      </c>
      <c r="S835" s="14">
        <v>44551.0</v>
      </c>
      <c r="T835" s="14">
        <v>46376.0</v>
      </c>
      <c r="U835" s="10">
        <f t="shared" si="70"/>
        <v>285</v>
      </c>
      <c r="V835" s="2"/>
      <c r="W835" s="15"/>
      <c r="X835" s="15"/>
      <c r="Y835" s="15"/>
      <c r="Z835" s="15"/>
      <c r="AA835" s="1"/>
      <c r="AB835" s="15"/>
      <c r="AC835" s="15"/>
      <c r="AD835" s="15"/>
      <c r="AE835" s="15"/>
      <c r="AF835" s="2"/>
      <c r="AG835" s="16" t="s">
        <v>45</v>
      </c>
      <c r="AH835" s="12" t="s">
        <v>46</v>
      </c>
      <c r="AI835" s="10" t="s">
        <v>2485</v>
      </c>
      <c r="AJ835" s="10" t="s">
        <v>664</v>
      </c>
      <c r="AK835" s="16" t="s">
        <v>45</v>
      </c>
      <c r="AL835" s="10" t="s">
        <v>49</v>
      </c>
      <c r="AM835" s="16" t="s">
        <v>45</v>
      </c>
      <c r="AN835" s="10" t="s">
        <v>320</v>
      </c>
    </row>
    <row r="836" ht="30.0" customHeight="1">
      <c r="A836" s="9" t="str">
        <f t="shared" si="48"/>
        <v>Inativo</v>
      </c>
      <c r="B836" s="9" t="str">
        <f t="shared" si="49"/>
        <v>N/I</v>
      </c>
      <c r="C836" s="9" t="str">
        <f t="shared" si="64"/>
        <v>N/I</v>
      </c>
      <c r="D836" s="10" t="s">
        <v>2491</v>
      </c>
      <c r="E836" s="11" t="s">
        <v>2492</v>
      </c>
      <c r="F836" s="32" t="s">
        <v>313</v>
      </c>
      <c r="G836" s="12" t="s">
        <v>94</v>
      </c>
      <c r="H836" s="20" t="s">
        <v>2493</v>
      </c>
      <c r="I836" s="12" t="s">
        <v>651</v>
      </c>
      <c r="J836" s="10" t="s">
        <v>652</v>
      </c>
      <c r="K836" s="10" t="s">
        <v>41</v>
      </c>
      <c r="L836" s="10" t="s">
        <v>4</v>
      </c>
      <c r="M836" s="14">
        <v>44552.0</v>
      </c>
      <c r="N836" s="11" t="s">
        <v>2494</v>
      </c>
      <c r="O836" s="10" t="s">
        <v>2495</v>
      </c>
      <c r="P836" s="10" t="s">
        <v>2496</v>
      </c>
      <c r="Q836" s="2"/>
      <c r="R836" s="10">
        <v>36.0</v>
      </c>
      <c r="S836" s="14">
        <v>44552.0</v>
      </c>
      <c r="T836" s="14">
        <v>45647.0</v>
      </c>
      <c r="U836" s="10">
        <f t="shared" si="70"/>
        <v>-444</v>
      </c>
      <c r="V836" s="2"/>
      <c r="W836" s="15"/>
      <c r="X836" s="15"/>
      <c r="Y836" s="15"/>
      <c r="Z836" s="15"/>
      <c r="AA836" s="1"/>
      <c r="AB836" s="15"/>
      <c r="AC836" s="15"/>
      <c r="AD836" s="15"/>
      <c r="AE836" s="15"/>
      <c r="AF836" s="2"/>
      <c r="AG836" s="10" t="s">
        <v>2497</v>
      </c>
      <c r="AH836" s="12" t="s">
        <v>46</v>
      </c>
      <c r="AI836" s="10" t="s">
        <v>48</v>
      </c>
      <c r="AJ836" s="10" t="s">
        <v>2423</v>
      </c>
      <c r="AK836" s="10" t="s">
        <v>2498</v>
      </c>
      <c r="AL836" s="10" t="s">
        <v>49</v>
      </c>
      <c r="AM836" s="10" t="s">
        <v>508</v>
      </c>
      <c r="AN836" s="10" t="s">
        <v>320</v>
      </c>
    </row>
    <row r="837" ht="30.0" customHeight="1">
      <c r="A837" s="9" t="str">
        <f t="shared" si="48"/>
        <v>Ativo</v>
      </c>
      <c r="B837" s="9" t="str">
        <f t="shared" si="49"/>
        <v>N/I</v>
      </c>
      <c r="C837" s="9" t="str">
        <f t="shared" si="64"/>
        <v>N/I</v>
      </c>
      <c r="D837" s="10" t="s">
        <v>2499</v>
      </c>
      <c r="E837" s="11" t="s">
        <v>2500</v>
      </c>
      <c r="F837" s="11" t="s">
        <v>2501</v>
      </c>
      <c r="G837" s="12" t="s">
        <v>448</v>
      </c>
      <c r="H837" s="13" t="s">
        <v>2502</v>
      </c>
      <c r="I837" s="12" t="s">
        <v>2503</v>
      </c>
      <c r="J837" s="10" t="s">
        <v>222</v>
      </c>
      <c r="K837" s="10" t="s">
        <v>40</v>
      </c>
      <c r="L837" s="10" t="s">
        <v>4</v>
      </c>
      <c r="M837" s="14">
        <v>44915.0</v>
      </c>
      <c r="N837" s="32" t="s">
        <v>2504</v>
      </c>
      <c r="O837" s="10" t="s">
        <v>2505</v>
      </c>
      <c r="P837" s="10" t="s">
        <v>2506</v>
      </c>
      <c r="Q837" s="2"/>
      <c r="R837" s="10">
        <v>60.0</v>
      </c>
      <c r="S837" s="14">
        <v>44915.0</v>
      </c>
      <c r="T837" s="14">
        <v>46741.0</v>
      </c>
      <c r="U837" s="10">
        <f t="shared" si="70"/>
        <v>650</v>
      </c>
      <c r="V837" s="2"/>
      <c r="W837" s="15"/>
      <c r="X837" s="15"/>
      <c r="Y837" s="15"/>
      <c r="Z837" s="15"/>
      <c r="AA837" s="1"/>
      <c r="AB837" s="15"/>
      <c r="AC837" s="15"/>
      <c r="AD837" s="15"/>
      <c r="AE837" s="15"/>
      <c r="AF837" s="2"/>
      <c r="AG837" s="10" t="s">
        <v>706</v>
      </c>
      <c r="AH837" s="12" t="s">
        <v>46</v>
      </c>
      <c r="AI837" s="10" t="s">
        <v>2485</v>
      </c>
      <c r="AJ837" s="10" t="s">
        <v>442</v>
      </c>
      <c r="AK837" s="10" t="s">
        <v>2507</v>
      </c>
      <c r="AL837" s="10" t="s">
        <v>49</v>
      </c>
      <c r="AM837" s="10" t="s">
        <v>442</v>
      </c>
      <c r="AN837" s="10" t="s">
        <v>320</v>
      </c>
    </row>
    <row r="838" ht="30.0" customHeight="1">
      <c r="A838" s="9" t="str">
        <f t="shared" si="48"/>
        <v>Ativo</v>
      </c>
      <c r="B838" s="9" t="str">
        <f t="shared" si="49"/>
        <v>N/I</v>
      </c>
      <c r="C838" s="9" t="str">
        <f t="shared" si="64"/>
        <v>N/I</v>
      </c>
      <c r="D838" s="10" t="s">
        <v>2499</v>
      </c>
      <c r="E838" s="11" t="s">
        <v>2500</v>
      </c>
      <c r="F838" s="11" t="s">
        <v>2501</v>
      </c>
      <c r="G838" s="12" t="s">
        <v>448</v>
      </c>
      <c r="H838" s="13" t="s">
        <v>2508</v>
      </c>
      <c r="I838" s="12" t="s">
        <v>2503</v>
      </c>
      <c r="J838" s="10" t="s">
        <v>222</v>
      </c>
      <c r="K838" s="10" t="s">
        <v>40</v>
      </c>
      <c r="L838" s="10" t="s">
        <v>4</v>
      </c>
      <c r="M838" s="14">
        <v>44915.0</v>
      </c>
      <c r="N838" s="32" t="s">
        <v>2504</v>
      </c>
      <c r="O838" s="10" t="s">
        <v>2509</v>
      </c>
      <c r="P838" s="10" t="s">
        <v>2506</v>
      </c>
      <c r="Q838" s="2"/>
      <c r="R838" s="10">
        <v>60.0</v>
      </c>
      <c r="S838" s="14">
        <v>44915.0</v>
      </c>
      <c r="T838" s="14">
        <v>46741.0</v>
      </c>
      <c r="U838" s="10">
        <f t="shared" si="70"/>
        <v>650</v>
      </c>
      <c r="V838" s="2"/>
      <c r="W838" s="15"/>
      <c r="X838" s="15"/>
      <c r="Y838" s="15"/>
      <c r="Z838" s="15"/>
      <c r="AA838" s="1"/>
      <c r="AB838" s="15"/>
      <c r="AC838" s="15"/>
      <c r="AD838" s="15"/>
      <c r="AE838" s="15"/>
      <c r="AF838" s="2"/>
      <c r="AG838" s="10" t="s">
        <v>706</v>
      </c>
      <c r="AH838" s="12" t="s">
        <v>46</v>
      </c>
      <c r="AI838" s="10" t="s">
        <v>2485</v>
      </c>
      <c r="AJ838" s="10" t="s">
        <v>442</v>
      </c>
      <c r="AK838" s="10" t="s">
        <v>2507</v>
      </c>
      <c r="AL838" s="10" t="s">
        <v>49</v>
      </c>
      <c r="AM838" s="10" t="s">
        <v>442</v>
      </c>
      <c r="AN838" s="10" t="s">
        <v>320</v>
      </c>
    </row>
    <row r="839" ht="30.0" customHeight="1">
      <c r="A839" s="9" t="str">
        <f t="shared" si="48"/>
        <v>Ativo</v>
      </c>
      <c r="B839" s="9" t="str">
        <f t="shared" si="49"/>
        <v>N/I</v>
      </c>
      <c r="C839" s="9" t="str">
        <f t="shared" si="64"/>
        <v>N/I</v>
      </c>
      <c r="D839" s="10" t="s">
        <v>2499</v>
      </c>
      <c r="E839" s="11" t="s">
        <v>2500</v>
      </c>
      <c r="F839" s="11" t="s">
        <v>2510</v>
      </c>
      <c r="G839" s="12" t="s">
        <v>448</v>
      </c>
      <c r="H839" s="13" t="s">
        <v>2511</v>
      </c>
      <c r="I839" s="12" t="s">
        <v>463</v>
      </c>
      <c r="J839" s="10" t="s">
        <v>222</v>
      </c>
      <c r="K839" s="10" t="s">
        <v>40</v>
      </c>
      <c r="L839" s="10" t="s">
        <v>4</v>
      </c>
      <c r="M839" s="14">
        <v>44855.0</v>
      </c>
      <c r="N839" s="32" t="s">
        <v>2512</v>
      </c>
      <c r="O839" s="10" t="s">
        <v>2513</v>
      </c>
      <c r="P839" s="10" t="s">
        <v>2506</v>
      </c>
      <c r="Q839" s="2"/>
      <c r="R839" s="10">
        <v>60.0</v>
      </c>
      <c r="S839" s="14">
        <v>44855.0</v>
      </c>
      <c r="T839" s="14">
        <v>46680.0</v>
      </c>
      <c r="U839" s="10">
        <f t="shared" si="70"/>
        <v>589</v>
      </c>
      <c r="V839" s="2"/>
      <c r="W839" s="15"/>
      <c r="X839" s="15"/>
      <c r="Y839" s="15"/>
      <c r="Z839" s="15"/>
      <c r="AA839" s="1"/>
      <c r="AB839" s="15"/>
      <c r="AC839" s="15"/>
      <c r="AD839" s="15"/>
      <c r="AE839" s="15"/>
      <c r="AF839" s="2"/>
      <c r="AG839" s="10" t="s">
        <v>706</v>
      </c>
      <c r="AH839" s="12" t="s">
        <v>46</v>
      </c>
      <c r="AI839" s="10" t="s">
        <v>2485</v>
      </c>
      <c r="AJ839" s="10" t="s">
        <v>442</v>
      </c>
      <c r="AK839" s="10" t="s">
        <v>2507</v>
      </c>
      <c r="AL839" s="10" t="s">
        <v>49</v>
      </c>
      <c r="AM839" s="10" t="s">
        <v>442</v>
      </c>
      <c r="AN839" s="10" t="s">
        <v>320</v>
      </c>
    </row>
    <row r="840" ht="30.0" customHeight="1">
      <c r="A840" s="9" t="str">
        <f t="shared" si="48"/>
        <v>Ativo</v>
      </c>
      <c r="B840" s="9" t="str">
        <f t="shared" si="49"/>
        <v>N/I</v>
      </c>
      <c r="C840" s="9" t="str">
        <f t="shared" si="64"/>
        <v>N/I</v>
      </c>
      <c r="D840" s="10" t="s">
        <v>2499</v>
      </c>
      <c r="E840" s="11" t="s">
        <v>2500</v>
      </c>
      <c r="F840" s="11" t="s">
        <v>2514</v>
      </c>
      <c r="G840" s="12" t="s">
        <v>448</v>
      </c>
      <c r="H840" s="13" t="s">
        <v>2515</v>
      </c>
      <c r="I840" s="12" t="s">
        <v>2516</v>
      </c>
      <c r="J840" s="10" t="s">
        <v>222</v>
      </c>
      <c r="K840" s="10" t="s">
        <v>40</v>
      </c>
      <c r="L840" s="10" t="s">
        <v>4</v>
      </c>
      <c r="M840" s="14">
        <v>44855.0</v>
      </c>
      <c r="N840" s="32" t="s">
        <v>2517</v>
      </c>
      <c r="O840" s="10" t="s">
        <v>2518</v>
      </c>
      <c r="P840" s="10" t="s">
        <v>2506</v>
      </c>
      <c r="Q840" s="2"/>
      <c r="R840" s="10">
        <v>60.0</v>
      </c>
      <c r="S840" s="14">
        <v>44855.0</v>
      </c>
      <c r="T840" s="14">
        <v>46680.0</v>
      </c>
      <c r="U840" s="10">
        <f t="shared" si="70"/>
        <v>589</v>
      </c>
      <c r="V840" s="2"/>
      <c r="W840" s="15"/>
      <c r="X840" s="15"/>
      <c r="Y840" s="15"/>
      <c r="Z840" s="15"/>
      <c r="AA840" s="1"/>
      <c r="AB840" s="15"/>
      <c r="AC840" s="15"/>
      <c r="AD840" s="15"/>
      <c r="AE840" s="15"/>
      <c r="AF840" s="2"/>
      <c r="AG840" s="10" t="s">
        <v>706</v>
      </c>
      <c r="AH840" s="12" t="s">
        <v>46</v>
      </c>
      <c r="AI840" s="10" t="s">
        <v>2485</v>
      </c>
      <c r="AJ840" s="10" t="s">
        <v>442</v>
      </c>
      <c r="AK840" s="10" t="s">
        <v>2507</v>
      </c>
      <c r="AL840" s="10" t="s">
        <v>49</v>
      </c>
      <c r="AM840" s="10" t="s">
        <v>442</v>
      </c>
      <c r="AN840" s="10" t="s">
        <v>320</v>
      </c>
    </row>
    <row r="841" ht="30.0" customHeight="1">
      <c r="A841" s="9" t="str">
        <f t="shared" si="48"/>
        <v>Inativo</v>
      </c>
      <c r="B841" s="9" t="str">
        <f t="shared" si="49"/>
        <v>N/I</v>
      </c>
      <c r="C841" s="9" t="str">
        <f t="shared" si="64"/>
        <v>N/I</v>
      </c>
      <c r="D841" s="10" t="s">
        <v>2519</v>
      </c>
      <c r="E841" s="11" t="s">
        <v>2520</v>
      </c>
      <c r="F841" s="32" t="s">
        <v>2521</v>
      </c>
      <c r="G841" s="12" t="s">
        <v>448</v>
      </c>
      <c r="H841" s="13" t="s">
        <v>2522</v>
      </c>
      <c r="I841" s="12" t="s">
        <v>869</v>
      </c>
      <c r="J841" s="10" t="s">
        <v>870</v>
      </c>
      <c r="K841" s="10" t="s">
        <v>209</v>
      </c>
      <c r="L841" s="10" t="s">
        <v>4</v>
      </c>
      <c r="M841" s="14">
        <v>44530.0</v>
      </c>
      <c r="N841" s="11" t="s">
        <v>2523</v>
      </c>
      <c r="O841" s="10" t="s">
        <v>2524</v>
      </c>
      <c r="P841" s="10" t="s">
        <v>2525</v>
      </c>
      <c r="Q841" s="2"/>
      <c r="R841" s="10">
        <v>24.0</v>
      </c>
      <c r="S841" s="14">
        <v>44530.0</v>
      </c>
      <c r="T841" s="14">
        <v>45259.0</v>
      </c>
      <c r="U841" s="10">
        <f t="shared" si="70"/>
        <v>-832</v>
      </c>
      <c r="V841" s="2"/>
      <c r="W841" s="15"/>
      <c r="X841" s="15"/>
      <c r="Y841" s="15"/>
      <c r="Z841" s="15"/>
      <c r="AA841" s="1"/>
      <c r="AB841" s="15"/>
      <c r="AC841" s="15"/>
      <c r="AD841" s="15"/>
      <c r="AE841" s="15"/>
      <c r="AF841" s="2"/>
      <c r="AG841" s="16" t="s">
        <v>45</v>
      </c>
      <c r="AH841" s="12" t="s">
        <v>46</v>
      </c>
      <c r="AI841" s="10" t="s">
        <v>442</v>
      </c>
      <c r="AJ841" s="10" t="s">
        <v>664</v>
      </c>
      <c r="AK841" s="16" t="s">
        <v>45</v>
      </c>
      <c r="AL841" s="10" t="s">
        <v>49</v>
      </c>
      <c r="AM841" s="16" t="s">
        <v>45</v>
      </c>
      <c r="AN841" s="10" t="s">
        <v>320</v>
      </c>
    </row>
    <row r="842" ht="30.0" customHeight="1">
      <c r="A842" s="9" t="str">
        <f t="shared" si="48"/>
        <v>Ativo</v>
      </c>
      <c r="B842" s="9" t="str">
        <f t="shared" si="49"/>
        <v>N/I</v>
      </c>
      <c r="C842" s="9" t="str">
        <f t="shared" si="64"/>
        <v>N/I</v>
      </c>
      <c r="D842" s="10" t="s">
        <v>2526</v>
      </c>
      <c r="E842" s="11" t="s">
        <v>2527</v>
      </c>
      <c r="F842" s="32" t="s">
        <v>2528</v>
      </c>
      <c r="G842" s="12" t="s">
        <v>52</v>
      </c>
      <c r="H842" s="27" t="s">
        <v>2529</v>
      </c>
      <c r="I842" s="12" t="s">
        <v>2530</v>
      </c>
      <c r="J842" s="10" t="s">
        <v>197</v>
      </c>
      <c r="K842" s="10" t="s">
        <v>40</v>
      </c>
      <c r="L842" s="10" t="s">
        <v>4</v>
      </c>
      <c r="M842" s="14">
        <v>45887.0</v>
      </c>
      <c r="N842" s="11" t="s">
        <v>2531</v>
      </c>
      <c r="O842" s="10" t="s">
        <v>2532</v>
      </c>
      <c r="P842" s="10" t="s">
        <v>2533</v>
      </c>
      <c r="Q842" s="2"/>
      <c r="R842" s="10">
        <v>12.0</v>
      </c>
      <c r="S842" s="14">
        <v>45887.0</v>
      </c>
      <c r="T842" s="14">
        <v>46251.0</v>
      </c>
      <c r="U842" s="10">
        <f t="shared" si="70"/>
        <v>160</v>
      </c>
      <c r="V842" s="2"/>
      <c r="W842" s="15"/>
      <c r="X842" s="15"/>
      <c r="Y842" s="15"/>
      <c r="Z842" s="15"/>
      <c r="AA842" s="1"/>
      <c r="AB842" s="15"/>
      <c r="AC842" s="15"/>
      <c r="AD842" s="15"/>
      <c r="AE842" s="15"/>
      <c r="AF842" s="2"/>
      <c r="AG842" s="16" t="s">
        <v>45</v>
      </c>
      <c r="AH842" s="12" t="s">
        <v>355</v>
      </c>
      <c r="AI842" s="16" t="s">
        <v>45</v>
      </c>
      <c r="AJ842" s="10" t="s">
        <v>356</v>
      </c>
      <c r="AK842" s="16" t="s">
        <v>45</v>
      </c>
      <c r="AL842" s="10" t="s">
        <v>49</v>
      </c>
      <c r="AM842" s="16" t="s">
        <v>45</v>
      </c>
      <c r="AN842" s="10" t="s">
        <v>50</v>
      </c>
    </row>
    <row r="843" ht="30.0" customHeight="1">
      <c r="A843" s="9" t="str">
        <f t="shared" si="48"/>
        <v>Ativo</v>
      </c>
      <c r="B843" s="9" t="str">
        <f t="shared" si="49"/>
        <v>N/I</v>
      </c>
      <c r="C843" s="9" t="str">
        <f t="shared" si="64"/>
        <v>N/I</v>
      </c>
      <c r="D843" s="10" t="s">
        <v>2526</v>
      </c>
      <c r="E843" s="11" t="s">
        <v>2527</v>
      </c>
      <c r="F843" s="32" t="s">
        <v>2528</v>
      </c>
      <c r="G843" s="12" t="s">
        <v>52</v>
      </c>
      <c r="H843" s="27" t="s">
        <v>2534</v>
      </c>
      <c r="I843" s="12" t="s">
        <v>2530</v>
      </c>
      <c r="J843" s="10" t="s">
        <v>197</v>
      </c>
      <c r="K843" s="10" t="s">
        <v>40</v>
      </c>
      <c r="L843" s="10" t="s">
        <v>4</v>
      </c>
      <c r="M843" s="14">
        <v>45887.0</v>
      </c>
      <c r="N843" s="11" t="s">
        <v>2531</v>
      </c>
      <c r="O843" s="10" t="s">
        <v>2532</v>
      </c>
      <c r="P843" s="10" t="s">
        <v>2533</v>
      </c>
      <c r="Q843" s="2"/>
      <c r="R843" s="10">
        <v>12.0</v>
      </c>
      <c r="S843" s="14">
        <v>45887.0</v>
      </c>
      <c r="T843" s="14">
        <v>46251.0</v>
      </c>
      <c r="U843" s="10">
        <f t="shared" si="70"/>
        <v>160</v>
      </c>
      <c r="V843" s="2"/>
      <c r="W843" s="15"/>
      <c r="X843" s="15"/>
      <c r="Y843" s="15"/>
      <c r="Z843" s="15"/>
      <c r="AA843" s="1"/>
      <c r="AB843" s="15"/>
      <c r="AC843" s="15"/>
      <c r="AD843" s="15"/>
      <c r="AE843" s="15"/>
      <c r="AF843" s="2"/>
      <c r="AG843" s="16" t="s">
        <v>45</v>
      </c>
      <c r="AH843" s="12" t="s">
        <v>355</v>
      </c>
      <c r="AI843" s="16" t="s">
        <v>45</v>
      </c>
      <c r="AJ843" s="10" t="s">
        <v>356</v>
      </c>
      <c r="AK843" s="16" t="s">
        <v>45</v>
      </c>
      <c r="AL843" s="10" t="s">
        <v>49</v>
      </c>
      <c r="AM843" s="16" t="s">
        <v>45</v>
      </c>
      <c r="AN843" s="10" t="s">
        <v>50</v>
      </c>
    </row>
    <row r="844" ht="30.0" customHeight="1">
      <c r="A844" s="9" t="str">
        <f t="shared" si="48"/>
        <v>Inativo</v>
      </c>
      <c r="B844" s="9" t="str">
        <f t="shared" si="49"/>
        <v>N/I</v>
      </c>
      <c r="C844" s="9" t="str">
        <f t="shared" si="64"/>
        <v>N/I</v>
      </c>
      <c r="D844" s="10" t="s">
        <v>692</v>
      </c>
      <c r="E844" s="11" t="s">
        <v>2535</v>
      </c>
      <c r="F844" s="11" t="s">
        <v>2536</v>
      </c>
      <c r="G844" s="12" t="s">
        <v>55</v>
      </c>
      <c r="H844" s="13" t="s">
        <v>2537</v>
      </c>
      <c r="I844" s="12" t="s">
        <v>790</v>
      </c>
      <c r="J844" s="10" t="s">
        <v>791</v>
      </c>
      <c r="K844" s="10" t="s">
        <v>209</v>
      </c>
      <c r="L844" s="10" t="s">
        <v>4</v>
      </c>
      <c r="M844" s="14">
        <v>45107.0</v>
      </c>
      <c r="N844" s="32" t="s">
        <v>2538</v>
      </c>
      <c r="O844" s="10" t="s">
        <v>2539</v>
      </c>
      <c r="P844" s="10" t="s">
        <v>2540</v>
      </c>
      <c r="Q844" s="2"/>
      <c r="R844" s="10">
        <v>24.0</v>
      </c>
      <c r="S844" s="14">
        <v>45107.0</v>
      </c>
      <c r="T844" s="14">
        <v>45837.0</v>
      </c>
      <c r="U844" s="10">
        <f t="shared" si="70"/>
        <v>-254</v>
      </c>
      <c r="V844" s="2"/>
      <c r="W844" s="15"/>
      <c r="X844" s="15"/>
      <c r="Y844" s="15"/>
      <c r="Z844" s="15"/>
      <c r="AA844" s="1"/>
      <c r="AB844" s="15"/>
      <c r="AC844" s="15"/>
      <c r="AD844" s="15"/>
      <c r="AE844" s="15"/>
      <c r="AF844" s="2"/>
      <c r="AG844" s="16" t="s">
        <v>45</v>
      </c>
      <c r="AH844" s="16" t="s">
        <v>45</v>
      </c>
      <c r="AI844" s="16" t="s">
        <v>45</v>
      </c>
      <c r="AJ844" s="16" t="s">
        <v>45</v>
      </c>
      <c r="AK844" s="16" t="s">
        <v>45</v>
      </c>
      <c r="AL844" s="10" t="s">
        <v>49</v>
      </c>
      <c r="AM844" s="16" t="s">
        <v>45</v>
      </c>
      <c r="AN844" s="16" t="s">
        <v>45</v>
      </c>
    </row>
    <row r="845" ht="30.0" customHeight="1">
      <c r="A845" s="9" t="str">
        <f t="shared" si="48"/>
        <v>Inativo</v>
      </c>
      <c r="B845" s="9" t="str">
        <f t="shared" si="49"/>
        <v>N/I</v>
      </c>
      <c r="C845" s="9" t="str">
        <f t="shared" si="64"/>
        <v>N/I</v>
      </c>
      <c r="D845" s="10" t="s">
        <v>692</v>
      </c>
      <c r="E845" s="11" t="s">
        <v>2535</v>
      </c>
      <c r="F845" s="11" t="s">
        <v>2541</v>
      </c>
      <c r="G845" s="12" t="s">
        <v>55</v>
      </c>
      <c r="H845" s="13" t="s">
        <v>2542</v>
      </c>
      <c r="I845" s="12" t="s">
        <v>836</v>
      </c>
      <c r="J845" s="10" t="s">
        <v>837</v>
      </c>
      <c r="K845" s="10" t="s">
        <v>209</v>
      </c>
      <c r="L845" s="10" t="s">
        <v>4</v>
      </c>
      <c r="M845" s="14">
        <v>45104.0</v>
      </c>
      <c r="N845" s="32" t="s">
        <v>2543</v>
      </c>
      <c r="O845" s="10" t="s">
        <v>2544</v>
      </c>
      <c r="P845" s="10" t="s">
        <v>2540</v>
      </c>
      <c r="Q845" s="2"/>
      <c r="R845" s="10">
        <v>24.0</v>
      </c>
      <c r="S845" s="14">
        <v>45104.0</v>
      </c>
      <c r="T845" s="14">
        <v>45834.0</v>
      </c>
      <c r="U845" s="10">
        <f t="shared" si="70"/>
        <v>-257</v>
      </c>
      <c r="V845" s="2"/>
      <c r="W845" s="15"/>
      <c r="X845" s="15"/>
      <c r="Y845" s="15"/>
      <c r="Z845" s="15"/>
      <c r="AA845" s="1"/>
      <c r="AB845" s="15"/>
      <c r="AC845" s="15"/>
      <c r="AD845" s="15"/>
      <c r="AE845" s="15"/>
      <c r="AF845" s="2"/>
      <c r="AG845" s="16" t="s">
        <v>45</v>
      </c>
      <c r="AH845" s="16" t="s">
        <v>45</v>
      </c>
      <c r="AI845" s="16" t="s">
        <v>45</v>
      </c>
      <c r="AJ845" s="16" t="s">
        <v>45</v>
      </c>
      <c r="AK845" s="16" t="s">
        <v>45</v>
      </c>
      <c r="AL845" s="10" t="s">
        <v>49</v>
      </c>
      <c r="AM845" s="16" t="s">
        <v>45</v>
      </c>
      <c r="AN845" s="16" t="s">
        <v>45</v>
      </c>
    </row>
    <row r="846" ht="30.0" customHeight="1">
      <c r="A846" s="9" t="str">
        <f t="shared" si="48"/>
        <v>Inativo</v>
      </c>
      <c r="B846" s="9" t="str">
        <f t="shared" si="49"/>
        <v>N/I</v>
      </c>
      <c r="C846" s="9" t="str">
        <f t="shared" si="64"/>
        <v>N/I</v>
      </c>
      <c r="D846" s="10" t="s">
        <v>2545</v>
      </c>
      <c r="E846" s="11" t="s">
        <v>2546</v>
      </c>
      <c r="F846" s="32" t="s">
        <v>2547</v>
      </c>
      <c r="G846" s="12" t="s">
        <v>94</v>
      </c>
      <c r="H846" s="13" t="s">
        <v>2548</v>
      </c>
      <c r="I846" s="12" t="s">
        <v>720</v>
      </c>
      <c r="J846" s="10" t="s">
        <v>721</v>
      </c>
      <c r="K846" s="10" t="s">
        <v>209</v>
      </c>
      <c r="L846" s="10" t="s">
        <v>4</v>
      </c>
      <c r="M846" s="14">
        <v>44565.0</v>
      </c>
      <c r="N846" s="32" t="s">
        <v>2549</v>
      </c>
      <c r="O846" s="10" t="s">
        <v>2550</v>
      </c>
      <c r="P846" s="10" t="s">
        <v>2551</v>
      </c>
      <c r="Q846" s="2"/>
      <c r="R846" s="10">
        <v>12.0</v>
      </c>
      <c r="S846" s="14">
        <v>44565.0</v>
      </c>
      <c r="T846" s="14">
        <v>44930.0</v>
      </c>
      <c r="U846" s="10">
        <f t="shared" si="70"/>
        <v>-1161</v>
      </c>
      <c r="V846" s="2"/>
      <c r="W846" s="15"/>
      <c r="X846" s="15"/>
      <c r="Y846" s="15"/>
      <c r="Z846" s="15"/>
      <c r="AA846" s="1"/>
      <c r="AB846" s="15"/>
      <c r="AC846" s="15"/>
      <c r="AD846" s="15"/>
      <c r="AE846" s="15"/>
      <c r="AF846" s="2"/>
      <c r="AG846" s="16"/>
      <c r="AH846" s="16"/>
      <c r="AI846" s="16"/>
      <c r="AJ846" s="16"/>
      <c r="AK846" s="16"/>
      <c r="AL846" s="10"/>
      <c r="AM846" s="16"/>
      <c r="AN846" s="16"/>
    </row>
    <row r="847" ht="30.0" customHeight="1">
      <c r="A847" s="9" t="str">
        <f t="shared" si="48"/>
        <v>Ativo</v>
      </c>
      <c r="B847" s="9" t="str">
        <f t="shared" si="49"/>
        <v>N/I</v>
      </c>
      <c r="C847" s="9" t="str">
        <f t="shared" si="64"/>
        <v>N/I</v>
      </c>
      <c r="D847" s="10" t="s">
        <v>2545</v>
      </c>
      <c r="E847" s="11" t="s">
        <v>2546</v>
      </c>
      <c r="F847" s="32" t="s">
        <v>2547</v>
      </c>
      <c r="G847" s="12" t="s">
        <v>94</v>
      </c>
      <c r="H847" s="13" t="s">
        <v>2552</v>
      </c>
      <c r="I847" s="12" t="s">
        <v>720</v>
      </c>
      <c r="J847" s="10" t="s">
        <v>721</v>
      </c>
      <c r="K847" s="10" t="s">
        <v>209</v>
      </c>
      <c r="L847" s="10" t="s">
        <v>4</v>
      </c>
      <c r="M847" s="14">
        <v>45935.0</v>
      </c>
      <c r="N847" s="32" t="s">
        <v>2553</v>
      </c>
      <c r="O847" s="32" t="s">
        <v>2550</v>
      </c>
      <c r="P847" s="10" t="s">
        <v>2554</v>
      </c>
      <c r="Q847" s="2"/>
      <c r="R847" s="10">
        <v>12.0</v>
      </c>
      <c r="S847" s="22">
        <v>45935.0</v>
      </c>
      <c r="T847" s="22">
        <v>46300.0</v>
      </c>
      <c r="U847" s="10">
        <f t="shared" si="70"/>
        <v>209</v>
      </c>
      <c r="V847" s="2"/>
      <c r="W847" s="15"/>
      <c r="X847" s="15"/>
      <c r="Y847" s="15"/>
      <c r="Z847" s="15"/>
      <c r="AA847" s="1"/>
      <c r="AB847" s="15"/>
      <c r="AC847" s="15"/>
      <c r="AD847" s="15"/>
      <c r="AE847" s="15"/>
      <c r="AF847" s="2"/>
      <c r="AG847" s="10" t="s">
        <v>680</v>
      </c>
      <c r="AH847" s="12" t="s">
        <v>355</v>
      </c>
      <c r="AI847" s="10" t="s">
        <v>717</v>
      </c>
      <c r="AJ847" s="10" t="s">
        <v>227</v>
      </c>
      <c r="AK847" s="16" t="s">
        <v>45</v>
      </c>
      <c r="AL847" s="10" t="s">
        <v>49</v>
      </c>
      <c r="AM847" s="16" t="s">
        <v>45</v>
      </c>
      <c r="AN847" s="10" t="s">
        <v>320</v>
      </c>
    </row>
    <row r="848" ht="30.0" customHeight="1">
      <c r="A848" s="9" t="str">
        <f t="shared" si="48"/>
        <v>Inativo</v>
      </c>
      <c r="B848" s="9" t="str">
        <f t="shared" si="49"/>
        <v>N/I</v>
      </c>
      <c r="C848" s="9" t="str">
        <f t="shared" si="64"/>
        <v>N/I</v>
      </c>
      <c r="D848" s="10" t="s">
        <v>2545</v>
      </c>
      <c r="E848" s="11" t="s">
        <v>2546</v>
      </c>
      <c r="F848" s="32" t="s">
        <v>2555</v>
      </c>
      <c r="G848" s="12" t="s">
        <v>94</v>
      </c>
      <c r="H848" s="27">
        <v>150311.0</v>
      </c>
      <c r="I848" s="12" t="s">
        <v>1469</v>
      </c>
      <c r="J848" s="10" t="s">
        <v>208</v>
      </c>
      <c r="K848" s="10" t="s">
        <v>209</v>
      </c>
      <c r="L848" s="10" t="s">
        <v>4</v>
      </c>
      <c r="M848" s="14">
        <v>44650.0</v>
      </c>
      <c r="N848" s="32" t="s">
        <v>2556</v>
      </c>
      <c r="O848" s="10" t="s">
        <v>2557</v>
      </c>
      <c r="P848" s="10" t="s">
        <v>2558</v>
      </c>
      <c r="Q848" s="2"/>
      <c r="R848" s="10">
        <v>12.0</v>
      </c>
      <c r="S848" s="14">
        <v>44650.0</v>
      </c>
      <c r="T848" s="14">
        <v>45014.0</v>
      </c>
      <c r="U848" s="10">
        <f t="shared" si="70"/>
        <v>-1077</v>
      </c>
      <c r="V848" s="2"/>
      <c r="W848" s="15"/>
      <c r="X848" s="15"/>
      <c r="Y848" s="15"/>
      <c r="Z848" s="15"/>
      <c r="AA848" s="1"/>
      <c r="AB848" s="15"/>
      <c r="AC848" s="15"/>
      <c r="AD848" s="15"/>
      <c r="AE848" s="15"/>
      <c r="AF848" s="2"/>
      <c r="AG848" s="10" t="s">
        <v>680</v>
      </c>
      <c r="AH848" s="12" t="s">
        <v>355</v>
      </c>
      <c r="AI848" s="10" t="s">
        <v>717</v>
      </c>
      <c r="AJ848" s="10" t="s">
        <v>227</v>
      </c>
      <c r="AK848" s="16" t="s">
        <v>45</v>
      </c>
      <c r="AL848" s="10" t="s">
        <v>49</v>
      </c>
      <c r="AM848" s="16" t="s">
        <v>45</v>
      </c>
      <c r="AN848" s="10" t="s">
        <v>320</v>
      </c>
    </row>
    <row r="849" ht="30.0" customHeight="1">
      <c r="A849" s="9" t="str">
        <f t="shared" si="48"/>
        <v>Ativo</v>
      </c>
      <c r="B849" s="9" t="str">
        <f t="shared" si="49"/>
        <v>N/I</v>
      </c>
      <c r="C849" s="9" t="str">
        <f t="shared" si="64"/>
        <v>N/I</v>
      </c>
      <c r="D849" s="10" t="s">
        <v>2559</v>
      </c>
      <c r="E849" s="11" t="s">
        <v>2560</v>
      </c>
      <c r="F849" s="32" t="s">
        <v>2561</v>
      </c>
      <c r="G849" s="12" t="s">
        <v>55</v>
      </c>
      <c r="H849" s="13" t="s">
        <v>2562</v>
      </c>
      <c r="I849" s="12" t="s">
        <v>246</v>
      </c>
      <c r="J849" s="10" t="s">
        <v>247</v>
      </c>
      <c r="K849" s="10" t="s">
        <v>190</v>
      </c>
      <c r="L849" s="10" t="s">
        <v>4</v>
      </c>
      <c r="M849" s="22">
        <v>45425.0</v>
      </c>
      <c r="N849" s="32" t="s">
        <v>2563</v>
      </c>
      <c r="O849" s="10" t="s">
        <v>2564</v>
      </c>
      <c r="P849" s="10" t="s">
        <v>2565</v>
      </c>
      <c r="Q849" s="2"/>
      <c r="R849" s="10">
        <v>36.0</v>
      </c>
      <c r="S849" s="14">
        <v>45446.0</v>
      </c>
      <c r="T849" s="14">
        <v>46540.0</v>
      </c>
      <c r="U849" s="10">
        <f t="shared" si="70"/>
        <v>449</v>
      </c>
      <c r="V849" s="2"/>
      <c r="W849" s="15"/>
      <c r="X849" s="15"/>
      <c r="Y849" s="15"/>
      <c r="Z849" s="15"/>
      <c r="AA849" s="1"/>
      <c r="AB849" s="15"/>
      <c r="AC849" s="15"/>
      <c r="AD849" s="15"/>
      <c r="AE849" s="15"/>
      <c r="AF849" s="2"/>
      <c r="AG849" s="10" t="s">
        <v>354</v>
      </c>
      <c r="AH849" s="12" t="s">
        <v>2566</v>
      </c>
      <c r="AI849" s="10" t="s">
        <v>226</v>
      </c>
      <c r="AJ849" s="12" t="s">
        <v>2567</v>
      </c>
      <c r="AK849" s="16" t="s">
        <v>45</v>
      </c>
      <c r="AL849" s="10" t="s">
        <v>49</v>
      </c>
      <c r="AM849" s="10" t="s">
        <v>1179</v>
      </c>
      <c r="AN849" s="10" t="s">
        <v>320</v>
      </c>
    </row>
    <row r="850" ht="30.0" customHeight="1">
      <c r="A850" s="9" t="str">
        <f t="shared" si="48"/>
        <v>Ativo</v>
      </c>
      <c r="B850" s="9" t="str">
        <f t="shared" si="49"/>
        <v>N/I</v>
      </c>
      <c r="C850" s="9" t="str">
        <f t="shared" si="64"/>
        <v>N/I</v>
      </c>
      <c r="D850" s="10" t="s">
        <v>2559</v>
      </c>
      <c r="E850" s="11" t="s">
        <v>2560</v>
      </c>
      <c r="F850" s="32" t="s">
        <v>2561</v>
      </c>
      <c r="G850" s="12" t="s">
        <v>55</v>
      </c>
      <c r="H850" s="13" t="s">
        <v>2568</v>
      </c>
      <c r="I850" s="12" t="s">
        <v>246</v>
      </c>
      <c r="J850" s="10" t="s">
        <v>247</v>
      </c>
      <c r="K850" s="10" t="s">
        <v>190</v>
      </c>
      <c r="L850" s="10" t="s">
        <v>4</v>
      </c>
      <c r="M850" s="22">
        <v>45426.0</v>
      </c>
      <c r="N850" s="32" t="s">
        <v>2563</v>
      </c>
      <c r="O850" s="10" t="s">
        <v>2564</v>
      </c>
      <c r="P850" s="10" t="s">
        <v>2565</v>
      </c>
      <c r="Q850" s="2"/>
      <c r="R850" s="10">
        <v>36.0</v>
      </c>
      <c r="S850" s="14">
        <v>45446.0</v>
      </c>
      <c r="T850" s="14">
        <v>46540.0</v>
      </c>
      <c r="U850" s="10">
        <f t="shared" si="70"/>
        <v>449</v>
      </c>
      <c r="V850" s="2"/>
      <c r="W850" s="15"/>
      <c r="X850" s="15"/>
      <c r="Y850" s="15"/>
      <c r="Z850" s="15"/>
      <c r="AA850" s="1"/>
      <c r="AB850" s="15"/>
      <c r="AC850" s="15"/>
      <c r="AD850" s="15"/>
      <c r="AE850" s="15"/>
      <c r="AF850" s="2"/>
      <c r="AG850" s="10" t="s">
        <v>354</v>
      </c>
      <c r="AH850" s="12" t="s">
        <v>2566</v>
      </c>
      <c r="AI850" s="10" t="s">
        <v>226</v>
      </c>
      <c r="AJ850" s="12" t="s">
        <v>2567</v>
      </c>
      <c r="AK850" s="16" t="s">
        <v>45</v>
      </c>
      <c r="AL850" s="10" t="s">
        <v>49</v>
      </c>
      <c r="AM850" s="10" t="s">
        <v>1179</v>
      </c>
      <c r="AN850" s="10" t="s">
        <v>320</v>
      </c>
    </row>
    <row r="851" ht="30.0" customHeight="1">
      <c r="A851" s="9" t="str">
        <f t="shared" si="48"/>
        <v>Ativo</v>
      </c>
      <c r="B851" s="9" t="str">
        <f t="shared" si="49"/>
        <v>N/I</v>
      </c>
      <c r="C851" s="9" t="str">
        <f t="shared" si="64"/>
        <v>N/I</v>
      </c>
      <c r="D851" s="10" t="s">
        <v>2559</v>
      </c>
      <c r="E851" s="11" t="s">
        <v>2560</v>
      </c>
      <c r="F851" s="32" t="s">
        <v>2561</v>
      </c>
      <c r="G851" s="12" t="s">
        <v>55</v>
      </c>
      <c r="H851" s="13" t="s">
        <v>2569</v>
      </c>
      <c r="I851" s="12" t="s">
        <v>246</v>
      </c>
      <c r="J851" s="10" t="s">
        <v>247</v>
      </c>
      <c r="K851" s="10" t="s">
        <v>190</v>
      </c>
      <c r="L851" s="10" t="s">
        <v>4</v>
      </c>
      <c r="M851" s="22">
        <v>45425.0</v>
      </c>
      <c r="N851" s="32" t="s">
        <v>2563</v>
      </c>
      <c r="O851" s="10" t="s">
        <v>2570</v>
      </c>
      <c r="P851" s="10" t="s">
        <v>2565</v>
      </c>
      <c r="Q851" s="2"/>
      <c r="R851" s="10">
        <v>36.0</v>
      </c>
      <c r="S851" s="14">
        <v>45446.0</v>
      </c>
      <c r="T851" s="14">
        <v>46540.0</v>
      </c>
      <c r="U851" s="10">
        <f t="shared" si="70"/>
        <v>449</v>
      </c>
      <c r="V851" s="2"/>
      <c r="W851" s="15"/>
      <c r="X851" s="15"/>
      <c r="Y851" s="15"/>
      <c r="Z851" s="15"/>
      <c r="AA851" s="1"/>
      <c r="AB851" s="15"/>
      <c r="AC851" s="15"/>
      <c r="AD851" s="15"/>
      <c r="AE851" s="15"/>
      <c r="AF851" s="2"/>
      <c r="AG851" s="10" t="s">
        <v>354</v>
      </c>
      <c r="AH851" s="12" t="s">
        <v>2566</v>
      </c>
      <c r="AI851" s="10" t="s">
        <v>226</v>
      </c>
      <c r="AJ851" s="12" t="s">
        <v>2567</v>
      </c>
      <c r="AK851" s="16" t="s">
        <v>45</v>
      </c>
      <c r="AL851" s="10" t="s">
        <v>49</v>
      </c>
      <c r="AM851" s="10" t="s">
        <v>1179</v>
      </c>
      <c r="AN851" s="10" t="s">
        <v>320</v>
      </c>
    </row>
    <row r="852" ht="30.0" customHeight="1">
      <c r="A852" s="9" t="str">
        <f t="shared" si="48"/>
        <v>N/I</v>
      </c>
      <c r="B852" s="9" t="str">
        <f t="shared" si="49"/>
        <v>N/I</v>
      </c>
      <c r="C852" s="9" t="str">
        <f t="shared" si="64"/>
        <v>Ativo</v>
      </c>
      <c r="D852" s="10" t="s">
        <v>2571</v>
      </c>
      <c r="E852" s="11" t="s">
        <v>2572</v>
      </c>
      <c r="F852" s="32" t="s">
        <v>2573</v>
      </c>
      <c r="G852" s="12" t="s">
        <v>52</v>
      </c>
      <c r="H852" s="34" t="s">
        <v>2574</v>
      </c>
      <c r="I852" s="12" t="s">
        <v>2575</v>
      </c>
      <c r="J852" s="10" t="s">
        <v>197</v>
      </c>
      <c r="K852" s="10" t="s">
        <v>40</v>
      </c>
      <c r="L852" s="10" t="s">
        <v>6</v>
      </c>
      <c r="M852" s="22">
        <v>44945.0</v>
      </c>
      <c r="N852" s="32" t="s">
        <v>2576</v>
      </c>
      <c r="O852" s="10" t="s">
        <v>2577</v>
      </c>
      <c r="P852" s="10" t="s">
        <v>2578</v>
      </c>
      <c r="Q852" s="2"/>
      <c r="R852" s="15"/>
      <c r="S852" s="15"/>
      <c r="T852" s="15"/>
      <c r="U852" s="15"/>
      <c r="V852" s="2"/>
      <c r="W852" s="15"/>
      <c r="X852" s="15"/>
      <c r="Y852" s="15"/>
      <c r="Z852" s="15"/>
      <c r="AA852" s="1"/>
      <c r="AB852" s="10">
        <v>60.0</v>
      </c>
      <c r="AC852" s="14">
        <v>44945.0</v>
      </c>
      <c r="AD852" s="14">
        <v>46771.0</v>
      </c>
      <c r="AE852" s="10">
        <f t="shared" ref="AE852:AE899" si="71">AD852-TODAY()</f>
        <v>680</v>
      </c>
      <c r="AF852" s="2"/>
      <c r="AG852" s="16" t="s">
        <v>45</v>
      </c>
      <c r="AH852" s="16" t="s">
        <v>45</v>
      </c>
      <c r="AI852" s="16" t="s">
        <v>45</v>
      </c>
      <c r="AJ852" s="16" t="s">
        <v>45</v>
      </c>
      <c r="AK852" s="16" t="s">
        <v>45</v>
      </c>
      <c r="AL852" s="16" t="s">
        <v>45</v>
      </c>
      <c r="AM852" s="16" t="s">
        <v>45</v>
      </c>
      <c r="AN852" s="16" t="s">
        <v>45</v>
      </c>
    </row>
    <row r="853" ht="30.0" customHeight="1">
      <c r="A853" s="9" t="str">
        <f t="shared" si="48"/>
        <v>N/I</v>
      </c>
      <c r="B853" s="9" t="str">
        <f t="shared" si="49"/>
        <v>N/I</v>
      </c>
      <c r="C853" s="9" t="str">
        <f t="shared" si="64"/>
        <v>Ativo</v>
      </c>
      <c r="D853" s="10" t="s">
        <v>2571</v>
      </c>
      <c r="E853" s="11" t="s">
        <v>2572</v>
      </c>
      <c r="F853" s="32" t="s">
        <v>2579</v>
      </c>
      <c r="G853" s="12" t="s">
        <v>52</v>
      </c>
      <c r="H853" s="34" t="s">
        <v>2580</v>
      </c>
      <c r="I853" s="12" t="s">
        <v>2575</v>
      </c>
      <c r="J853" s="10" t="s">
        <v>197</v>
      </c>
      <c r="K853" s="10" t="s">
        <v>40</v>
      </c>
      <c r="L853" s="10" t="s">
        <v>6</v>
      </c>
      <c r="M853" s="22">
        <v>45161.0</v>
      </c>
      <c r="N853" s="32" t="s">
        <v>2581</v>
      </c>
      <c r="O853" s="10" t="s">
        <v>2577</v>
      </c>
      <c r="P853" s="10" t="s">
        <v>2582</v>
      </c>
      <c r="Q853" s="2"/>
      <c r="R853" s="15"/>
      <c r="S853" s="15"/>
      <c r="T853" s="15"/>
      <c r="U853" s="15"/>
      <c r="V853" s="2"/>
      <c r="W853" s="15"/>
      <c r="X853" s="15"/>
      <c r="Y853" s="15"/>
      <c r="Z853" s="15"/>
      <c r="AA853" s="1"/>
      <c r="AB853" s="10">
        <v>60.0</v>
      </c>
      <c r="AC853" s="14">
        <v>45161.0</v>
      </c>
      <c r="AD853" s="14">
        <v>46988.0</v>
      </c>
      <c r="AE853" s="10">
        <f t="shared" si="71"/>
        <v>897</v>
      </c>
      <c r="AF853" s="2"/>
      <c r="AG853" s="16" t="s">
        <v>45</v>
      </c>
      <c r="AH853" s="12" t="s">
        <v>46</v>
      </c>
      <c r="AI853" s="16" t="s">
        <v>45</v>
      </c>
      <c r="AJ853" s="10" t="s">
        <v>2583</v>
      </c>
      <c r="AK853" s="16" t="s">
        <v>45</v>
      </c>
      <c r="AL853" s="10" t="s">
        <v>49</v>
      </c>
      <c r="AM853" s="16" t="s">
        <v>45</v>
      </c>
      <c r="AN853" s="16" t="s">
        <v>45</v>
      </c>
    </row>
    <row r="854" ht="30.0" customHeight="1">
      <c r="A854" s="9" t="str">
        <f t="shared" si="48"/>
        <v>N/I</v>
      </c>
      <c r="B854" s="9" t="str">
        <f t="shared" si="49"/>
        <v>N/I</v>
      </c>
      <c r="C854" s="9" t="str">
        <f t="shared" si="64"/>
        <v>Ativo</v>
      </c>
      <c r="D854" s="10" t="s">
        <v>2571</v>
      </c>
      <c r="E854" s="11" t="s">
        <v>2572</v>
      </c>
      <c r="F854" s="32" t="s">
        <v>2579</v>
      </c>
      <c r="G854" s="12" t="s">
        <v>52</v>
      </c>
      <c r="H854" s="34" t="s">
        <v>2584</v>
      </c>
      <c r="I854" s="12" t="s">
        <v>2575</v>
      </c>
      <c r="J854" s="10" t="s">
        <v>197</v>
      </c>
      <c r="K854" s="10" t="s">
        <v>40</v>
      </c>
      <c r="L854" s="10" t="s">
        <v>6</v>
      </c>
      <c r="M854" s="22">
        <v>45161.0</v>
      </c>
      <c r="N854" s="32" t="s">
        <v>2581</v>
      </c>
      <c r="O854" s="10" t="s">
        <v>2577</v>
      </c>
      <c r="P854" s="10" t="s">
        <v>2582</v>
      </c>
      <c r="Q854" s="2"/>
      <c r="R854" s="15"/>
      <c r="S854" s="15"/>
      <c r="T854" s="15"/>
      <c r="U854" s="15"/>
      <c r="V854" s="2"/>
      <c r="W854" s="15"/>
      <c r="X854" s="15"/>
      <c r="Y854" s="15"/>
      <c r="Z854" s="15"/>
      <c r="AA854" s="1"/>
      <c r="AB854" s="10">
        <v>60.0</v>
      </c>
      <c r="AC854" s="14">
        <v>45161.0</v>
      </c>
      <c r="AD854" s="14">
        <v>46988.0</v>
      </c>
      <c r="AE854" s="10">
        <f t="shared" si="71"/>
        <v>897</v>
      </c>
      <c r="AF854" s="2"/>
      <c r="AG854" s="16" t="s">
        <v>45</v>
      </c>
      <c r="AH854" s="12" t="s">
        <v>46</v>
      </c>
      <c r="AI854" s="16" t="s">
        <v>45</v>
      </c>
      <c r="AJ854" s="10" t="s">
        <v>2583</v>
      </c>
      <c r="AK854" s="16" t="s">
        <v>45</v>
      </c>
      <c r="AL854" s="10" t="s">
        <v>49</v>
      </c>
      <c r="AM854" s="16" t="s">
        <v>45</v>
      </c>
      <c r="AN854" s="16" t="s">
        <v>45</v>
      </c>
    </row>
    <row r="855" ht="30.0" customHeight="1">
      <c r="A855" s="9" t="str">
        <f t="shared" si="48"/>
        <v>N/I</v>
      </c>
      <c r="B855" s="9" t="str">
        <f t="shared" si="49"/>
        <v>N/I</v>
      </c>
      <c r="C855" s="9" t="str">
        <f t="shared" si="64"/>
        <v>Ativo</v>
      </c>
      <c r="D855" s="10" t="s">
        <v>2571</v>
      </c>
      <c r="E855" s="11" t="s">
        <v>2572</v>
      </c>
      <c r="F855" s="32" t="s">
        <v>2573</v>
      </c>
      <c r="G855" s="12" t="s">
        <v>52</v>
      </c>
      <c r="H855" s="13" t="s">
        <v>2585</v>
      </c>
      <c r="I855" s="12" t="s">
        <v>2575</v>
      </c>
      <c r="J855" s="10" t="s">
        <v>197</v>
      </c>
      <c r="K855" s="10" t="s">
        <v>40</v>
      </c>
      <c r="L855" s="10" t="s">
        <v>6</v>
      </c>
      <c r="M855" s="14">
        <v>45338.0</v>
      </c>
      <c r="N855" s="11" t="s">
        <v>2586</v>
      </c>
      <c r="O855" s="10" t="s">
        <v>2577</v>
      </c>
      <c r="P855" s="10" t="s">
        <v>2587</v>
      </c>
      <c r="Q855" s="2"/>
      <c r="R855" s="15"/>
      <c r="S855" s="15"/>
      <c r="T855" s="15"/>
      <c r="U855" s="15"/>
      <c r="V855" s="2"/>
      <c r="W855" s="15"/>
      <c r="X855" s="15"/>
      <c r="Y855" s="15"/>
      <c r="Z855" s="15"/>
      <c r="AA855" s="1"/>
      <c r="AB855" s="10">
        <v>60.0</v>
      </c>
      <c r="AC855" s="14">
        <v>45338.0</v>
      </c>
      <c r="AD855" s="14">
        <v>47165.0</v>
      </c>
      <c r="AE855" s="10">
        <f t="shared" si="71"/>
        <v>1074</v>
      </c>
      <c r="AF855" s="2"/>
      <c r="AG855" s="16" t="s">
        <v>45</v>
      </c>
      <c r="AH855" s="12" t="s">
        <v>46</v>
      </c>
      <c r="AI855" s="16" t="s">
        <v>45</v>
      </c>
      <c r="AJ855" s="10" t="s">
        <v>2583</v>
      </c>
      <c r="AK855" s="16" t="s">
        <v>45</v>
      </c>
      <c r="AL855" s="16" t="s">
        <v>45</v>
      </c>
      <c r="AM855" s="16" t="s">
        <v>45</v>
      </c>
      <c r="AN855" s="10" t="s">
        <v>50</v>
      </c>
    </row>
    <row r="856" ht="30.0" customHeight="1">
      <c r="A856" s="9" t="str">
        <f t="shared" si="48"/>
        <v>N/I</v>
      </c>
      <c r="B856" s="9" t="str">
        <f t="shared" si="49"/>
        <v>N/I</v>
      </c>
      <c r="C856" s="9" t="str">
        <f t="shared" si="64"/>
        <v>Ativo</v>
      </c>
      <c r="D856" s="10" t="s">
        <v>2571</v>
      </c>
      <c r="E856" s="11" t="s">
        <v>2572</v>
      </c>
      <c r="F856" s="11" t="s">
        <v>2588</v>
      </c>
      <c r="G856" s="12" t="s">
        <v>68</v>
      </c>
      <c r="H856" s="27" t="s">
        <v>2589</v>
      </c>
      <c r="I856" s="12" t="s">
        <v>2590</v>
      </c>
      <c r="J856" s="10" t="s">
        <v>132</v>
      </c>
      <c r="K856" s="10" t="s">
        <v>41</v>
      </c>
      <c r="L856" s="10" t="s">
        <v>6</v>
      </c>
      <c r="M856" s="22">
        <v>45610.0</v>
      </c>
      <c r="N856" s="32" t="s">
        <v>2591</v>
      </c>
      <c r="O856" s="10" t="s">
        <v>2592</v>
      </c>
      <c r="P856" s="10" t="s">
        <v>2593</v>
      </c>
      <c r="Q856" s="2"/>
      <c r="R856" s="15"/>
      <c r="S856" s="15"/>
      <c r="T856" s="15"/>
      <c r="U856" s="15"/>
      <c r="V856" s="2"/>
      <c r="W856" s="15"/>
      <c r="X856" s="15"/>
      <c r="Y856" s="15"/>
      <c r="Z856" s="15"/>
      <c r="AA856" s="1"/>
      <c r="AB856" s="10">
        <v>60.0</v>
      </c>
      <c r="AC856" s="14">
        <v>45610.0</v>
      </c>
      <c r="AD856" s="14">
        <v>47436.0</v>
      </c>
      <c r="AE856" s="10">
        <f t="shared" si="71"/>
        <v>1345</v>
      </c>
      <c r="AF856" s="2"/>
      <c r="AG856" s="16" t="s">
        <v>45</v>
      </c>
      <c r="AH856" s="16" t="s">
        <v>45</v>
      </c>
      <c r="AI856" s="16" t="s">
        <v>45</v>
      </c>
      <c r="AJ856" s="16" t="s">
        <v>45</v>
      </c>
      <c r="AK856" s="16" t="s">
        <v>45</v>
      </c>
      <c r="AL856" s="16" t="s">
        <v>45</v>
      </c>
      <c r="AM856" s="16" t="s">
        <v>45</v>
      </c>
      <c r="AN856" s="10" t="s">
        <v>50</v>
      </c>
    </row>
    <row r="857" ht="30.0" customHeight="1">
      <c r="A857" s="9" t="str">
        <f t="shared" si="48"/>
        <v>N/I</v>
      </c>
      <c r="B857" s="9" t="str">
        <f t="shared" si="49"/>
        <v>N/I</v>
      </c>
      <c r="C857" s="9" t="str">
        <f t="shared" si="64"/>
        <v>Ativo</v>
      </c>
      <c r="D857" s="10" t="s">
        <v>2571</v>
      </c>
      <c r="E857" s="11" t="s">
        <v>2572</v>
      </c>
      <c r="F857" s="32" t="s">
        <v>2594</v>
      </c>
      <c r="G857" s="12" t="s">
        <v>52</v>
      </c>
      <c r="H857" s="36" t="s">
        <v>2595</v>
      </c>
      <c r="I857" s="12" t="s">
        <v>799</v>
      </c>
      <c r="J857" s="10" t="s">
        <v>197</v>
      </c>
      <c r="K857" s="10" t="s">
        <v>40</v>
      </c>
      <c r="L857" s="10" t="s">
        <v>6</v>
      </c>
      <c r="M857" s="22">
        <v>44267.0</v>
      </c>
      <c r="N857" s="32" t="s">
        <v>2596</v>
      </c>
      <c r="O857" s="10" t="s">
        <v>2597</v>
      </c>
      <c r="P857" s="12" t="s">
        <v>2598</v>
      </c>
      <c r="Q857" s="2"/>
      <c r="R857" s="15"/>
      <c r="S857" s="15"/>
      <c r="T857" s="15"/>
      <c r="U857" s="15"/>
      <c r="V857" s="2"/>
      <c r="W857" s="15"/>
      <c r="X857" s="15"/>
      <c r="Y857" s="15"/>
      <c r="Z857" s="15"/>
      <c r="AA857" s="1"/>
      <c r="AB857" s="10">
        <v>60.0</v>
      </c>
      <c r="AC857" s="14">
        <v>44267.0</v>
      </c>
      <c r="AD857" s="14">
        <v>46093.0</v>
      </c>
      <c r="AE857" s="10">
        <f t="shared" si="71"/>
        <v>2</v>
      </c>
      <c r="AF857" s="2"/>
      <c r="AG857" s="10" t="s">
        <v>680</v>
      </c>
      <c r="AH857" s="12" t="s">
        <v>355</v>
      </c>
      <c r="AI857" s="10" t="s">
        <v>717</v>
      </c>
      <c r="AJ857" s="10" t="s">
        <v>2583</v>
      </c>
      <c r="AK857" s="16" t="s">
        <v>45</v>
      </c>
      <c r="AL857" s="10" t="s">
        <v>49</v>
      </c>
      <c r="AM857" s="16" t="s">
        <v>45</v>
      </c>
      <c r="AN857" s="10" t="s">
        <v>50</v>
      </c>
    </row>
    <row r="858" ht="30.0" customHeight="1">
      <c r="A858" s="9" t="str">
        <f t="shared" si="48"/>
        <v>N/I</v>
      </c>
      <c r="B858" s="9" t="str">
        <f t="shared" si="49"/>
        <v>Ativo</v>
      </c>
      <c r="C858" s="9" t="str">
        <f t="shared" si="64"/>
        <v>Ativo</v>
      </c>
      <c r="D858" s="10" t="s">
        <v>2571</v>
      </c>
      <c r="E858" s="11" t="s">
        <v>2572</v>
      </c>
      <c r="F858" s="32" t="s">
        <v>2594</v>
      </c>
      <c r="G858" s="12" t="s">
        <v>52</v>
      </c>
      <c r="H858" s="36" t="s">
        <v>2599</v>
      </c>
      <c r="I858" s="12" t="s">
        <v>799</v>
      </c>
      <c r="J858" s="10" t="s">
        <v>197</v>
      </c>
      <c r="K858" s="10" t="s">
        <v>40</v>
      </c>
      <c r="L858" s="10" t="s">
        <v>6</v>
      </c>
      <c r="M858" s="22">
        <v>44466.0</v>
      </c>
      <c r="N858" s="32" t="s">
        <v>2600</v>
      </c>
      <c r="O858" s="10" t="s">
        <v>2597</v>
      </c>
      <c r="P858" s="12" t="s">
        <v>2601</v>
      </c>
      <c r="Q858" s="2"/>
      <c r="R858" s="15"/>
      <c r="S858" s="15"/>
      <c r="T858" s="15"/>
      <c r="U858" s="15"/>
      <c r="V858" s="2"/>
      <c r="W858" s="10">
        <v>48.0</v>
      </c>
      <c r="X858" s="14">
        <v>44841.0</v>
      </c>
      <c r="Y858" s="14">
        <v>46302.0</v>
      </c>
      <c r="Z858" s="10">
        <f>Y858-TODAY()</f>
        <v>211</v>
      </c>
      <c r="AA858" s="1"/>
      <c r="AB858" s="10">
        <v>60.0</v>
      </c>
      <c r="AC858" s="14">
        <v>44466.0</v>
      </c>
      <c r="AD858" s="14">
        <v>46292.0</v>
      </c>
      <c r="AE858" s="10">
        <f t="shared" si="71"/>
        <v>201</v>
      </c>
      <c r="AF858" s="2"/>
      <c r="AG858" s="10" t="s">
        <v>680</v>
      </c>
      <c r="AH858" s="12" t="s">
        <v>355</v>
      </c>
      <c r="AI858" s="10" t="s">
        <v>717</v>
      </c>
      <c r="AJ858" s="10" t="s">
        <v>2583</v>
      </c>
      <c r="AK858" s="16" t="s">
        <v>45</v>
      </c>
      <c r="AL858" s="10" t="s">
        <v>49</v>
      </c>
      <c r="AM858" s="16" t="s">
        <v>45</v>
      </c>
      <c r="AN858" s="10" t="s">
        <v>50</v>
      </c>
    </row>
    <row r="859" ht="30.0" customHeight="1">
      <c r="A859" s="9" t="str">
        <f t="shared" si="48"/>
        <v>N/I</v>
      </c>
      <c r="B859" s="9" t="str">
        <f t="shared" si="49"/>
        <v>N/I</v>
      </c>
      <c r="C859" s="9" t="str">
        <f t="shared" si="64"/>
        <v>Ativo</v>
      </c>
      <c r="D859" s="10" t="s">
        <v>2571</v>
      </c>
      <c r="E859" s="11" t="s">
        <v>2572</v>
      </c>
      <c r="F859" s="32" t="s">
        <v>2594</v>
      </c>
      <c r="G859" s="12" t="s">
        <v>52</v>
      </c>
      <c r="H859" s="36" t="s">
        <v>2602</v>
      </c>
      <c r="I859" s="12" t="s">
        <v>799</v>
      </c>
      <c r="J859" s="10" t="s">
        <v>197</v>
      </c>
      <c r="K859" s="10" t="s">
        <v>40</v>
      </c>
      <c r="L859" s="10" t="s">
        <v>6</v>
      </c>
      <c r="M859" s="14">
        <v>44911.0</v>
      </c>
      <c r="N859" s="32" t="s">
        <v>2600</v>
      </c>
      <c r="O859" s="10" t="s">
        <v>2603</v>
      </c>
      <c r="P859" s="10" t="s">
        <v>2604</v>
      </c>
      <c r="Q859" s="2"/>
      <c r="R859" s="15"/>
      <c r="S859" s="15"/>
      <c r="T859" s="15"/>
      <c r="U859" s="15"/>
      <c r="V859" s="2"/>
      <c r="W859" s="15"/>
      <c r="X859" s="15"/>
      <c r="Y859" s="15"/>
      <c r="Z859" s="15"/>
      <c r="AA859" s="1"/>
      <c r="AB859" s="10">
        <v>60.0</v>
      </c>
      <c r="AC859" s="14">
        <v>44911.0</v>
      </c>
      <c r="AD859" s="14">
        <v>46372.0</v>
      </c>
      <c r="AE859" s="10">
        <f t="shared" si="71"/>
        <v>281</v>
      </c>
      <c r="AF859" s="2"/>
      <c r="AG859" s="16" t="s">
        <v>45</v>
      </c>
      <c r="AH859" s="12" t="s">
        <v>355</v>
      </c>
      <c r="AI859" s="10" t="s">
        <v>227</v>
      </c>
      <c r="AJ859" s="10" t="s">
        <v>2605</v>
      </c>
      <c r="AK859" s="16" t="s">
        <v>45</v>
      </c>
      <c r="AL859" s="10" t="s">
        <v>49</v>
      </c>
      <c r="AM859" s="16" t="s">
        <v>45</v>
      </c>
      <c r="AN859" s="10" t="s">
        <v>50</v>
      </c>
    </row>
    <row r="860" ht="30.0" customHeight="1">
      <c r="A860" s="9" t="str">
        <f t="shared" si="48"/>
        <v>N/I</v>
      </c>
      <c r="B860" s="9" t="str">
        <f t="shared" si="49"/>
        <v>N/I</v>
      </c>
      <c r="C860" s="9" t="str">
        <f t="shared" si="64"/>
        <v>Inativo</v>
      </c>
      <c r="D860" s="10" t="s">
        <v>2571</v>
      </c>
      <c r="E860" s="11" t="s">
        <v>2572</v>
      </c>
      <c r="F860" s="32" t="s">
        <v>2573</v>
      </c>
      <c r="G860" s="12" t="s">
        <v>52</v>
      </c>
      <c r="H860" s="36" t="s">
        <v>2606</v>
      </c>
      <c r="I860" s="12" t="s">
        <v>2575</v>
      </c>
      <c r="J860" s="10" t="s">
        <v>197</v>
      </c>
      <c r="K860" s="10" t="s">
        <v>40</v>
      </c>
      <c r="L860" s="10" t="s">
        <v>6</v>
      </c>
      <c r="M860" s="14">
        <v>44146.0</v>
      </c>
      <c r="N860" s="11" t="s">
        <v>2607</v>
      </c>
      <c r="O860" s="10" t="s">
        <v>2608</v>
      </c>
      <c r="P860" s="10" t="s">
        <v>2609</v>
      </c>
      <c r="Q860" s="2"/>
      <c r="R860" s="15"/>
      <c r="S860" s="15"/>
      <c r="T860" s="15"/>
      <c r="U860" s="15"/>
      <c r="V860" s="2"/>
      <c r="W860" s="15"/>
      <c r="X860" s="15"/>
      <c r="Y860" s="15"/>
      <c r="Z860" s="15"/>
      <c r="AA860" s="1"/>
      <c r="AB860" s="10">
        <v>60.0</v>
      </c>
      <c r="AC860" s="14">
        <v>44146.0</v>
      </c>
      <c r="AD860" s="14">
        <v>45972.0</v>
      </c>
      <c r="AE860" s="10">
        <f t="shared" si="71"/>
        <v>-119</v>
      </c>
      <c r="AF860" s="2"/>
      <c r="AG860" s="10" t="s">
        <v>680</v>
      </c>
      <c r="AH860" s="12" t="s">
        <v>355</v>
      </c>
      <c r="AI860" s="10" t="s">
        <v>717</v>
      </c>
      <c r="AJ860" s="10" t="s">
        <v>2583</v>
      </c>
      <c r="AK860" s="16" t="s">
        <v>45</v>
      </c>
      <c r="AL860" s="10" t="s">
        <v>49</v>
      </c>
      <c r="AM860" s="16" t="s">
        <v>45</v>
      </c>
      <c r="AN860" s="10" t="s">
        <v>320</v>
      </c>
    </row>
    <row r="861" ht="30.0" customHeight="1">
      <c r="A861" s="9" t="str">
        <f t="shared" si="48"/>
        <v>N/I</v>
      </c>
      <c r="B861" s="9" t="str">
        <f t="shared" si="49"/>
        <v>N/I</v>
      </c>
      <c r="C861" s="9" t="str">
        <f t="shared" si="64"/>
        <v>Ativo</v>
      </c>
      <c r="D861" s="10" t="s">
        <v>2571</v>
      </c>
      <c r="E861" s="11" t="s">
        <v>2572</v>
      </c>
      <c r="F861" s="32" t="s">
        <v>2594</v>
      </c>
      <c r="G861" s="12" t="s">
        <v>52</v>
      </c>
      <c r="H861" s="36" t="s">
        <v>2610</v>
      </c>
      <c r="I861" s="12" t="s">
        <v>799</v>
      </c>
      <c r="J861" s="10" t="s">
        <v>197</v>
      </c>
      <c r="K861" s="10" t="s">
        <v>40</v>
      </c>
      <c r="L861" s="10" t="s">
        <v>6</v>
      </c>
      <c r="M861" s="14">
        <v>44700.0</v>
      </c>
      <c r="N861" s="32" t="s">
        <v>2600</v>
      </c>
      <c r="O861" s="10" t="s">
        <v>2603</v>
      </c>
      <c r="P861" s="10" t="s">
        <v>2611</v>
      </c>
      <c r="Q861" s="2"/>
      <c r="R861" s="15"/>
      <c r="S861" s="15"/>
      <c r="T861" s="15"/>
      <c r="U861" s="15"/>
      <c r="V861" s="2"/>
      <c r="W861" s="15"/>
      <c r="X861" s="15"/>
      <c r="Y861" s="15"/>
      <c r="Z861" s="15"/>
      <c r="AA861" s="1"/>
      <c r="AB861" s="10">
        <v>60.0</v>
      </c>
      <c r="AC861" s="14">
        <v>44700.0</v>
      </c>
      <c r="AD861" s="14">
        <v>46526.0</v>
      </c>
      <c r="AE861" s="10">
        <f t="shared" si="71"/>
        <v>435</v>
      </c>
      <c r="AF861" s="2"/>
      <c r="AG861" s="16" t="s">
        <v>45</v>
      </c>
      <c r="AH861" s="12" t="s">
        <v>355</v>
      </c>
      <c r="AI861" s="10" t="s">
        <v>227</v>
      </c>
      <c r="AJ861" s="10" t="s">
        <v>2605</v>
      </c>
      <c r="AK861" s="16" t="s">
        <v>45</v>
      </c>
      <c r="AL861" s="10" t="s">
        <v>49</v>
      </c>
      <c r="AM861" s="16" t="s">
        <v>45</v>
      </c>
      <c r="AN861" s="10" t="s">
        <v>50</v>
      </c>
    </row>
    <row r="862" ht="30.0" customHeight="1">
      <c r="A862" s="9" t="str">
        <f t="shared" si="48"/>
        <v>N/I</v>
      </c>
      <c r="B862" s="9" t="str">
        <f t="shared" si="49"/>
        <v>Ativo</v>
      </c>
      <c r="C862" s="9" t="str">
        <f t="shared" si="64"/>
        <v>Ativo</v>
      </c>
      <c r="D862" s="10" t="s">
        <v>2571</v>
      </c>
      <c r="E862" s="11" t="s">
        <v>2572</v>
      </c>
      <c r="F862" s="32" t="s">
        <v>2594</v>
      </c>
      <c r="G862" s="12" t="s">
        <v>52</v>
      </c>
      <c r="H862" s="36" t="s">
        <v>2612</v>
      </c>
      <c r="I862" s="12" t="s">
        <v>799</v>
      </c>
      <c r="J862" s="10" t="s">
        <v>197</v>
      </c>
      <c r="K862" s="10" t="s">
        <v>40</v>
      </c>
      <c r="L862" s="10" t="s">
        <v>6</v>
      </c>
      <c r="M862" s="22">
        <v>44728.0</v>
      </c>
      <c r="N862" s="32" t="s">
        <v>2613</v>
      </c>
      <c r="O862" s="10" t="s">
        <v>2603</v>
      </c>
      <c r="P862" s="12" t="s">
        <v>2614</v>
      </c>
      <c r="Q862" s="2"/>
      <c r="R862" s="15"/>
      <c r="S862" s="15"/>
      <c r="T862" s="15"/>
      <c r="U862" s="15"/>
      <c r="V862" s="2"/>
      <c r="W862" s="10">
        <v>48.0</v>
      </c>
      <c r="X862" s="14">
        <v>44841.0</v>
      </c>
      <c r="Y862" s="14">
        <v>46302.0</v>
      </c>
      <c r="Z862" s="10">
        <f t="shared" ref="Z862:Z863" si="72">Y862-TODAY()</f>
        <v>211</v>
      </c>
      <c r="AA862" s="1"/>
      <c r="AB862" s="10">
        <v>60.0</v>
      </c>
      <c r="AC862" s="14">
        <v>44728.0</v>
      </c>
      <c r="AD862" s="14">
        <v>46554.0</v>
      </c>
      <c r="AE862" s="10">
        <f t="shared" si="71"/>
        <v>463</v>
      </c>
      <c r="AF862" s="2"/>
      <c r="AG862" s="10" t="s">
        <v>680</v>
      </c>
      <c r="AH862" s="12" t="s">
        <v>355</v>
      </c>
      <c r="AI862" s="10" t="s">
        <v>227</v>
      </c>
      <c r="AJ862" s="10" t="s">
        <v>2605</v>
      </c>
      <c r="AK862" s="16" t="s">
        <v>45</v>
      </c>
      <c r="AL862" s="10" t="s">
        <v>49</v>
      </c>
      <c r="AM862" s="16" t="s">
        <v>45</v>
      </c>
      <c r="AN862" s="10" t="s">
        <v>50</v>
      </c>
    </row>
    <row r="863" ht="30.0" customHeight="1">
      <c r="A863" s="9" t="str">
        <f t="shared" si="48"/>
        <v>N/I</v>
      </c>
      <c r="B863" s="9" t="str">
        <f t="shared" si="49"/>
        <v>Ativo</v>
      </c>
      <c r="C863" s="9" t="str">
        <f t="shared" si="64"/>
        <v>Inativo</v>
      </c>
      <c r="D863" s="10" t="s">
        <v>2571</v>
      </c>
      <c r="E863" s="11" t="s">
        <v>2572</v>
      </c>
      <c r="F863" s="32" t="s">
        <v>2615</v>
      </c>
      <c r="G863" s="12" t="s">
        <v>52</v>
      </c>
      <c r="H863" s="20" t="s">
        <v>2616</v>
      </c>
      <c r="I863" s="12" t="s">
        <v>799</v>
      </c>
      <c r="J863" s="10" t="s">
        <v>197</v>
      </c>
      <c r="K863" s="10" t="s">
        <v>40</v>
      </c>
      <c r="L863" s="12" t="s">
        <v>2617</v>
      </c>
      <c r="M863" s="14">
        <v>44022.0</v>
      </c>
      <c r="N863" s="32" t="s">
        <v>2618</v>
      </c>
      <c r="O863" s="10" t="s">
        <v>2619</v>
      </c>
      <c r="P863" s="12" t="s">
        <v>2620</v>
      </c>
      <c r="Q863" s="2"/>
      <c r="R863" s="15"/>
      <c r="S863" s="15"/>
      <c r="T863" s="15"/>
      <c r="U863" s="15"/>
      <c r="V863" s="2"/>
      <c r="W863" s="10">
        <v>48.0</v>
      </c>
      <c r="X863" s="14">
        <v>44841.0</v>
      </c>
      <c r="Y863" s="14">
        <v>46302.0</v>
      </c>
      <c r="Z863" s="10">
        <f t="shared" si="72"/>
        <v>211</v>
      </c>
      <c r="AA863" s="1"/>
      <c r="AB863" s="10">
        <v>60.0</v>
      </c>
      <c r="AC863" s="14">
        <v>44263.0</v>
      </c>
      <c r="AD863" s="14">
        <v>46089.0</v>
      </c>
      <c r="AE863" s="10">
        <f t="shared" si="71"/>
        <v>-2</v>
      </c>
      <c r="AF863" s="2"/>
      <c r="AG863" s="10" t="s">
        <v>680</v>
      </c>
      <c r="AH863" s="12" t="s">
        <v>355</v>
      </c>
      <c r="AI863" s="10" t="s">
        <v>717</v>
      </c>
      <c r="AJ863" s="10" t="s">
        <v>2583</v>
      </c>
      <c r="AK863" s="16" t="s">
        <v>45</v>
      </c>
      <c r="AL863" s="10" t="s">
        <v>49</v>
      </c>
      <c r="AM863" s="16" t="s">
        <v>45</v>
      </c>
      <c r="AN863" s="10" t="s">
        <v>50</v>
      </c>
    </row>
    <row r="864" ht="30.0" customHeight="1">
      <c r="A864" s="9" t="str">
        <f t="shared" si="48"/>
        <v>N/I</v>
      </c>
      <c r="B864" s="9" t="str">
        <f t="shared" si="49"/>
        <v>N/I</v>
      </c>
      <c r="C864" s="9" t="str">
        <f t="shared" si="64"/>
        <v>Ativo</v>
      </c>
      <c r="D864" s="10" t="s">
        <v>2571</v>
      </c>
      <c r="E864" s="11" t="s">
        <v>2572</v>
      </c>
      <c r="F864" s="11" t="s">
        <v>2594</v>
      </c>
      <c r="G864" s="12" t="s">
        <v>68</v>
      </c>
      <c r="H864" s="27" t="s">
        <v>2621</v>
      </c>
      <c r="I864" s="12" t="s">
        <v>799</v>
      </c>
      <c r="J864" s="10" t="s">
        <v>197</v>
      </c>
      <c r="K864" s="10" t="s">
        <v>40</v>
      </c>
      <c r="L864" s="10" t="s">
        <v>6</v>
      </c>
      <c r="M864" s="22">
        <v>45610.0</v>
      </c>
      <c r="N864" s="32" t="s">
        <v>2622</v>
      </c>
      <c r="O864" s="10" t="s">
        <v>2603</v>
      </c>
      <c r="P864" s="12" t="s">
        <v>2623</v>
      </c>
      <c r="Q864" s="2"/>
      <c r="R864" s="15"/>
      <c r="S864" s="15"/>
      <c r="T864" s="15"/>
      <c r="U864" s="15"/>
      <c r="V864" s="2"/>
      <c r="W864" s="15"/>
      <c r="X864" s="15"/>
      <c r="Y864" s="15"/>
      <c r="Z864" s="15"/>
      <c r="AA864" s="1"/>
      <c r="AB864" s="10">
        <v>60.0</v>
      </c>
      <c r="AC864" s="14">
        <v>45614.0</v>
      </c>
      <c r="AD864" s="14">
        <v>47440.0</v>
      </c>
      <c r="AE864" s="10">
        <f t="shared" si="71"/>
        <v>1349</v>
      </c>
      <c r="AF864" s="2"/>
      <c r="AG864" s="16" t="s">
        <v>45</v>
      </c>
      <c r="AH864" s="16" t="s">
        <v>45</v>
      </c>
      <c r="AI864" s="16" t="s">
        <v>45</v>
      </c>
      <c r="AJ864" s="16" t="s">
        <v>45</v>
      </c>
      <c r="AK864" s="16" t="s">
        <v>45</v>
      </c>
      <c r="AL864" s="16" t="s">
        <v>45</v>
      </c>
      <c r="AM864" s="16" t="s">
        <v>45</v>
      </c>
      <c r="AN864" s="10" t="s">
        <v>50</v>
      </c>
    </row>
    <row r="865" ht="30.0" customHeight="1">
      <c r="A865" s="9" t="str">
        <f t="shared" si="48"/>
        <v>N/I</v>
      </c>
      <c r="B865" s="9" t="str">
        <f t="shared" si="49"/>
        <v>N/I</v>
      </c>
      <c r="C865" s="9" t="str">
        <f t="shared" si="64"/>
        <v>Ativo</v>
      </c>
      <c r="D865" s="10" t="s">
        <v>2571</v>
      </c>
      <c r="E865" s="11" t="s">
        <v>2572</v>
      </c>
      <c r="F865" s="11" t="s">
        <v>2594</v>
      </c>
      <c r="G865" s="12" t="s">
        <v>52</v>
      </c>
      <c r="H865" s="20" t="s">
        <v>2624</v>
      </c>
      <c r="I865" s="12" t="s">
        <v>799</v>
      </c>
      <c r="J865" s="10" t="s">
        <v>197</v>
      </c>
      <c r="K865" s="10" t="s">
        <v>40</v>
      </c>
      <c r="L865" s="10" t="s">
        <v>6</v>
      </c>
      <c r="M865" s="22">
        <v>45740.0</v>
      </c>
      <c r="N865" s="32" t="s">
        <v>2625</v>
      </c>
      <c r="O865" s="10" t="s">
        <v>2603</v>
      </c>
      <c r="P865" s="10" t="s">
        <v>2626</v>
      </c>
      <c r="Q865" s="2"/>
      <c r="R865" s="15"/>
      <c r="S865" s="15"/>
      <c r="T865" s="15"/>
      <c r="U865" s="15"/>
      <c r="V865" s="2"/>
      <c r="W865" s="15"/>
      <c r="X865" s="15"/>
      <c r="Y865" s="15"/>
      <c r="Z865" s="15"/>
      <c r="AA865" s="1"/>
      <c r="AB865" s="10">
        <v>60.0</v>
      </c>
      <c r="AC865" s="14">
        <v>45740.0</v>
      </c>
      <c r="AD865" s="14">
        <v>47566.0</v>
      </c>
      <c r="AE865" s="10">
        <f t="shared" si="71"/>
        <v>1475</v>
      </c>
      <c r="AF865" s="2"/>
      <c r="AG865" s="10" t="s">
        <v>354</v>
      </c>
      <c r="AH865" s="12" t="s">
        <v>355</v>
      </c>
      <c r="AI865" s="10" t="s">
        <v>717</v>
      </c>
      <c r="AJ865" s="10" t="s">
        <v>227</v>
      </c>
      <c r="AK865" s="16" t="s">
        <v>45</v>
      </c>
      <c r="AL865" s="10" t="s">
        <v>49</v>
      </c>
      <c r="AM865" s="16" t="s">
        <v>45</v>
      </c>
      <c r="AN865" s="10" t="s">
        <v>50</v>
      </c>
    </row>
    <row r="866" ht="30.0" customHeight="1">
      <c r="A866" s="9" t="str">
        <f t="shared" si="48"/>
        <v>N/I</v>
      </c>
      <c r="B866" s="9" t="str">
        <f t="shared" si="49"/>
        <v>N/I</v>
      </c>
      <c r="C866" s="9" t="str">
        <f t="shared" si="64"/>
        <v>Inativo</v>
      </c>
      <c r="D866" s="10" t="s">
        <v>2571</v>
      </c>
      <c r="E866" s="11" t="s">
        <v>2572</v>
      </c>
      <c r="F866" s="32" t="s">
        <v>2627</v>
      </c>
      <c r="G866" s="12" t="s">
        <v>52</v>
      </c>
      <c r="H866" s="36" t="s">
        <v>2628</v>
      </c>
      <c r="I866" s="12" t="s">
        <v>2629</v>
      </c>
      <c r="J866" s="10" t="s">
        <v>197</v>
      </c>
      <c r="K866" s="10" t="s">
        <v>40</v>
      </c>
      <c r="L866" s="10" t="s">
        <v>6</v>
      </c>
      <c r="M866" s="22">
        <v>44147.0</v>
      </c>
      <c r="N866" s="11" t="s">
        <v>2630</v>
      </c>
      <c r="O866" s="10" t="s">
        <v>2631</v>
      </c>
      <c r="P866" s="10" t="s">
        <v>2609</v>
      </c>
      <c r="Q866" s="2"/>
      <c r="R866" s="15"/>
      <c r="S866" s="15"/>
      <c r="T866" s="15"/>
      <c r="U866" s="15"/>
      <c r="V866" s="2"/>
      <c r="W866" s="15"/>
      <c r="X866" s="15"/>
      <c r="Y866" s="15"/>
      <c r="Z866" s="15"/>
      <c r="AA866" s="1"/>
      <c r="AB866" s="10">
        <v>60.0</v>
      </c>
      <c r="AC866" s="14">
        <v>44147.0</v>
      </c>
      <c r="AD866" s="14">
        <v>45973.0</v>
      </c>
      <c r="AE866" s="10">
        <f t="shared" si="71"/>
        <v>-118</v>
      </c>
      <c r="AF866" s="2"/>
      <c r="AG866" s="10" t="s">
        <v>680</v>
      </c>
      <c r="AH866" s="12" t="s">
        <v>355</v>
      </c>
      <c r="AI866" s="10" t="s">
        <v>717</v>
      </c>
      <c r="AJ866" s="10" t="s">
        <v>2583</v>
      </c>
      <c r="AK866" s="16" t="s">
        <v>45</v>
      </c>
      <c r="AL866" s="10" t="s">
        <v>49</v>
      </c>
      <c r="AM866" s="16" t="s">
        <v>45</v>
      </c>
      <c r="AN866" s="10" t="s">
        <v>320</v>
      </c>
    </row>
    <row r="867" ht="30.0" customHeight="1">
      <c r="A867" s="9" t="str">
        <f t="shared" si="48"/>
        <v>N/I</v>
      </c>
      <c r="B867" s="9" t="str">
        <f t="shared" si="49"/>
        <v>N/I</v>
      </c>
      <c r="C867" s="9" t="str">
        <f t="shared" si="64"/>
        <v>Ativo</v>
      </c>
      <c r="D867" s="10" t="s">
        <v>2571</v>
      </c>
      <c r="E867" s="11" t="s">
        <v>2572</v>
      </c>
      <c r="F867" s="32" t="s">
        <v>2632</v>
      </c>
      <c r="G867" s="12" t="s">
        <v>52</v>
      </c>
      <c r="H867" s="13" t="s">
        <v>2633</v>
      </c>
      <c r="I867" s="12" t="s">
        <v>2634</v>
      </c>
      <c r="J867" s="10" t="s">
        <v>216</v>
      </c>
      <c r="K867" s="10" t="s">
        <v>40</v>
      </c>
      <c r="L867" s="10" t="s">
        <v>6</v>
      </c>
      <c r="M867" s="22">
        <v>45210.0</v>
      </c>
      <c r="N867" s="32" t="s">
        <v>2635</v>
      </c>
      <c r="O867" s="10" t="s">
        <v>2636</v>
      </c>
      <c r="P867" s="10" t="s">
        <v>2637</v>
      </c>
      <c r="Q867" s="2"/>
      <c r="R867" s="15"/>
      <c r="S867" s="15"/>
      <c r="T867" s="15"/>
      <c r="U867" s="15"/>
      <c r="V867" s="2"/>
      <c r="W867" s="15"/>
      <c r="X867" s="15"/>
      <c r="Y867" s="15"/>
      <c r="Z867" s="15"/>
      <c r="AA867" s="1"/>
      <c r="AB867" s="10">
        <v>60.0</v>
      </c>
      <c r="AC867" s="14">
        <v>45210.0</v>
      </c>
      <c r="AD867" s="14">
        <v>47037.0</v>
      </c>
      <c r="AE867" s="10">
        <f t="shared" si="71"/>
        <v>946</v>
      </c>
      <c r="AF867" s="2"/>
      <c r="AG867" s="16" t="s">
        <v>45</v>
      </c>
      <c r="AH867" s="12" t="s">
        <v>46</v>
      </c>
      <c r="AI867" s="16" t="s">
        <v>45</v>
      </c>
      <c r="AJ867" s="10" t="s">
        <v>2583</v>
      </c>
      <c r="AK867" s="16" t="s">
        <v>45</v>
      </c>
      <c r="AL867" s="16" t="s">
        <v>45</v>
      </c>
      <c r="AM867" s="16" t="s">
        <v>45</v>
      </c>
      <c r="AN867" s="10" t="s">
        <v>50</v>
      </c>
    </row>
    <row r="868" ht="30.0" customHeight="1">
      <c r="A868" s="9" t="str">
        <f t="shared" si="48"/>
        <v>N/I</v>
      </c>
      <c r="B868" s="9" t="str">
        <f t="shared" si="49"/>
        <v>N/I</v>
      </c>
      <c r="C868" s="9" t="str">
        <f t="shared" si="64"/>
        <v>Inativo</v>
      </c>
      <c r="D868" s="10" t="s">
        <v>2571</v>
      </c>
      <c r="E868" s="11" t="s">
        <v>2572</v>
      </c>
      <c r="F868" s="32" t="s">
        <v>2638</v>
      </c>
      <c r="G868" s="12" t="s">
        <v>52</v>
      </c>
      <c r="H868" s="36" t="s">
        <v>2639</v>
      </c>
      <c r="I868" s="12" t="s">
        <v>561</v>
      </c>
      <c r="J868" s="10" t="s">
        <v>562</v>
      </c>
      <c r="K868" s="10" t="s">
        <v>190</v>
      </c>
      <c r="L868" s="10" t="s">
        <v>6</v>
      </c>
      <c r="M868" s="22">
        <v>44260.0</v>
      </c>
      <c r="N868" s="51" t="s">
        <v>2640</v>
      </c>
      <c r="O868" s="52" t="s">
        <v>2641</v>
      </c>
      <c r="P868" s="12" t="s">
        <v>2598</v>
      </c>
      <c r="Q868" s="2"/>
      <c r="R868" s="15"/>
      <c r="S868" s="15"/>
      <c r="T868" s="15"/>
      <c r="U868" s="15"/>
      <c r="V868" s="2"/>
      <c r="W868" s="15"/>
      <c r="X868" s="15"/>
      <c r="Y868" s="15"/>
      <c r="Z868" s="15"/>
      <c r="AA868" s="1"/>
      <c r="AB868" s="10">
        <v>60.0</v>
      </c>
      <c r="AC868" s="14">
        <v>44260.0</v>
      </c>
      <c r="AD868" s="14">
        <v>46086.0</v>
      </c>
      <c r="AE868" s="10">
        <f t="shared" si="71"/>
        <v>-5</v>
      </c>
      <c r="AF868" s="2"/>
      <c r="AG868" s="10" t="s">
        <v>680</v>
      </c>
      <c r="AH868" s="12" t="s">
        <v>355</v>
      </c>
      <c r="AI868" s="10" t="s">
        <v>717</v>
      </c>
      <c r="AJ868" s="10" t="s">
        <v>2583</v>
      </c>
      <c r="AK868" s="16" t="s">
        <v>45</v>
      </c>
      <c r="AL868" s="10" t="s">
        <v>49</v>
      </c>
      <c r="AM868" s="16" t="s">
        <v>45</v>
      </c>
      <c r="AN868" s="10" t="s">
        <v>50</v>
      </c>
    </row>
    <row r="869" ht="30.0" customHeight="1">
      <c r="A869" s="9" t="str">
        <f t="shared" si="48"/>
        <v>N/I</v>
      </c>
      <c r="B869" s="9" t="str">
        <f t="shared" si="49"/>
        <v>N/I</v>
      </c>
      <c r="C869" s="9" t="str">
        <f t="shared" si="64"/>
        <v>Inativo</v>
      </c>
      <c r="D869" s="10" t="s">
        <v>2571</v>
      </c>
      <c r="E869" s="11" t="s">
        <v>2572</v>
      </c>
      <c r="F869" s="32" t="s">
        <v>2642</v>
      </c>
      <c r="G869" s="12" t="s">
        <v>52</v>
      </c>
      <c r="H869" s="36" t="s">
        <v>2643</v>
      </c>
      <c r="I869" s="12" t="s">
        <v>324</v>
      </c>
      <c r="J869" s="10" t="s">
        <v>197</v>
      </c>
      <c r="K869" s="10" t="s">
        <v>40</v>
      </c>
      <c r="L869" s="10" t="s">
        <v>6</v>
      </c>
      <c r="M869" s="22">
        <v>44147.0</v>
      </c>
      <c r="N869" s="11" t="s">
        <v>2644</v>
      </c>
      <c r="O869" s="10" t="s">
        <v>2645</v>
      </c>
      <c r="P869" s="10" t="s">
        <v>2609</v>
      </c>
      <c r="Q869" s="2"/>
      <c r="R869" s="15"/>
      <c r="S869" s="15"/>
      <c r="T869" s="15"/>
      <c r="U869" s="15"/>
      <c r="V869" s="2"/>
      <c r="W869" s="15"/>
      <c r="X869" s="15"/>
      <c r="Y869" s="15"/>
      <c r="Z869" s="15"/>
      <c r="AA869" s="1"/>
      <c r="AB869" s="10">
        <v>60.0</v>
      </c>
      <c r="AC869" s="14">
        <v>44146.0</v>
      </c>
      <c r="AD869" s="14">
        <v>45972.0</v>
      </c>
      <c r="AE869" s="10">
        <f t="shared" si="71"/>
        <v>-119</v>
      </c>
      <c r="AF869" s="2"/>
      <c r="AG869" s="10" t="s">
        <v>680</v>
      </c>
      <c r="AH869" s="12" t="s">
        <v>355</v>
      </c>
      <c r="AI869" s="10" t="s">
        <v>717</v>
      </c>
      <c r="AJ869" s="10" t="s">
        <v>2583</v>
      </c>
      <c r="AK869" s="16" t="s">
        <v>45</v>
      </c>
      <c r="AL869" s="10" t="s">
        <v>49</v>
      </c>
      <c r="AM869" s="16" t="s">
        <v>45</v>
      </c>
      <c r="AN869" s="10" t="s">
        <v>320</v>
      </c>
    </row>
    <row r="870" ht="30.0" customHeight="1">
      <c r="A870" s="9" t="str">
        <f t="shared" si="48"/>
        <v>N/I</v>
      </c>
      <c r="B870" s="9" t="str">
        <f t="shared" si="49"/>
        <v>Ativo</v>
      </c>
      <c r="C870" s="9" t="str">
        <f t="shared" si="64"/>
        <v>Ativo</v>
      </c>
      <c r="D870" s="10" t="s">
        <v>2571</v>
      </c>
      <c r="E870" s="11" t="s">
        <v>2572</v>
      </c>
      <c r="F870" s="32" t="s">
        <v>2642</v>
      </c>
      <c r="G870" s="12" t="s">
        <v>52</v>
      </c>
      <c r="H870" s="36" t="s">
        <v>2646</v>
      </c>
      <c r="I870" s="12" t="s">
        <v>324</v>
      </c>
      <c r="J870" s="10" t="s">
        <v>197</v>
      </c>
      <c r="K870" s="10" t="s">
        <v>40</v>
      </c>
      <c r="L870" s="10" t="s">
        <v>6</v>
      </c>
      <c r="M870" s="22">
        <v>44266.0</v>
      </c>
      <c r="N870" s="32" t="s">
        <v>2647</v>
      </c>
      <c r="O870" s="10" t="s">
        <v>2648</v>
      </c>
      <c r="P870" s="12" t="s">
        <v>2601</v>
      </c>
      <c r="Q870" s="2"/>
      <c r="R870" s="15"/>
      <c r="S870" s="15"/>
      <c r="T870" s="15"/>
      <c r="U870" s="15"/>
      <c r="V870" s="2"/>
      <c r="W870" s="10">
        <v>48.0</v>
      </c>
      <c r="X870" s="14">
        <v>44841.0</v>
      </c>
      <c r="Y870" s="14">
        <v>46302.0</v>
      </c>
      <c r="Z870" s="10">
        <f t="shared" ref="Z870:Z874" si="73">Y870-TODAY()</f>
        <v>211</v>
      </c>
      <c r="AA870" s="1"/>
      <c r="AB870" s="10">
        <v>60.0</v>
      </c>
      <c r="AC870" s="14">
        <v>44266.0</v>
      </c>
      <c r="AD870" s="14">
        <v>46092.0</v>
      </c>
      <c r="AE870" s="10">
        <f t="shared" si="71"/>
        <v>1</v>
      </c>
      <c r="AF870" s="2"/>
      <c r="AG870" s="10" t="s">
        <v>680</v>
      </c>
      <c r="AH870" s="12" t="s">
        <v>355</v>
      </c>
      <c r="AI870" s="10" t="s">
        <v>717</v>
      </c>
      <c r="AJ870" s="10" t="s">
        <v>2583</v>
      </c>
      <c r="AK870" s="16" t="s">
        <v>45</v>
      </c>
      <c r="AL870" s="10" t="s">
        <v>49</v>
      </c>
      <c r="AM870" s="16" t="s">
        <v>45</v>
      </c>
      <c r="AN870" s="10" t="s">
        <v>50</v>
      </c>
    </row>
    <row r="871" ht="30.0" customHeight="1">
      <c r="A871" s="9" t="str">
        <f t="shared" si="48"/>
        <v>N/I</v>
      </c>
      <c r="B871" s="9" t="str">
        <f t="shared" si="49"/>
        <v>Ativo</v>
      </c>
      <c r="C871" s="9" t="str">
        <f t="shared" si="64"/>
        <v>Ativo</v>
      </c>
      <c r="D871" s="10" t="s">
        <v>2571</v>
      </c>
      <c r="E871" s="11" t="s">
        <v>2572</v>
      </c>
      <c r="F871" s="32" t="s">
        <v>2649</v>
      </c>
      <c r="G871" s="12" t="s">
        <v>52</v>
      </c>
      <c r="H871" s="36" t="s">
        <v>2650</v>
      </c>
      <c r="I871" s="12" t="s">
        <v>324</v>
      </c>
      <c r="J871" s="10" t="s">
        <v>197</v>
      </c>
      <c r="K871" s="10" t="s">
        <v>40</v>
      </c>
      <c r="L871" s="10" t="s">
        <v>6</v>
      </c>
      <c r="M871" s="14">
        <v>44665.0</v>
      </c>
      <c r="N871" s="32" t="s">
        <v>2647</v>
      </c>
      <c r="O871" s="10" t="s">
        <v>2648</v>
      </c>
      <c r="P871" s="12" t="s">
        <v>2651</v>
      </c>
      <c r="Q871" s="2"/>
      <c r="R871" s="15"/>
      <c r="S871" s="15"/>
      <c r="T871" s="15"/>
      <c r="U871" s="15"/>
      <c r="V871" s="2"/>
      <c r="W871" s="10">
        <v>48.0</v>
      </c>
      <c r="X871" s="14">
        <v>44841.0</v>
      </c>
      <c r="Y871" s="14">
        <v>46302.0</v>
      </c>
      <c r="Z871" s="10">
        <f t="shared" si="73"/>
        <v>211</v>
      </c>
      <c r="AA871" s="1"/>
      <c r="AB871" s="10">
        <v>60.0</v>
      </c>
      <c r="AC871" s="14">
        <v>44665.0</v>
      </c>
      <c r="AD871" s="14">
        <v>46491.0</v>
      </c>
      <c r="AE871" s="10">
        <f t="shared" si="71"/>
        <v>400</v>
      </c>
      <c r="AF871" s="2"/>
      <c r="AG871" s="16" t="s">
        <v>45</v>
      </c>
      <c r="AH871" s="12" t="s">
        <v>355</v>
      </c>
      <c r="AI871" s="10" t="s">
        <v>227</v>
      </c>
      <c r="AJ871" s="10" t="s">
        <v>2605</v>
      </c>
      <c r="AK871" s="16" t="s">
        <v>45</v>
      </c>
      <c r="AL871" s="10" t="s">
        <v>49</v>
      </c>
      <c r="AM871" s="16" t="s">
        <v>45</v>
      </c>
      <c r="AN871" s="10" t="s">
        <v>50</v>
      </c>
    </row>
    <row r="872" ht="30.0" customHeight="1">
      <c r="A872" s="9" t="str">
        <f t="shared" si="48"/>
        <v>N/I</v>
      </c>
      <c r="B872" s="9" t="str">
        <f t="shared" si="49"/>
        <v>Ativo</v>
      </c>
      <c r="C872" s="9" t="str">
        <f t="shared" si="64"/>
        <v>Ativo</v>
      </c>
      <c r="D872" s="10" t="s">
        <v>2571</v>
      </c>
      <c r="E872" s="11" t="s">
        <v>2572</v>
      </c>
      <c r="F872" s="32" t="s">
        <v>2642</v>
      </c>
      <c r="G872" s="12" t="s">
        <v>52</v>
      </c>
      <c r="H872" s="36" t="s">
        <v>2652</v>
      </c>
      <c r="I872" s="12" t="s">
        <v>324</v>
      </c>
      <c r="J872" s="10" t="s">
        <v>197</v>
      </c>
      <c r="K872" s="10" t="s">
        <v>40</v>
      </c>
      <c r="L872" s="10" t="s">
        <v>6</v>
      </c>
      <c r="M872" s="22">
        <v>44789.0</v>
      </c>
      <c r="N872" s="32" t="s">
        <v>2644</v>
      </c>
      <c r="O872" s="10" t="s">
        <v>2653</v>
      </c>
      <c r="P872" s="12" t="s">
        <v>2614</v>
      </c>
      <c r="Q872" s="2"/>
      <c r="R872" s="15"/>
      <c r="S872" s="15"/>
      <c r="T872" s="15"/>
      <c r="U872" s="15"/>
      <c r="V872" s="2"/>
      <c r="W872" s="10">
        <v>48.0</v>
      </c>
      <c r="X872" s="14">
        <v>44841.0</v>
      </c>
      <c r="Y872" s="14">
        <v>46302.0</v>
      </c>
      <c r="Z872" s="10">
        <f t="shared" si="73"/>
        <v>211</v>
      </c>
      <c r="AA872" s="1"/>
      <c r="AB872" s="10">
        <v>60.0</v>
      </c>
      <c r="AC872" s="14">
        <v>44789.0</v>
      </c>
      <c r="AD872" s="14">
        <v>46615.0</v>
      </c>
      <c r="AE872" s="10">
        <f t="shared" si="71"/>
        <v>524</v>
      </c>
      <c r="AF872" s="2"/>
      <c r="AG872" s="10" t="s">
        <v>680</v>
      </c>
      <c r="AH872" s="12" t="s">
        <v>355</v>
      </c>
      <c r="AI872" s="10" t="s">
        <v>227</v>
      </c>
      <c r="AJ872" s="10" t="s">
        <v>2605</v>
      </c>
      <c r="AK872" s="16" t="s">
        <v>45</v>
      </c>
      <c r="AL872" s="10" t="s">
        <v>49</v>
      </c>
      <c r="AM872" s="16" t="s">
        <v>45</v>
      </c>
      <c r="AN872" s="10" t="s">
        <v>50</v>
      </c>
    </row>
    <row r="873" ht="30.0" customHeight="1">
      <c r="A873" s="9" t="str">
        <f t="shared" si="48"/>
        <v>N/I</v>
      </c>
      <c r="B873" s="9" t="str">
        <f t="shared" si="49"/>
        <v>Ativo</v>
      </c>
      <c r="C873" s="9" t="str">
        <f t="shared" si="64"/>
        <v>Ativo</v>
      </c>
      <c r="D873" s="10" t="s">
        <v>2571</v>
      </c>
      <c r="E873" s="11" t="s">
        <v>2572</v>
      </c>
      <c r="F873" s="32" t="s">
        <v>2642</v>
      </c>
      <c r="G873" s="12" t="s">
        <v>52</v>
      </c>
      <c r="H873" s="36" t="s">
        <v>2654</v>
      </c>
      <c r="I873" s="12" t="s">
        <v>324</v>
      </c>
      <c r="J873" s="10" t="s">
        <v>197</v>
      </c>
      <c r="K873" s="10" t="s">
        <v>40</v>
      </c>
      <c r="L873" s="10" t="s">
        <v>6</v>
      </c>
      <c r="M873" s="22">
        <v>44789.0</v>
      </c>
      <c r="N873" s="32" t="s">
        <v>2644</v>
      </c>
      <c r="O873" s="10" t="s">
        <v>2653</v>
      </c>
      <c r="P873" s="12" t="s">
        <v>2614</v>
      </c>
      <c r="Q873" s="2"/>
      <c r="R873" s="15"/>
      <c r="S873" s="15"/>
      <c r="T873" s="15"/>
      <c r="U873" s="15"/>
      <c r="V873" s="2"/>
      <c r="W873" s="10">
        <v>48.0</v>
      </c>
      <c r="X873" s="14">
        <v>44841.0</v>
      </c>
      <c r="Y873" s="14">
        <v>46302.0</v>
      </c>
      <c r="Z873" s="10">
        <f t="shared" si="73"/>
        <v>211</v>
      </c>
      <c r="AA873" s="1"/>
      <c r="AB873" s="10">
        <v>60.0</v>
      </c>
      <c r="AC873" s="14">
        <v>44789.0</v>
      </c>
      <c r="AD873" s="14">
        <v>46615.0</v>
      </c>
      <c r="AE873" s="10">
        <f t="shared" si="71"/>
        <v>524</v>
      </c>
      <c r="AF873" s="2"/>
      <c r="AG873" s="10" t="s">
        <v>680</v>
      </c>
      <c r="AH873" s="12" t="s">
        <v>355</v>
      </c>
      <c r="AI873" s="10" t="s">
        <v>227</v>
      </c>
      <c r="AJ873" s="10" t="s">
        <v>2605</v>
      </c>
      <c r="AK873" s="16" t="s">
        <v>45</v>
      </c>
      <c r="AL873" s="10" t="s">
        <v>49</v>
      </c>
      <c r="AM873" s="16" t="s">
        <v>45</v>
      </c>
      <c r="AN873" s="10" t="s">
        <v>50</v>
      </c>
    </row>
    <row r="874" ht="30.0" customHeight="1">
      <c r="A874" s="9" t="str">
        <f t="shared" si="48"/>
        <v>N/I</v>
      </c>
      <c r="B874" s="9" t="str">
        <f t="shared" si="49"/>
        <v>Ativo</v>
      </c>
      <c r="C874" s="9" t="str">
        <f t="shared" si="64"/>
        <v>Inativo</v>
      </c>
      <c r="D874" s="10" t="s">
        <v>2571</v>
      </c>
      <c r="E874" s="11" t="s">
        <v>2572</v>
      </c>
      <c r="F874" s="32" t="s">
        <v>2642</v>
      </c>
      <c r="G874" s="12" t="s">
        <v>52</v>
      </c>
      <c r="H874" s="20" t="s">
        <v>2655</v>
      </c>
      <c r="I874" s="12" t="s">
        <v>324</v>
      </c>
      <c r="J874" s="10" t="s">
        <v>197</v>
      </c>
      <c r="K874" s="10" t="s">
        <v>40</v>
      </c>
      <c r="L874" s="12" t="s">
        <v>2617</v>
      </c>
      <c r="M874" s="14">
        <v>44022.0</v>
      </c>
      <c r="N874" s="32" t="s">
        <v>2644</v>
      </c>
      <c r="O874" s="10" t="s">
        <v>2656</v>
      </c>
      <c r="P874" s="12" t="s">
        <v>2620</v>
      </c>
      <c r="Q874" s="2"/>
      <c r="R874" s="15"/>
      <c r="S874" s="15"/>
      <c r="T874" s="15"/>
      <c r="U874" s="15"/>
      <c r="V874" s="2"/>
      <c r="W874" s="10">
        <v>48.0</v>
      </c>
      <c r="X874" s="14">
        <v>44841.0</v>
      </c>
      <c r="Y874" s="14">
        <v>46302.0</v>
      </c>
      <c r="Z874" s="10">
        <f t="shared" si="73"/>
        <v>211</v>
      </c>
      <c r="AA874" s="1"/>
      <c r="AB874" s="10">
        <v>60.0</v>
      </c>
      <c r="AC874" s="14">
        <v>44260.0</v>
      </c>
      <c r="AD874" s="14">
        <v>46086.0</v>
      </c>
      <c r="AE874" s="10">
        <f t="shared" si="71"/>
        <v>-5</v>
      </c>
      <c r="AF874" s="2"/>
      <c r="AG874" s="10" t="s">
        <v>680</v>
      </c>
      <c r="AH874" s="12" t="s">
        <v>355</v>
      </c>
      <c r="AI874" s="10" t="s">
        <v>717</v>
      </c>
      <c r="AJ874" s="10" t="s">
        <v>2583</v>
      </c>
      <c r="AK874" s="16" t="s">
        <v>45</v>
      </c>
      <c r="AL874" s="10" t="s">
        <v>49</v>
      </c>
      <c r="AM874" s="16" t="s">
        <v>45</v>
      </c>
      <c r="AN874" s="10" t="s">
        <v>50</v>
      </c>
    </row>
    <row r="875" ht="30.0" customHeight="1">
      <c r="A875" s="9" t="str">
        <f t="shared" si="48"/>
        <v>N/I</v>
      </c>
      <c r="B875" s="9" t="str">
        <f t="shared" si="49"/>
        <v>N/I</v>
      </c>
      <c r="C875" s="9" t="str">
        <f t="shared" si="64"/>
        <v>Ativo</v>
      </c>
      <c r="D875" s="10" t="s">
        <v>2571</v>
      </c>
      <c r="E875" s="11" t="s">
        <v>2572</v>
      </c>
      <c r="F875" s="32" t="s">
        <v>2642</v>
      </c>
      <c r="G875" s="12" t="s">
        <v>52</v>
      </c>
      <c r="H875" s="34" t="s">
        <v>2657</v>
      </c>
      <c r="I875" s="12" t="s">
        <v>324</v>
      </c>
      <c r="J875" s="10" t="s">
        <v>197</v>
      </c>
      <c r="K875" s="10" t="s">
        <v>40</v>
      </c>
      <c r="L875" s="10" t="s">
        <v>6</v>
      </c>
      <c r="M875" s="22">
        <v>44952.0</v>
      </c>
      <c r="N875" s="32" t="s">
        <v>2647</v>
      </c>
      <c r="O875" s="10" t="s">
        <v>2648</v>
      </c>
      <c r="P875" s="10" t="s">
        <v>2578</v>
      </c>
      <c r="Q875" s="2"/>
      <c r="R875" s="15"/>
      <c r="S875" s="15"/>
      <c r="T875" s="15"/>
      <c r="U875" s="15"/>
      <c r="V875" s="2"/>
      <c r="W875" s="15"/>
      <c r="X875" s="15"/>
      <c r="Y875" s="15"/>
      <c r="Z875" s="15"/>
      <c r="AA875" s="1"/>
      <c r="AB875" s="10">
        <v>60.0</v>
      </c>
      <c r="AC875" s="14">
        <v>44952.0</v>
      </c>
      <c r="AD875" s="14">
        <v>46778.0</v>
      </c>
      <c r="AE875" s="10">
        <f t="shared" si="71"/>
        <v>687</v>
      </c>
      <c r="AF875" s="2"/>
      <c r="AG875" s="16" t="s">
        <v>45</v>
      </c>
      <c r="AH875" s="16" t="s">
        <v>45</v>
      </c>
      <c r="AI875" s="16" t="s">
        <v>45</v>
      </c>
      <c r="AJ875" s="16" t="s">
        <v>45</v>
      </c>
      <c r="AK875" s="16" t="s">
        <v>45</v>
      </c>
      <c r="AL875" s="16" t="s">
        <v>45</v>
      </c>
      <c r="AM875" s="16" t="s">
        <v>45</v>
      </c>
      <c r="AN875" s="16" t="s">
        <v>45</v>
      </c>
    </row>
    <row r="876" ht="30.0" customHeight="1">
      <c r="A876" s="9" t="str">
        <f t="shared" si="48"/>
        <v>N/I</v>
      </c>
      <c r="B876" s="9" t="str">
        <f t="shared" si="49"/>
        <v>N/I</v>
      </c>
      <c r="C876" s="9" t="str">
        <f t="shared" si="64"/>
        <v>Ativo</v>
      </c>
      <c r="D876" s="10" t="s">
        <v>2571</v>
      </c>
      <c r="E876" s="11" t="s">
        <v>2572</v>
      </c>
      <c r="F876" s="11"/>
      <c r="G876" s="12" t="s">
        <v>52</v>
      </c>
      <c r="H876" s="13" t="s">
        <v>2658</v>
      </c>
      <c r="I876" s="12" t="s">
        <v>324</v>
      </c>
      <c r="J876" s="10" t="s">
        <v>197</v>
      </c>
      <c r="K876" s="10" t="s">
        <v>40</v>
      </c>
      <c r="L876" s="10" t="s">
        <v>6</v>
      </c>
      <c r="M876" s="22">
        <v>44911.0</v>
      </c>
      <c r="N876" s="32" t="s">
        <v>2644</v>
      </c>
      <c r="O876" s="10" t="s">
        <v>2653</v>
      </c>
      <c r="P876" s="10" t="s">
        <v>2659</v>
      </c>
      <c r="Q876" s="2"/>
      <c r="R876" s="15"/>
      <c r="S876" s="15"/>
      <c r="T876" s="15"/>
      <c r="U876" s="15"/>
      <c r="V876" s="2"/>
      <c r="W876" s="15"/>
      <c r="X876" s="15"/>
      <c r="Y876" s="15"/>
      <c r="Z876" s="15"/>
      <c r="AA876" s="1"/>
      <c r="AB876" s="10">
        <v>60.0</v>
      </c>
      <c r="AC876" s="14">
        <v>44911.0</v>
      </c>
      <c r="AD876" s="14">
        <v>46737.0</v>
      </c>
      <c r="AE876" s="10">
        <f t="shared" si="71"/>
        <v>646</v>
      </c>
      <c r="AF876" s="2"/>
      <c r="AG876" s="10" t="s">
        <v>680</v>
      </c>
      <c r="AH876" s="12" t="s">
        <v>46</v>
      </c>
      <c r="AI876" s="16" t="s">
        <v>45</v>
      </c>
      <c r="AJ876" s="10" t="s">
        <v>2583</v>
      </c>
      <c r="AK876" s="16" t="s">
        <v>45</v>
      </c>
      <c r="AL876" s="10" t="s">
        <v>49</v>
      </c>
      <c r="AM876" s="16" t="s">
        <v>45</v>
      </c>
      <c r="AN876" s="10" t="s">
        <v>50</v>
      </c>
    </row>
    <row r="877" ht="30.0" customHeight="1">
      <c r="A877" s="9" t="str">
        <f t="shared" si="48"/>
        <v>N/I</v>
      </c>
      <c r="B877" s="9" t="str">
        <f t="shared" si="49"/>
        <v>Ativo</v>
      </c>
      <c r="C877" s="9" t="str">
        <f t="shared" si="64"/>
        <v>Ativo</v>
      </c>
      <c r="D877" s="10" t="s">
        <v>2571</v>
      </c>
      <c r="E877" s="11" t="s">
        <v>2572</v>
      </c>
      <c r="F877" s="32" t="s">
        <v>2660</v>
      </c>
      <c r="G877" s="12" t="s">
        <v>52</v>
      </c>
      <c r="H877" s="13" t="s">
        <v>2661</v>
      </c>
      <c r="I877" s="12" t="s">
        <v>324</v>
      </c>
      <c r="J877" s="10" t="s">
        <v>197</v>
      </c>
      <c r="K877" s="10" t="s">
        <v>40</v>
      </c>
      <c r="L877" s="10" t="s">
        <v>6</v>
      </c>
      <c r="M877" s="22">
        <v>45210.0</v>
      </c>
      <c r="N877" s="32" t="s">
        <v>2644</v>
      </c>
      <c r="O877" s="10" t="s">
        <v>2653</v>
      </c>
      <c r="P877" s="12" t="s">
        <v>2662</v>
      </c>
      <c r="Q877" s="2"/>
      <c r="R877" s="15"/>
      <c r="S877" s="15"/>
      <c r="T877" s="15"/>
      <c r="U877" s="15"/>
      <c r="V877" s="2"/>
      <c r="W877" s="10">
        <v>48.0</v>
      </c>
      <c r="X877" s="14">
        <v>44841.0</v>
      </c>
      <c r="Y877" s="14">
        <v>46302.0</v>
      </c>
      <c r="Z877" s="10">
        <f>Y877-TODAY()</f>
        <v>211</v>
      </c>
      <c r="AA877" s="1"/>
      <c r="AB877" s="10">
        <v>60.0</v>
      </c>
      <c r="AC877" s="14">
        <v>45212.0</v>
      </c>
      <c r="AD877" s="14">
        <v>47039.0</v>
      </c>
      <c r="AE877" s="10">
        <f t="shared" si="71"/>
        <v>948</v>
      </c>
      <c r="AF877" s="2"/>
      <c r="AG877" s="16" t="s">
        <v>45</v>
      </c>
      <c r="AH877" s="12" t="s">
        <v>46</v>
      </c>
      <c r="AI877" s="16" t="s">
        <v>45</v>
      </c>
      <c r="AJ877" s="10" t="s">
        <v>2583</v>
      </c>
      <c r="AK877" s="16" t="s">
        <v>45</v>
      </c>
      <c r="AL877" s="16" t="s">
        <v>45</v>
      </c>
      <c r="AM877" s="16" t="s">
        <v>45</v>
      </c>
      <c r="AN877" s="10" t="s">
        <v>50</v>
      </c>
    </row>
    <row r="878" ht="30.0" customHeight="1">
      <c r="A878" s="9" t="str">
        <f t="shared" si="48"/>
        <v>N/I</v>
      </c>
      <c r="B878" s="9" t="str">
        <f t="shared" si="49"/>
        <v>N/I</v>
      </c>
      <c r="C878" s="9" t="str">
        <f t="shared" si="64"/>
        <v>Ativo</v>
      </c>
      <c r="D878" s="10" t="s">
        <v>2571</v>
      </c>
      <c r="E878" s="11" t="s">
        <v>2572</v>
      </c>
      <c r="F878" s="32" t="s">
        <v>2642</v>
      </c>
      <c r="G878" s="12" t="s">
        <v>68</v>
      </c>
      <c r="H878" s="20" t="s">
        <v>2663</v>
      </c>
      <c r="I878" s="12" t="s">
        <v>324</v>
      </c>
      <c r="J878" s="10" t="s">
        <v>197</v>
      </c>
      <c r="K878" s="10" t="s">
        <v>40</v>
      </c>
      <c r="L878" s="10" t="s">
        <v>6</v>
      </c>
      <c r="M878" s="14">
        <v>45736.0</v>
      </c>
      <c r="N878" s="32" t="s">
        <v>2664</v>
      </c>
      <c r="O878" s="10" t="s">
        <v>2665</v>
      </c>
      <c r="P878" s="10" t="s">
        <v>2626</v>
      </c>
      <c r="Q878" s="2"/>
      <c r="R878" s="15"/>
      <c r="S878" s="15"/>
      <c r="T878" s="15"/>
      <c r="U878" s="15"/>
      <c r="V878" s="2"/>
      <c r="W878" s="15"/>
      <c r="X878" s="15"/>
      <c r="Y878" s="15"/>
      <c r="Z878" s="15"/>
      <c r="AA878" s="1"/>
      <c r="AB878" s="10">
        <v>60.0</v>
      </c>
      <c r="AC878" s="14">
        <v>45740.0</v>
      </c>
      <c r="AD878" s="14">
        <v>47566.0</v>
      </c>
      <c r="AE878" s="10">
        <f t="shared" si="71"/>
        <v>1475</v>
      </c>
      <c r="AF878" s="2"/>
      <c r="AG878" s="10" t="s">
        <v>354</v>
      </c>
      <c r="AH878" s="12" t="s">
        <v>355</v>
      </c>
      <c r="AI878" s="10" t="s">
        <v>717</v>
      </c>
      <c r="AJ878" s="10" t="s">
        <v>227</v>
      </c>
      <c r="AK878" s="16" t="s">
        <v>45</v>
      </c>
      <c r="AL878" s="10" t="s">
        <v>49</v>
      </c>
      <c r="AM878" s="16" t="s">
        <v>45</v>
      </c>
      <c r="AN878" s="10" t="s">
        <v>50</v>
      </c>
    </row>
    <row r="879" ht="30.0" customHeight="1">
      <c r="A879" s="9" t="str">
        <f t="shared" si="48"/>
        <v>N/I</v>
      </c>
      <c r="B879" s="9" t="str">
        <f t="shared" si="49"/>
        <v>N/I</v>
      </c>
      <c r="C879" s="9" t="str">
        <f t="shared" si="64"/>
        <v>Ativo</v>
      </c>
      <c r="D879" s="10" t="s">
        <v>2571</v>
      </c>
      <c r="E879" s="11" t="s">
        <v>2572</v>
      </c>
      <c r="F879" s="32" t="s">
        <v>2642</v>
      </c>
      <c r="G879" s="12" t="s">
        <v>52</v>
      </c>
      <c r="H879" s="20" t="s">
        <v>2666</v>
      </c>
      <c r="I879" s="12" t="s">
        <v>324</v>
      </c>
      <c r="J879" s="10" t="s">
        <v>197</v>
      </c>
      <c r="K879" s="10" t="s">
        <v>40</v>
      </c>
      <c r="L879" s="12" t="s">
        <v>6</v>
      </c>
      <c r="M879" s="14">
        <v>45880.0</v>
      </c>
      <c r="N879" s="32" t="s">
        <v>2667</v>
      </c>
      <c r="O879" s="10" t="s">
        <v>2668</v>
      </c>
      <c r="P879" s="12" t="s">
        <v>2669</v>
      </c>
      <c r="Q879" s="2"/>
      <c r="R879" s="15"/>
      <c r="S879" s="15"/>
      <c r="T879" s="15"/>
      <c r="U879" s="15"/>
      <c r="V879" s="2"/>
      <c r="W879" s="15"/>
      <c r="X879" s="15"/>
      <c r="Y879" s="15"/>
      <c r="Z879" s="15"/>
      <c r="AA879" s="1"/>
      <c r="AB879" s="10">
        <v>60.0</v>
      </c>
      <c r="AC879" s="14">
        <v>45831.0</v>
      </c>
      <c r="AD879" s="14">
        <v>47657.0</v>
      </c>
      <c r="AE879" s="10">
        <f t="shared" si="71"/>
        <v>1566</v>
      </c>
      <c r="AF879" s="2"/>
      <c r="AG879" s="10" t="s">
        <v>680</v>
      </c>
      <c r="AH879" s="12" t="s">
        <v>355</v>
      </c>
      <c r="AI879" s="16" t="s">
        <v>45</v>
      </c>
      <c r="AJ879" s="10" t="s">
        <v>2583</v>
      </c>
      <c r="AK879" s="16" t="s">
        <v>45</v>
      </c>
      <c r="AL879" s="10" t="s">
        <v>49</v>
      </c>
      <c r="AM879" s="16" t="s">
        <v>45</v>
      </c>
      <c r="AN879" s="10" t="s">
        <v>50</v>
      </c>
    </row>
    <row r="880" ht="30.0" customHeight="1">
      <c r="A880" s="9" t="str">
        <f t="shared" si="48"/>
        <v>N/I</v>
      </c>
      <c r="B880" s="9" t="str">
        <f t="shared" si="49"/>
        <v>N/I</v>
      </c>
      <c r="C880" s="9" t="str">
        <f t="shared" si="64"/>
        <v>Ativo</v>
      </c>
      <c r="D880" s="10" t="s">
        <v>2571</v>
      </c>
      <c r="E880" s="11" t="s">
        <v>2572</v>
      </c>
      <c r="F880" s="32" t="s">
        <v>2642</v>
      </c>
      <c r="G880" s="12" t="s">
        <v>52</v>
      </c>
      <c r="H880" s="20" t="s">
        <v>2670</v>
      </c>
      <c r="I880" s="12" t="s">
        <v>324</v>
      </c>
      <c r="J880" s="10" t="s">
        <v>197</v>
      </c>
      <c r="K880" s="10" t="s">
        <v>40</v>
      </c>
      <c r="L880" s="12" t="s">
        <v>6</v>
      </c>
      <c r="M880" s="14">
        <v>45880.0</v>
      </c>
      <c r="N880" s="32" t="s">
        <v>2667</v>
      </c>
      <c r="O880" s="10" t="s">
        <v>2668</v>
      </c>
      <c r="P880" s="12" t="s">
        <v>2669</v>
      </c>
      <c r="Q880" s="2"/>
      <c r="R880" s="15"/>
      <c r="S880" s="15"/>
      <c r="T880" s="15"/>
      <c r="U880" s="15"/>
      <c r="V880" s="2"/>
      <c r="W880" s="15"/>
      <c r="X880" s="15"/>
      <c r="Y880" s="15"/>
      <c r="Z880" s="15"/>
      <c r="AA880" s="1"/>
      <c r="AB880" s="10">
        <v>60.0</v>
      </c>
      <c r="AC880" s="14">
        <v>45831.0</v>
      </c>
      <c r="AD880" s="14">
        <v>47657.0</v>
      </c>
      <c r="AE880" s="10">
        <f t="shared" si="71"/>
        <v>1566</v>
      </c>
      <c r="AF880" s="2"/>
      <c r="AG880" s="10" t="s">
        <v>680</v>
      </c>
      <c r="AH880" s="12" t="s">
        <v>355</v>
      </c>
      <c r="AI880" s="16" t="s">
        <v>45</v>
      </c>
      <c r="AJ880" s="10" t="s">
        <v>2583</v>
      </c>
      <c r="AK880" s="16" t="s">
        <v>45</v>
      </c>
      <c r="AL880" s="10" t="s">
        <v>49</v>
      </c>
      <c r="AM880" s="16" t="s">
        <v>45</v>
      </c>
      <c r="AN880" s="10" t="s">
        <v>50</v>
      </c>
    </row>
    <row r="881" ht="30.0" customHeight="1">
      <c r="A881" s="9" t="str">
        <f t="shared" si="48"/>
        <v>N/I</v>
      </c>
      <c r="B881" s="9" t="str">
        <f t="shared" si="49"/>
        <v>N/I</v>
      </c>
      <c r="C881" s="9" t="str">
        <f t="shared" si="64"/>
        <v>Ativo</v>
      </c>
      <c r="D881" s="10" t="s">
        <v>2571</v>
      </c>
      <c r="E881" s="11" t="s">
        <v>2572</v>
      </c>
      <c r="F881" s="32" t="s">
        <v>2671</v>
      </c>
      <c r="G881" s="12" t="s">
        <v>52</v>
      </c>
      <c r="H881" s="36" t="s">
        <v>2672</v>
      </c>
      <c r="I881" s="12" t="s">
        <v>1164</v>
      </c>
      <c r="J881" s="10" t="s">
        <v>89</v>
      </c>
      <c r="K881" s="10" t="s">
        <v>41</v>
      </c>
      <c r="L881" s="10" t="s">
        <v>6</v>
      </c>
      <c r="M881" s="14">
        <v>44810.0</v>
      </c>
      <c r="N881" s="32" t="s">
        <v>2673</v>
      </c>
      <c r="O881" s="10" t="s">
        <v>2674</v>
      </c>
      <c r="P881" s="10" t="s">
        <v>2611</v>
      </c>
      <c r="Q881" s="2"/>
      <c r="R881" s="15"/>
      <c r="S881" s="15"/>
      <c r="T881" s="15"/>
      <c r="U881" s="15"/>
      <c r="V881" s="2"/>
      <c r="W881" s="15"/>
      <c r="X881" s="15"/>
      <c r="Y881" s="15"/>
      <c r="Z881" s="15"/>
      <c r="AA881" s="1"/>
      <c r="AB881" s="10">
        <v>60.0</v>
      </c>
      <c r="AC881" s="14">
        <v>44810.0</v>
      </c>
      <c r="AD881" s="14">
        <v>46636.0</v>
      </c>
      <c r="AE881" s="10">
        <f t="shared" si="71"/>
        <v>545</v>
      </c>
      <c r="AF881" s="2"/>
      <c r="AG881" s="16" t="s">
        <v>45</v>
      </c>
      <c r="AH881" s="12" t="s">
        <v>355</v>
      </c>
      <c r="AI881" s="10" t="s">
        <v>227</v>
      </c>
      <c r="AJ881" s="10" t="s">
        <v>2605</v>
      </c>
      <c r="AK881" s="16" t="s">
        <v>45</v>
      </c>
      <c r="AL881" s="10" t="s">
        <v>49</v>
      </c>
      <c r="AM881" s="16" t="s">
        <v>45</v>
      </c>
      <c r="AN881" s="10" t="s">
        <v>50</v>
      </c>
    </row>
    <row r="882" ht="30.0" customHeight="1">
      <c r="A882" s="9" t="str">
        <f t="shared" si="48"/>
        <v>N/I</v>
      </c>
      <c r="B882" s="9" t="str">
        <f t="shared" si="49"/>
        <v>N/I</v>
      </c>
      <c r="C882" s="9" t="str">
        <f t="shared" si="64"/>
        <v>Inativo</v>
      </c>
      <c r="D882" s="10" t="s">
        <v>2571</v>
      </c>
      <c r="E882" s="11" t="s">
        <v>2572</v>
      </c>
      <c r="F882" s="32" t="s">
        <v>2588</v>
      </c>
      <c r="G882" s="12" t="s">
        <v>52</v>
      </c>
      <c r="H882" s="36" t="s">
        <v>2675</v>
      </c>
      <c r="I882" s="12" t="s">
        <v>2676</v>
      </c>
      <c r="J882" s="10" t="s">
        <v>132</v>
      </c>
      <c r="K882" s="10" t="s">
        <v>41</v>
      </c>
      <c r="L882" s="10" t="s">
        <v>6</v>
      </c>
      <c r="M882" s="22">
        <v>44263.0</v>
      </c>
      <c r="N882" s="32" t="s">
        <v>2677</v>
      </c>
      <c r="O882" s="10" t="s">
        <v>2678</v>
      </c>
      <c r="P882" s="12" t="s">
        <v>2598</v>
      </c>
      <c r="Q882" s="2"/>
      <c r="R882" s="15"/>
      <c r="S882" s="15"/>
      <c r="T882" s="15"/>
      <c r="U882" s="15"/>
      <c r="V882" s="2"/>
      <c r="W882" s="15"/>
      <c r="X882" s="15"/>
      <c r="Y882" s="15"/>
      <c r="Z882" s="15"/>
      <c r="AA882" s="1"/>
      <c r="AB882" s="10">
        <v>60.0</v>
      </c>
      <c r="AC882" s="14">
        <v>44263.0</v>
      </c>
      <c r="AD882" s="14">
        <v>46089.0</v>
      </c>
      <c r="AE882" s="10">
        <f t="shared" si="71"/>
        <v>-2</v>
      </c>
      <c r="AF882" s="2"/>
      <c r="AG882" s="10" t="s">
        <v>680</v>
      </c>
      <c r="AH882" s="12" t="s">
        <v>355</v>
      </c>
      <c r="AI882" s="10" t="s">
        <v>717</v>
      </c>
      <c r="AJ882" s="10" t="s">
        <v>2583</v>
      </c>
      <c r="AK882" s="16" t="s">
        <v>45</v>
      </c>
      <c r="AL882" s="10" t="s">
        <v>49</v>
      </c>
      <c r="AM882" s="16" t="s">
        <v>45</v>
      </c>
      <c r="AN882" s="10" t="s">
        <v>50</v>
      </c>
    </row>
    <row r="883" ht="30.0" customHeight="1">
      <c r="A883" s="9" t="str">
        <f t="shared" si="48"/>
        <v>N/I</v>
      </c>
      <c r="B883" s="9" t="str">
        <f t="shared" si="49"/>
        <v>N/I</v>
      </c>
      <c r="C883" s="9" t="str">
        <f t="shared" si="64"/>
        <v>Ativo</v>
      </c>
      <c r="D883" s="10" t="s">
        <v>2571</v>
      </c>
      <c r="E883" s="11" t="s">
        <v>2572</v>
      </c>
      <c r="F883" s="32" t="s">
        <v>2679</v>
      </c>
      <c r="G883" s="12" t="s">
        <v>52</v>
      </c>
      <c r="H883" s="36" t="s">
        <v>2680</v>
      </c>
      <c r="I883" s="12" t="s">
        <v>2681</v>
      </c>
      <c r="J883" s="10" t="s">
        <v>895</v>
      </c>
      <c r="K883" s="10" t="s">
        <v>41</v>
      </c>
      <c r="L883" s="10" t="s">
        <v>6</v>
      </c>
      <c r="M883" s="22">
        <v>44392.0</v>
      </c>
      <c r="N883" s="32" t="s">
        <v>2682</v>
      </c>
      <c r="O883" s="10" t="s">
        <v>2683</v>
      </c>
      <c r="P883" s="12" t="s">
        <v>2598</v>
      </c>
      <c r="Q883" s="2"/>
      <c r="R883" s="15"/>
      <c r="S883" s="15"/>
      <c r="T883" s="15"/>
      <c r="U883" s="15"/>
      <c r="V883" s="2"/>
      <c r="W883" s="15"/>
      <c r="X883" s="15"/>
      <c r="Y883" s="15"/>
      <c r="Z883" s="15"/>
      <c r="AA883" s="1"/>
      <c r="AB883" s="10">
        <v>60.0</v>
      </c>
      <c r="AC883" s="14">
        <v>44392.0</v>
      </c>
      <c r="AD883" s="14">
        <v>46218.0</v>
      </c>
      <c r="AE883" s="10">
        <f t="shared" si="71"/>
        <v>127</v>
      </c>
      <c r="AF883" s="2"/>
      <c r="AG883" s="10" t="s">
        <v>680</v>
      </c>
      <c r="AH883" s="12" t="s">
        <v>355</v>
      </c>
      <c r="AI883" s="10" t="s">
        <v>717</v>
      </c>
      <c r="AJ883" s="10" t="s">
        <v>2583</v>
      </c>
      <c r="AK883" s="16" t="s">
        <v>45</v>
      </c>
      <c r="AL883" s="10" t="s">
        <v>49</v>
      </c>
      <c r="AM883" s="16" t="s">
        <v>45</v>
      </c>
      <c r="AN883" s="10" t="s">
        <v>50</v>
      </c>
    </row>
    <row r="884" ht="30.0" customHeight="1">
      <c r="A884" s="9" t="str">
        <f t="shared" si="48"/>
        <v>N/I</v>
      </c>
      <c r="B884" s="9" t="str">
        <f t="shared" si="49"/>
        <v>N/I</v>
      </c>
      <c r="C884" s="9" t="str">
        <f t="shared" si="64"/>
        <v>Ativo</v>
      </c>
      <c r="D884" s="10" t="s">
        <v>2571</v>
      </c>
      <c r="E884" s="11" t="s">
        <v>2572</v>
      </c>
      <c r="F884" s="32" t="s">
        <v>2679</v>
      </c>
      <c r="G884" s="12" t="s">
        <v>52</v>
      </c>
      <c r="H884" s="13" t="s">
        <v>2684</v>
      </c>
      <c r="I884" s="12" t="s">
        <v>2681</v>
      </c>
      <c r="J884" s="10" t="s">
        <v>895</v>
      </c>
      <c r="K884" s="10" t="s">
        <v>41</v>
      </c>
      <c r="L884" s="10" t="s">
        <v>6</v>
      </c>
      <c r="M884" s="22">
        <v>45212.0</v>
      </c>
      <c r="N884" s="32" t="s">
        <v>2685</v>
      </c>
      <c r="O884" s="10" t="s">
        <v>2683</v>
      </c>
      <c r="P884" s="10" t="s">
        <v>2637</v>
      </c>
      <c r="Q884" s="2"/>
      <c r="R884" s="15"/>
      <c r="S884" s="15"/>
      <c r="T884" s="15"/>
      <c r="U884" s="15"/>
      <c r="V884" s="2"/>
      <c r="W884" s="15"/>
      <c r="X884" s="15"/>
      <c r="Y884" s="15"/>
      <c r="Z884" s="15"/>
      <c r="AA884" s="1"/>
      <c r="AB884" s="10">
        <v>60.0</v>
      </c>
      <c r="AC884" s="14">
        <v>45210.0</v>
      </c>
      <c r="AD884" s="14">
        <v>47037.0</v>
      </c>
      <c r="AE884" s="10">
        <f t="shared" si="71"/>
        <v>946</v>
      </c>
      <c r="AF884" s="2"/>
      <c r="AG884" s="16" t="s">
        <v>45</v>
      </c>
      <c r="AH884" s="12" t="s">
        <v>46</v>
      </c>
      <c r="AI884" s="16" t="s">
        <v>45</v>
      </c>
      <c r="AJ884" s="10" t="s">
        <v>2583</v>
      </c>
      <c r="AK884" s="16" t="s">
        <v>45</v>
      </c>
      <c r="AL884" s="16" t="s">
        <v>45</v>
      </c>
      <c r="AM884" s="16" t="s">
        <v>45</v>
      </c>
      <c r="AN884" s="10" t="s">
        <v>50</v>
      </c>
    </row>
    <row r="885" ht="30.0" customHeight="1">
      <c r="A885" s="9" t="str">
        <f t="shared" si="48"/>
        <v>N/I</v>
      </c>
      <c r="B885" s="9" t="str">
        <f t="shared" si="49"/>
        <v>N/I</v>
      </c>
      <c r="C885" s="9" t="str">
        <f t="shared" si="64"/>
        <v>Ativo</v>
      </c>
      <c r="D885" s="10" t="s">
        <v>2571</v>
      </c>
      <c r="E885" s="11" t="s">
        <v>2572</v>
      </c>
      <c r="F885" s="32" t="s">
        <v>2686</v>
      </c>
      <c r="G885" s="12" t="s">
        <v>68</v>
      </c>
      <c r="H885" s="20" t="s">
        <v>2687</v>
      </c>
      <c r="I885" s="12" t="s">
        <v>2085</v>
      </c>
      <c r="J885" s="10" t="s">
        <v>197</v>
      </c>
      <c r="K885" s="10" t="s">
        <v>40</v>
      </c>
      <c r="L885" s="12" t="s">
        <v>6</v>
      </c>
      <c r="M885" s="14">
        <v>45881.0</v>
      </c>
      <c r="N885" s="32" t="s">
        <v>2688</v>
      </c>
      <c r="O885" s="10" t="s">
        <v>2689</v>
      </c>
      <c r="P885" s="12" t="s">
        <v>2669</v>
      </c>
      <c r="Q885" s="2"/>
      <c r="R885" s="15"/>
      <c r="S885" s="15"/>
      <c r="T885" s="15"/>
      <c r="U885" s="15"/>
      <c r="V885" s="2"/>
      <c r="W885" s="15"/>
      <c r="X885" s="15"/>
      <c r="Y885" s="15"/>
      <c r="Z885" s="15"/>
      <c r="AA885" s="1"/>
      <c r="AB885" s="10">
        <v>60.0</v>
      </c>
      <c r="AC885" s="14">
        <v>45831.0</v>
      </c>
      <c r="AD885" s="14">
        <v>47657.0</v>
      </c>
      <c r="AE885" s="10">
        <f t="shared" si="71"/>
        <v>1566</v>
      </c>
      <c r="AF885" s="2"/>
      <c r="AG885" s="10" t="s">
        <v>680</v>
      </c>
      <c r="AH885" s="12" t="s">
        <v>355</v>
      </c>
      <c r="AI885" s="16" t="s">
        <v>45</v>
      </c>
      <c r="AJ885" s="10" t="s">
        <v>2583</v>
      </c>
      <c r="AK885" s="16" t="s">
        <v>45</v>
      </c>
      <c r="AL885" s="10" t="s">
        <v>49</v>
      </c>
      <c r="AM885" s="16" t="s">
        <v>45</v>
      </c>
      <c r="AN885" s="10" t="s">
        <v>50</v>
      </c>
    </row>
    <row r="886" ht="30.0" customHeight="1">
      <c r="A886" s="9" t="str">
        <f t="shared" si="48"/>
        <v>N/I</v>
      </c>
      <c r="B886" s="9" t="str">
        <f t="shared" si="49"/>
        <v>N/I</v>
      </c>
      <c r="C886" s="9" t="str">
        <f t="shared" si="64"/>
        <v>Ativo</v>
      </c>
      <c r="D886" s="10" t="s">
        <v>2571</v>
      </c>
      <c r="E886" s="11" t="s">
        <v>2572</v>
      </c>
      <c r="F886" s="11" t="s">
        <v>2690</v>
      </c>
      <c r="G886" s="12" t="s">
        <v>68</v>
      </c>
      <c r="H886" s="34" t="s">
        <v>2691</v>
      </c>
      <c r="I886" s="12" t="s">
        <v>799</v>
      </c>
      <c r="J886" s="10" t="s">
        <v>197</v>
      </c>
      <c r="K886" s="10" t="s">
        <v>40</v>
      </c>
      <c r="L886" s="10" t="s">
        <v>6</v>
      </c>
      <c r="M886" s="22">
        <v>45010.0</v>
      </c>
      <c r="N886" s="32" t="s">
        <v>2692</v>
      </c>
      <c r="O886" s="10" t="s">
        <v>2693</v>
      </c>
      <c r="P886" s="10" t="s">
        <v>2659</v>
      </c>
      <c r="Q886" s="2"/>
      <c r="R886" s="15"/>
      <c r="S886" s="15"/>
      <c r="T886" s="15"/>
      <c r="U886" s="15"/>
      <c r="V886" s="2"/>
      <c r="W886" s="15"/>
      <c r="X886" s="15"/>
      <c r="Y886" s="15"/>
      <c r="Z886" s="15"/>
      <c r="AA886" s="1"/>
      <c r="AB886" s="10">
        <v>60.0</v>
      </c>
      <c r="AC886" s="14">
        <v>45010.0</v>
      </c>
      <c r="AD886" s="14">
        <v>46837.0</v>
      </c>
      <c r="AE886" s="10">
        <f t="shared" si="71"/>
        <v>746</v>
      </c>
      <c r="AF886" s="2"/>
      <c r="AG886" s="10" t="s">
        <v>680</v>
      </c>
      <c r="AH886" s="12" t="s">
        <v>46</v>
      </c>
      <c r="AI886" s="16" t="s">
        <v>45</v>
      </c>
      <c r="AJ886" s="10" t="s">
        <v>2583</v>
      </c>
      <c r="AK886" s="16" t="s">
        <v>45</v>
      </c>
      <c r="AL886" s="10" t="s">
        <v>49</v>
      </c>
      <c r="AM886" s="16" t="s">
        <v>45</v>
      </c>
      <c r="AN886" s="10" t="s">
        <v>50</v>
      </c>
    </row>
    <row r="887" ht="30.0" customHeight="1">
      <c r="A887" s="9" t="str">
        <f t="shared" si="48"/>
        <v>N/I</v>
      </c>
      <c r="B887" s="9" t="str">
        <f t="shared" si="49"/>
        <v>Ativo</v>
      </c>
      <c r="C887" s="9" t="str">
        <f t="shared" si="64"/>
        <v>Inativo</v>
      </c>
      <c r="D887" s="10" t="s">
        <v>2571</v>
      </c>
      <c r="E887" s="11" t="s">
        <v>2572</v>
      </c>
      <c r="F887" s="32" t="s">
        <v>2694</v>
      </c>
      <c r="G887" s="12" t="s">
        <v>52</v>
      </c>
      <c r="H887" s="36" t="s">
        <v>2695</v>
      </c>
      <c r="I887" s="12" t="s">
        <v>2696</v>
      </c>
      <c r="J887" s="10" t="s">
        <v>197</v>
      </c>
      <c r="K887" s="10" t="s">
        <v>40</v>
      </c>
      <c r="L887" s="10" t="s">
        <v>6</v>
      </c>
      <c r="M887" s="22">
        <v>44146.0</v>
      </c>
      <c r="N887" s="11" t="s">
        <v>2697</v>
      </c>
      <c r="O887" s="10" t="s">
        <v>2698</v>
      </c>
      <c r="P887" s="12" t="s">
        <v>2699</v>
      </c>
      <c r="Q887" s="2"/>
      <c r="R887" s="15"/>
      <c r="S887" s="15"/>
      <c r="T887" s="15"/>
      <c r="U887" s="15"/>
      <c r="V887" s="2"/>
      <c r="W887" s="10">
        <v>48.0</v>
      </c>
      <c r="X887" s="14">
        <v>44841.0</v>
      </c>
      <c r="Y887" s="14">
        <v>46302.0</v>
      </c>
      <c r="Z887" s="10">
        <f t="shared" ref="Z887:Z890" si="74">Y887-TODAY()</f>
        <v>211</v>
      </c>
      <c r="AA887" s="1"/>
      <c r="AB887" s="10">
        <v>60.0</v>
      </c>
      <c r="AC887" s="14">
        <v>44147.0</v>
      </c>
      <c r="AD887" s="14">
        <v>45973.0</v>
      </c>
      <c r="AE887" s="10">
        <f t="shared" si="71"/>
        <v>-118</v>
      </c>
      <c r="AF887" s="2"/>
      <c r="AG887" s="10" t="s">
        <v>680</v>
      </c>
      <c r="AH887" s="12" t="s">
        <v>355</v>
      </c>
      <c r="AI887" s="10" t="s">
        <v>717</v>
      </c>
      <c r="AJ887" s="10" t="s">
        <v>2583</v>
      </c>
      <c r="AK887" s="16" t="s">
        <v>45</v>
      </c>
      <c r="AL887" s="10" t="s">
        <v>49</v>
      </c>
      <c r="AM887" s="16" t="s">
        <v>45</v>
      </c>
      <c r="AN887" s="10" t="s">
        <v>320</v>
      </c>
    </row>
    <row r="888" ht="30.0" customHeight="1">
      <c r="A888" s="9" t="str">
        <f t="shared" si="48"/>
        <v>N/I</v>
      </c>
      <c r="B888" s="9" t="str">
        <f t="shared" si="49"/>
        <v>Ativo</v>
      </c>
      <c r="C888" s="9" t="str">
        <f t="shared" si="64"/>
        <v>Ativo</v>
      </c>
      <c r="D888" s="10" t="s">
        <v>2571</v>
      </c>
      <c r="E888" s="11" t="s">
        <v>2572</v>
      </c>
      <c r="F888" s="32" t="s">
        <v>2694</v>
      </c>
      <c r="G888" s="12" t="s">
        <v>52</v>
      </c>
      <c r="H888" s="36" t="s">
        <v>2700</v>
      </c>
      <c r="I888" s="12" t="s">
        <v>2696</v>
      </c>
      <c r="J888" s="10" t="s">
        <v>197</v>
      </c>
      <c r="K888" s="10" t="s">
        <v>40</v>
      </c>
      <c r="L888" s="10" t="s">
        <v>6</v>
      </c>
      <c r="M888" s="22">
        <v>44736.0</v>
      </c>
      <c r="N888" s="32" t="s">
        <v>2701</v>
      </c>
      <c r="O888" s="10" t="s">
        <v>2698</v>
      </c>
      <c r="P888" s="12" t="s">
        <v>2614</v>
      </c>
      <c r="Q888" s="2"/>
      <c r="R888" s="15"/>
      <c r="S888" s="15"/>
      <c r="T888" s="15"/>
      <c r="U888" s="15"/>
      <c r="V888" s="2"/>
      <c r="W888" s="10">
        <v>48.0</v>
      </c>
      <c r="X888" s="14">
        <v>44841.0</v>
      </c>
      <c r="Y888" s="14">
        <v>46302.0</v>
      </c>
      <c r="Z888" s="10">
        <f t="shared" si="74"/>
        <v>211</v>
      </c>
      <c r="AA888" s="1"/>
      <c r="AB888" s="10">
        <v>60.0</v>
      </c>
      <c r="AC888" s="14">
        <v>44736.0</v>
      </c>
      <c r="AD888" s="14">
        <v>46562.0</v>
      </c>
      <c r="AE888" s="10">
        <f t="shared" si="71"/>
        <v>471</v>
      </c>
      <c r="AF888" s="2"/>
      <c r="AG888" s="10" t="s">
        <v>680</v>
      </c>
      <c r="AH888" s="12" t="s">
        <v>355</v>
      </c>
      <c r="AI888" s="10" t="s">
        <v>227</v>
      </c>
      <c r="AJ888" s="10" t="s">
        <v>2605</v>
      </c>
      <c r="AK888" s="16" t="s">
        <v>45</v>
      </c>
      <c r="AL888" s="10" t="s">
        <v>49</v>
      </c>
      <c r="AM888" s="16" t="s">
        <v>45</v>
      </c>
      <c r="AN888" s="10" t="s">
        <v>50</v>
      </c>
    </row>
    <row r="889" ht="30.0" customHeight="1">
      <c r="A889" s="9" t="str">
        <f t="shared" si="48"/>
        <v>N/I</v>
      </c>
      <c r="B889" s="9" t="str">
        <f t="shared" si="49"/>
        <v>Ativo</v>
      </c>
      <c r="C889" s="9" t="str">
        <f t="shared" si="64"/>
        <v>Ativo</v>
      </c>
      <c r="D889" s="10" t="s">
        <v>2571</v>
      </c>
      <c r="E889" s="11" t="s">
        <v>2572</v>
      </c>
      <c r="F889" s="32" t="s">
        <v>2694</v>
      </c>
      <c r="G889" s="12" t="s">
        <v>52</v>
      </c>
      <c r="H889" s="36" t="s">
        <v>2702</v>
      </c>
      <c r="I889" s="12" t="s">
        <v>2696</v>
      </c>
      <c r="J889" s="10" t="s">
        <v>197</v>
      </c>
      <c r="K889" s="10" t="s">
        <v>40</v>
      </c>
      <c r="L889" s="10" t="s">
        <v>6</v>
      </c>
      <c r="M889" s="22">
        <v>44739.0</v>
      </c>
      <c r="N889" s="32" t="s">
        <v>2701</v>
      </c>
      <c r="O889" s="10" t="s">
        <v>2698</v>
      </c>
      <c r="P889" s="12" t="s">
        <v>2614</v>
      </c>
      <c r="Q889" s="2"/>
      <c r="R889" s="15"/>
      <c r="S889" s="15"/>
      <c r="T889" s="15"/>
      <c r="U889" s="15"/>
      <c r="V889" s="2"/>
      <c r="W889" s="10">
        <v>48.0</v>
      </c>
      <c r="X889" s="14">
        <v>44841.0</v>
      </c>
      <c r="Y889" s="14">
        <v>46302.0</v>
      </c>
      <c r="Z889" s="10">
        <f t="shared" si="74"/>
        <v>211</v>
      </c>
      <c r="AA889" s="1"/>
      <c r="AB889" s="10">
        <v>60.0</v>
      </c>
      <c r="AC889" s="14">
        <v>44739.0</v>
      </c>
      <c r="AD889" s="14">
        <v>46565.0</v>
      </c>
      <c r="AE889" s="10">
        <f t="shared" si="71"/>
        <v>474</v>
      </c>
      <c r="AF889" s="2"/>
      <c r="AG889" s="10" t="s">
        <v>680</v>
      </c>
      <c r="AH889" s="12" t="s">
        <v>355</v>
      </c>
      <c r="AI889" s="10" t="s">
        <v>227</v>
      </c>
      <c r="AJ889" s="10" t="s">
        <v>2605</v>
      </c>
      <c r="AK889" s="16" t="s">
        <v>45</v>
      </c>
      <c r="AL889" s="10" t="s">
        <v>49</v>
      </c>
      <c r="AM889" s="16" t="s">
        <v>45</v>
      </c>
      <c r="AN889" s="10" t="s">
        <v>50</v>
      </c>
    </row>
    <row r="890" ht="30.0" customHeight="1">
      <c r="A890" s="9" t="str">
        <f t="shared" si="48"/>
        <v>N/I</v>
      </c>
      <c r="B890" s="9" t="str">
        <f t="shared" si="49"/>
        <v>Ativo</v>
      </c>
      <c r="C890" s="9" t="str">
        <f t="shared" si="64"/>
        <v>Ativo</v>
      </c>
      <c r="D890" s="10" t="s">
        <v>2571</v>
      </c>
      <c r="E890" s="11" t="s">
        <v>2572</v>
      </c>
      <c r="F890" s="32" t="s">
        <v>2694</v>
      </c>
      <c r="G890" s="12" t="s">
        <v>52</v>
      </c>
      <c r="H890" s="36" t="s">
        <v>2703</v>
      </c>
      <c r="I890" s="12" t="s">
        <v>2696</v>
      </c>
      <c r="J890" s="10" t="s">
        <v>197</v>
      </c>
      <c r="K890" s="10" t="s">
        <v>40</v>
      </c>
      <c r="L890" s="10" t="s">
        <v>6</v>
      </c>
      <c r="M890" s="22">
        <v>44784.0</v>
      </c>
      <c r="N890" s="32" t="s">
        <v>2701</v>
      </c>
      <c r="O890" s="10" t="s">
        <v>2698</v>
      </c>
      <c r="P890" s="12" t="s">
        <v>2614</v>
      </c>
      <c r="Q890" s="2"/>
      <c r="R890" s="15"/>
      <c r="S890" s="15"/>
      <c r="T890" s="15"/>
      <c r="U890" s="15"/>
      <c r="V890" s="2"/>
      <c r="W890" s="10">
        <v>48.0</v>
      </c>
      <c r="X890" s="14">
        <v>44841.0</v>
      </c>
      <c r="Y890" s="14">
        <v>46302.0</v>
      </c>
      <c r="Z890" s="10">
        <f t="shared" si="74"/>
        <v>211</v>
      </c>
      <c r="AA890" s="1"/>
      <c r="AB890" s="10">
        <v>60.0</v>
      </c>
      <c r="AC890" s="14">
        <v>44784.0</v>
      </c>
      <c r="AD890" s="14">
        <v>46610.0</v>
      </c>
      <c r="AE890" s="10">
        <f t="shared" si="71"/>
        <v>519</v>
      </c>
      <c r="AF890" s="2"/>
      <c r="AG890" s="10" t="s">
        <v>680</v>
      </c>
      <c r="AH890" s="12" t="s">
        <v>355</v>
      </c>
      <c r="AI890" s="10" t="s">
        <v>227</v>
      </c>
      <c r="AJ890" s="10" t="s">
        <v>2605</v>
      </c>
      <c r="AK890" s="16" t="s">
        <v>45</v>
      </c>
      <c r="AL890" s="10" t="s">
        <v>49</v>
      </c>
      <c r="AM890" s="16" t="s">
        <v>45</v>
      </c>
      <c r="AN890" s="10" t="s">
        <v>50</v>
      </c>
    </row>
    <row r="891" ht="30.0" customHeight="1">
      <c r="A891" s="9" t="str">
        <f t="shared" si="48"/>
        <v>N/I</v>
      </c>
      <c r="B891" s="9" t="str">
        <f t="shared" si="49"/>
        <v>N/I</v>
      </c>
      <c r="C891" s="9" t="str">
        <f t="shared" si="64"/>
        <v>Ativo</v>
      </c>
      <c r="D891" s="10" t="s">
        <v>2571</v>
      </c>
      <c r="E891" s="11" t="s">
        <v>2572</v>
      </c>
      <c r="F891" s="32" t="s">
        <v>2704</v>
      </c>
      <c r="G891" s="12" t="s">
        <v>68</v>
      </c>
      <c r="H891" s="20" t="s">
        <v>2705</v>
      </c>
      <c r="I891" s="12" t="s">
        <v>380</v>
      </c>
      <c r="J891" s="10" t="s">
        <v>197</v>
      </c>
      <c r="K891" s="10" t="s">
        <v>40</v>
      </c>
      <c r="L891" s="12" t="s">
        <v>6</v>
      </c>
      <c r="M891" s="14">
        <v>45930.0</v>
      </c>
      <c r="N891" s="32" t="s">
        <v>2706</v>
      </c>
      <c r="O891" s="10" t="s">
        <v>2707</v>
      </c>
      <c r="P891" s="12" t="s">
        <v>2669</v>
      </c>
      <c r="Q891" s="2"/>
      <c r="R891" s="15"/>
      <c r="S891" s="15"/>
      <c r="T891" s="15"/>
      <c r="U891" s="15"/>
      <c r="V891" s="2"/>
      <c r="W891" s="15"/>
      <c r="X891" s="15"/>
      <c r="Y891" s="15"/>
      <c r="Z891" s="15"/>
      <c r="AA891" s="1"/>
      <c r="AB891" s="10">
        <v>60.0</v>
      </c>
      <c r="AC891" s="14">
        <v>45930.0</v>
      </c>
      <c r="AD891" s="14">
        <v>47756.0</v>
      </c>
      <c r="AE891" s="10">
        <f t="shared" si="71"/>
        <v>1665</v>
      </c>
      <c r="AF891" s="2"/>
      <c r="AG891" s="10" t="s">
        <v>680</v>
      </c>
      <c r="AH891" s="12" t="s">
        <v>355</v>
      </c>
      <c r="AI891" s="16" t="s">
        <v>45</v>
      </c>
      <c r="AJ891" s="10" t="s">
        <v>2583</v>
      </c>
      <c r="AK891" s="16" t="s">
        <v>45</v>
      </c>
      <c r="AL891" s="10" t="s">
        <v>49</v>
      </c>
      <c r="AM891" s="16" t="s">
        <v>45</v>
      </c>
      <c r="AN891" s="10" t="s">
        <v>50</v>
      </c>
    </row>
    <row r="892" ht="30.0" customHeight="1">
      <c r="A892" s="9" t="str">
        <f t="shared" si="48"/>
        <v>N/I</v>
      </c>
      <c r="B892" s="9" t="str">
        <f t="shared" si="49"/>
        <v>N/I</v>
      </c>
      <c r="C892" s="9" t="str">
        <f t="shared" si="64"/>
        <v>Ativo</v>
      </c>
      <c r="D892" s="10" t="s">
        <v>2571</v>
      </c>
      <c r="E892" s="11" t="s">
        <v>2572</v>
      </c>
      <c r="F892" s="32" t="s">
        <v>2704</v>
      </c>
      <c r="G892" s="12" t="s">
        <v>52</v>
      </c>
      <c r="H892" s="20" t="s">
        <v>2708</v>
      </c>
      <c r="I892" s="12" t="s">
        <v>380</v>
      </c>
      <c r="J892" s="10" t="s">
        <v>197</v>
      </c>
      <c r="K892" s="10" t="s">
        <v>40</v>
      </c>
      <c r="L892" s="12" t="s">
        <v>6</v>
      </c>
      <c r="M892" s="14">
        <v>45930.0</v>
      </c>
      <c r="N892" s="32" t="s">
        <v>2706</v>
      </c>
      <c r="O892" s="10" t="s">
        <v>2707</v>
      </c>
      <c r="P892" s="12" t="s">
        <v>2669</v>
      </c>
      <c r="Q892" s="2"/>
      <c r="R892" s="15"/>
      <c r="S892" s="15"/>
      <c r="T892" s="15"/>
      <c r="U892" s="15"/>
      <c r="V892" s="2"/>
      <c r="W892" s="15"/>
      <c r="X892" s="15"/>
      <c r="Y892" s="15"/>
      <c r="Z892" s="15"/>
      <c r="AA892" s="1"/>
      <c r="AB892" s="10">
        <v>60.0</v>
      </c>
      <c r="AC892" s="14">
        <v>45930.0</v>
      </c>
      <c r="AD892" s="14">
        <v>47756.0</v>
      </c>
      <c r="AE892" s="10">
        <f t="shared" si="71"/>
        <v>1665</v>
      </c>
      <c r="AF892" s="2"/>
      <c r="AG892" s="10" t="s">
        <v>680</v>
      </c>
      <c r="AH892" s="12" t="s">
        <v>355</v>
      </c>
      <c r="AI892" s="16" t="s">
        <v>45</v>
      </c>
      <c r="AJ892" s="10" t="s">
        <v>2583</v>
      </c>
      <c r="AK892" s="16" t="s">
        <v>45</v>
      </c>
      <c r="AL892" s="10" t="s">
        <v>49</v>
      </c>
      <c r="AM892" s="16" t="s">
        <v>45</v>
      </c>
      <c r="AN892" s="10" t="s">
        <v>50</v>
      </c>
    </row>
    <row r="893" ht="30.0" customHeight="1">
      <c r="A893" s="9" t="str">
        <f t="shared" si="48"/>
        <v>N/I</v>
      </c>
      <c r="B893" s="9" t="str">
        <f t="shared" si="49"/>
        <v>N/I</v>
      </c>
      <c r="C893" s="9" t="str">
        <f t="shared" si="64"/>
        <v>Ativo</v>
      </c>
      <c r="D893" s="10" t="s">
        <v>2571</v>
      </c>
      <c r="E893" s="11" t="s">
        <v>2572</v>
      </c>
      <c r="F893" s="32" t="s">
        <v>2704</v>
      </c>
      <c r="G893" s="12" t="s">
        <v>52</v>
      </c>
      <c r="H893" s="20" t="s">
        <v>2709</v>
      </c>
      <c r="I893" s="12" t="s">
        <v>380</v>
      </c>
      <c r="J893" s="10" t="s">
        <v>197</v>
      </c>
      <c r="K893" s="10" t="s">
        <v>40</v>
      </c>
      <c r="L893" s="12" t="s">
        <v>6</v>
      </c>
      <c r="M893" s="14" t="s">
        <v>2710</v>
      </c>
      <c r="N893" s="32" t="s">
        <v>2706</v>
      </c>
      <c r="O893" s="10" t="s">
        <v>2707</v>
      </c>
      <c r="P893" s="12" t="s">
        <v>2669</v>
      </c>
      <c r="Q893" s="2"/>
      <c r="R893" s="15"/>
      <c r="S893" s="15"/>
      <c r="T893" s="15"/>
      <c r="U893" s="15"/>
      <c r="V893" s="2"/>
      <c r="W893" s="15"/>
      <c r="X893" s="15"/>
      <c r="Y893" s="15"/>
      <c r="Z893" s="15"/>
      <c r="AA893" s="1"/>
      <c r="AB893" s="10">
        <v>60.0</v>
      </c>
      <c r="AC893" s="14">
        <v>45930.0</v>
      </c>
      <c r="AD893" s="14">
        <v>47756.0</v>
      </c>
      <c r="AE893" s="10">
        <f t="shared" si="71"/>
        <v>1665</v>
      </c>
      <c r="AF893" s="2"/>
      <c r="AG893" s="10" t="s">
        <v>680</v>
      </c>
      <c r="AH893" s="12" t="s">
        <v>355</v>
      </c>
      <c r="AI893" s="16" t="s">
        <v>45</v>
      </c>
      <c r="AJ893" s="10" t="s">
        <v>2583</v>
      </c>
      <c r="AK893" s="16" t="s">
        <v>45</v>
      </c>
      <c r="AL893" s="10" t="s">
        <v>49</v>
      </c>
      <c r="AM893" s="16" t="s">
        <v>45</v>
      </c>
      <c r="AN893" s="10" t="s">
        <v>50</v>
      </c>
    </row>
    <row r="894" ht="30.0" customHeight="1">
      <c r="A894" s="9" t="str">
        <f t="shared" si="48"/>
        <v>N/I</v>
      </c>
      <c r="B894" s="9" t="str">
        <f t="shared" si="49"/>
        <v>N/I</v>
      </c>
      <c r="C894" s="9" t="str">
        <f t="shared" si="64"/>
        <v>Ativo</v>
      </c>
      <c r="D894" s="10" t="s">
        <v>2571</v>
      </c>
      <c r="E894" s="11" t="s">
        <v>2572</v>
      </c>
      <c r="F894" s="32" t="s">
        <v>2711</v>
      </c>
      <c r="G894" s="12" t="s">
        <v>52</v>
      </c>
      <c r="H894" s="36" t="s">
        <v>2712</v>
      </c>
      <c r="I894" s="12" t="s">
        <v>2713</v>
      </c>
      <c r="J894" s="10" t="s">
        <v>521</v>
      </c>
      <c r="K894" s="10" t="s">
        <v>263</v>
      </c>
      <c r="L894" s="10" t="s">
        <v>6</v>
      </c>
      <c r="M894" s="14">
        <v>44547.0</v>
      </c>
      <c r="N894" s="53" t="s">
        <v>2714</v>
      </c>
      <c r="O894" s="10" t="s">
        <v>2715</v>
      </c>
      <c r="P894" s="10" t="s">
        <v>2716</v>
      </c>
      <c r="Q894" s="2"/>
      <c r="R894" s="15"/>
      <c r="S894" s="15"/>
      <c r="T894" s="15"/>
      <c r="U894" s="15"/>
      <c r="V894" s="2"/>
      <c r="W894" s="15"/>
      <c r="X894" s="15"/>
      <c r="Y894" s="15"/>
      <c r="Z894" s="15"/>
      <c r="AA894" s="1"/>
      <c r="AB894" s="10">
        <v>60.0</v>
      </c>
      <c r="AC894" s="14">
        <v>44547.0</v>
      </c>
      <c r="AD894" s="14">
        <v>46373.0</v>
      </c>
      <c r="AE894" s="10">
        <f t="shared" si="71"/>
        <v>282</v>
      </c>
      <c r="AF894" s="2"/>
      <c r="AG894" s="16" t="s">
        <v>45</v>
      </c>
      <c r="AH894" s="12" t="s">
        <v>355</v>
      </c>
      <c r="AI894" s="10" t="s">
        <v>227</v>
      </c>
      <c r="AJ894" s="10" t="s">
        <v>2605</v>
      </c>
      <c r="AK894" s="16" t="s">
        <v>45</v>
      </c>
      <c r="AL894" s="10" t="s">
        <v>49</v>
      </c>
      <c r="AM894" s="16" t="s">
        <v>45</v>
      </c>
      <c r="AN894" s="10" t="s">
        <v>50</v>
      </c>
    </row>
    <row r="895" ht="30.0" customHeight="1">
      <c r="A895" s="9" t="str">
        <f t="shared" si="48"/>
        <v>N/I</v>
      </c>
      <c r="B895" s="9" t="str">
        <f t="shared" si="49"/>
        <v>N/I</v>
      </c>
      <c r="C895" s="9" t="str">
        <f t="shared" si="64"/>
        <v>Ativo</v>
      </c>
      <c r="D895" s="10" t="s">
        <v>2571</v>
      </c>
      <c r="E895" s="11" t="s">
        <v>2572</v>
      </c>
      <c r="F895" s="11" t="s">
        <v>2717</v>
      </c>
      <c r="G895" s="12" t="s">
        <v>68</v>
      </c>
      <c r="H895" s="34" t="s">
        <v>2718</v>
      </c>
      <c r="I895" s="12" t="s">
        <v>2713</v>
      </c>
      <c r="J895" s="10" t="s">
        <v>521</v>
      </c>
      <c r="K895" s="10" t="s">
        <v>263</v>
      </c>
      <c r="L895" s="10" t="s">
        <v>6</v>
      </c>
      <c r="M895" s="22">
        <v>45013.0</v>
      </c>
      <c r="N895" s="53" t="s">
        <v>2714</v>
      </c>
      <c r="O895" s="10" t="s">
        <v>2719</v>
      </c>
      <c r="P895" s="10" t="s">
        <v>2659</v>
      </c>
      <c r="Q895" s="2"/>
      <c r="R895" s="15"/>
      <c r="S895" s="15"/>
      <c r="T895" s="15"/>
      <c r="U895" s="15"/>
      <c r="V895" s="2"/>
      <c r="W895" s="15"/>
      <c r="X895" s="15"/>
      <c r="Y895" s="15"/>
      <c r="Z895" s="15"/>
      <c r="AA895" s="1"/>
      <c r="AB895" s="10">
        <v>60.0</v>
      </c>
      <c r="AC895" s="14">
        <v>45013.0</v>
      </c>
      <c r="AD895" s="14">
        <v>46840.0</v>
      </c>
      <c r="AE895" s="10">
        <f t="shared" si="71"/>
        <v>749</v>
      </c>
      <c r="AF895" s="2"/>
      <c r="AG895" s="10" t="s">
        <v>680</v>
      </c>
      <c r="AH895" s="12" t="s">
        <v>46</v>
      </c>
      <c r="AI895" s="16" t="s">
        <v>45</v>
      </c>
      <c r="AJ895" s="10" t="s">
        <v>2583</v>
      </c>
      <c r="AK895" s="16" t="s">
        <v>45</v>
      </c>
      <c r="AL895" s="10" t="s">
        <v>49</v>
      </c>
      <c r="AM895" s="16" t="s">
        <v>45</v>
      </c>
      <c r="AN895" s="10" t="s">
        <v>50</v>
      </c>
    </row>
    <row r="896" ht="30.0" customHeight="1">
      <c r="A896" s="9" t="str">
        <f t="shared" si="48"/>
        <v>N/I</v>
      </c>
      <c r="B896" s="9" t="str">
        <f t="shared" si="49"/>
        <v>N/I</v>
      </c>
      <c r="C896" s="9" t="str">
        <f t="shared" si="64"/>
        <v>Ativo</v>
      </c>
      <c r="D896" s="10" t="s">
        <v>2571</v>
      </c>
      <c r="E896" s="11" t="s">
        <v>2572</v>
      </c>
      <c r="F896" s="32" t="s">
        <v>2638</v>
      </c>
      <c r="G896" s="12" t="s">
        <v>52</v>
      </c>
      <c r="H896" s="36" t="s">
        <v>2720</v>
      </c>
      <c r="I896" s="12" t="s">
        <v>561</v>
      </c>
      <c r="J896" s="10" t="s">
        <v>562</v>
      </c>
      <c r="K896" s="10" t="s">
        <v>190</v>
      </c>
      <c r="L896" s="10" t="s">
        <v>6</v>
      </c>
      <c r="M896" s="14">
        <v>44548.0</v>
      </c>
      <c r="N896" s="54" t="s">
        <v>2721</v>
      </c>
      <c r="O896" s="35" t="s">
        <v>2641</v>
      </c>
      <c r="P896" s="10" t="s">
        <v>2716</v>
      </c>
      <c r="Q896" s="2"/>
      <c r="R896" s="15"/>
      <c r="S896" s="15"/>
      <c r="T896" s="15"/>
      <c r="U896" s="15"/>
      <c r="V896" s="2"/>
      <c r="W896" s="15"/>
      <c r="X896" s="15"/>
      <c r="Y896" s="15"/>
      <c r="Z896" s="15"/>
      <c r="AA896" s="1"/>
      <c r="AB896" s="10">
        <v>60.0</v>
      </c>
      <c r="AC896" s="14">
        <v>44548.0</v>
      </c>
      <c r="AD896" s="14">
        <v>46374.0</v>
      </c>
      <c r="AE896" s="10">
        <f t="shared" si="71"/>
        <v>283</v>
      </c>
      <c r="AF896" s="2"/>
      <c r="AG896" s="16" t="s">
        <v>45</v>
      </c>
      <c r="AH896" s="12" t="s">
        <v>355</v>
      </c>
      <c r="AI896" s="10" t="s">
        <v>227</v>
      </c>
      <c r="AJ896" s="10" t="s">
        <v>2605</v>
      </c>
      <c r="AK896" s="16" t="s">
        <v>45</v>
      </c>
      <c r="AL896" s="10" t="s">
        <v>49</v>
      </c>
      <c r="AM896" s="16" t="s">
        <v>45</v>
      </c>
      <c r="AN896" s="10" t="s">
        <v>50</v>
      </c>
    </row>
    <row r="897" ht="30.0" customHeight="1">
      <c r="A897" s="9" t="str">
        <f t="shared" si="48"/>
        <v>N/I</v>
      </c>
      <c r="B897" s="9" t="str">
        <f t="shared" si="49"/>
        <v>N/I</v>
      </c>
      <c r="C897" s="9" t="str">
        <f t="shared" si="64"/>
        <v>Ativo</v>
      </c>
      <c r="D897" s="10" t="s">
        <v>2571</v>
      </c>
      <c r="E897" s="11" t="s">
        <v>2572</v>
      </c>
      <c r="F897" s="32" t="s">
        <v>2722</v>
      </c>
      <c r="G897" s="12" t="s">
        <v>52</v>
      </c>
      <c r="H897" s="36" t="s">
        <v>2723</v>
      </c>
      <c r="I897" s="12" t="s">
        <v>2724</v>
      </c>
      <c r="J897" s="10" t="s">
        <v>895</v>
      </c>
      <c r="K897" s="10" t="s">
        <v>41</v>
      </c>
      <c r="L897" s="10" t="s">
        <v>6</v>
      </c>
      <c r="M897" s="22">
        <v>44392.0</v>
      </c>
      <c r="N897" s="32" t="s">
        <v>2725</v>
      </c>
      <c r="O897" s="10" t="s">
        <v>2726</v>
      </c>
      <c r="P897" s="12" t="s">
        <v>2598</v>
      </c>
      <c r="Q897" s="2"/>
      <c r="R897" s="15"/>
      <c r="S897" s="15"/>
      <c r="T897" s="15"/>
      <c r="U897" s="15"/>
      <c r="V897" s="2"/>
      <c r="W897" s="15"/>
      <c r="X897" s="15"/>
      <c r="Y897" s="15"/>
      <c r="Z897" s="15"/>
      <c r="AA897" s="1"/>
      <c r="AB897" s="10">
        <v>60.0</v>
      </c>
      <c r="AC897" s="14">
        <v>44392.0</v>
      </c>
      <c r="AD897" s="14">
        <v>46218.0</v>
      </c>
      <c r="AE897" s="10">
        <f t="shared" si="71"/>
        <v>127</v>
      </c>
      <c r="AF897" s="2"/>
      <c r="AG897" s="10" t="s">
        <v>680</v>
      </c>
      <c r="AH897" s="12" t="s">
        <v>355</v>
      </c>
      <c r="AI897" s="10" t="s">
        <v>717</v>
      </c>
      <c r="AJ897" s="10" t="s">
        <v>2583</v>
      </c>
      <c r="AK897" s="16" t="s">
        <v>45</v>
      </c>
      <c r="AL897" s="10" t="s">
        <v>49</v>
      </c>
      <c r="AM897" s="16" t="s">
        <v>45</v>
      </c>
      <c r="AN897" s="10" t="s">
        <v>50</v>
      </c>
    </row>
    <row r="898" ht="30.0" customHeight="1">
      <c r="A898" s="9" t="str">
        <f t="shared" si="48"/>
        <v>N/I</v>
      </c>
      <c r="B898" s="9" t="str">
        <f t="shared" si="49"/>
        <v>N/I</v>
      </c>
      <c r="C898" s="9" t="str">
        <f t="shared" si="64"/>
        <v>Ativo</v>
      </c>
      <c r="D898" s="10" t="s">
        <v>2571</v>
      </c>
      <c r="E898" s="11" t="s">
        <v>2572</v>
      </c>
      <c r="F898" s="32" t="s">
        <v>2727</v>
      </c>
      <c r="G898" s="12" t="s">
        <v>52</v>
      </c>
      <c r="H898" s="36" t="s">
        <v>2728</v>
      </c>
      <c r="I898" s="12" t="s">
        <v>2729</v>
      </c>
      <c r="J898" s="10" t="s">
        <v>197</v>
      </c>
      <c r="K898" s="10" t="s">
        <v>40</v>
      </c>
      <c r="L898" s="10" t="s">
        <v>6</v>
      </c>
      <c r="M898" s="14">
        <v>44665.0</v>
      </c>
      <c r="N898" s="32" t="s">
        <v>2730</v>
      </c>
      <c r="O898" s="10" t="s">
        <v>2631</v>
      </c>
      <c r="P898" s="12" t="s">
        <v>2731</v>
      </c>
      <c r="Q898" s="2"/>
      <c r="R898" s="15"/>
      <c r="S898" s="15"/>
      <c r="T898" s="15"/>
      <c r="U898" s="15"/>
      <c r="V898" s="2"/>
      <c r="W898" s="15"/>
      <c r="X898" s="15"/>
      <c r="Y898" s="15"/>
      <c r="Z898" s="15"/>
      <c r="AA898" s="1"/>
      <c r="AB898" s="10">
        <v>60.0</v>
      </c>
      <c r="AC898" s="14">
        <v>44665.0</v>
      </c>
      <c r="AD898" s="14">
        <v>46491.0</v>
      </c>
      <c r="AE898" s="10">
        <f t="shared" si="71"/>
        <v>400</v>
      </c>
      <c r="AF898" s="2"/>
      <c r="AG898" s="16" t="s">
        <v>45</v>
      </c>
      <c r="AH898" s="12" t="s">
        <v>355</v>
      </c>
      <c r="AI898" s="10" t="s">
        <v>227</v>
      </c>
      <c r="AJ898" s="10" t="s">
        <v>2605</v>
      </c>
      <c r="AK898" s="16" t="s">
        <v>45</v>
      </c>
      <c r="AL898" s="10" t="s">
        <v>49</v>
      </c>
      <c r="AM898" s="16" t="s">
        <v>45</v>
      </c>
      <c r="AN898" s="10" t="s">
        <v>50</v>
      </c>
    </row>
    <row r="899" ht="30.0" customHeight="1">
      <c r="A899" s="9" t="str">
        <f t="shared" si="48"/>
        <v>N/I</v>
      </c>
      <c r="B899" s="9" t="str">
        <f t="shared" si="49"/>
        <v>N/I</v>
      </c>
      <c r="C899" s="9" t="str">
        <f t="shared" si="64"/>
        <v>Ativo</v>
      </c>
      <c r="D899" s="10" t="s">
        <v>2571</v>
      </c>
      <c r="E899" s="11" t="s">
        <v>2572</v>
      </c>
      <c r="F899" s="11" t="s">
        <v>2732</v>
      </c>
      <c r="G899" s="12" t="s">
        <v>68</v>
      </c>
      <c r="H899" s="27" t="s">
        <v>2733</v>
      </c>
      <c r="I899" s="12" t="s">
        <v>2729</v>
      </c>
      <c r="J899" s="10" t="s">
        <v>197</v>
      </c>
      <c r="K899" s="10" t="s">
        <v>40</v>
      </c>
      <c r="L899" s="10" t="s">
        <v>6</v>
      </c>
      <c r="M899" s="22">
        <v>45614.0</v>
      </c>
      <c r="N899" s="32" t="s">
        <v>2734</v>
      </c>
      <c r="O899" s="10" t="s">
        <v>2631</v>
      </c>
      <c r="P899" s="10" t="s">
        <v>2593</v>
      </c>
      <c r="Q899" s="2"/>
      <c r="R899" s="15"/>
      <c r="S899" s="15"/>
      <c r="T899" s="15"/>
      <c r="U899" s="15"/>
      <c r="V899" s="2"/>
      <c r="W899" s="15"/>
      <c r="X899" s="15"/>
      <c r="Y899" s="15"/>
      <c r="Z899" s="15"/>
      <c r="AA899" s="1"/>
      <c r="AB899" s="10">
        <v>60.0</v>
      </c>
      <c r="AC899" s="14">
        <v>45610.0</v>
      </c>
      <c r="AD899" s="14">
        <v>47436.0</v>
      </c>
      <c r="AE899" s="10">
        <f t="shared" si="71"/>
        <v>1345</v>
      </c>
      <c r="AF899" s="2"/>
      <c r="AG899" s="16" t="s">
        <v>45</v>
      </c>
      <c r="AH899" s="16" t="s">
        <v>45</v>
      </c>
      <c r="AI899" s="16" t="s">
        <v>45</v>
      </c>
      <c r="AJ899" s="16" t="s">
        <v>45</v>
      </c>
      <c r="AK899" s="16" t="s">
        <v>45</v>
      </c>
      <c r="AL899" s="16" t="s">
        <v>45</v>
      </c>
      <c r="AM899" s="16" t="s">
        <v>45</v>
      </c>
      <c r="AN899" s="10" t="s">
        <v>50</v>
      </c>
    </row>
    <row r="900" ht="30.0" customHeight="1">
      <c r="A900" s="9" t="str">
        <f t="shared" si="48"/>
        <v>Ativo</v>
      </c>
      <c r="B900" s="9" t="str">
        <f t="shared" si="49"/>
        <v>N/I</v>
      </c>
      <c r="C900" s="9" t="str">
        <f t="shared" si="64"/>
        <v>N/I</v>
      </c>
      <c r="D900" s="10" t="s">
        <v>2735</v>
      </c>
      <c r="E900" s="11" t="s">
        <v>2736</v>
      </c>
      <c r="F900" s="32"/>
      <c r="G900" s="12" t="s">
        <v>94</v>
      </c>
      <c r="H900" s="13" t="s">
        <v>2737</v>
      </c>
      <c r="I900" s="12" t="s">
        <v>370</v>
      </c>
      <c r="J900" s="10" t="s">
        <v>89</v>
      </c>
      <c r="K900" s="10" t="s">
        <v>41</v>
      </c>
      <c r="L900" s="10" t="s">
        <v>4</v>
      </c>
      <c r="M900" s="22">
        <v>45567.0</v>
      </c>
      <c r="N900" s="32" t="s">
        <v>2738</v>
      </c>
      <c r="O900" s="10" t="s">
        <v>2739</v>
      </c>
      <c r="P900" s="10" t="s">
        <v>2740</v>
      </c>
      <c r="Q900" s="2"/>
      <c r="R900" s="10">
        <v>60.0</v>
      </c>
      <c r="S900" s="14">
        <v>45567.0</v>
      </c>
      <c r="T900" s="14">
        <v>47392.0</v>
      </c>
      <c r="U900" s="10">
        <f t="shared" ref="U900:U904" si="75">T900-TODAY()</f>
        <v>1301</v>
      </c>
      <c r="V900" s="2"/>
      <c r="W900" s="15"/>
      <c r="X900" s="15"/>
      <c r="Y900" s="15"/>
      <c r="Z900" s="15"/>
      <c r="AA900" s="1"/>
      <c r="AB900" s="15"/>
      <c r="AC900" s="15"/>
      <c r="AD900" s="15"/>
      <c r="AE900" s="15"/>
      <c r="AF900" s="2"/>
      <c r="AG900" s="16" t="s">
        <v>45</v>
      </c>
      <c r="AH900" s="12" t="s">
        <v>46</v>
      </c>
      <c r="AI900" s="10" t="s">
        <v>226</v>
      </c>
      <c r="AJ900" s="10" t="s">
        <v>291</v>
      </c>
      <c r="AK900" s="16" t="s">
        <v>45</v>
      </c>
      <c r="AL900" s="10" t="s">
        <v>49</v>
      </c>
      <c r="AM900" s="16" t="s">
        <v>45</v>
      </c>
      <c r="AN900" s="10" t="s">
        <v>320</v>
      </c>
    </row>
    <row r="901" ht="30.0" customHeight="1">
      <c r="A901" s="9" t="str">
        <f t="shared" si="48"/>
        <v>Ativo</v>
      </c>
      <c r="B901" s="9" t="str">
        <f t="shared" si="49"/>
        <v>N/I</v>
      </c>
      <c r="C901" s="9" t="str">
        <f t="shared" si="64"/>
        <v>N/I</v>
      </c>
      <c r="D901" s="10" t="s">
        <v>2735</v>
      </c>
      <c r="E901" s="11" t="s">
        <v>2736</v>
      </c>
      <c r="F901" s="32"/>
      <c r="G901" s="12" t="s">
        <v>94</v>
      </c>
      <c r="H901" s="13" t="s">
        <v>2741</v>
      </c>
      <c r="I901" s="12" t="s">
        <v>2742</v>
      </c>
      <c r="J901" s="10" t="s">
        <v>89</v>
      </c>
      <c r="K901" s="10" t="s">
        <v>41</v>
      </c>
      <c r="L901" s="10" t="s">
        <v>4</v>
      </c>
      <c r="M901" s="22">
        <v>45397.0</v>
      </c>
      <c r="N901" s="32" t="s">
        <v>2743</v>
      </c>
      <c r="O901" s="10" t="s">
        <v>2744</v>
      </c>
      <c r="P901" s="10" t="s">
        <v>2740</v>
      </c>
      <c r="Q901" s="2"/>
      <c r="R901" s="10">
        <v>60.0</v>
      </c>
      <c r="S901" s="14">
        <v>45397.0</v>
      </c>
      <c r="T901" s="14">
        <v>47222.0</v>
      </c>
      <c r="U901" s="10">
        <f t="shared" si="75"/>
        <v>1131</v>
      </c>
      <c r="V901" s="2"/>
      <c r="W901" s="15"/>
      <c r="X901" s="15"/>
      <c r="Y901" s="15"/>
      <c r="Z901" s="15"/>
      <c r="AA901" s="1"/>
      <c r="AB901" s="15"/>
      <c r="AC901" s="15"/>
      <c r="AD901" s="15"/>
      <c r="AE901" s="15"/>
      <c r="AF901" s="2"/>
      <c r="AG901" s="16" t="s">
        <v>45</v>
      </c>
      <c r="AH901" s="12" t="s">
        <v>46</v>
      </c>
      <c r="AI901" s="10" t="s">
        <v>226</v>
      </c>
      <c r="AJ901" s="10" t="s">
        <v>291</v>
      </c>
      <c r="AK901" s="16" t="s">
        <v>45</v>
      </c>
      <c r="AL901" s="10" t="s">
        <v>49</v>
      </c>
      <c r="AM901" s="16" t="s">
        <v>45</v>
      </c>
      <c r="AN901" s="10" t="s">
        <v>320</v>
      </c>
    </row>
    <row r="902" ht="30.0" customHeight="1">
      <c r="A902" s="9" t="str">
        <f t="shared" si="48"/>
        <v>Ativo</v>
      </c>
      <c r="B902" s="9" t="str">
        <f t="shared" si="49"/>
        <v>N/I</v>
      </c>
      <c r="C902" s="9" t="str">
        <f t="shared" si="64"/>
        <v>N/I</v>
      </c>
      <c r="D902" s="10" t="s">
        <v>2735</v>
      </c>
      <c r="E902" s="11" t="s">
        <v>2736</v>
      </c>
      <c r="F902" s="32"/>
      <c r="G902" s="12" t="s">
        <v>94</v>
      </c>
      <c r="H902" s="13" t="s">
        <v>2745</v>
      </c>
      <c r="I902" s="12" t="s">
        <v>2742</v>
      </c>
      <c r="J902" s="10" t="s">
        <v>89</v>
      </c>
      <c r="K902" s="10" t="s">
        <v>41</v>
      </c>
      <c r="L902" s="10" t="s">
        <v>4</v>
      </c>
      <c r="M902" s="22">
        <v>45397.0</v>
      </c>
      <c r="N902" s="32" t="s">
        <v>2746</v>
      </c>
      <c r="O902" s="10" t="s">
        <v>2747</v>
      </c>
      <c r="P902" s="10" t="s">
        <v>2740</v>
      </c>
      <c r="Q902" s="2"/>
      <c r="R902" s="10">
        <v>60.0</v>
      </c>
      <c r="S902" s="14">
        <v>45397.0</v>
      </c>
      <c r="T902" s="14">
        <v>47222.0</v>
      </c>
      <c r="U902" s="10">
        <f t="shared" si="75"/>
        <v>1131</v>
      </c>
      <c r="V902" s="2"/>
      <c r="W902" s="15"/>
      <c r="X902" s="15"/>
      <c r="Y902" s="15"/>
      <c r="Z902" s="15"/>
      <c r="AA902" s="1"/>
      <c r="AB902" s="15"/>
      <c r="AC902" s="15"/>
      <c r="AD902" s="15"/>
      <c r="AE902" s="15"/>
      <c r="AF902" s="2"/>
      <c r="AG902" s="16" t="s">
        <v>45</v>
      </c>
      <c r="AH902" s="12" t="s">
        <v>46</v>
      </c>
      <c r="AI902" s="10" t="s">
        <v>226</v>
      </c>
      <c r="AJ902" s="10" t="s">
        <v>291</v>
      </c>
      <c r="AK902" s="16" t="s">
        <v>45</v>
      </c>
      <c r="AL902" s="10" t="s">
        <v>49</v>
      </c>
      <c r="AM902" s="16" t="s">
        <v>45</v>
      </c>
      <c r="AN902" s="10" t="s">
        <v>320</v>
      </c>
    </row>
    <row r="903" ht="30.0" customHeight="1">
      <c r="A903" s="9" t="str">
        <f t="shared" si="48"/>
        <v>Ativo</v>
      </c>
      <c r="B903" s="9" t="str">
        <f t="shared" si="49"/>
        <v>N/I</v>
      </c>
      <c r="C903" s="9" t="str">
        <f t="shared" si="64"/>
        <v>N/I</v>
      </c>
      <c r="D903" s="10" t="s">
        <v>2748</v>
      </c>
      <c r="E903" s="11" t="s">
        <v>2749</v>
      </c>
      <c r="F903" s="32" t="s">
        <v>2750</v>
      </c>
      <c r="G903" s="12" t="s">
        <v>94</v>
      </c>
      <c r="H903" s="13" t="s">
        <v>2751</v>
      </c>
      <c r="I903" s="12" t="s">
        <v>246</v>
      </c>
      <c r="J903" s="10" t="s">
        <v>247</v>
      </c>
      <c r="K903" s="10" t="s">
        <v>190</v>
      </c>
      <c r="L903" s="10" t="s">
        <v>4</v>
      </c>
      <c r="M903" s="14">
        <v>45301.0</v>
      </c>
      <c r="N903" s="32" t="s">
        <v>2752</v>
      </c>
      <c r="O903" s="10" t="s">
        <v>2753</v>
      </c>
      <c r="P903" s="10" t="s">
        <v>2754</v>
      </c>
      <c r="Q903" s="2"/>
      <c r="R903" s="10">
        <v>60.0</v>
      </c>
      <c r="S903" s="14">
        <v>45301.0</v>
      </c>
      <c r="T903" s="14">
        <v>47127.0</v>
      </c>
      <c r="U903" s="10">
        <f t="shared" si="75"/>
        <v>1036</v>
      </c>
      <c r="V903" s="2"/>
      <c r="W903" s="15"/>
      <c r="X903" s="15"/>
      <c r="Y903" s="15"/>
      <c r="Z903" s="15"/>
      <c r="AA903" s="1"/>
      <c r="AB903" s="15"/>
      <c r="AC903" s="15"/>
      <c r="AD903" s="15"/>
      <c r="AE903" s="15"/>
      <c r="AF903" s="2"/>
      <c r="AG903" s="16" t="s">
        <v>45</v>
      </c>
      <c r="AH903" s="10" t="s">
        <v>318</v>
      </c>
      <c r="AI903" s="10" t="s">
        <v>319</v>
      </c>
      <c r="AJ903" s="10" t="s">
        <v>291</v>
      </c>
      <c r="AK903" s="16" t="s">
        <v>45</v>
      </c>
      <c r="AL903" s="10" t="s">
        <v>49</v>
      </c>
      <c r="AM903" s="10" t="s">
        <v>664</v>
      </c>
      <c r="AN903" s="10" t="s">
        <v>320</v>
      </c>
    </row>
    <row r="904" ht="30.0" customHeight="1">
      <c r="A904" s="9" t="str">
        <f t="shared" si="48"/>
        <v>Ativo</v>
      </c>
      <c r="B904" s="9" t="str">
        <f t="shared" si="49"/>
        <v>N/I</v>
      </c>
      <c r="C904" s="9" t="str">
        <f t="shared" si="64"/>
        <v>N/I</v>
      </c>
      <c r="D904" s="10" t="s">
        <v>2755</v>
      </c>
      <c r="E904" s="11" t="s">
        <v>2756</v>
      </c>
      <c r="F904" s="32"/>
      <c r="G904" s="12" t="s">
        <v>68</v>
      </c>
      <c r="H904" s="13" t="s">
        <v>2757</v>
      </c>
      <c r="I904" s="12" t="s">
        <v>1474</v>
      </c>
      <c r="J904" s="10" t="s">
        <v>1097</v>
      </c>
      <c r="K904" s="10" t="s">
        <v>190</v>
      </c>
      <c r="L904" s="10" t="s">
        <v>4</v>
      </c>
      <c r="M904" s="14">
        <v>45404.0</v>
      </c>
      <c r="N904" s="32" t="s">
        <v>2758</v>
      </c>
      <c r="O904" s="10" t="s">
        <v>2759</v>
      </c>
      <c r="P904" s="10" t="s">
        <v>2760</v>
      </c>
      <c r="Q904" s="2"/>
      <c r="R904" s="10">
        <v>36.0</v>
      </c>
      <c r="S904" s="14">
        <v>44673.0</v>
      </c>
      <c r="T904" s="14">
        <v>46498.0</v>
      </c>
      <c r="U904" s="10">
        <f t="shared" si="75"/>
        <v>407</v>
      </c>
      <c r="V904" s="2"/>
      <c r="W904" s="15"/>
      <c r="X904" s="15"/>
      <c r="Y904" s="15"/>
      <c r="Z904" s="15"/>
      <c r="AA904" s="1"/>
      <c r="AB904" s="15"/>
      <c r="AC904" s="15"/>
      <c r="AD904" s="15"/>
      <c r="AE904" s="15"/>
      <c r="AF904" s="2"/>
      <c r="AG904" s="16" t="s">
        <v>45</v>
      </c>
      <c r="AH904" s="12" t="s">
        <v>355</v>
      </c>
      <c r="AI904" s="16" t="s">
        <v>45</v>
      </c>
      <c r="AJ904" s="10" t="s">
        <v>291</v>
      </c>
      <c r="AK904" s="16" t="s">
        <v>45</v>
      </c>
      <c r="AL904" s="10" t="s">
        <v>49</v>
      </c>
      <c r="AM904" s="10" t="s">
        <v>292</v>
      </c>
      <c r="AN904" s="10" t="s">
        <v>320</v>
      </c>
    </row>
    <row r="905" ht="30.0" customHeight="1">
      <c r="A905" s="9" t="str">
        <f t="shared" si="48"/>
        <v>N/I</v>
      </c>
      <c r="B905" s="9" t="str">
        <f t="shared" si="49"/>
        <v>Inativo</v>
      </c>
      <c r="C905" s="9" t="str">
        <f t="shared" si="64"/>
        <v>N/I</v>
      </c>
      <c r="D905" s="10" t="s">
        <v>2761</v>
      </c>
      <c r="E905" s="11" t="s">
        <v>2762</v>
      </c>
      <c r="F905" s="32" t="s">
        <v>2763</v>
      </c>
      <c r="G905" s="12" t="s">
        <v>94</v>
      </c>
      <c r="H905" s="20" t="s">
        <v>2764</v>
      </c>
      <c r="I905" s="12" t="s">
        <v>246</v>
      </c>
      <c r="J905" s="10" t="s">
        <v>247</v>
      </c>
      <c r="K905" s="10" t="s">
        <v>190</v>
      </c>
      <c r="L905" s="10" t="s">
        <v>264</v>
      </c>
      <c r="M905" s="14">
        <v>42625.0</v>
      </c>
      <c r="N905" s="11" t="s">
        <v>2765</v>
      </c>
      <c r="O905" s="10" t="s">
        <v>2766</v>
      </c>
      <c r="P905" s="10" t="s">
        <v>2767</v>
      </c>
      <c r="Q905" s="2"/>
      <c r="R905" s="15"/>
      <c r="S905" s="15"/>
      <c r="T905" s="15"/>
      <c r="U905" s="15"/>
      <c r="V905" s="2"/>
      <c r="W905" s="10">
        <v>12.0</v>
      </c>
      <c r="X905" s="14">
        <v>44865.0</v>
      </c>
      <c r="Y905" s="14">
        <v>45230.0</v>
      </c>
      <c r="Z905" s="10">
        <f>Y905-TODAY()</f>
        <v>-861</v>
      </c>
      <c r="AA905" s="1"/>
      <c r="AB905" s="15"/>
      <c r="AC905" s="15"/>
      <c r="AD905" s="15"/>
      <c r="AE905" s="15"/>
      <c r="AF905" s="2"/>
      <c r="AG905" s="16" t="s">
        <v>45</v>
      </c>
      <c r="AH905" s="16" t="s">
        <v>45</v>
      </c>
      <c r="AI905" s="16" t="s">
        <v>45</v>
      </c>
      <c r="AJ905" s="10" t="s">
        <v>508</v>
      </c>
      <c r="AK905" s="16" t="s">
        <v>45</v>
      </c>
      <c r="AL905" s="10" t="s">
        <v>49</v>
      </c>
      <c r="AM905" s="16" t="s">
        <v>45</v>
      </c>
      <c r="AN905" s="10" t="s">
        <v>50</v>
      </c>
    </row>
    <row r="906" ht="30.0" customHeight="1">
      <c r="A906" s="9" t="str">
        <f t="shared" si="48"/>
        <v>Inativo</v>
      </c>
      <c r="B906" s="9" t="str">
        <f t="shared" si="49"/>
        <v>N/I</v>
      </c>
      <c r="C906" s="9" t="str">
        <f t="shared" si="64"/>
        <v>N/I</v>
      </c>
      <c r="D906" s="10" t="s">
        <v>2768</v>
      </c>
      <c r="E906" s="11" t="s">
        <v>2769</v>
      </c>
      <c r="F906" s="32" t="s">
        <v>2770</v>
      </c>
      <c r="G906" s="12" t="s">
        <v>94</v>
      </c>
      <c r="H906" s="13" t="s">
        <v>2771</v>
      </c>
      <c r="I906" s="12" t="s">
        <v>2772</v>
      </c>
      <c r="J906" s="10" t="s">
        <v>197</v>
      </c>
      <c r="K906" s="10" t="s">
        <v>40</v>
      </c>
      <c r="L906" s="10" t="s">
        <v>4</v>
      </c>
      <c r="M906" s="14">
        <v>45111.0</v>
      </c>
      <c r="N906" s="11" t="s">
        <v>2773</v>
      </c>
      <c r="O906" s="10" t="s">
        <v>2774</v>
      </c>
      <c r="P906" s="10" t="s">
        <v>2775</v>
      </c>
      <c r="Q906" s="2"/>
      <c r="R906" s="10">
        <v>12.0</v>
      </c>
      <c r="S906" s="14">
        <v>45111.0</v>
      </c>
      <c r="T906" s="14">
        <v>45477.0</v>
      </c>
      <c r="U906" s="10">
        <f t="shared" ref="U906:U907" si="76">T906-TODAY()</f>
        <v>-614</v>
      </c>
      <c r="V906" s="2"/>
      <c r="W906" s="15"/>
      <c r="X906" s="15"/>
      <c r="Y906" s="15"/>
      <c r="Z906" s="15"/>
      <c r="AA906" s="1"/>
      <c r="AB906" s="15"/>
      <c r="AC906" s="15"/>
      <c r="AD906" s="15"/>
      <c r="AE906" s="15"/>
      <c r="AF906" s="2"/>
      <c r="AG906" s="16" t="s">
        <v>45</v>
      </c>
      <c r="AH906" s="12" t="s">
        <v>46</v>
      </c>
      <c r="AI906" s="10" t="s">
        <v>226</v>
      </c>
      <c r="AJ906" s="10" t="s">
        <v>227</v>
      </c>
      <c r="AK906" s="16" t="s">
        <v>45</v>
      </c>
      <c r="AL906" s="10" t="s">
        <v>49</v>
      </c>
      <c r="AM906" s="16" t="s">
        <v>45</v>
      </c>
      <c r="AN906" s="10" t="s">
        <v>320</v>
      </c>
    </row>
    <row r="907" ht="30.0" customHeight="1">
      <c r="A907" s="9" t="str">
        <f t="shared" si="48"/>
        <v>Inativo</v>
      </c>
      <c r="B907" s="9" t="str">
        <f t="shared" si="49"/>
        <v>N/I</v>
      </c>
      <c r="C907" s="9" t="str">
        <f t="shared" si="64"/>
        <v>N/I</v>
      </c>
      <c r="D907" s="10" t="s">
        <v>2776</v>
      </c>
      <c r="E907" s="11" t="s">
        <v>2777</v>
      </c>
      <c r="F907" s="32" t="s">
        <v>2778</v>
      </c>
      <c r="G907" s="12" t="s">
        <v>94</v>
      </c>
      <c r="H907" s="42" t="s">
        <v>2779</v>
      </c>
      <c r="I907" s="12" t="s">
        <v>627</v>
      </c>
      <c r="J907" s="10" t="s">
        <v>283</v>
      </c>
      <c r="K907" s="10" t="s">
        <v>263</v>
      </c>
      <c r="L907" s="10" t="s">
        <v>4</v>
      </c>
      <c r="M907" s="14">
        <v>44525.0</v>
      </c>
      <c r="N907" s="11" t="s">
        <v>2780</v>
      </c>
      <c r="O907" s="10" t="s">
        <v>2781</v>
      </c>
      <c r="P907" s="10" t="s">
        <v>2782</v>
      </c>
      <c r="Q907" s="2"/>
      <c r="R907" s="10">
        <v>12.0</v>
      </c>
      <c r="S907" s="14">
        <v>44525.0</v>
      </c>
      <c r="T907" s="14">
        <v>44890.0</v>
      </c>
      <c r="U907" s="10">
        <f t="shared" si="76"/>
        <v>-1201</v>
      </c>
      <c r="V907" s="2"/>
      <c r="W907" s="15"/>
      <c r="X907" s="15"/>
      <c r="Y907" s="15"/>
      <c r="Z907" s="15"/>
      <c r="AA907" s="1"/>
      <c r="AB907" s="15"/>
      <c r="AC907" s="15"/>
      <c r="AD907" s="15"/>
      <c r="AE907" s="15"/>
      <c r="AF907" s="2"/>
      <c r="AG907" s="16" t="s">
        <v>45</v>
      </c>
      <c r="AH907" s="16" t="s">
        <v>45</v>
      </c>
      <c r="AI907" s="16" t="s">
        <v>45</v>
      </c>
      <c r="AJ907" s="16" t="s">
        <v>45</v>
      </c>
      <c r="AK907" s="16" t="s">
        <v>45</v>
      </c>
      <c r="AL907" s="10" t="s">
        <v>49</v>
      </c>
      <c r="AM907" s="16" t="s">
        <v>45</v>
      </c>
      <c r="AN907" s="16" t="s">
        <v>45</v>
      </c>
    </row>
    <row r="908" ht="30.0" customHeight="1">
      <c r="A908" s="9" t="str">
        <f t="shared" si="48"/>
        <v>N/I</v>
      </c>
      <c r="B908" s="9" t="str">
        <f t="shared" si="49"/>
        <v>N/I</v>
      </c>
      <c r="C908" s="9" t="str">
        <f t="shared" si="64"/>
        <v>N/I</v>
      </c>
      <c r="D908" s="10" t="s">
        <v>2776</v>
      </c>
      <c r="E908" s="11" t="s">
        <v>2777</v>
      </c>
      <c r="F908" s="32" t="s">
        <v>2778</v>
      </c>
      <c r="G908" s="12" t="s">
        <v>94</v>
      </c>
      <c r="H908" s="42" t="s">
        <v>2783</v>
      </c>
      <c r="I908" s="12" t="s">
        <v>627</v>
      </c>
      <c r="J908" s="10" t="s">
        <v>283</v>
      </c>
      <c r="K908" s="10" t="s">
        <v>263</v>
      </c>
      <c r="L908" s="10" t="s">
        <v>264</v>
      </c>
      <c r="M908" s="14">
        <v>45642.0</v>
      </c>
      <c r="N908" s="11" t="s">
        <v>2780</v>
      </c>
      <c r="O908" s="10" t="s">
        <v>2784</v>
      </c>
      <c r="P908" s="10" t="s">
        <v>2785</v>
      </c>
      <c r="Q908" s="2"/>
      <c r="R908" s="15"/>
      <c r="S908" s="15"/>
      <c r="T908" s="15"/>
      <c r="U908" s="15"/>
      <c r="V908" s="2"/>
      <c r="W908" s="49" t="s">
        <v>2786</v>
      </c>
      <c r="X908" s="49" t="s">
        <v>2786</v>
      </c>
      <c r="Y908" s="49" t="s">
        <v>2786</v>
      </c>
      <c r="Z908" s="10"/>
      <c r="AA908" s="1"/>
      <c r="AB908" s="15"/>
      <c r="AC908" s="15"/>
      <c r="AD908" s="15"/>
      <c r="AE908" s="15"/>
      <c r="AF908" s="2"/>
      <c r="AG908" s="10" t="s">
        <v>354</v>
      </c>
      <c r="AH908" s="10" t="s">
        <v>319</v>
      </c>
      <c r="AI908" s="10" t="s">
        <v>319</v>
      </c>
      <c r="AJ908" s="10" t="s">
        <v>319</v>
      </c>
      <c r="AK908" s="10" t="s">
        <v>319</v>
      </c>
      <c r="AL908" s="10" t="s">
        <v>2289</v>
      </c>
      <c r="AM908" s="10" t="s">
        <v>319</v>
      </c>
      <c r="AN908" s="16" t="s">
        <v>45</v>
      </c>
    </row>
    <row r="909" ht="30.0" customHeight="1">
      <c r="A909" s="9" t="str">
        <f t="shared" si="48"/>
        <v>Inativo</v>
      </c>
      <c r="B909" s="9" t="str">
        <f t="shared" si="49"/>
        <v>N/I</v>
      </c>
      <c r="C909" s="9" t="str">
        <f t="shared" si="64"/>
        <v>N/I</v>
      </c>
      <c r="D909" s="10" t="s">
        <v>2787</v>
      </c>
      <c r="E909" s="11" t="s">
        <v>2788</v>
      </c>
      <c r="F909" s="32" t="s">
        <v>2789</v>
      </c>
      <c r="G909" s="12" t="s">
        <v>79</v>
      </c>
      <c r="H909" s="13" t="s">
        <v>2790</v>
      </c>
      <c r="I909" s="12" t="s">
        <v>131</v>
      </c>
      <c r="J909" s="10" t="s">
        <v>132</v>
      </c>
      <c r="K909" s="10" t="s">
        <v>41</v>
      </c>
      <c r="L909" s="10" t="s">
        <v>4</v>
      </c>
      <c r="M909" s="14">
        <v>45022.0</v>
      </c>
      <c r="N909" s="11" t="s">
        <v>133</v>
      </c>
      <c r="O909" s="10" t="s">
        <v>134</v>
      </c>
      <c r="P909" s="10" t="s">
        <v>2791</v>
      </c>
      <c r="Q909" s="2"/>
      <c r="R909" s="10">
        <v>12.0</v>
      </c>
      <c r="S909" s="14">
        <v>45022.0</v>
      </c>
      <c r="T909" s="14">
        <v>45388.0</v>
      </c>
      <c r="U909" s="10">
        <v>-537.0</v>
      </c>
      <c r="V909" s="2"/>
      <c r="W909" s="15"/>
      <c r="X909" s="15"/>
      <c r="Y909" s="15"/>
      <c r="Z909" s="15"/>
      <c r="AA909" s="1"/>
      <c r="AB909" s="15"/>
      <c r="AC909" s="15"/>
      <c r="AD909" s="15"/>
      <c r="AE909" s="15"/>
      <c r="AF909" s="2"/>
      <c r="AG909" s="16" t="s">
        <v>45</v>
      </c>
      <c r="AH909" s="12" t="s">
        <v>46</v>
      </c>
      <c r="AI909" s="10" t="s">
        <v>226</v>
      </c>
      <c r="AJ909" s="10" t="s">
        <v>227</v>
      </c>
      <c r="AK909" s="16" t="s">
        <v>45</v>
      </c>
      <c r="AL909" s="10" t="s">
        <v>49</v>
      </c>
      <c r="AM909" s="16" t="s">
        <v>45</v>
      </c>
      <c r="AN909" s="10" t="s">
        <v>50</v>
      </c>
    </row>
    <row r="910" ht="30.0" customHeight="1">
      <c r="A910" s="9" t="str">
        <f t="shared" si="48"/>
        <v>Ativo</v>
      </c>
      <c r="B910" s="9" t="str">
        <f t="shared" si="49"/>
        <v>N/I</v>
      </c>
      <c r="C910" s="9" t="str">
        <f t="shared" si="64"/>
        <v>N/I</v>
      </c>
      <c r="D910" s="10" t="s">
        <v>2792</v>
      </c>
      <c r="E910" s="11" t="s">
        <v>2793</v>
      </c>
      <c r="F910" s="32"/>
      <c r="G910" s="12" t="s">
        <v>52</v>
      </c>
      <c r="H910" s="27" t="s">
        <v>2794</v>
      </c>
      <c r="I910" s="12" t="s">
        <v>332</v>
      </c>
      <c r="J910" s="10" t="s">
        <v>197</v>
      </c>
      <c r="K910" s="10" t="s">
        <v>40</v>
      </c>
      <c r="L910" s="10" t="s">
        <v>4</v>
      </c>
      <c r="M910" s="14">
        <v>45918.0</v>
      </c>
      <c r="N910" s="11" t="s">
        <v>2795</v>
      </c>
      <c r="O910" s="10" t="s">
        <v>2796</v>
      </c>
      <c r="P910" s="10" t="s">
        <v>2797</v>
      </c>
      <c r="Q910" s="2"/>
      <c r="R910" s="10">
        <v>12.0</v>
      </c>
      <c r="S910" s="14">
        <v>45918.0</v>
      </c>
      <c r="T910" s="14">
        <v>46283.0</v>
      </c>
      <c r="U910" s="10">
        <f t="shared" ref="U910:U911" si="77">T910-TODAY()</f>
        <v>192</v>
      </c>
      <c r="V910" s="2"/>
      <c r="W910" s="15"/>
      <c r="X910" s="15"/>
      <c r="Y910" s="15"/>
      <c r="Z910" s="15"/>
      <c r="AA910" s="1"/>
      <c r="AB910" s="15"/>
      <c r="AC910" s="15"/>
      <c r="AD910" s="15"/>
      <c r="AE910" s="15"/>
      <c r="AF910" s="2"/>
      <c r="AG910" s="16" t="s">
        <v>45</v>
      </c>
      <c r="AH910" s="12" t="s">
        <v>355</v>
      </c>
      <c r="AI910" s="16" t="s">
        <v>45</v>
      </c>
      <c r="AJ910" s="10" t="s">
        <v>356</v>
      </c>
      <c r="AK910" s="16" t="s">
        <v>45</v>
      </c>
      <c r="AL910" s="10" t="s">
        <v>49</v>
      </c>
      <c r="AM910" s="16" t="s">
        <v>45</v>
      </c>
      <c r="AN910" s="16" t="s">
        <v>45</v>
      </c>
    </row>
    <row r="911" ht="30.0" customHeight="1">
      <c r="A911" s="9" t="str">
        <f t="shared" si="48"/>
        <v>Ativo</v>
      </c>
      <c r="B911" s="9" t="str">
        <f t="shared" si="49"/>
        <v>N/I</v>
      </c>
      <c r="C911" s="9" t="str">
        <f t="shared" si="64"/>
        <v>N/I</v>
      </c>
      <c r="D911" s="10" t="s">
        <v>2792</v>
      </c>
      <c r="E911" s="11" t="s">
        <v>2793</v>
      </c>
      <c r="F911" s="32"/>
      <c r="G911" s="12" t="s">
        <v>52</v>
      </c>
      <c r="H911" s="27" t="s">
        <v>2798</v>
      </c>
      <c r="I911" s="12" t="s">
        <v>332</v>
      </c>
      <c r="J911" s="10" t="s">
        <v>197</v>
      </c>
      <c r="K911" s="10" t="s">
        <v>40</v>
      </c>
      <c r="L911" s="10" t="s">
        <v>4</v>
      </c>
      <c r="M911" s="14">
        <v>45917.0</v>
      </c>
      <c r="N911" s="11" t="s">
        <v>2795</v>
      </c>
      <c r="O911" s="10" t="s">
        <v>2796</v>
      </c>
      <c r="P911" s="10" t="s">
        <v>2797</v>
      </c>
      <c r="Q911" s="2"/>
      <c r="R911" s="10">
        <v>12.0</v>
      </c>
      <c r="S911" s="14">
        <v>45917.0</v>
      </c>
      <c r="T911" s="14">
        <v>46282.0</v>
      </c>
      <c r="U911" s="10">
        <f t="shared" si="77"/>
        <v>191</v>
      </c>
      <c r="V911" s="2"/>
      <c r="W911" s="15"/>
      <c r="X911" s="15"/>
      <c r="Y911" s="15"/>
      <c r="Z911" s="15"/>
      <c r="AA911" s="1"/>
      <c r="AB911" s="15"/>
      <c r="AC911" s="15"/>
      <c r="AD911" s="15"/>
      <c r="AE911" s="15"/>
      <c r="AF911" s="2"/>
      <c r="AG911" s="16" t="s">
        <v>45</v>
      </c>
      <c r="AH911" s="12" t="s">
        <v>355</v>
      </c>
      <c r="AI911" s="16" t="s">
        <v>45</v>
      </c>
      <c r="AJ911" s="10" t="s">
        <v>356</v>
      </c>
      <c r="AK911" s="16" t="s">
        <v>45</v>
      </c>
      <c r="AL911" s="10" t="s">
        <v>49</v>
      </c>
      <c r="AM911" s="16" t="s">
        <v>45</v>
      </c>
      <c r="AN911" s="16" t="s">
        <v>45</v>
      </c>
    </row>
    <row r="912" ht="30.0" customHeight="1">
      <c r="A912" s="9" t="str">
        <f t="shared" si="48"/>
        <v>Ativo</v>
      </c>
      <c r="B912" s="9" t="str">
        <f t="shared" si="49"/>
        <v>N/I</v>
      </c>
      <c r="C912" s="9" t="str">
        <f t="shared" si="64"/>
        <v>N/I</v>
      </c>
      <c r="D912" s="10" t="s">
        <v>2799</v>
      </c>
      <c r="E912" s="11" t="s">
        <v>2800</v>
      </c>
      <c r="F912" s="32" t="s">
        <v>2801</v>
      </c>
      <c r="G912" s="12" t="s">
        <v>94</v>
      </c>
      <c r="H912" s="42" t="s">
        <v>2802</v>
      </c>
      <c r="I912" s="12" t="s">
        <v>463</v>
      </c>
      <c r="J912" s="10" t="s">
        <v>222</v>
      </c>
      <c r="K912" s="10" t="s">
        <v>40</v>
      </c>
      <c r="L912" s="10" t="s">
        <v>4</v>
      </c>
      <c r="M912" s="14">
        <v>45404.0</v>
      </c>
      <c r="N912" s="11" t="s">
        <v>2803</v>
      </c>
      <c r="O912" s="10" t="s">
        <v>2804</v>
      </c>
      <c r="P912" s="10" t="s">
        <v>2805</v>
      </c>
      <c r="Q912" s="2"/>
      <c r="R912" s="10">
        <v>24.0</v>
      </c>
      <c r="S912" s="14">
        <v>45404.0</v>
      </c>
      <c r="T912" s="14">
        <v>46134.0</v>
      </c>
      <c r="U912" s="10">
        <v>209.0</v>
      </c>
      <c r="V912" s="2"/>
      <c r="W912" s="15"/>
      <c r="X912" s="15"/>
      <c r="Y912" s="15"/>
      <c r="Z912" s="15"/>
      <c r="AA912" s="1"/>
      <c r="AB912" s="15"/>
      <c r="AC912" s="15"/>
      <c r="AD912" s="15"/>
      <c r="AE912" s="15"/>
      <c r="AF912" s="2"/>
      <c r="AG912" s="10" t="s">
        <v>290</v>
      </c>
      <c r="AH912" s="12" t="s">
        <v>355</v>
      </c>
      <c r="AI912" s="10" t="s">
        <v>227</v>
      </c>
      <c r="AJ912" s="10" t="s">
        <v>390</v>
      </c>
      <c r="AK912" s="16" t="s">
        <v>45</v>
      </c>
      <c r="AL912" s="10" t="s">
        <v>49</v>
      </c>
      <c r="AM912" s="16" t="s">
        <v>45</v>
      </c>
      <c r="AN912" s="10" t="s">
        <v>320</v>
      </c>
    </row>
    <row r="913" ht="30.0" customHeight="1">
      <c r="A913" s="9" t="str">
        <f t="shared" si="48"/>
        <v>Ativo</v>
      </c>
      <c r="B913" s="9" t="str">
        <f t="shared" si="49"/>
        <v>N/I</v>
      </c>
      <c r="C913" s="9" t="str">
        <f t="shared" si="64"/>
        <v>N/I</v>
      </c>
      <c r="D913" s="10" t="s">
        <v>2799</v>
      </c>
      <c r="E913" s="11" t="s">
        <v>2800</v>
      </c>
      <c r="F913" s="32" t="s">
        <v>2801</v>
      </c>
      <c r="G913" s="12" t="s">
        <v>94</v>
      </c>
      <c r="H913" s="42" t="s">
        <v>2806</v>
      </c>
      <c r="I913" s="12" t="s">
        <v>463</v>
      </c>
      <c r="J913" s="10" t="s">
        <v>222</v>
      </c>
      <c r="K913" s="10" t="s">
        <v>40</v>
      </c>
      <c r="L913" s="10" t="s">
        <v>4</v>
      </c>
      <c r="M913" s="14">
        <v>45404.0</v>
      </c>
      <c r="N913" s="11" t="s">
        <v>2803</v>
      </c>
      <c r="O913" s="10" t="s">
        <v>2804</v>
      </c>
      <c r="P913" s="10" t="s">
        <v>2805</v>
      </c>
      <c r="Q913" s="2"/>
      <c r="R913" s="10">
        <v>24.0</v>
      </c>
      <c r="S913" s="14">
        <v>45404.0</v>
      </c>
      <c r="T913" s="14">
        <v>46134.0</v>
      </c>
      <c r="U913" s="10">
        <v>209.0</v>
      </c>
      <c r="V913" s="2"/>
      <c r="W913" s="15"/>
      <c r="X913" s="15"/>
      <c r="Y913" s="15"/>
      <c r="Z913" s="15"/>
      <c r="AA913" s="1"/>
      <c r="AB913" s="15"/>
      <c r="AC913" s="15"/>
      <c r="AD913" s="15"/>
      <c r="AE913" s="15"/>
      <c r="AF913" s="2"/>
      <c r="AG913" s="10" t="s">
        <v>290</v>
      </c>
      <c r="AH913" s="12" t="s">
        <v>355</v>
      </c>
      <c r="AI913" s="10" t="s">
        <v>227</v>
      </c>
      <c r="AJ913" s="10" t="s">
        <v>390</v>
      </c>
      <c r="AK913" s="16" t="s">
        <v>45</v>
      </c>
      <c r="AL913" s="10" t="s">
        <v>49</v>
      </c>
      <c r="AM913" s="16" t="s">
        <v>45</v>
      </c>
      <c r="AN913" s="10" t="s">
        <v>320</v>
      </c>
    </row>
    <row r="914" ht="30.0" customHeight="1">
      <c r="A914" s="9" t="str">
        <f t="shared" si="48"/>
        <v>Inativo</v>
      </c>
      <c r="B914" s="9" t="str">
        <f t="shared" si="49"/>
        <v>N/I</v>
      </c>
      <c r="C914" s="9" t="str">
        <f t="shared" si="64"/>
        <v>N/I</v>
      </c>
      <c r="D914" s="10" t="s">
        <v>2807</v>
      </c>
      <c r="E914" s="11" t="s">
        <v>2808</v>
      </c>
      <c r="F914" s="32"/>
      <c r="G914" s="12" t="s">
        <v>55</v>
      </c>
      <c r="H914" s="13" t="s">
        <v>2809</v>
      </c>
      <c r="I914" s="12" t="s">
        <v>246</v>
      </c>
      <c r="J914" s="10" t="s">
        <v>247</v>
      </c>
      <c r="K914" s="10" t="s">
        <v>190</v>
      </c>
      <c r="L914" s="10" t="s">
        <v>4</v>
      </c>
      <c r="M914" s="22">
        <v>44750.0</v>
      </c>
      <c r="N914" s="32" t="s">
        <v>2810</v>
      </c>
      <c r="O914" s="10" t="s">
        <v>2811</v>
      </c>
      <c r="P914" s="10" t="s">
        <v>2812</v>
      </c>
      <c r="Q914" s="2"/>
      <c r="R914" s="10">
        <v>12.0</v>
      </c>
      <c r="S914" s="14">
        <v>44750.0</v>
      </c>
      <c r="T914" s="14">
        <v>45115.0</v>
      </c>
      <c r="U914" s="10">
        <f t="shared" ref="U914:U915" si="78">T914-TODAY()</f>
        <v>-976</v>
      </c>
      <c r="V914" s="2"/>
      <c r="W914" s="15"/>
      <c r="X914" s="15"/>
      <c r="Y914" s="15"/>
      <c r="Z914" s="15"/>
      <c r="AA914" s="1"/>
      <c r="AB914" s="15"/>
      <c r="AC914" s="15"/>
      <c r="AD914" s="15"/>
      <c r="AE914" s="15"/>
      <c r="AF914" s="2"/>
      <c r="AG914" s="16" t="s">
        <v>45</v>
      </c>
      <c r="AH914" s="16" t="s">
        <v>45</v>
      </c>
      <c r="AI914" s="16" t="s">
        <v>45</v>
      </c>
      <c r="AJ914" s="16" t="s">
        <v>45</v>
      </c>
      <c r="AK914" s="16" t="s">
        <v>45</v>
      </c>
      <c r="AL914" s="10" t="s">
        <v>49</v>
      </c>
      <c r="AM914" s="16" t="s">
        <v>45</v>
      </c>
      <c r="AN914" s="16" t="s">
        <v>45</v>
      </c>
    </row>
    <row r="915" ht="30.0" customHeight="1">
      <c r="A915" s="9" t="str">
        <f t="shared" si="48"/>
        <v>Inativo</v>
      </c>
      <c r="B915" s="9" t="str">
        <f t="shared" si="49"/>
        <v>N/I</v>
      </c>
      <c r="C915" s="9" t="str">
        <f t="shared" si="64"/>
        <v>N/I</v>
      </c>
      <c r="D915" s="10" t="s">
        <v>2807</v>
      </c>
      <c r="E915" s="11" t="s">
        <v>2808</v>
      </c>
      <c r="F915" s="32"/>
      <c r="G915" s="12" t="s">
        <v>55</v>
      </c>
      <c r="H915" s="13" t="s">
        <v>2813</v>
      </c>
      <c r="I915" s="12" t="s">
        <v>246</v>
      </c>
      <c r="J915" s="10" t="s">
        <v>247</v>
      </c>
      <c r="K915" s="10" t="s">
        <v>190</v>
      </c>
      <c r="L915" s="10" t="s">
        <v>4</v>
      </c>
      <c r="M915" s="22">
        <v>44750.0</v>
      </c>
      <c r="N915" s="32" t="s">
        <v>2810</v>
      </c>
      <c r="O915" s="10" t="s">
        <v>2811</v>
      </c>
      <c r="P915" s="10" t="s">
        <v>2812</v>
      </c>
      <c r="Q915" s="2"/>
      <c r="R915" s="10">
        <v>12.0</v>
      </c>
      <c r="S915" s="14">
        <v>44750.0</v>
      </c>
      <c r="T915" s="14">
        <v>45115.0</v>
      </c>
      <c r="U915" s="10">
        <f t="shared" si="78"/>
        <v>-976</v>
      </c>
      <c r="V915" s="2"/>
      <c r="W915" s="15"/>
      <c r="X915" s="15"/>
      <c r="Y915" s="15"/>
      <c r="Z915" s="15"/>
      <c r="AA915" s="1"/>
      <c r="AB915" s="15"/>
      <c r="AC915" s="15"/>
      <c r="AD915" s="15"/>
      <c r="AE915" s="15"/>
      <c r="AF915" s="2"/>
      <c r="AG915" s="16" t="s">
        <v>45</v>
      </c>
      <c r="AH915" s="16" t="s">
        <v>45</v>
      </c>
      <c r="AI915" s="16" t="s">
        <v>45</v>
      </c>
      <c r="AJ915" s="16" t="s">
        <v>45</v>
      </c>
      <c r="AK915" s="16" t="s">
        <v>45</v>
      </c>
      <c r="AL915" s="10" t="s">
        <v>49</v>
      </c>
      <c r="AM915" s="16" t="s">
        <v>45</v>
      </c>
      <c r="AN915" s="16" t="s">
        <v>45</v>
      </c>
    </row>
    <row r="916" ht="30.0" customHeight="1">
      <c r="A916" s="9" t="str">
        <f t="shared" si="48"/>
        <v>N/I</v>
      </c>
      <c r="B916" s="9" t="str">
        <f t="shared" si="49"/>
        <v>N/I</v>
      </c>
      <c r="C916" s="9" t="s">
        <v>1967</v>
      </c>
      <c r="D916" s="10" t="s">
        <v>2814</v>
      </c>
      <c r="E916" s="11" t="s">
        <v>2815</v>
      </c>
      <c r="F916" s="32"/>
      <c r="G916" s="12" t="s">
        <v>448</v>
      </c>
      <c r="H916" s="36" t="s">
        <v>2816</v>
      </c>
      <c r="I916" s="12" t="s">
        <v>380</v>
      </c>
      <c r="J916" s="10" t="s">
        <v>197</v>
      </c>
      <c r="K916" s="10" t="s">
        <v>40</v>
      </c>
      <c r="L916" s="10" t="s">
        <v>6</v>
      </c>
      <c r="M916" s="22">
        <v>44756.0</v>
      </c>
      <c r="N916" s="32" t="s">
        <v>2817</v>
      </c>
      <c r="O916" s="10" t="s">
        <v>2818</v>
      </c>
      <c r="P916" s="10" t="s">
        <v>2819</v>
      </c>
      <c r="Q916" s="2"/>
      <c r="R916" s="15"/>
      <c r="S916" s="15"/>
      <c r="T916" s="15"/>
      <c r="U916" s="15"/>
      <c r="V916" s="2"/>
      <c r="W916" s="15"/>
      <c r="X916" s="15"/>
      <c r="Y916" s="15"/>
      <c r="Z916" s="15"/>
      <c r="AA916" s="1"/>
      <c r="AB916" s="10">
        <v>12.0</v>
      </c>
      <c r="AC916" s="14">
        <v>45964.0</v>
      </c>
      <c r="AD916" s="14">
        <v>46329.0</v>
      </c>
      <c r="AE916" s="10">
        <f t="shared" ref="AE916:AE917" si="79">AD916-TODAY()</f>
        <v>238</v>
      </c>
      <c r="AF916" s="2"/>
      <c r="AG916" s="16" t="s">
        <v>45</v>
      </c>
      <c r="AH916" s="12" t="s">
        <v>46</v>
      </c>
      <c r="AI916" s="10" t="s">
        <v>227</v>
      </c>
      <c r="AJ916" s="16" t="s">
        <v>45</v>
      </c>
      <c r="AK916" s="16" t="s">
        <v>45</v>
      </c>
      <c r="AL916" s="10" t="s">
        <v>49</v>
      </c>
      <c r="AM916" s="10" t="s">
        <v>227</v>
      </c>
      <c r="AN916" s="10" t="s">
        <v>50</v>
      </c>
    </row>
    <row r="917" ht="30.0" customHeight="1">
      <c r="A917" s="9" t="str">
        <f t="shared" si="48"/>
        <v>N/I</v>
      </c>
      <c r="B917" s="9" t="str">
        <f t="shared" si="49"/>
        <v>N/I</v>
      </c>
      <c r="C917" s="9" t="str">
        <f t="shared" ref="C917:C1671" si="80">IF(AE917&lt;0,"Inativo",IF(AE917&gt;0,"Ativo","N/I"))</f>
        <v>Ativo</v>
      </c>
      <c r="D917" s="10" t="s">
        <v>2814</v>
      </c>
      <c r="E917" s="11" t="s">
        <v>2815</v>
      </c>
      <c r="F917" s="32"/>
      <c r="G917" s="12" t="s">
        <v>448</v>
      </c>
      <c r="H917" s="41" t="s">
        <v>2820</v>
      </c>
      <c r="I917" s="12" t="s">
        <v>380</v>
      </c>
      <c r="J917" s="10" t="s">
        <v>197</v>
      </c>
      <c r="K917" s="10" t="s">
        <v>40</v>
      </c>
      <c r="L917" s="10" t="s">
        <v>6</v>
      </c>
      <c r="M917" s="22">
        <v>44756.0</v>
      </c>
      <c r="N917" s="32" t="s">
        <v>2817</v>
      </c>
      <c r="O917" s="10" t="s">
        <v>2818</v>
      </c>
      <c r="P917" s="10" t="s">
        <v>2819</v>
      </c>
      <c r="Q917" s="2"/>
      <c r="R917" s="15"/>
      <c r="S917" s="15"/>
      <c r="T917" s="15"/>
      <c r="U917" s="15"/>
      <c r="V917" s="2"/>
      <c r="W917" s="15"/>
      <c r="X917" s="15"/>
      <c r="Y917" s="15"/>
      <c r="Z917" s="15"/>
      <c r="AA917" s="1"/>
      <c r="AB917" s="10">
        <v>12.0</v>
      </c>
      <c r="AC917" s="14">
        <v>45964.0</v>
      </c>
      <c r="AD917" s="14">
        <v>46329.0</v>
      </c>
      <c r="AE917" s="10">
        <f t="shared" si="79"/>
        <v>238</v>
      </c>
      <c r="AF917" s="2"/>
      <c r="AG917" s="16" t="s">
        <v>45</v>
      </c>
      <c r="AH917" s="12" t="s">
        <v>46</v>
      </c>
      <c r="AI917" s="10" t="s">
        <v>227</v>
      </c>
      <c r="AJ917" s="16" t="s">
        <v>45</v>
      </c>
      <c r="AK917" s="16" t="s">
        <v>45</v>
      </c>
      <c r="AL917" s="10" t="s">
        <v>49</v>
      </c>
      <c r="AM917" s="10" t="s">
        <v>227</v>
      </c>
      <c r="AN917" s="10" t="s">
        <v>50</v>
      </c>
    </row>
    <row r="918" ht="30.0" customHeight="1">
      <c r="A918" s="9" t="str">
        <f t="shared" si="48"/>
        <v>N/I</v>
      </c>
      <c r="B918" s="9" t="str">
        <f t="shared" si="49"/>
        <v>Ativo</v>
      </c>
      <c r="C918" s="9" t="str">
        <f t="shared" si="80"/>
        <v>N/I</v>
      </c>
      <c r="D918" s="10" t="s">
        <v>2821</v>
      </c>
      <c r="E918" s="11" t="s">
        <v>2822</v>
      </c>
      <c r="F918" s="32"/>
      <c r="G918" s="12" t="s">
        <v>94</v>
      </c>
      <c r="H918" s="20" t="s">
        <v>2823</v>
      </c>
      <c r="I918" s="12" t="s">
        <v>246</v>
      </c>
      <c r="J918" s="10" t="s">
        <v>247</v>
      </c>
      <c r="K918" s="10" t="s">
        <v>190</v>
      </c>
      <c r="L918" s="10" t="s">
        <v>264</v>
      </c>
      <c r="M918" s="14">
        <v>43101.0</v>
      </c>
      <c r="N918" s="32" t="s">
        <v>2824</v>
      </c>
      <c r="O918" s="10" t="s">
        <v>2825</v>
      </c>
      <c r="P918" s="10" t="s">
        <v>2826</v>
      </c>
      <c r="Q918" s="2"/>
      <c r="R918" s="15"/>
      <c r="S918" s="15"/>
      <c r="T918" s="15"/>
      <c r="U918" s="15"/>
      <c r="V918" s="2"/>
      <c r="W918" s="10">
        <v>24.0</v>
      </c>
      <c r="X918" s="14">
        <v>45764.0</v>
      </c>
      <c r="Y918" s="14">
        <v>46129.0</v>
      </c>
      <c r="Z918" s="10">
        <f>Y918-TODAY()</f>
        <v>38</v>
      </c>
      <c r="AA918" s="1"/>
      <c r="AB918" s="15"/>
      <c r="AC918" s="15"/>
      <c r="AD918" s="15"/>
      <c r="AE918" s="15"/>
      <c r="AF918" s="2"/>
      <c r="AG918" s="10" t="s">
        <v>290</v>
      </c>
      <c r="AH918" s="12" t="s">
        <v>46</v>
      </c>
      <c r="AI918" s="10" t="s">
        <v>441</v>
      </c>
      <c r="AJ918" s="10" t="s">
        <v>442</v>
      </c>
      <c r="AK918" s="16" t="s">
        <v>45</v>
      </c>
      <c r="AL918" s="10" t="s">
        <v>2289</v>
      </c>
      <c r="AM918" s="10" t="s">
        <v>319</v>
      </c>
      <c r="AN918" s="10" t="s">
        <v>50</v>
      </c>
    </row>
    <row r="919" ht="30.0" customHeight="1">
      <c r="A919" s="9" t="str">
        <f t="shared" si="48"/>
        <v>Inativo</v>
      </c>
      <c r="B919" s="9" t="str">
        <f t="shared" si="49"/>
        <v>N/I</v>
      </c>
      <c r="C919" s="9" t="str">
        <f t="shared" si="80"/>
        <v>N/I</v>
      </c>
      <c r="D919" s="10" t="s">
        <v>2827</v>
      </c>
      <c r="E919" s="11" t="s">
        <v>2828</v>
      </c>
      <c r="F919" s="32" t="s">
        <v>2829</v>
      </c>
      <c r="G919" s="12" t="s">
        <v>68</v>
      </c>
      <c r="H919" s="13" t="s">
        <v>2830</v>
      </c>
      <c r="I919" s="12" t="s">
        <v>246</v>
      </c>
      <c r="J919" s="10" t="s">
        <v>247</v>
      </c>
      <c r="K919" s="10" t="s">
        <v>190</v>
      </c>
      <c r="L919" s="10" t="s">
        <v>4</v>
      </c>
      <c r="M919" s="22">
        <v>44230.0</v>
      </c>
      <c r="N919" s="32" t="s">
        <v>2831</v>
      </c>
      <c r="O919" s="10" t="s">
        <v>2832</v>
      </c>
      <c r="P919" s="10" t="s">
        <v>2833</v>
      </c>
      <c r="Q919" s="2"/>
      <c r="R919" s="10">
        <v>36.0</v>
      </c>
      <c r="S919" s="14">
        <v>44330.0</v>
      </c>
      <c r="T919" s="14">
        <v>45425.0</v>
      </c>
      <c r="U919" s="10">
        <f t="shared" ref="U919:U928" si="81">T919-TODAY()</f>
        <v>-666</v>
      </c>
      <c r="V919" s="2"/>
      <c r="W919" s="15"/>
      <c r="X919" s="15"/>
      <c r="Y919" s="15"/>
      <c r="Z919" s="15"/>
      <c r="AA919" s="1"/>
      <c r="AB919" s="15"/>
      <c r="AC919" s="15"/>
      <c r="AD919" s="15"/>
      <c r="AE919" s="15"/>
      <c r="AF919" s="2"/>
      <c r="AG919" s="16" t="s">
        <v>45</v>
      </c>
      <c r="AH919" s="12" t="s">
        <v>46</v>
      </c>
      <c r="AI919" s="10" t="s">
        <v>291</v>
      </c>
      <c r="AJ919" s="10" t="s">
        <v>390</v>
      </c>
      <c r="AK919" s="10" t="s">
        <v>292</v>
      </c>
      <c r="AL919" s="10" t="s">
        <v>49</v>
      </c>
      <c r="AM919" s="16" t="s">
        <v>45</v>
      </c>
      <c r="AN919" s="16" t="s">
        <v>45</v>
      </c>
    </row>
    <row r="920" ht="30.0" customHeight="1">
      <c r="A920" s="9" t="str">
        <f t="shared" si="48"/>
        <v>Inativo</v>
      </c>
      <c r="B920" s="9" t="str">
        <f t="shared" si="49"/>
        <v>N/I</v>
      </c>
      <c r="C920" s="9" t="str">
        <f t="shared" si="80"/>
        <v>N/I</v>
      </c>
      <c r="D920" s="10" t="s">
        <v>2827</v>
      </c>
      <c r="E920" s="11" t="s">
        <v>2828</v>
      </c>
      <c r="F920" s="32" t="s">
        <v>2829</v>
      </c>
      <c r="G920" s="12" t="s">
        <v>68</v>
      </c>
      <c r="H920" s="13" t="s">
        <v>2834</v>
      </c>
      <c r="I920" s="12" t="s">
        <v>246</v>
      </c>
      <c r="J920" s="10" t="s">
        <v>247</v>
      </c>
      <c r="K920" s="10" t="s">
        <v>190</v>
      </c>
      <c r="L920" s="10" t="s">
        <v>4</v>
      </c>
      <c r="M920" s="22">
        <v>44260.0</v>
      </c>
      <c r="N920" s="32" t="s">
        <v>2831</v>
      </c>
      <c r="O920" s="10" t="s">
        <v>2832</v>
      </c>
      <c r="P920" s="10" t="s">
        <v>2833</v>
      </c>
      <c r="Q920" s="2"/>
      <c r="R920" s="10">
        <v>36.0</v>
      </c>
      <c r="S920" s="14">
        <v>44330.0</v>
      </c>
      <c r="T920" s="14">
        <v>45425.0</v>
      </c>
      <c r="U920" s="10">
        <f t="shared" si="81"/>
        <v>-666</v>
      </c>
      <c r="V920" s="2"/>
      <c r="W920" s="15"/>
      <c r="X920" s="15"/>
      <c r="Y920" s="15"/>
      <c r="Z920" s="15"/>
      <c r="AA920" s="1"/>
      <c r="AB920" s="15"/>
      <c r="AC920" s="15"/>
      <c r="AD920" s="15"/>
      <c r="AE920" s="15"/>
      <c r="AF920" s="2"/>
      <c r="AG920" s="16" t="s">
        <v>45</v>
      </c>
      <c r="AH920" s="12" t="s">
        <v>46</v>
      </c>
      <c r="AI920" s="10" t="s">
        <v>291</v>
      </c>
      <c r="AJ920" s="10" t="s">
        <v>390</v>
      </c>
      <c r="AK920" s="10" t="s">
        <v>292</v>
      </c>
      <c r="AL920" s="10" t="s">
        <v>49</v>
      </c>
      <c r="AM920" s="16" t="s">
        <v>45</v>
      </c>
      <c r="AN920" s="16" t="s">
        <v>45</v>
      </c>
    </row>
    <row r="921" ht="30.0" customHeight="1">
      <c r="A921" s="9" t="str">
        <f t="shared" si="48"/>
        <v>Inativo</v>
      </c>
      <c r="B921" s="9" t="str">
        <f t="shared" si="49"/>
        <v>N/I</v>
      </c>
      <c r="C921" s="9" t="str">
        <f t="shared" si="80"/>
        <v>N/I</v>
      </c>
      <c r="D921" s="10" t="s">
        <v>2827</v>
      </c>
      <c r="E921" s="11" t="s">
        <v>2828</v>
      </c>
      <c r="F921" s="32" t="s">
        <v>2829</v>
      </c>
      <c r="G921" s="12" t="s">
        <v>68</v>
      </c>
      <c r="H921" s="13" t="s">
        <v>2835</v>
      </c>
      <c r="I921" s="12" t="s">
        <v>246</v>
      </c>
      <c r="J921" s="10" t="s">
        <v>247</v>
      </c>
      <c r="K921" s="10" t="s">
        <v>190</v>
      </c>
      <c r="L921" s="10" t="s">
        <v>4</v>
      </c>
      <c r="M921" s="22">
        <v>44304.0</v>
      </c>
      <c r="N921" s="32" t="s">
        <v>2831</v>
      </c>
      <c r="O921" s="10" t="s">
        <v>2832</v>
      </c>
      <c r="P921" s="10" t="s">
        <v>2833</v>
      </c>
      <c r="Q921" s="2"/>
      <c r="R921" s="10">
        <v>36.0</v>
      </c>
      <c r="S921" s="14">
        <v>44330.0</v>
      </c>
      <c r="T921" s="14">
        <v>45425.0</v>
      </c>
      <c r="U921" s="10">
        <f t="shared" si="81"/>
        <v>-666</v>
      </c>
      <c r="V921" s="2"/>
      <c r="W921" s="15"/>
      <c r="X921" s="15"/>
      <c r="Y921" s="15"/>
      <c r="Z921" s="15"/>
      <c r="AA921" s="1"/>
      <c r="AB921" s="15"/>
      <c r="AC921" s="15"/>
      <c r="AD921" s="15"/>
      <c r="AE921" s="15"/>
      <c r="AF921" s="2"/>
      <c r="AG921" s="16" t="s">
        <v>45</v>
      </c>
      <c r="AH921" s="12" t="s">
        <v>46</v>
      </c>
      <c r="AI921" s="10" t="s">
        <v>291</v>
      </c>
      <c r="AJ921" s="10" t="s">
        <v>390</v>
      </c>
      <c r="AK921" s="10" t="s">
        <v>292</v>
      </c>
      <c r="AL921" s="10" t="s">
        <v>49</v>
      </c>
      <c r="AM921" s="16" t="s">
        <v>45</v>
      </c>
      <c r="AN921" s="16" t="s">
        <v>45</v>
      </c>
    </row>
    <row r="922" ht="30.0" customHeight="1">
      <c r="A922" s="9" t="str">
        <f t="shared" si="48"/>
        <v>Inativo</v>
      </c>
      <c r="B922" s="9" t="str">
        <f t="shared" si="49"/>
        <v>N/I</v>
      </c>
      <c r="C922" s="9" t="str">
        <f t="shared" si="80"/>
        <v>N/I</v>
      </c>
      <c r="D922" s="10" t="s">
        <v>2827</v>
      </c>
      <c r="E922" s="11" t="s">
        <v>2828</v>
      </c>
      <c r="F922" s="32" t="s">
        <v>2829</v>
      </c>
      <c r="G922" s="12" t="s">
        <v>68</v>
      </c>
      <c r="H922" s="13" t="s">
        <v>2836</v>
      </c>
      <c r="I922" s="12" t="s">
        <v>246</v>
      </c>
      <c r="J922" s="10" t="s">
        <v>247</v>
      </c>
      <c r="K922" s="10" t="s">
        <v>190</v>
      </c>
      <c r="L922" s="10" t="s">
        <v>4</v>
      </c>
      <c r="M922" s="22">
        <v>44304.0</v>
      </c>
      <c r="N922" s="32" t="s">
        <v>2831</v>
      </c>
      <c r="O922" s="10" t="s">
        <v>2832</v>
      </c>
      <c r="P922" s="10" t="s">
        <v>2833</v>
      </c>
      <c r="Q922" s="2"/>
      <c r="R922" s="10">
        <v>36.0</v>
      </c>
      <c r="S922" s="14">
        <v>44330.0</v>
      </c>
      <c r="T922" s="14">
        <v>45425.0</v>
      </c>
      <c r="U922" s="10">
        <f t="shared" si="81"/>
        <v>-666</v>
      </c>
      <c r="V922" s="2"/>
      <c r="W922" s="15"/>
      <c r="X922" s="15"/>
      <c r="Y922" s="15"/>
      <c r="Z922" s="15"/>
      <c r="AA922" s="1"/>
      <c r="AB922" s="15"/>
      <c r="AC922" s="15"/>
      <c r="AD922" s="15"/>
      <c r="AE922" s="15"/>
      <c r="AF922" s="2"/>
      <c r="AG922" s="16" t="s">
        <v>45</v>
      </c>
      <c r="AH922" s="12" t="s">
        <v>46</v>
      </c>
      <c r="AI922" s="10" t="s">
        <v>291</v>
      </c>
      <c r="AJ922" s="10" t="s">
        <v>390</v>
      </c>
      <c r="AK922" s="10" t="s">
        <v>292</v>
      </c>
      <c r="AL922" s="10" t="s">
        <v>49</v>
      </c>
      <c r="AM922" s="16" t="s">
        <v>45</v>
      </c>
      <c r="AN922" s="16" t="s">
        <v>45</v>
      </c>
    </row>
    <row r="923" ht="30.0" customHeight="1">
      <c r="A923" s="9" t="str">
        <f t="shared" si="48"/>
        <v>Inativo</v>
      </c>
      <c r="B923" s="9" t="str">
        <f t="shared" si="49"/>
        <v>N/I</v>
      </c>
      <c r="C923" s="9" t="str">
        <f t="shared" si="80"/>
        <v>N/I</v>
      </c>
      <c r="D923" s="10" t="s">
        <v>2827</v>
      </c>
      <c r="E923" s="11" t="s">
        <v>2828</v>
      </c>
      <c r="F923" s="32" t="s">
        <v>2829</v>
      </c>
      <c r="G923" s="12" t="s">
        <v>68</v>
      </c>
      <c r="H923" s="13" t="s">
        <v>2837</v>
      </c>
      <c r="I923" s="12" t="s">
        <v>246</v>
      </c>
      <c r="J923" s="10" t="s">
        <v>247</v>
      </c>
      <c r="K923" s="10" t="s">
        <v>190</v>
      </c>
      <c r="L923" s="10" t="s">
        <v>4</v>
      </c>
      <c r="M923" s="22">
        <v>44304.0</v>
      </c>
      <c r="N923" s="32" t="s">
        <v>2831</v>
      </c>
      <c r="O923" s="10" t="s">
        <v>2832</v>
      </c>
      <c r="P923" s="10" t="s">
        <v>2833</v>
      </c>
      <c r="Q923" s="2"/>
      <c r="R923" s="10">
        <v>36.0</v>
      </c>
      <c r="S923" s="14">
        <v>44330.0</v>
      </c>
      <c r="T923" s="14">
        <v>45425.0</v>
      </c>
      <c r="U923" s="10">
        <f t="shared" si="81"/>
        <v>-666</v>
      </c>
      <c r="V923" s="2"/>
      <c r="W923" s="15"/>
      <c r="X923" s="15"/>
      <c r="Y923" s="15"/>
      <c r="Z923" s="15"/>
      <c r="AA923" s="1"/>
      <c r="AB923" s="15"/>
      <c r="AC923" s="15"/>
      <c r="AD923" s="15"/>
      <c r="AE923" s="15"/>
      <c r="AF923" s="2"/>
      <c r="AG923" s="16" t="s">
        <v>45</v>
      </c>
      <c r="AH923" s="12" t="s">
        <v>46</v>
      </c>
      <c r="AI923" s="10" t="s">
        <v>291</v>
      </c>
      <c r="AJ923" s="10" t="s">
        <v>390</v>
      </c>
      <c r="AK923" s="10" t="s">
        <v>292</v>
      </c>
      <c r="AL923" s="10" t="s">
        <v>49</v>
      </c>
      <c r="AM923" s="16" t="s">
        <v>45</v>
      </c>
      <c r="AN923" s="16" t="s">
        <v>45</v>
      </c>
    </row>
    <row r="924" ht="30.0" customHeight="1">
      <c r="A924" s="9" t="str">
        <f t="shared" si="48"/>
        <v>Inativo</v>
      </c>
      <c r="B924" s="9" t="str">
        <f t="shared" si="49"/>
        <v>N/I</v>
      </c>
      <c r="C924" s="9" t="str">
        <f t="shared" si="80"/>
        <v>N/I</v>
      </c>
      <c r="D924" s="10" t="s">
        <v>2827</v>
      </c>
      <c r="E924" s="11" t="s">
        <v>2828</v>
      </c>
      <c r="F924" s="32" t="s">
        <v>2829</v>
      </c>
      <c r="G924" s="12" t="s">
        <v>68</v>
      </c>
      <c r="H924" s="13" t="s">
        <v>2838</v>
      </c>
      <c r="I924" s="12" t="s">
        <v>246</v>
      </c>
      <c r="J924" s="10" t="s">
        <v>247</v>
      </c>
      <c r="K924" s="10" t="s">
        <v>190</v>
      </c>
      <c r="L924" s="10" t="s">
        <v>4</v>
      </c>
      <c r="M924" s="22">
        <v>44304.0</v>
      </c>
      <c r="N924" s="32" t="s">
        <v>2831</v>
      </c>
      <c r="O924" s="10" t="s">
        <v>2832</v>
      </c>
      <c r="P924" s="10" t="s">
        <v>2833</v>
      </c>
      <c r="Q924" s="2"/>
      <c r="R924" s="10">
        <v>36.0</v>
      </c>
      <c r="S924" s="14">
        <v>44330.0</v>
      </c>
      <c r="T924" s="14">
        <v>45425.0</v>
      </c>
      <c r="U924" s="10">
        <f t="shared" si="81"/>
        <v>-666</v>
      </c>
      <c r="V924" s="2"/>
      <c r="W924" s="15"/>
      <c r="X924" s="15"/>
      <c r="Y924" s="15"/>
      <c r="Z924" s="15"/>
      <c r="AA924" s="1"/>
      <c r="AB924" s="15"/>
      <c r="AC924" s="15"/>
      <c r="AD924" s="15"/>
      <c r="AE924" s="15"/>
      <c r="AF924" s="2"/>
      <c r="AG924" s="16" t="s">
        <v>45</v>
      </c>
      <c r="AH924" s="12" t="s">
        <v>46</v>
      </c>
      <c r="AI924" s="10" t="s">
        <v>291</v>
      </c>
      <c r="AJ924" s="10" t="s">
        <v>390</v>
      </c>
      <c r="AK924" s="10" t="s">
        <v>292</v>
      </c>
      <c r="AL924" s="10" t="s">
        <v>49</v>
      </c>
      <c r="AM924" s="16" t="s">
        <v>45</v>
      </c>
      <c r="AN924" s="16" t="s">
        <v>45</v>
      </c>
    </row>
    <row r="925" ht="30.0" customHeight="1">
      <c r="A925" s="9" t="str">
        <f t="shared" si="48"/>
        <v>Inativo</v>
      </c>
      <c r="B925" s="9" t="str">
        <f t="shared" si="49"/>
        <v>N/I</v>
      </c>
      <c r="C925" s="9" t="str">
        <f t="shared" si="80"/>
        <v>N/I</v>
      </c>
      <c r="D925" s="10" t="s">
        <v>2827</v>
      </c>
      <c r="E925" s="11" t="s">
        <v>2828</v>
      </c>
      <c r="F925" s="32" t="s">
        <v>2829</v>
      </c>
      <c r="G925" s="12" t="s">
        <v>68</v>
      </c>
      <c r="H925" s="13" t="s">
        <v>2839</v>
      </c>
      <c r="I925" s="12" t="s">
        <v>246</v>
      </c>
      <c r="J925" s="10" t="s">
        <v>247</v>
      </c>
      <c r="K925" s="10" t="s">
        <v>190</v>
      </c>
      <c r="L925" s="10" t="s">
        <v>4</v>
      </c>
      <c r="M925" s="22">
        <v>44304.0</v>
      </c>
      <c r="N925" s="32" t="s">
        <v>2831</v>
      </c>
      <c r="O925" s="10" t="s">
        <v>2832</v>
      </c>
      <c r="P925" s="10" t="s">
        <v>2833</v>
      </c>
      <c r="Q925" s="2"/>
      <c r="R925" s="10">
        <v>36.0</v>
      </c>
      <c r="S925" s="14">
        <v>44330.0</v>
      </c>
      <c r="T925" s="14">
        <v>45425.0</v>
      </c>
      <c r="U925" s="10">
        <f t="shared" si="81"/>
        <v>-666</v>
      </c>
      <c r="V925" s="2"/>
      <c r="W925" s="15"/>
      <c r="X925" s="15"/>
      <c r="Y925" s="15"/>
      <c r="Z925" s="15"/>
      <c r="AA925" s="1"/>
      <c r="AB925" s="15"/>
      <c r="AC925" s="15"/>
      <c r="AD925" s="15"/>
      <c r="AE925" s="15"/>
      <c r="AF925" s="2"/>
      <c r="AG925" s="16" t="s">
        <v>45</v>
      </c>
      <c r="AH925" s="12" t="s">
        <v>46</v>
      </c>
      <c r="AI925" s="10" t="s">
        <v>291</v>
      </c>
      <c r="AJ925" s="10" t="s">
        <v>390</v>
      </c>
      <c r="AK925" s="10" t="s">
        <v>292</v>
      </c>
      <c r="AL925" s="10" t="s">
        <v>49</v>
      </c>
      <c r="AM925" s="16" t="s">
        <v>45</v>
      </c>
      <c r="AN925" s="16" t="s">
        <v>45</v>
      </c>
    </row>
    <row r="926" ht="30.0" customHeight="1">
      <c r="A926" s="9" t="str">
        <f t="shared" si="48"/>
        <v>Inativo</v>
      </c>
      <c r="B926" s="9" t="str">
        <f t="shared" si="49"/>
        <v>N/I</v>
      </c>
      <c r="C926" s="9" t="str">
        <f t="shared" si="80"/>
        <v>N/I</v>
      </c>
      <c r="D926" s="10" t="s">
        <v>2827</v>
      </c>
      <c r="E926" s="11" t="s">
        <v>2828</v>
      </c>
      <c r="F926" s="32" t="s">
        <v>2829</v>
      </c>
      <c r="G926" s="12" t="s">
        <v>68</v>
      </c>
      <c r="H926" s="13" t="s">
        <v>2840</v>
      </c>
      <c r="I926" s="12" t="s">
        <v>246</v>
      </c>
      <c r="J926" s="10" t="s">
        <v>247</v>
      </c>
      <c r="K926" s="10" t="s">
        <v>190</v>
      </c>
      <c r="L926" s="10" t="s">
        <v>4</v>
      </c>
      <c r="M926" s="22">
        <v>44304.0</v>
      </c>
      <c r="N926" s="32" t="s">
        <v>2831</v>
      </c>
      <c r="O926" s="10" t="s">
        <v>2832</v>
      </c>
      <c r="P926" s="10" t="s">
        <v>2833</v>
      </c>
      <c r="Q926" s="2"/>
      <c r="R926" s="10">
        <v>36.0</v>
      </c>
      <c r="S926" s="14">
        <v>44330.0</v>
      </c>
      <c r="T926" s="14">
        <v>45425.0</v>
      </c>
      <c r="U926" s="10">
        <f t="shared" si="81"/>
        <v>-666</v>
      </c>
      <c r="V926" s="2"/>
      <c r="W926" s="15"/>
      <c r="X926" s="15"/>
      <c r="Y926" s="15"/>
      <c r="Z926" s="15"/>
      <c r="AA926" s="1"/>
      <c r="AB926" s="15"/>
      <c r="AC926" s="15"/>
      <c r="AD926" s="15"/>
      <c r="AE926" s="15"/>
      <c r="AF926" s="2"/>
      <c r="AG926" s="16" t="s">
        <v>45</v>
      </c>
      <c r="AH926" s="12" t="s">
        <v>46</v>
      </c>
      <c r="AI926" s="10" t="s">
        <v>291</v>
      </c>
      <c r="AJ926" s="10" t="s">
        <v>390</v>
      </c>
      <c r="AK926" s="10" t="s">
        <v>292</v>
      </c>
      <c r="AL926" s="10" t="s">
        <v>49</v>
      </c>
      <c r="AM926" s="16" t="s">
        <v>45</v>
      </c>
      <c r="AN926" s="16" t="s">
        <v>45</v>
      </c>
    </row>
    <row r="927" ht="30.0" customHeight="1">
      <c r="A927" s="9" t="str">
        <f t="shared" si="48"/>
        <v>Inativo</v>
      </c>
      <c r="B927" s="9" t="str">
        <f t="shared" si="49"/>
        <v>N/I</v>
      </c>
      <c r="C927" s="9" t="str">
        <f t="shared" si="80"/>
        <v>N/I</v>
      </c>
      <c r="D927" s="10" t="s">
        <v>2827</v>
      </c>
      <c r="E927" s="11" t="s">
        <v>2828</v>
      </c>
      <c r="F927" s="32" t="s">
        <v>2829</v>
      </c>
      <c r="G927" s="12" t="s">
        <v>68</v>
      </c>
      <c r="H927" s="13" t="s">
        <v>2841</v>
      </c>
      <c r="I927" s="12" t="s">
        <v>246</v>
      </c>
      <c r="J927" s="10" t="s">
        <v>247</v>
      </c>
      <c r="K927" s="10" t="s">
        <v>190</v>
      </c>
      <c r="L927" s="10" t="s">
        <v>4</v>
      </c>
      <c r="M927" s="22">
        <v>44304.0</v>
      </c>
      <c r="N927" s="32" t="s">
        <v>2831</v>
      </c>
      <c r="O927" s="10" t="s">
        <v>2832</v>
      </c>
      <c r="P927" s="10" t="s">
        <v>2833</v>
      </c>
      <c r="Q927" s="2"/>
      <c r="R927" s="10">
        <v>36.0</v>
      </c>
      <c r="S927" s="14">
        <v>44330.0</v>
      </c>
      <c r="T927" s="14">
        <v>45425.0</v>
      </c>
      <c r="U927" s="10">
        <f t="shared" si="81"/>
        <v>-666</v>
      </c>
      <c r="V927" s="2"/>
      <c r="W927" s="15"/>
      <c r="X927" s="15"/>
      <c r="Y927" s="15"/>
      <c r="Z927" s="15"/>
      <c r="AA927" s="1"/>
      <c r="AB927" s="15"/>
      <c r="AC927" s="15"/>
      <c r="AD927" s="15"/>
      <c r="AE927" s="15"/>
      <c r="AF927" s="2"/>
      <c r="AG927" s="16" t="s">
        <v>45</v>
      </c>
      <c r="AH927" s="12" t="s">
        <v>46</v>
      </c>
      <c r="AI927" s="10" t="s">
        <v>291</v>
      </c>
      <c r="AJ927" s="10" t="s">
        <v>390</v>
      </c>
      <c r="AK927" s="10" t="s">
        <v>292</v>
      </c>
      <c r="AL927" s="10" t="s">
        <v>49</v>
      </c>
      <c r="AM927" s="16" t="s">
        <v>45</v>
      </c>
      <c r="AN927" s="16" t="s">
        <v>45</v>
      </c>
    </row>
    <row r="928" ht="30.0" customHeight="1">
      <c r="A928" s="9" t="str">
        <f t="shared" si="48"/>
        <v>Inativo</v>
      </c>
      <c r="B928" s="9" t="str">
        <f t="shared" si="49"/>
        <v>N/I</v>
      </c>
      <c r="C928" s="9" t="str">
        <f t="shared" si="80"/>
        <v>N/I</v>
      </c>
      <c r="D928" s="10" t="s">
        <v>2827</v>
      </c>
      <c r="E928" s="11" t="s">
        <v>2828</v>
      </c>
      <c r="F928" s="32" t="s">
        <v>2829</v>
      </c>
      <c r="G928" s="12" t="s">
        <v>68</v>
      </c>
      <c r="H928" s="13" t="s">
        <v>2842</v>
      </c>
      <c r="I928" s="12" t="s">
        <v>246</v>
      </c>
      <c r="J928" s="10" t="s">
        <v>247</v>
      </c>
      <c r="K928" s="10" t="s">
        <v>190</v>
      </c>
      <c r="L928" s="10" t="s">
        <v>4</v>
      </c>
      <c r="M928" s="22">
        <v>44304.0</v>
      </c>
      <c r="N928" s="32" t="s">
        <v>2831</v>
      </c>
      <c r="O928" s="10" t="s">
        <v>2832</v>
      </c>
      <c r="P928" s="10" t="s">
        <v>2833</v>
      </c>
      <c r="Q928" s="2"/>
      <c r="R928" s="10">
        <v>36.0</v>
      </c>
      <c r="S928" s="14">
        <v>44330.0</v>
      </c>
      <c r="T928" s="14">
        <v>45425.0</v>
      </c>
      <c r="U928" s="10">
        <f t="shared" si="81"/>
        <v>-666</v>
      </c>
      <c r="V928" s="2"/>
      <c r="W928" s="15"/>
      <c r="X928" s="15"/>
      <c r="Y928" s="15"/>
      <c r="Z928" s="15"/>
      <c r="AA928" s="1"/>
      <c r="AB928" s="15"/>
      <c r="AC928" s="15"/>
      <c r="AD928" s="15"/>
      <c r="AE928" s="15"/>
      <c r="AF928" s="2"/>
      <c r="AG928" s="16" t="s">
        <v>45</v>
      </c>
      <c r="AH928" s="12" t="s">
        <v>46</v>
      </c>
      <c r="AI928" s="10" t="s">
        <v>291</v>
      </c>
      <c r="AJ928" s="10" t="s">
        <v>390</v>
      </c>
      <c r="AK928" s="10" t="s">
        <v>292</v>
      </c>
      <c r="AL928" s="10" t="s">
        <v>49</v>
      </c>
      <c r="AM928" s="16" t="s">
        <v>45</v>
      </c>
      <c r="AN928" s="16" t="s">
        <v>45</v>
      </c>
    </row>
    <row r="929" ht="30.0" customHeight="1">
      <c r="A929" s="9" t="str">
        <f t="shared" si="48"/>
        <v>N/I</v>
      </c>
      <c r="B929" s="9" t="str">
        <f t="shared" si="49"/>
        <v>N/I</v>
      </c>
      <c r="C929" s="9" t="str">
        <f t="shared" si="80"/>
        <v>Inativo</v>
      </c>
      <c r="D929" s="10" t="s">
        <v>2843</v>
      </c>
      <c r="E929" s="11" t="s">
        <v>2844</v>
      </c>
      <c r="F929" s="32" t="s">
        <v>2845</v>
      </c>
      <c r="G929" s="12" t="s">
        <v>502</v>
      </c>
      <c r="H929" s="20" t="s">
        <v>2846</v>
      </c>
      <c r="I929" s="12" t="s">
        <v>39</v>
      </c>
      <c r="J929" s="10" t="s">
        <v>40</v>
      </c>
      <c r="K929" s="10" t="s">
        <v>41</v>
      </c>
      <c r="L929" s="10" t="s">
        <v>6</v>
      </c>
      <c r="M929" s="14">
        <v>44414.0</v>
      </c>
      <c r="N929" s="32" t="s">
        <v>2847</v>
      </c>
      <c r="O929" s="10" t="s">
        <v>2848</v>
      </c>
      <c r="P929" s="10" t="s">
        <v>2849</v>
      </c>
      <c r="Q929" s="2"/>
      <c r="R929" s="15"/>
      <c r="S929" s="15"/>
      <c r="T929" s="15"/>
      <c r="U929" s="15"/>
      <c r="V929" s="2"/>
      <c r="W929" s="15"/>
      <c r="X929" s="15"/>
      <c r="Y929" s="15"/>
      <c r="Z929" s="15"/>
      <c r="AA929" s="1"/>
      <c r="AB929" s="10">
        <v>3.0</v>
      </c>
      <c r="AC929" s="14">
        <v>45653.0</v>
      </c>
      <c r="AD929" s="14">
        <v>45743.0</v>
      </c>
      <c r="AE929" s="10">
        <f t="shared" ref="AE929:AE933" si="82">AD929-TODAY()</f>
        <v>-348</v>
      </c>
      <c r="AF929" s="2"/>
      <c r="AG929" s="16" t="s">
        <v>45</v>
      </c>
      <c r="AH929" s="12" t="s">
        <v>46</v>
      </c>
      <c r="AI929" s="10" t="s">
        <v>441</v>
      </c>
      <c r="AJ929" s="10" t="s">
        <v>227</v>
      </c>
      <c r="AK929" s="16" t="s">
        <v>45</v>
      </c>
      <c r="AL929" s="10" t="s">
        <v>49</v>
      </c>
      <c r="AM929" s="16" t="s">
        <v>45</v>
      </c>
      <c r="AN929" s="10" t="s">
        <v>320</v>
      </c>
    </row>
    <row r="930" ht="30.0" customHeight="1">
      <c r="A930" s="9" t="str">
        <f t="shared" si="48"/>
        <v>N/I</v>
      </c>
      <c r="B930" s="9" t="str">
        <f t="shared" si="49"/>
        <v>N/I</v>
      </c>
      <c r="C930" s="9" t="str">
        <f t="shared" si="80"/>
        <v>Inativo</v>
      </c>
      <c r="D930" s="10" t="s">
        <v>2843</v>
      </c>
      <c r="E930" s="11" t="s">
        <v>2844</v>
      </c>
      <c r="F930" s="11" t="s">
        <v>2850</v>
      </c>
      <c r="G930" s="12" t="s">
        <v>502</v>
      </c>
      <c r="H930" s="20" t="s">
        <v>2851</v>
      </c>
      <c r="I930" s="12" t="s">
        <v>980</v>
      </c>
      <c r="J930" s="10" t="s">
        <v>40</v>
      </c>
      <c r="K930" s="10" t="s">
        <v>41</v>
      </c>
      <c r="L930" s="10" t="s">
        <v>6</v>
      </c>
      <c r="M930" s="22">
        <v>44756.0</v>
      </c>
      <c r="N930" s="32" t="s">
        <v>2852</v>
      </c>
      <c r="O930" s="10" t="s">
        <v>982</v>
      </c>
      <c r="P930" s="10" t="s">
        <v>2853</v>
      </c>
      <c r="Q930" s="2"/>
      <c r="R930" s="15"/>
      <c r="S930" s="15"/>
      <c r="T930" s="15"/>
      <c r="U930" s="15"/>
      <c r="V930" s="2"/>
      <c r="W930" s="15"/>
      <c r="X930" s="15"/>
      <c r="Y930" s="15"/>
      <c r="Z930" s="15"/>
      <c r="AA930" s="1"/>
      <c r="AB930" s="10">
        <v>3.0</v>
      </c>
      <c r="AC930" s="14">
        <v>45653.0</v>
      </c>
      <c r="AD930" s="14">
        <v>45743.0</v>
      </c>
      <c r="AE930" s="10">
        <f t="shared" si="82"/>
        <v>-348</v>
      </c>
      <c r="AF930" s="2"/>
      <c r="AG930" s="16" t="s">
        <v>45</v>
      </c>
      <c r="AH930" s="12" t="s">
        <v>46</v>
      </c>
      <c r="AI930" s="10" t="s">
        <v>441</v>
      </c>
      <c r="AJ930" s="10" t="s">
        <v>227</v>
      </c>
      <c r="AK930" s="16" t="s">
        <v>45</v>
      </c>
      <c r="AL930" s="10" t="s">
        <v>49</v>
      </c>
      <c r="AM930" s="16" t="s">
        <v>45</v>
      </c>
      <c r="AN930" s="10" t="s">
        <v>320</v>
      </c>
    </row>
    <row r="931" ht="30.0" customHeight="1">
      <c r="A931" s="9" t="str">
        <f t="shared" si="48"/>
        <v>N/I</v>
      </c>
      <c r="B931" s="9" t="str">
        <f t="shared" si="49"/>
        <v>N/I</v>
      </c>
      <c r="C931" s="9" t="str">
        <f t="shared" si="80"/>
        <v>Inativo</v>
      </c>
      <c r="D931" s="10" t="s">
        <v>2843</v>
      </c>
      <c r="E931" s="11" t="s">
        <v>2844</v>
      </c>
      <c r="F931" s="11" t="s">
        <v>2854</v>
      </c>
      <c r="G931" s="12" t="s">
        <v>502</v>
      </c>
      <c r="H931" s="20" t="s">
        <v>2855</v>
      </c>
      <c r="I931" s="12" t="s">
        <v>2856</v>
      </c>
      <c r="J931" s="10" t="s">
        <v>40</v>
      </c>
      <c r="K931" s="10" t="s">
        <v>41</v>
      </c>
      <c r="L931" s="10" t="s">
        <v>6</v>
      </c>
      <c r="M931" s="22">
        <v>43272.0</v>
      </c>
      <c r="N931" s="32" t="s">
        <v>2857</v>
      </c>
      <c r="O931" s="10" t="s">
        <v>2858</v>
      </c>
      <c r="P931" s="10" t="s">
        <v>2849</v>
      </c>
      <c r="Q931" s="2"/>
      <c r="R931" s="15"/>
      <c r="S931" s="15"/>
      <c r="T931" s="15"/>
      <c r="U931" s="15"/>
      <c r="V931" s="2"/>
      <c r="W931" s="15"/>
      <c r="X931" s="15"/>
      <c r="Y931" s="15"/>
      <c r="Z931" s="15"/>
      <c r="AA931" s="1"/>
      <c r="AB931" s="10">
        <v>3.0</v>
      </c>
      <c r="AC931" s="14">
        <v>45653.0</v>
      </c>
      <c r="AD931" s="14">
        <v>45743.0</v>
      </c>
      <c r="AE931" s="10">
        <f t="shared" si="82"/>
        <v>-348</v>
      </c>
      <c r="AF931" s="2"/>
      <c r="AG931" s="16" t="s">
        <v>45</v>
      </c>
      <c r="AH931" s="12" t="s">
        <v>46</v>
      </c>
      <c r="AI931" s="10" t="s">
        <v>441</v>
      </c>
      <c r="AJ931" s="10" t="s">
        <v>227</v>
      </c>
      <c r="AK931" s="16" t="s">
        <v>45</v>
      </c>
      <c r="AL931" s="10" t="s">
        <v>49</v>
      </c>
      <c r="AM931" s="16" t="s">
        <v>45</v>
      </c>
      <c r="AN931" s="10" t="s">
        <v>320</v>
      </c>
    </row>
    <row r="932" ht="30.0" customHeight="1">
      <c r="A932" s="9" t="str">
        <f t="shared" si="48"/>
        <v>N/I</v>
      </c>
      <c r="B932" s="9" t="str">
        <f t="shared" si="49"/>
        <v>N/I</v>
      </c>
      <c r="C932" s="9" t="str">
        <f t="shared" si="80"/>
        <v>Inativo</v>
      </c>
      <c r="D932" s="10" t="s">
        <v>2843</v>
      </c>
      <c r="E932" s="11" t="s">
        <v>2844</v>
      </c>
      <c r="F932" s="11" t="s">
        <v>2859</v>
      </c>
      <c r="G932" s="12" t="s">
        <v>94</v>
      </c>
      <c r="H932" s="13" t="s">
        <v>2860</v>
      </c>
      <c r="I932" s="12" t="s">
        <v>100</v>
      </c>
      <c r="J932" s="10" t="s">
        <v>101</v>
      </c>
      <c r="K932" s="10" t="s">
        <v>41</v>
      </c>
      <c r="L932" s="10" t="s">
        <v>6</v>
      </c>
      <c r="M932" s="22">
        <v>44968.0</v>
      </c>
      <c r="N932" s="32" t="s">
        <v>2861</v>
      </c>
      <c r="O932" s="10" t="s">
        <v>1242</v>
      </c>
      <c r="P932" s="10" t="s">
        <v>2862</v>
      </c>
      <c r="Q932" s="2"/>
      <c r="R932" s="15"/>
      <c r="S932" s="15"/>
      <c r="T932" s="15"/>
      <c r="U932" s="15"/>
      <c r="V932" s="2"/>
      <c r="W932" s="15"/>
      <c r="X932" s="15"/>
      <c r="Y932" s="15"/>
      <c r="Z932" s="15"/>
      <c r="AA932" s="1"/>
      <c r="AB932" s="10">
        <v>12.0</v>
      </c>
      <c r="AC932" s="14">
        <v>45688.0</v>
      </c>
      <c r="AD932" s="14">
        <v>46053.0</v>
      </c>
      <c r="AE932" s="10">
        <f t="shared" si="82"/>
        <v>-38</v>
      </c>
      <c r="AF932" s="2"/>
      <c r="AG932" s="16" t="s">
        <v>45</v>
      </c>
      <c r="AH932" s="12" t="s">
        <v>46</v>
      </c>
      <c r="AI932" s="10" t="s">
        <v>441</v>
      </c>
      <c r="AJ932" s="10" t="s">
        <v>227</v>
      </c>
      <c r="AK932" s="16" t="s">
        <v>45</v>
      </c>
      <c r="AL932" s="10" t="s">
        <v>49</v>
      </c>
      <c r="AM932" s="16" t="s">
        <v>45</v>
      </c>
      <c r="AN932" s="10" t="s">
        <v>320</v>
      </c>
    </row>
    <row r="933" ht="30.0" customHeight="1">
      <c r="A933" s="9" t="str">
        <f t="shared" si="48"/>
        <v>N/I</v>
      </c>
      <c r="B933" s="9" t="str">
        <f t="shared" si="49"/>
        <v>N/I</v>
      </c>
      <c r="C933" s="9" t="str">
        <f t="shared" si="80"/>
        <v>Inativo</v>
      </c>
      <c r="D933" s="10" t="s">
        <v>2843</v>
      </c>
      <c r="E933" s="11" t="s">
        <v>2844</v>
      </c>
      <c r="F933" s="11" t="s">
        <v>2859</v>
      </c>
      <c r="G933" s="12" t="s">
        <v>502</v>
      </c>
      <c r="H933" s="13" t="s">
        <v>2863</v>
      </c>
      <c r="I933" s="12" t="s">
        <v>100</v>
      </c>
      <c r="J933" s="10" t="s">
        <v>101</v>
      </c>
      <c r="K933" s="10" t="s">
        <v>41</v>
      </c>
      <c r="L933" s="10" t="s">
        <v>6</v>
      </c>
      <c r="M933" s="22">
        <v>44968.0</v>
      </c>
      <c r="N933" s="32" t="s">
        <v>2861</v>
      </c>
      <c r="O933" s="10" t="s">
        <v>1242</v>
      </c>
      <c r="P933" s="10" t="s">
        <v>2862</v>
      </c>
      <c r="Q933" s="2"/>
      <c r="R933" s="15"/>
      <c r="S933" s="15"/>
      <c r="T933" s="15"/>
      <c r="U933" s="15"/>
      <c r="V933" s="2"/>
      <c r="W933" s="15"/>
      <c r="X933" s="15"/>
      <c r="Y933" s="15"/>
      <c r="Z933" s="15"/>
      <c r="AA933" s="1"/>
      <c r="AB933" s="10">
        <v>12.0</v>
      </c>
      <c r="AC933" s="14">
        <v>45688.0</v>
      </c>
      <c r="AD933" s="14">
        <v>46053.0</v>
      </c>
      <c r="AE933" s="10">
        <f t="shared" si="82"/>
        <v>-38</v>
      </c>
      <c r="AF933" s="2"/>
      <c r="AG933" s="16" t="s">
        <v>45</v>
      </c>
      <c r="AH933" s="12" t="s">
        <v>46</v>
      </c>
      <c r="AI933" s="10" t="s">
        <v>441</v>
      </c>
      <c r="AJ933" s="10" t="s">
        <v>227</v>
      </c>
      <c r="AK933" s="16" t="s">
        <v>45</v>
      </c>
      <c r="AL933" s="10" t="s">
        <v>49</v>
      </c>
      <c r="AM933" s="16" t="s">
        <v>45</v>
      </c>
      <c r="AN933" s="10" t="s">
        <v>320</v>
      </c>
    </row>
    <row r="934" ht="30.0" customHeight="1">
      <c r="A934" s="9" t="str">
        <f t="shared" si="48"/>
        <v>N/I</v>
      </c>
      <c r="B934" s="9" t="str">
        <f t="shared" si="49"/>
        <v>Inativo</v>
      </c>
      <c r="C934" s="9" t="str">
        <f t="shared" si="80"/>
        <v>N/I</v>
      </c>
      <c r="D934" s="10" t="s">
        <v>2864</v>
      </c>
      <c r="E934" s="11" t="s">
        <v>2865</v>
      </c>
      <c r="F934" s="32"/>
      <c r="G934" s="12" t="s">
        <v>94</v>
      </c>
      <c r="H934" s="13" t="s">
        <v>2866</v>
      </c>
      <c r="I934" s="12" t="s">
        <v>2867</v>
      </c>
      <c r="J934" s="10" t="s">
        <v>197</v>
      </c>
      <c r="K934" s="10" t="s">
        <v>40</v>
      </c>
      <c r="L934" s="10" t="s">
        <v>264</v>
      </c>
      <c r="M934" s="14">
        <v>43390.0</v>
      </c>
      <c r="N934" s="11" t="s">
        <v>2868</v>
      </c>
      <c r="O934" s="10" t="s">
        <v>2869</v>
      </c>
      <c r="P934" s="10" t="s">
        <v>2870</v>
      </c>
      <c r="Q934" s="2"/>
      <c r="R934" s="15"/>
      <c r="S934" s="15"/>
      <c r="T934" s="15"/>
      <c r="U934" s="15"/>
      <c r="V934" s="2"/>
      <c r="W934" s="10">
        <v>12.0</v>
      </c>
      <c r="X934" s="14">
        <v>45073.0</v>
      </c>
      <c r="Y934" s="14">
        <v>45438.0</v>
      </c>
      <c r="Z934" s="10">
        <f t="shared" ref="Z934:Z936" si="83">Y934-TODAY()</f>
        <v>-653</v>
      </c>
      <c r="AA934" s="1"/>
      <c r="AB934" s="15"/>
      <c r="AC934" s="15"/>
      <c r="AD934" s="15"/>
      <c r="AE934" s="15"/>
      <c r="AF934" s="2"/>
      <c r="AG934" s="10" t="s">
        <v>290</v>
      </c>
      <c r="AH934" s="12" t="s">
        <v>46</v>
      </c>
      <c r="AI934" s="10" t="s">
        <v>441</v>
      </c>
      <c r="AJ934" s="12" t="s">
        <v>2871</v>
      </c>
      <c r="AK934" s="16" t="s">
        <v>45</v>
      </c>
      <c r="AL934" s="10" t="s">
        <v>2289</v>
      </c>
      <c r="AM934" s="10" t="s">
        <v>319</v>
      </c>
      <c r="AN934" s="10" t="s">
        <v>50</v>
      </c>
    </row>
    <row r="935" ht="30.0" customHeight="1">
      <c r="A935" s="9" t="str">
        <f t="shared" si="48"/>
        <v>N/I</v>
      </c>
      <c r="B935" s="9" t="str">
        <f t="shared" si="49"/>
        <v>Inativo</v>
      </c>
      <c r="C935" s="9" t="str">
        <f t="shared" si="80"/>
        <v>N/I</v>
      </c>
      <c r="D935" s="10" t="s">
        <v>2872</v>
      </c>
      <c r="E935" s="11" t="s">
        <v>2873</v>
      </c>
      <c r="F935" s="32" t="s">
        <v>2874</v>
      </c>
      <c r="G935" s="12" t="s">
        <v>254</v>
      </c>
      <c r="H935" s="20" t="s">
        <v>2875</v>
      </c>
      <c r="I935" s="12" t="s">
        <v>2876</v>
      </c>
      <c r="J935" s="10" t="s">
        <v>262</v>
      </c>
      <c r="K935" s="10" t="s">
        <v>263</v>
      </c>
      <c r="L935" s="10" t="s">
        <v>264</v>
      </c>
      <c r="M935" s="14">
        <v>43270.0</v>
      </c>
      <c r="N935" s="11" t="s">
        <v>2877</v>
      </c>
      <c r="O935" s="10" t="s">
        <v>2878</v>
      </c>
      <c r="P935" s="10" t="s">
        <v>2879</v>
      </c>
      <c r="Q935" s="2"/>
      <c r="R935" s="15"/>
      <c r="S935" s="15"/>
      <c r="T935" s="15"/>
      <c r="U935" s="15"/>
      <c r="V935" s="2"/>
      <c r="W935" s="10">
        <v>12.0</v>
      </c>
      <c r="X935" s="14">
        <v>45322.0</v>
      </c>
      <c r="Y935" s="14">
        <v>45688.0</v>
      </c>
      <c r="Z935" s="10">
        <f t="shared" si="83"/>
        <v>-403</v>
      </c>
      <c r="AA935" s="1"/>
      <c r="AB935" s="15"/>
      <c r="AC935" s="15"/>
      <c r="AD935" s="15"/>
      <c r="AE935" s="15"/>
      <c r="AF935" s="2"/>
      <c r="AG935" s="16" t="s">
        <v>45</v>
      </c>
      <c r="AH935" s="16" t="s">
        <v>45</v>
      </c>
      <c r="AI935" s="16" t="s">
        <v>45</v>
      </c>
      <c r="AJ935" s="16" t="s">
        <v>45</v>
      </c>
      <c r="AK935" s="16" t="s">
        <v>45</v>
      </c>
      <c r="AL935" s="16" t="s">
        <v>45</v>
      </c>
      <c r="AM935" s="16" t="s">
        <v>45</v>
      </c>
      <c r="AN935" s="16" t="s">
        <v>45</v>
      </c>
    </row>
    <row r="936" ht="30.0" customHeight="1">
      <c r="A936" s="9" t="str">
        <f t="shared" si="48"/>
        <v>N/I</v>
      </c>
      <c r="B936" s="9" t="str">
        <f t="shared" si="49"/>
        <v>Inativo</v>
      </c>
      <c r="C936" s="9" t="str">
        <f t="shared" si="80"/>
        <v>N/I</v>
      </c>
      <c r="D936" s="10" t="s">
        <v>2872</v>
      </c>
      <c r="E936" s="11" t="s">
        <v>2873</v>
      </c>
      <c r="F936" s="32" t="s">
        <v>2880</v>
      </c>
      <c r="G936" s="12" t="s">
        <v>254</v>
      </c>
      <c r="H936" s="20" t="s">
        <v>2881</v>
      </c>
      <c r="I936" s="12" t="s">
        <v>2882</v>
      </c>
      <c r="J936" s="10" t="s">
        <v>197</v>
      </c>
      <c r="K936" s="10" t="s">
        <v>40</v>
      </c>
      <c r="L936" s="10" t="s">
        <v>264</v>
      </c>
      <c r="M936" s="14">
        <v>43270.0</v>
      </c>
      <c r="N936" s="11" t="s">
        <v>2883</v>
      </c>
      <c r="O936" s="10" t="s">
        <v>2884</v>
      </c>
      <c r="P936" s="10" t="s">
        <v>2885</v>
      </c>
      <c r="Q936" s="2"/>
      <c r="R936" s="15"/>
      <c r="S936" s="15"/>
      <c r="T936" s="15"/>
      <c r="U936" s="15"/>
      <c r="V936" s="2"/>
      <c r="W936" s="10">
        <v>15.0</v>
      </c>
      <c r="X936" s="14">
        <v>45168.0</v>
      </c>
      <c r="Y936" s="14">
        <v>45656.0</v>
      </c>
      <c r="Z936" s="10">
        <f t="shared" si="83"/>
        <v>-435</v>
      </c>
      <c r="AA936" s="1"/>
      <c r="AB936" s="15"/>
      <c r="AC936" s="15"/>
      <c r="AD936" s="15"/>
      <c r="AE936" s="15"/>
      <c r="AF936" s="2"/>
      <c r="AG936" s="10" t="s">
        <v>680</v>
      </c>
      <c r="AH936" s="12" t="s">
        <v>46</v>
      </c>
      <c r="AI936" s="10" t="s">
        <v>226</v>
      </c>
      <c r="AJ936" s="10" t="s">
        <v>227</v>
      </c>
      <c r="AK936" s="16" t="s">
        <v>45</v>
      </c>
      <c r="AL936" s="10" t="s">
        <v>49</v>
      </c>
      <c r="AM936" s="16" t="s">
        <v>45</v>
      </c>
      <c r="AN936" s="10" t="s">
        <v>50</v>
      </c>
    </row>
    <row r="937" ht="30.0" customHeight="1">
      <c r="A937" s="9" t="str">
        <f t="shared" si="48"/>
        <v>Inativo</v>
      </c>
      <c r="B937" s="9" t="str">
        <f t="shared" si="49"/>
        <v>N/I</v>
      </c>
      <c r="C937" s="9" t="str">
        <f t="shared" si="80"/>
        <v>N/I</v>
      </c>
      <c r="D937" s="12" t="s">
        <v>2886</v>
      </c>
      <c r="E937" s="11" t="s">
        <v>2887</v>
      </c>
      <c r="F937" s="11" t="s">
        <v>2888</v>
      </c>
      <c r="G937" s="12" t="s">
        <v>55</v>
      </c>
      <c r="H937" s="27">
        <v>170155.0</v>
      </c>
      <c r="I937" s="12" t="s">
        <v>2889</v>
      </c>
      <c r="J937" s="10" t="s">
        <v>197</v>
      </c>
      <c r="K937" s="10" t="s">
        <v>40</v>
      </c>
      <c r="L937" s="10" t="s">
        <v>4</v>
      </c>
      <c r="M937" s="22">
        <v>43417.0</v>
      </c>
      <c r="N937" s="32" t="s">
        <v>2890</v>
      </c>
      <c r="O937" s="10" t="s">
        <v>2891</v>
      </c>
      <c r="P937" s="10" t="s">
        <v>2892</v>
      </c>
      <c r="Q937" s="2"/>
      <c r="R937" s="10">
        <v>36.0</v>
      </c>
      <c r="S937" s="14">
        <v>43417.0</v>
      </c>
      <c r="T937" s="14">
        <v>44513.0</v>
      </c>
      <c r="U937" s="55">
        <f t="shared" ref="U937:U1014" si="84">T937-TODAY()</f>
        <v>-1578</v>
      </c>
      <c r="V937" s="2"/>
      <c r="W937" s="15"/>
      <c r="X937" s="15"/>
      <c r="Y937" s="15"/>
      <c r="Z937" s="15"/>
      <c r="AA937" s="1"/>
      <c r="AB937" s="15"/>
      <c r="AC937" s="15"/>
      <c r="AD937" s="15"/>
      <c r="AE937" s="15"/>
      <c r="AF937" s="2"/>
      <c r="AG937" s="10" t="s">
        <v>354</v>
      </c>
      <c r="AH937" s="10" t="s">
        <v>318</v>
      </c>
      <c r="AI937" s="10" t="s">
        <v>319</v>
      </c>
      <c r="AJ937" s="10" t="s">
        <v>508</v>
      </c>
      <c r="AK937" s="10" t="s">
        <v>2893</v>
      </c>
      <c r="AL937" s="16" t="s">
        <v>45</v>
      </c>
      <c r="AM937" s="16" t="s">
        <v>45</v>
      </c>
      <c r="AN937" s="10" t="s">
        <v>50</v>
      </c>
    </row>
    <row r="938" ht="30.0" customHeight="1">
      <c r="A938" s="9" t="str">
        <f t="shared" si="48"/>
        <v>Inativo</v>
      </c>
      <c r="B938" s="9" t="str">
        <f t="shared" si="49"/>
        <v>N/I</v>
      </c>
      <c r="C938" s="9" t="str">
        <f t="shared" si="80"/>
        <v>N/I</v>
      </c>
      <c r="D938" s="12" t="s">
        <v>2886</v>
      </c>
      <c r="E938" s="11" t="s">
        <v>2887</v>
      </c>
      <c r="F938" s="11" t="s">
        <v>2894</v>
      </c>
      <c r="G938" s="12" t="s">
        <v>94</v>
      </c>
      <c r="H938" s="27">
        <v>170276.0</v>
      </c>
      <c r="I938" s="12" t="s">
        <v>2895</v>
      </c>
      <c r="J938" s="10" t="s">
        <v>197</v>
      </c>
      <c r="K938" s="10" t="s">
        <v>40</v>
      </c>
      <c r="L938" s="10" t="s">
        <v>4</v>
      </c>
      <c r="M938" s="22">
        <v>43413.0</v>
      </c>
      <c r="N938" s="32" t="s">
        <v>2896</v>
      </c>
      <c r="O938" s="10" t="s">
        <v>2897</v>
      </c>
      <c r="P938" s="10" t="s">
        <v>2892</v>
      </c>
      <c r="Q938" s="2"/>
      <c r="R938" s="10">
        <v>36.0</v>
      </c>
      <c r="S938" s="14">
        <v>43413.0</v>
      </c>
      <c r="T938" s="14">
        <v>44509.0</v>
      </c>
      <c r="U938" s="55">
        <f t="shared" si="84"/>
        <v>-1582</v>
      </c>
      <c r="V938" s="2"/>
      <c r="W938" s="15"/>
      <c r="X938" s="15"/>
      <c r="Y938" s="15"/>
      <c r="Z938" s="15"/>
      <c r="AA938" s="1"/>
      <c r="AB938" s="15"/>
      <c r="AC938" s="15"/>
      <c r="AD938" s="15"/>
      <c r="AE938" s="15"/>
      <c r="AF938" s="2"/>
      <c r="AG938" s="10" t="s">
        <v>354</v>
      </c>
      <c r="AH938" s="10" t="s">
        <v>318</v>
      </c>
      <c r="AI938" s="10" t="s">
        <v>319</v>
      </c>
      <c r="AJ938" s="10" t="s">
        <v>508</v>
      </c>
      <c r="AK938" s="10" t="s">
        <v>2893</v>
      </c>
      <c r="AL938" s="16" t="s">
        <v>45</v>
      </c>
      <c r="AM938" s="16" t="s">
        <v>45</v>
      </c>
      <c r="AN938" s="10" t="s">
        <v>50</v>
      </c>
    </row>
    <row r="939" ht="30.0" customHeight="1">
      <c r="A939" s="9" t="str">
        <f t="shared" si="48"/>
        <v>Inativo</v>
      </c>
      <c r="B939" s="9" t="str">
        <f t="shared" si="49"/>
        <v>N/I</v>
      </c>
      <c r="C939" s="9" t="str">
        <f t="shared" si="80"/>
        <v>N/I</v>
      </c>
      <c r="D939" s="12" t="s">
        <v>2886</v>
      </c>
      <c r="E939" s="11" t="s">
        <v>2887</v>
      </c>
      <c r="F939" s="11" t="s">
        <v>2898</v>
      </c>
      <c r="G939" s="12" t="s">
        <v>94</v>
      </c>
      <c r="H939" s="27">
        <v>170247.0</v>
      </c>
      <c r="I939" s="12" t="s">
        <v>2899</v>
      </c>
      <c r="J939" s="10" t="s">
        <v>197</v>
      </c>
      <c r="K939" s="10" t="s">
        <v>40</v>
      </c>
      <c r="L939" s="10" t="s">
        <v>4</v>
      </c>
      <c r="M939" s="22">
        <v>43383.0</v>
      </c>
      <c r="N939" s="32" t="s">
        <v>2900</v>
      </c>
      <c r="O939" s="10" t="s">
        <v>2901</v>
      </c>
      <c r="P939" s="10" t="s">
        <v>2892</v>
      </c>
      <c r="Q939" s="2"/>
      <c r="R939" s="10">
        <v>36.0</v>
      </c>
      <c r="S939" s="14">
        <v>43383.0</v>
      </c>
      <c r="T939" s="14">
        <v>44479.0</v>
      </c>
      <c r="U939" s="55">
        <f t="shared" si="84"/>
        <v>-1612</v>
      </c>
      <c r="V939" s="2"/>
      <c r="W939" s="15"/>
      <c r="X939" s="15"/>
      <c r="Y939" s="15"/>
      <c r="Z939" s="15"/>
      <c r="AA939" s="1"/>
      <c r="AB939" s="15"/>
      <c r="AC939" s="15"/>
      <c r="AD939" s="15"/>
      <c r="AE939" s="15"/>
      <c r="AF939" s="2"/>
      <c r="AG939" s="10" t="s">
        <v>354</v>
      </c>
      <c r="AH939" s="10" t="s">
        <v>318</v>
      </c>
      <c r="AI939" s="10" t="s">
        <v>319</v>
      </c>
      <c r="AJ939" s="10" t="s">
        <v>508</v>
      </c>
      <c r="AK939" s="10" t="s">
        <v>2893</v>
      </c>
      <c r="AL939" s="16" t="s">
        <v>45</v>
      </c>
      <c r="AM939" s="16" t="s">
        <v>45</v>
      </c>
      <c r="AN939" s="10" t="s">
        <v>50</v>
      </c>
    </row>
    <row r="940" ht="30.0" customHeight="1">
      <c r="A940" s="9" t="str">
        <f t="shared" si="48"/>
        <v>Inativo</v>
      </c>
      <c r="B940" s="9" t="str">
        <f t="shared" si="49"/>
        <v>N/I</v>
      </c>
      <c r="C940" s="9" t="str">
        <f t="shared" si="80"/>
        <v>N/I</v>
      </c>
      <c r="D940" s="12" t="s">
        <v>2886</v>
      </c>
      <c r="E940" s="11" t="s">
        <v>2887</v>
      </c>
      <c r="F940" s="11" t="s">
        <v>2902</v>
      </c>
      <c r="G940" s="12" t="s">
        <v>94</v>
      </c>
      <c r="H940" s="27">
        <v>170231.0</v>
      </c>
      <c r="I940" s="12" t="s">
        <v>2903</v>
      </c>
      <c r="J940" s="10" t="s">
        <v>197</v>
      </c>
      <c r="K940" s="10" t="s">
        <v>40</v>
      </c>
      <c r="L940" s="10" t="s">
        <v>4</v>
      </c>
      <c r="M940" s="22">
        <v>43382.0</v>
      </c>
      <c r="N940" s="32" t="s">
        <v>2904</v>
      </c>
      <c r="O940" s="10" t="s">
        <v>2905</v>
      </c>
      <c r="P940" s="10" t="s">
        <v>2892</v>
      </c>
      <c r="Q940" s="2"/>
      <c r="R940" s="10">
        <v>36.0</v>
      </c>
      <c r="S940" s="14">
        <v>43396.0</v>
      </c>
      <c r="T940" s="14">
        <v>44492.0</v>
      </c>
      <c r="U940" s="55">
        <f t="shared" si="84"/>
        <v>-1599</v>
      </c>
      <c r="V940" s="2"/>
      <c r="W940" s="15"/>
      <c r="X940" s="15"/>
      <c r="Y940" s="15"/>
      <c r="Z940" s="15"/>
      <c r="AA940" s="1"/>
      <c r="AB940" s="15"/>
      <c r="AC940" s="15"/>
      <c r="AD940" s="15"/>
      <c r="AE940" s="15"/>
      <c r="AF940" s="2"/>
      <c r="AG940" s="10" t="s">
        <v>354</v>
      </c>
      <c r="AH940" s="10" t="s">
        <v>318</v>
      </c>
      <c r="AI940" s="10" t="s">
        <v>319</v>
      </c>
      <c r="AJ940" s="10" t="s">
        <v>508</v>
      </c>
      <c r="AK940" s="10" t="s">
        <v>2893</v>
      </c>
      <c r="AL940" s="16" t="s">
        <v>45</v>
      </c>
      <c r="AM940" s="16" t="s">
        <v>45</v>
      </c>
      <c r="AN940" s="10" t="s">
        <v>50</v>
      </c>
    </row>
    <row r="941" ht="30.0" customHeight="1">
      <c r="A941" s="9" t="str">
        <f t="shared" si="48"/>
        <v>Inativo</v>
      </c>
      <c r="B941" s="9" t="str">
        <f t="shared" si="49"/>
        <v>N/I</v>
      </c>
      <c r="C941" s="9" t="str">
        <f t="shared" si="80"/>
        <v>N/I</v>
      </c>
      <c r="D941" s="12" t="s">
        <v>2886</v>
      </c>
      <c r="E941" s="11" t="s">
        <v>2887</v>
      </c>
      <c r="F941" s="11" t="s">
        <v>2906</v>
      </c>
      <c r="G941" s="12" t="s">
        <v>94</v>
      </c>
      <c r="H941" s="27">
        <v>170248.0</v>
      </c>
      <c r="I941" s="12" t="s">
        <v>2907</v>
      </c>
      <c r="J941" s="10" t="s">
        <v>197</v>
      </c>
      <c r="K941" s="10" t="s">
        <v>40</v>
      </c>
      <c r="L941" s="10" t="s">
        <v>4</v>
      </c>
      <c r="M941" s="22">
        <v>43411.0</v>
      </c>
      <c r="N941" s="32" t="s">
        <v>2908</v>
      </c>
      <c r="O941" s="10" t="s">
        <v>2909</v>
      </c>
      <c r="P941" s="10" t="s">
        <v>2892</v>
      </c>
      <c r="Q941" s="2"/>
      <c r="R941" s="10">
        <v>36.0</v>
      </c>
      <c r="S941" s="14">
        <v>43411.0</v>
      </c>
      <c r="T941" s="14">
        <v>44507.0</v>
      </c>
      <c r="U941" s="55">
        <f t="shared" si="84"/>
        <v>-1584</v>
      </c>
      <c r="V941" s="2"/>
      <c r="W941" s="15"/>
      <c r="X941" s="15"/>
      <c r="Y941" s="15"/>
      <c r="Z941" s="15"/>
      <c r="AA941" s="1"/>
      <c r="AB941" s="15"/>
      <c r="AC941" s="15"/>
      <c r="AD941" s="15"/>
      <c r="AE941" s="15"/>
      <c r="AF941" s="2"/>
      <c r="AG941" s="10" t="s">
        <v>354</v>
      </c>
      <c r="AH941" s="10" t="s">
        <v>318</v>
      </c>
      <c r="AI941" s="10" t="s">
        <v>319</v>
      </c>
      <c r="AJ941" s="10" t="s">
        <v>508</v>
      </c>
      <c r="AK941" s="10" t="s">
        <v>2893</v>
      </c>
      <c r="AL941" s="16" t="s">
        <v>45</v>
      </c>
      <c r="AM941" s="16" t="s">
        <v>45</v>
      </c>
      <c r="AN941" s="10" t="s">
        <v>50</v>
      </c>
    </row>
    <row r="942" ht="30.0" customHeight="1">
      <c r="A942" s="9" t="str">
        <f t="shared" si="48"/>
        <v>Inativo</v>
      </c>
      <c r="B942" s="9" t="str">
        <f t="shared" si="49"/>
        <v>N/I</v>
      </c>
      <c r="C942" s="9" t="str">
        <f t="shared" si="80"/>
        <v>N/I</v>
      </c>
      <c r="D942" s="12" t="s">
        <v>2886</v>
      </c>
      <c r="E942" s="11" t="s">
        <v>2887</v>
      </c>
      <c r="F942" s="11" t="s">
        <v>2906</v>
      </c>
      <c r="G942" s="12" t="s">
        <v>55</v>
      </c>
      <c r="H942" s="27">
        <v>170154.0</v>
      </c>
      <c r="I942" s="12" t="s">
        <v>2907</v>
      </c>
      <c r="J942" s="10" t="s">
        <v>197</v>
      </c>
      <c r="K942" s="10" t="s">
        <v>40</v>
      </c>
      <c r="L942" s="10" t="s">
        <v>4</v>
      </c>
      <c r="M942" s="22">
        <v>43416.0</v>
      </c>
      <c r="N942" s="32" t="s">
        <v>2908</v>
      </c>
      <c r="O942" s="10" t="s">
        <v>2909</v>
      </c>
      <c r="P942" s="10" t="s">
        <v>2892</v>
      </c>
      <c r="Q942" s="2"/>
      <c r="R942" s="10">
        <v>36.0</v>
      </c>
      <c r="S942" s="14">
        <v>43416.0</v>
      </c>
      <c r="T942" s="14">
        <v>44512.0</v>
      </c>
      <c r="U942" s="55">
        <f t="shared" si="84"/>
        <v>-1579</v>
      </c>
      <c r="V942" s="2"/>
      <c r="W942" s="15"/>
      <c r="X942" s="15"/>
      <c r="Y942" s="15"/>
      <c r="Z942" s="15"/>
      <c r="AA942" s="1"/>
      <c r="AB942" s="15"/>
      <c r="AC942" s="15"/>
      <c r="AD942" s="15"/>
      <c r="AE942" s="15"/>
      <c r="AF942" s="2"/>
      <c r="AG942" s="10" t="s">
        <v>354</v>
      </c>
      <c r="AH942" s="10" t="s">
        <v>318</v>
      </c>
      <c r="AI942" s="10" t="s">
        <v>319</v>
      </c>
      <c r="AJ942" s="10" t="s">
        <v>508</v>
      </c>
      <c r="AK942" s="10" t="s">
        <v>2893</v>
      </c>
      <c r="AL942" s="16" t="s">
        <v>45</v>
      </c>
      <c r="AM942" s="16" t="s">
        <v>45</v>
      </c>
      <c r="AN942" s="10" t="s">
        <v>50</v>
      </c>
    </row>
    <row r="943" ht="30.0" customHeight="1">
      <c r="A943" s="9" t="str">
        <f t="shared" si="48"/>
        <v>Inativo</v>
      </c>
      <c r="B943" s="9" t="str">
        <f t="shared" si="49"/>
        <v>N/I</v>
      </c>
      <c r="C943" s="9" t="str">
        <f t="shared" si="80"/>
        <v>N/I</v>
      </c>
      <c r="D943" s="12" t="s">
        <v>2886</v>
      </c>
      <c r="E943" s="11" t="s">
        <v>2887</v>
      </c>
      <c r="F943" s="11" t="s">
        <v>2910</v>
      </c>
      <c r="G943" s="12" t="s">
        <v>94</v>
      </c>
      <c r="H943" s="27">
        <v>170235.0</v>
      </c>
      <c r="I943" s="12" t="s">
        <v>1948</v>
      </c>
      <c r="J943" s="10" t="s">
        <v>197</v>
      </c>
      <c r="K943" s="10" t="s">
        <v>40</v>
      </c>
      <c r="L943" s="10" t="s">
        <v>4</v>
      </c>
      <c r="M943" s="22">
        <v>43399.0</v>
      </c>
      <c r="N943" s="32" t="s">
        <v>2911</v>
      </c>
      <c r="O943" s="10" t="s">
        <v>2912</v>
      </c>
      <c r="P943" s="10" t="s">
        <v>2892</v>
      </c>
      <c r="Q943" s="2"/>
      <c r="R943" s="10">
        <v>36.0</v>
      </c>
      <c r="S943" s="14">
        <v>43399.0</v>
      </c>
      <c r="T943" s="14">
        <v>44495.0</v>
      </c>
      <c r="U943" s="55">
        <f t="shared" si="84"/>
        <v>-1596</v>
      </c>
      <c r="V943" s="2"/>
      <c r="W943" s="15"/>
      <c r="X943" s="15"/>
      <c r="Y943" s="15"/>
      <c r="Z943" s="15"/>
      <c r="AA943" s="1"/>
      <c r="AB943" s="15"/>
      <c r="AC943" s="15"/>
      <c r="AD943" s="15"/>
      <c r="AE943" s="15"/>
      <c r="AF943" s="2"/>
      <c r="AG943" s="10" t="s">
        <v>354</v>
      </c>
      <c r="AH943" s="10" t="s">
        <v>318</v>
      </c>
      <c r="AI943" s="10" t="s">
        <v>319</v>
      </c>
      <c r="AJ943" s="10" t="s">
        <v>508</v>
      </c>
      <c r="AK943" s="10" t="s">
        <v>2893</v>
      </c>
      <c r="AL943" s="16" t="s">
        <v>45</v>
      </c>
      <c r="AM943" s="16" t="s">
        <v>45</v>
      </c>
      <c r="AN943" s="10" t="s">
        <v>50</v>
      </c>
    </row>
    <row r="944" ht="30.0" customHeight="1">
      <c r="A944" s="9" t="str">
        <f t="shared" si="48"/>
        <v>Inativo</v>
      </c>
      <c r="B944" s="9" t="str">
        <f t="shared" si="49"/>
        <v>N/I</v>
      </c>
      <c r="C944" s="9" t="str">
        <f t="shared" si="80"/>
        <v>N/I</v>
      </c>
      <c r="D944" s="12" t="s">
        <v>2886</v>
      </c>
      <c r="E944" s="11" t="s">
        <v>2887</v>
      </c>
      <c r="F944" s="11" t="s">
        <v>2913</v>
      </c>
      <c r="G944" s="12" t="s">
        <v>94</v>
      </c>
      <c r="H944" s="27">
        <v>170234.0</v>
      </c>
      <c r="I944" s="12" t="s">
        <v>1948</v>
      </c>
      <c r="J944" s="10" t="s">
        <v>197</v>
      </c>
      <c r="K944" s="10" t="s">
        <v>40</v>
      </c>
      <c r="L944" s="10" t="s">
        <v>4</v>
      </c>
      <c r="M944" s="22">
        <v>43399.0</v>
      </c>
      <c r="N944" s="32" t="s">
        <v>2914</v>
      </c>
      <c r="O944" s="10" t="s">
        <v>2915</v>
      </c>
      <c r="P944" s="10" t="s">
        <v>2892</v>
      </c>
      <c r="Q944" s="2"/>
      <c r="R944" s="10">
        <v>36.0</v>
      </c>
      <c r="S944" s="14">
        <v>43399.0</v>
      </c>
      <c r="T944" s="14">
        <v>44495.0</v>
      </c>
      <c r="U944" s="55">
        <f t="shared" si="84"/>
        <v>-1596</v>
      </c>
      <c r="V944" s="1"/>
      <c r="W944" s="15"/>
      <c r="X944" s="15"/>
      <c r="Y944" s="15"/>
      <c r="Z944" s="15"/>
      <c r="AA944" s="1"/>
      <c r="AB944" s="15"/>
      <c r="AC944" s="15"/>
      <c r="AD944" s="15"/>
      <c r="AE944" s="15"/>
      <c r="AF944" s="2"/>
      <c r="AG944" s="10" t="s">
        <v>354</v>
      </c>
      <c r="AH944" s="10" t="s">
        <v>318</v>
      </c>
      <c r="AI944" s="10" t="s">
        <v>319</v>
      </c>
      <c r="AJ944" s="10" t="s">
        <v>508</v>
      </c>
      <c r="AK944" s="10" t="s">
        <v>2893</v>
      </c>
      <c r="AL944" s="16" t="s">
        <v>45</v>
      </c>
      <c r="AM944" s="16" t="s">
        <v>45</v>
      </c>
      <c r="AN944" s="10" t="s">
        <v>50</v>
      </c>
    </row>
    <row r="945" ht="30.0" customHeight="1">
      <c r="A945" s="9" t="str">
        <f t="shared" si="48"/>
        <v>Inativo</v>
      </c>
      <c r="B945" s="9" t="str">
        <f t="shared" si="49"/>
        <v>N/I</v>
      </c>
      <c r="C945" s="9" t="str">
        <f t="shared" si="80"/>
        <v>N/I</v>
      </c>
      <c r="D945" s="12" t="s">
        <v>2886</v>
      </c>
      <c r="E945" s="11" t="s">
        <v>2887</v>
      </c>
      <c r="F945" s="11" t="s">
        <v>2916</v>
      </c>
      <c r="G945" s="12" t="s">
        <v>94</v>
      </c>
      <c r="H945" s="27">
        <v>170266.0</v>
      </c>
      <c r="I945" s="12" t="s">
        <v>2917</v>
      </c>
      <c r="J945" s="10" t="s">
        <v>197</v>
      </c>
      <c r="K945" s="10" t="s">
        <v>40</v>
      </c>
      <c r="L945" s="10" t="s">
        <v>4</v>
      </c>
      <c r="M945" s="22">
        <v>43383.0</v>
      </c>
      <c r="N945" s="32" t="s">
        <v>2918</v>
      </c>
      <c r="O945" s="10" t="s">
        <v>2919</v>
      </c>
      <c r="P945" s="10" t="s">
        <v>2892</v>
      </c>
      <c r="Q945" s="2"/>
      <c r="R945" s="10">
        <v>36.0</v>
      </c>
      <c r="S945" s="14">
        <v>43383.0</v>
      </c>
      <c r="T945" s="14">
        <v>44479.0</v>
      </c>
      <c r="U945" s="55">
        <f t="shared" si="84"/>
        <v>-1612</v>
      </c>
      <c r="V945" s="2"/>
      <c r="W945" s="15"/>
      <c r="X945" s="15"/>
      <c r="Y945" s="15"/>
      <c r="Z945" s="15"/>
      <c r="AA945" s="1"/>
      <c r="AB945" s="15"/>
      <c r="AC945" s="15"/>
      <c r="AD945" s="15"/>
      <c r="AE945" s="15"/>
      <c r="AF945" s="2"/>
      <c r="AG945" s="10" t="s">
        <v>354</v>
      </c>
      <c r="AH945" s="10" t="s">
        <v>318</v>
      </c>
      <c r="AI945" s="10" t="s">
        <v>319</v>
      </c>
      <c r="AJ945" s="10" t="s">
        <v>508</v>
      </c>
      <c r="AK945" s="10" t="s">
        <v>2893</v>
      </c>
      <c r="AL945" s="16" t="s">
        <v>45</v>
      </c>
      <c r="AM945" s="16" t="s">
        <v>45</v>
      </c>
      <c r="AN945" s="10" t="s">
        <v>50</v>
      </c>
    </row>
    <row r="946" ht="30.0" customHeight="1">
      <c r="A946" s="9" t="str">
        <f t="shared" si="48"/>
        <v>Inativo</v>
      </c>
      <c r="B946" s="9" t="str">
        <f t="shared" si="49"/>
        <v>N/I</v>
      </c>
      <c r="C946" s="9" t="str">
        <f t="shared" si="80"/>
        <v>N/I</v>
      </c>
      <c r="D946" s="12" t="s">
        <v>2886</v>
      </c>
      <c r="E946" s="11" t="s">
        <v>2887</v>
      </c>
      <c r="F946" s="11" t="s">
        <v>2916</v>
      </c>
      <c r="G946" s="12" t="s">
        <v>55</v>
      </c>
      <c r="H946" s="42" t="s">
        <v>2920</v>
      </c>
      <c r="I946" s="12" t="s">
        <v>2917</v>
      </c>
      <c r="J946" s="10" t="s">
        <v>197</v>
      </c>
      <c r="K946" s="10" t="s">
        <v>40</v>
      </c>
      <c r="L946" s="10" t="s">
        <v>4</v>
      </c>
      <c r="M946" s="22">
        <v>43383.0</v>
      </c>
      <c r="N946" s="32" t="s">
        <v>2918</v>
      </c>
      <c r="O946" s="10" t="s">
        <v>2919</v>
      </c>
      <c r="P946" s="10" t="s">
        <v>2892</v>
      </c>
      <c r="Q946" s="2"/>
      <c r="R946" s="10">
        <v>36.0</v>
      </c>
      <c r="S946" s="22">
        <v>43383.0</v>
      </c>
      <c r="T946" s="14">
        <v>44479.0</v>
      </c>
      <c r="U946" s="55">
        <f t="shared" si="84"/>
        <v>-1612</v>
      </c>
      <c r="V946" s="2"/>
      <c r="W946" s="15"/>
      <c r="X946" s="15"/>
      <c r="Y946" s="15"/>
      <c r="Z946" s="15"/>
      <c r="AA946" s="1"/>
      <c r="AB946" s="15"/>
      <c r="AC946" s="15"/>
      <c r="AD946" s="15"/>
      <c r="AE946" s="15"/>
      <c r="AF946" s="2"/>
      <c r="AG946" s="10" t="s">
        <v>354</v>
      </c>
      <c r="AH946" s="10" t="s">
        <v>318</v>
      </c>
      <c r="AI946" s="10" t="s">
        <v>319</v>
      </c>
      <c r="AJ946" s="10" t="s">
        <v>508</v>
      </c>
      <c r="AK946" s="10" t="s">
        <v>2893</v>
      </c>
      <c r="AL946" s="16" t="s">
        <v>45</v>
      </c>
      <c r="AM946" s="16" t="s">
        <v>45</v>
      </c>
      <c r="AN946" s="10" t="s">
        <v>50</v>
      </c>
    </row>
    <row r="947" ht="30.0" customHeight="1">
      <c r="A947" s="9" t="str">
        <f t="shared" si="48"/>
        <v>Inativo</v>
      </c>
      <c r="B947" s="9" t="str">
        <f t="shared" si="49"/>
        <v>N/I</v>
      </c>
      <c r="C947" s="9" t="str">
        <f t="shared" si="80"/>
        <v>N/I</v>
      </c>
      <c r="D947" s="12" t="s">
        <v>2886</v>
      </c>
      <c r="E947" s="11" t="s">
        <v>2887</v>
      </c>
      <c r="F947" s="11" t="s">
        <v>2921</v>
      </c>
      <c r="G947" s="12" t="s">
        <v>94</v>
      </c>
      <c r="H947" s="27">
        <v>170237.0</v>
      </c>
      <c r="I947" s="12" t="s">
        <v>2922</v>
      </c>
      <c r="J947" s="10" t="s">
        <v>197</v>
      </c>
      <c r="K947" s="10" t="s">
        <v>40</v>
      </c>
      <c r="L947" s="10" t="s">
        <v>4</v>
      </c>
      <c r="M947" s="22">
        <v>43392.0</v>
      </c>
      <c r="N947" s="32" t="s">
        <v>2923</v>
      </c>
      <c r="O947" s="10" t="s">
        <v>2924</v>
      </c>
      <c r="P947" s="10" t="s">
        <v>2892</v>
      </c>
      <c r="Q947" s="2"/>
      <c r="R947" s="10">
        <v>36.0</v>
      </c>
      <c r="S947" s="14">
        <v>43397.0</v>
      </c>
      <c r="T947" s="14">
        <v>44493.0</v>
      </c>
      <c r="U947" s="55">
        <f t="shared" si="84"/>
        <v>-1598</v>
      </c>
      <c r="V947" s="2"/>
      <c r="W947" s="15"/>
      <c r="X947" s="15"/>
      <c r="Y947" s="15"/>
      <c r="Z947" s="15"/>
      <c r="AA947" s="1"/>
      <c r="AB947" s="15"/>
      <c r="AC947" s="15"/>
      <c r="AD947" s="15"/>
      <c r="AE947" s="15"/>
      <c r="AF947" s="2"/>
      <c r="AG947" s="10" t="s">
        <v>354</v>
      </c>
      <c r="AH947" s="10" t="s">
        <v>318</v>
      </c>
      <c r="AI947" s="10" t="s">
        <v>319</v>
      </c>
      <c r="AJ947" s="10" t="s">
        <v>508</v>
      </c>
      <c r="AK947" s="10" t="s">
        <v>2893</v>
      </c>
      <c r="AL947" s="16" t="s">
        <v>45</v>
      </c>
      <c r="AM947" s="16" t="s">
        <v>45</v>
      </c>
      <c r="AN947" s="10" t="s">
        <v>50</v>
      </c>
    </row>
    <row r="948" ht="30.0" customHeight="1">
      <c r="A948" s="9" t="str">
        <f t="shared" si="48"/>
        <v>Inativo</v>
      </c>
      <c r="B948" s="9" t="str">
        <f t="shared" si="49"/>
        <v>N/I</v>
      </c>
      <c r="C948" s="9" t="str">
        <f t="shared" si="80"/>
        <v>N/I</v>
      </c>
      <c r="D948" s="10" t="s">
        <v>2886</v>
      </c>
      <c r="E948" s="11" t="s">
        <v>2887</v>
      </c>
      <c r="F948" s="32" t="s">
        <v>2925</v>
      </c>
      <c r="G948" s="12" t="s">
        <v>55</v>
      </c>
      <c r="H948" s="34" t="s">
        <v>2926</v>
      </c>
      <c r="I948" s="12" t="s">
        <v>2927</v>
      </c>
      <c r="J948" s="10" t="s">
        <v>197</v>
      </c>
      <c r="K948" s="10" t="s">
        <v>40</v>
      </c>
      <c r="L948" s="10" t="s">
        <v>4</v>
      </c>
      <c r="M948" s="14">
        <v>45398.0</v>
      </c>
      <c r="N948" s="32" t="s">
        <v>2923</v>
      </c>
      <c r="O948" s="10" t="s">
        <v>2928</v>
      </c>
      <c r="P948" s="10" t="s">
        <v>2929</v>
      </c>
      <c r="Q948" s="2"/>
      <c r="R948" s="10">
        <v>12.0</v>
      </c>
      <c r="S948" s="14">
        <v>45398.0</v>
      </c>
      <c r="T948" s="14">
        <v>45763.0</v>
      </c>
      <c r="U948" s="55">
        <f t="shared" si="84"/>
        <v>-328</v>
      </c>
      <c r="V948" s="2"/>
      <c r="W948" s="15"/>
      <c r="X948" s="15"/>
      <c r="Y948" s="15"/>
      <c r="Z948" s="15"/>
      <c r="AA948" s="1"/>
      <c r="AB948" s="15"/>
      <c r="AC948" s="15"/>
      <c r="AD948" s="15"/>
      <c r="AE948" s="15"/>
      <c r="AF948" s="2"/>
      <c r="AG948" s="16" t="s">
        <v>45</v>
      </c>
      <c r="AH948" s="16" t="s">
        <v>45</v>
      </c>
      <c r="AI948" s="16" t="s">
        <v>45</v>
      </c>
      <c r="AJ948" s="16" t="s">
        <v>45</v>
      </c>
      <c r="AK948" s="16" t="s">
        <v>45</v>
      </c>
      <c r="AL948" s="16" t="s">
        <v>45</v>
      </c>
      <c r="AM948" s="16" t="s">
        <v>45</v>
      </c>
      <c r="AN948" s="10" t="s">
        <v>320</v>
      </c>
    </row>
    <row r="949" ht="30.0" customHeight="1">
      <c r="A949" s="9" t="str">
        <f t="shared" si="48"/>
        <v>Inativo</v>
      </c>
      <c r="B949" s="9" t="str">
        <f t="shared" si="49"/>
        <v>N/I</v>
      </c>
      <c r="C949" s="9" t="str">
        <f t="shared" si="80"/>
        <v>N/I</v>
      </c>
      <c r="D949" s="12" t="s">
        <v>2886</v>
      </c>
      <c r="E949" s="11" t="s">
        <v>2887</v>
      </c>
      <c r="F949" s="11" t="s">
        <v>2930</v>
      </c>
      <c r="G949" s="12" t="s">
        <v>55</v>
      </c>
      <c r="H949" s="27">
        <v>170153.0</v>
      </c>
      <c r="I949" s="12" t="s">
        <v>332</v>
      </c>
      <c r="J949" s="10" t="s">
        <v>197</v>
      </c>
      <c r="K949" s="10" t="s">
        <v>40</v>
      </c>
      <c r="L949" s="10" t="s">
        <v>4</v>
      </c>
      <c r="M949" s="22">
        <v>43417.0</v>
      </c>
      <c r="N949" s="32" t="s">
        <v>2931</v>
      </c>
      <c r="O949" s="10" t="s">
        <v>2932</v>
      </c>
      <c r="P949" s="10" t="s">
        <v>2892</v>
      </c>
      <c r="Q949" s="2"/>
      <c r="R949" s="10">
        <v>36.0</v>
      </c>
      <c r="S949" s="14">
        <v>43417.0</v>
      </c>
      <c r="T949" s="14">
        <v>44513.0</v>
      </c>
      <c r="U949" s="55">
        <f t="shared" si="84"/>
        <v>-1578</v>
      </c>
      <c r="V949" s="2"/>
      <c r="W949" s="15"/>
      <c r="X949" s="15"/>
      <c r="Y949" s="15"/>
      <c r="Z949" s="15"/>
      <c r="AA949" s="1"/>
      <c r="AB949" s="15"/>
      <c r="AC949" s="15"/>
      <c r="AD949" s="15"/>
      <c r="AE949" s="15"/>
      <c r="AF949" s="2"/>
      <c r="AG949" s="10" t="s">
        <v>354</v>
      </c>
      <c r="AH949" s="10" t="s">
        <v>318</v>
      </c>
      <c r="AI949" s="10" t="s">
        <v>319</v>
      </c>
      <c r="AJ949" s="10" t="s">
        <v>508</v>
      </c>
      <c r="AK949" s="10" t="s">
        <v>2893</v>
      </c>
      <c r="AL949" s="16" t="s">
        <v>45</v>
      </c>
      <c r="AM949" s="16" t="s">
        <v>45</v>
      </c>
      <c r="AN949" s="10" t="s">
        <v>50</v>
      </c>
    </row>
    <row r="950" ht="30.0" customHeight="1">
      <c r="A950" s="9" t="str">
        <f t="shared" si="48"/>
        <v>Inativo</v>
      </c>
      <c r="B950" s="9" t="str">
        <f t="shared" si="49"/>
        <v>N/I</v>
      </c>
      <c r="C950" s="9" t="str">
        <f t="shared" si="80"/>
        <v>N/I</v>
      </c>
      <c r="D950" s="12" t="s">
        <v>2886</v>
      </c>
      <c r="E950" s="11" t="s">
        <v>2887</v>
      </c>
      <c r="F950" s="11" t="s">
        <v>2933</v>
      </c>
      <c r="G950" s="12" t="s">
        <v>94</v>
      </c>
      <c r="H950" s="27">
        <v>170385.0</v>
      </c>
      <c r="I950" s="12" t="s">
        <v>2934</v>
      </c>
      <c r="J950" s="10" t="s">
        <v>197</v>
      </c>
      <c r="K950" s="10" t="s">
        <v>40</v>
      </c>
      <c r="L950" s="10" t="s">
        <v>4</v>
      </c>
      <c r="M950" s="22">
        <v>43410.0</v>
      </c>
      <c r="N950" s="32" t="s">
        <v>2935</v>
      </c>
      <c r="O950" s="10" t="s">
        <v>2936</v>
      </c>
      <c r="P950" s="10" t="s">
        <v>2892</v>
      </c>
      <c r="Q950" s="2"/>
      <c r="R950" s="10">
        <v>36.0</v>
      </c>
      <c r="S950" s="14">
        <v>43410.0</v>
      </c>
      <c r="T950" s="14">
        <v>44506.0</v>
      </c>
      <c r="U950" s="55">
        <f t="shared" si="84"/>
        <v>-1585</v>
      </c>
      <c r="V950" s="2"/>
      <c r="W950" s="15"/>
      <c r="X950" s="15"/>
      <c r="Y950" s="15"/>
      <c r="Z950" s="15"/>
      <c r="AA950" s="1"/>
      <c r="AB950" s="15"/>
      <c r="AC950" s="15"/>
      <c r="AD950" s="15"/>
      <c r="AE950" s="15"/>
      <c r="AF950" s="2"/>
      <c r="AG950" s="10" t="s">
        <v>354</v>
      </c>
      <c r="AH950" s="10" t="s">
        <v>318</v>
      </c>
      <c r="AI950" s="10" t="s">
        <v>319</v>
      </c>
      <c r="AJ950" s="10" t="s">
        <v>508</v>
      </c>
      <c r="AK950" s="10" t="s">
        <v>2893</v>
      </c>
      <c r="AL950" s="16" t="s">
        <v>45</v>
      </c>
      <c r="AM950" s="16" t="s">
        <v>45</v>
      </c>
      <c r="AN950" s="10" t="s">
        <v>50</v>
      </c>
    </row>
    <row r="951" ht="30.0" customHeight="1">
      <c r="A951" s="9" t="str">
        <f t="shared" si="48"/>
        <v>Inativo</v>
      </c>
      <c r="B951" s="9" t="str">
        <f t="shared" si="49"/>
        <v>N/I</v>
      </c>
      <c r="C951" s="9" t="str">
        <f t="shared" si="80"/>
        <v>N/I</v>
      </c>
      <c r="D951" s="12" t="s">
        <v>2886</v>
      </c>
      <c r="E951" s="11" t="s">
        <v>2887</v>
      </c>
      <c r="F951" s="11" t="s">
        <v>2933</v>
      </c>
      <c r="G951" s="12" t="s">
        <v>55</v>
      </c>
      <c r="H951" s="27" t="s">
        <v>2937</v>
      </c>
      <c r="I951" s="12" t="s">
        <v>2934</v>
      </c>
      <c r="J951" s="10" t="s">
        <v>197</v>
      </c>
      <c r="K951" s="10" t="s">
        <v>40</v>
      </c>
      <c r="L951" s="10" t="s">
        <v>4</v>
      </c>
      <c r="M951" s="22">
        <v>43410.0</v>
      </c>
      <c r="N951" s="32" t="s">
        <v>2935</v>
      </c>
      <c r="O951" s="10" t="s">
        <v>2936</v>
      </c>
      <c r="P951" s="10" t="s">
        <v>2892</v>
      </c>
      <c r="Q951" s="2"/>
      <c r="R951" s="10">
        <v>36.0</v>
      </c>
      <c r="S951" s="22">
        <v>43410.0</v>
      </c>
      <c r="T951" s="14">
        <v>44506.0</v>
      </c>
      <c r="U951" s="55">
        <f t="shared" si="84"/>
        <v>-1585</v>
      </c>
      <c r="V951" s="2"/>
      <c r="W951" s="15"/>
      <c r="X951" s="15"/>
      <c r="Y951" s="15"/>
      <c r="Z951" s="15"/>
      <c r="AA951" s="1"/>
      <c r="AB951" s="15"/>
      <c r="AC951" s="15"/>
      <c r="AD951" s="15"/>
      <c r="AE951" s="15"/>
      <c r="AF951" s="2"/>
      <c r="AG951" s="10" t="s">
        <v>354</v>
      </c>
      <c r="AH951" s="10" t="s">
        <v>318</v>
      </c>
      <c r="AI951" s="10" t="s">
        <v>319</v>
      </c>
      <c r="AJ951" s="10" t="s">
        <v>508</v>
      </c>
      <c r="AK951" s="10" t="s">
        <v>2893</v>
      </c>
      <c r="AL951" s="16" t="s">
        <v>45</v>
      </c>
      <c r="AM951" s="16" t="s">
        <v>45</v>
      </c>
      <c r="AN951" s="10" t="s">
        <v>50</v>
      </c>
    </row>
    <row r="952" ht="30.0" customHeight="1">
      <c r="A952" s="9" t="str">
        <f t="shared" si="48"/>
        <v>Inativo</v>
      </c>
      <c r="B952" s="9" t="str">
        <f t="shared" si="49"/>
        <v>N/I</v>
      </c>
      <c r="C952" s="9" t="str">
        <f t="shared" si="80"/>
        <v>N/I</v>
      </c>
      <c r="D952" s="12" t="s">
        <v>2886</v>
      </c>
      <c r="E952" s="11" t="s">
        <v>2887</v>
      </c>
      <c r="F952" s="11" t="s">
        <v>2938</v>
      </c>
      <c r="G952" s="12" t="s">
        <v>94</v>
      </c>
      <c r="H952" s="27">
        <v>170384.0</v>
      </c>
      <c r="I952" s="12" t="s">
        <v>2934</v>
      </c>
      <c r="J952" s="10" t="s">
        <v>197</v>
      </c>
      <c r="K952" s="10" t="s">
        <v>40</v>
      </c>
      <c r="L952" s="10" t="s">
        <v>4</v>
      </c>
      <c r="M952" s="22">
        <v>43411.0</v>
      </c>
      <c r="N952" s="32" t="s">
        <v>2935</v>
      </c>
      <c r="O952" s="10" t="s">
        <v>2936</v>
      </c>
      <c r="P952" s="10" t="s">
        <v>2892</v>
      </c>
      <c r="Q952" s="2"/>
      <c r="R952" s="10">
        <v>36.0</v>
      </c>
      <c r="S952" s="14">
        <v>43411.0</v>
      </c>
      <c r="T952" s="14">
        <v>44507.0</v>
      </c>
      <c r="U952" s="55">
        <f t="shared" si="84"/>
        <v>-1584</v>
      </c>
      <c r="V952" s="2"/>
      <c r="W952" s="15"/>
      <c r="X952" s="15"/>
      <c r="Y952" s="15"/>
      <c r="Z952" s="15"/>
      <c r="AA952" s="1"/>
      <c r="AB952" s="15"/>
      <c r="AC952" s="15"/>
      <c r="AD952" s="15"/>
      <c r="AE952" s="15"/>
      <c r="AF952" s="2"/>
      <c r="AG952" s="10" t="s">
        <v>354</v>
      </c>
      <c r="AH952" s="10" t="s">
        <v>318</v>
      </c>
      <c r="AI952" s="10" t="s">
        <v>319</v>
      </c>
      <c r="AJ952" s="10" t="s">
        <v>508</v>
      </c>
      <c r="AK952" s="10" t="s">
        <v>2893</v>
      </c>
      <c r="AL952" s="16" t="s">
        <v>45</v>
      </c>
      <c r="AM952" s="16" t="s">
        <v>45</v>
      </c>
      <c r="AN952" s="10" t="s">
        <v>50</v>
      </c>
    </row>
    <row r="953" ht="30.0" customHeight="1">
      <c r="A953" s="9" t="str">
        <f t="shared" si="48"/>
        <v>Inativo</v>
      </c>
      <c r="B953" s="9" t="str">
        <f t="shared" si="49"/>
        <v>N/I</v>
      </c>
      <c r="C953" s="9" t="str">
        <f t="shared" si="80"/>
        <v>N/I</v>
      </c>
      <c r="D953" s="12" t="s">
        <v>2886</v>
      </c>
      <c r="E953" s="11" t="s">
        <v>2887</v>
      </c>
      <c r="F953" s="11" t="s">
        <v>2939</v>
      </c>
      <c r="G953" s="12" t="s">
        <v>94</v>
      </c>
      <c r="H953" s="27">
        <v>180118.0</v>
      </c>
      <c r="I953" s="12" t="s">
        <v>2940</v>
      </c>
      <c r="J953" s="10" t="s">
        <v>197</v>
      </c>
      <c r="K953" s="10" t="s">
        <v>40</v>
      </c>
      <c r="L953" s="10" t="s">
        <v>4</v>
      </c>
      <c r="M953" s="22">
        <v>43412.0</v>
      </c>
      <c r="N953" s="32" t="s">
        <v>2941</v>
      </c>
      <c r="O953" s="10" t="s">
        <v>2942</v>
      </c>
      <c r="P953" s="10" t="s">
        <v>2892</v>
      </c>
      <c r="Q953" s="2"/>
      <c r="R953" s="10">
        <v>36.0</v>
      </c>
      <c r="S953" s="14">
        <v>43412.0</v>
      </c>
      <c r="T953" s="14">
        <v>44508.0</v>
      </c>
      <c r="U953" s="55">
        <f t="shared" si="84"/>
        <v>-1583</v>
      </c>
      <c r="V953" s="2"/>
      <c r="W953" s="15"/>
      <c r="X953" s="15"/>
      <c r="Y953" s="15"/>
      <c r="Z953" s="15"/>
      <c r="AA953" s="1"/>
      <c r="AB953" s="15"/>
      <c r="AC953" s="15"/>
      <c r="AD953" s="15"/>
      <c r="AE953" s="15"/>
      <c r="AF953" s="2"/>
      <c r="AG953" s="10" t="s">
        <v>354</v>
      </c>
      <c r="AH953" s="10" t="s">
        <v>318</v>
      </c>
      <c r="AI953" s="10" t="s">
        <v>319</v>
      </c>
      <c r="AJ953" s="10" t="s">
        <v>508</v>
      </c>
      <c r="AK953" s="10" t="s">
        <v>2893</v>
      </c>
      <c r="AL953" s="16" t="s">
        <v>45</v>
      </c>
      <c r="AM953" s="16" t="s">
        <v>45</v>
      </c>
      <c r="AN953" s="10" t="s">
        <v>50</v>
      </c>
    </row>
    <row r="954" ht="30.0" customHeight="1">
      <c r="A954" s="9" t="str">
        <f t="shared" si="48"/>
        <v>Inativo</v>
      </c>
      <c r="B954" s="9" t="str">
        <f t="shared" si="49"/>
        <v>N/I</v>
      </c>
      <c r="C954" s="9" t="str">
        <f t="shared" si="80"/>
        <v>N/I</v>
      </c>
      <c r="D954" s="12" t="s">
        <v>2886</v>
      </c>
      <c r="E954" s="11" t="s">
        <v>2887</v>
      </c>
      <c r="F954" s="11" t="s">
        <v>2943</v>
      </c>
      <c r="G954" s="12" t="s">
        <v>94</v>
      </c>
      <c r="H954" s="27">
        <v>170263.0</v>
      </c>
      <c r="I954" s="12" t="s">
        <v>1987</v>
      </c>
      <c r="J954" s="10" t="s">
        <v>197</v>
      </c>
      <c r="K954" s="10" t="s">
        <v>40</v>
      </c>
      <c r="L954" s="10" t="s">
        <v>4</v>
      </c>
      <c r="M954" s="22">
        <v>43397.0</v>
      </c>
      <c r="N954" s="32" t="s">
        <v>2944</v>
      </c>
      <c r="O954" s="10" t="s">
        <v>1989</v>
      </c>
      <c r="P954" s="10" t="s">
        <v>2892</v>
      </c>
      <c r="Q954" s="2"/>
      <c r="R954" s="10">
        <v>36.0</v>
      </c>
      <c r="S954" s="14">
        <v>43397.0</v>
      </c>
      <c r="T954" s="14">
        <v>44493.0</v>
      </c>
      <c r="U954" s="55">
        <f t="shared" si="84"/>
        <v>-1598</v>
      </c>
      <c r="V954" s="2"/>
      <c r="W954" s="15"/>
      <c r="X954" s="15"/>
      <c r="Y954" s="15"/>
      <c r="Z954" s="15"/>
      <c r="AA954" s="1"/>
      <c r="AB954" s="15"/>
      <c r="AC954" s="15"/>
      <c r="AD954" s="15"/>
      <c r="AE954" s="15"/>
      <c r="AF954" s="2"/>
      <c r="AG954" s="10" t="s">
        <v>354</v>
      </c>
      <c r="AH954" s="10" t="s">
        <v>318</v>
      </c>
      <c r="AI954" s="10" t="s">
        <v>319</v>
      </c>
      <c r="AJ954" s="10" t="s">
        <v>508</v>
      </c>
      <c r="AK954" s="10" t="s">
        <v>2893</v>
      </c>
      <c r="AL954" s="16" t="s">
        <v>45</v>
      </c>
      <c r="AM954" s="16" t="s">
        <v>45</v>
      </c>
      <c r="AN954" s="10" t="s">
        <v>50</v>
      </c>
    </row>
    <row r="955" ht="30.0" customHeight="1">
      <c r="A955" s="9" t="str">
        <f t="shared" si="48"/>
        <v>Inativo</v>
      </c>
      <c r="B955" s="9" t="str">
        <f t="shared" si="49"/>
        <v>N/I</v>
      </c>
      <c r="C955" s="9" t="str">
        <f t="shared" si="80"/>
        <v>N/I</v>
      </c>
      <c r="D955" s="12" t="s">
        <v>2886</v>
      </c>
      <c r="E955" s="11" t="s">
        <v>2887</v>
      </c>
      <c r="F955" s="11" t="s">
        <v>2945</v>
      </c>
      <c r="G955" s="12" t="s">
        <v>94</v>
      </c>
      <c r="H955" s="27">
        <v>170270.0</v>
      </c>
      <c r="I955" s="12" t="s">
        <v>1987</v>
      </c>
      <c r="J955" s="10" t="s">
        <v>197</v>
      </c>
      <c r="K955" s="10" t="s">
        <v>40</v>
      </c>
      <c r="L955" s="10" t="s">
        <v>4</v>
      </c>
      <c r="M955" s="22">
        <v>43397.0</v>
      </c>
      <c r="N955" s="32" t="s">
        <v>2944</v>
      </c>
      <c r="O955" s="10" t="s">
        <v>1989</v>
      </c>
      <c r="P955" s="10" t="s">
        <v>2892</v>
      </c>
      <c r="Q955" s="2"/>
      <c r="R955" s="10">
        <v>36.0</v>
      </c>
      <c r="S955" s="14">
        <v>43397.0</v>
      </c>
      <c r="T955" s="14">
        <v>44493.0</v>
      </c>
      <c r="U955" s="55">
        <f t="shared" si="84"/>
        <v>-1598</v>
      </c>
      <c r="V955" s="2"/>
      <c r="W955" s="15"/>
      <c r="X955" s="15"/>
      <c r="Y955" s="15"/>
      <c r="Z955" s="15"/>
      <c r="AA955" s="1"/>
      <c r="AB955" s="15"/>
      <c r="AC955" s="15"/>
      <c r="AD955" s="15"/>
      <c r="AE955" s="15"/>
      <c r="AF955" s="2"/>
      <c r="AG955" s="10" t="s">
        <v>354</v>
      </c>
      <c r="AH955" s="10" t="s">
        <v>318</v>
      </c>
      <c r="AI955" s="10" t="s">
        <v>319</v>
      </c>
      <c r="AJ955" s="10" t="s">
        <v>508</v>
      </c>
      <c r="AK955" s="10" t="s">
        <v>2893</v>
      </c>
      <c r="AL955" s="16" t="s">
        <v>45</v>
      </c>
      <c r="AM955" s="16" t="s">
        <v>45</v>
      </c>
      <c r="AN955" s="10" t="s">
        <v>50</v>
      </c>
    </row>
    <row r="956" ht="30.0" customHeight="1">
      <c r="A956" s="9" t="str">
        <f t="shared" si="48"/>
        <v>Inativo</v>
      </c>
      <c r="B956" s="9" t="str">
        <f t="shared" si="49"/>
        <v>N/I</v>
      </c>
      <c r="C956" s="9" t="str">
        <f t="shared" si="80"/>
        <v>N/I</v>
      </c>
      <c r="D956" s="12" t="s">
        <v>2886</v>
      </c>
      <c r="E956" s="11" t="s">
        <v>2887</v>
      </c>
      <c r="F956" s="11" t="s">
        <v>2946</v>
      </c>
      <c r="G956" s="12" t="s">
        <v>94</v>
      </c>
      <c r="H956" s="27">
        <v>170230.0</v>
      </c>
      <c r="I956" s="12" t="s">
        <v>2947</v>
      </c>
      <c r="J956" s="10" t="s">
        <v>197</v>
      </c>
      <c r="K956" s="10" t="s">
        <v>40</v>
      </c>
      <c r="L956" s="10" t="s">
        <v>4</v>
      </c>
      <c r="M956" s="22">
        <v>43413.0</v>
      </c>
      <c r="N956" s="32" t="s">
        <v>2948</v>
      </c>
      <c r="O956" s="10" t="s">
        <v>2949</v>
      </c>
      <c r="P956" s="10" t="s">
        <v>2892</v>
      </c>
      <c r="Q956" s="2"/>
      <c r="R956" s="10">
        <v>36.0</v>
      </c>
      <c r="S956" s="14">
        <v>43413.0</v>
      </c>
      <c r="T956" s="14">
        <v>44509.0</v>
      </c>
      <c r="U956" s="55">
        <f t="shared" si="84"/>
        <v>-1582</v>
      </c>
      <c r="V956" s="2"/>
      <c r="W956" s="15"/>
      <c r="X956" s="15"/>
      <c r="Y956" s="15"/>
      <c r="Z956" s="15"/>
      <c r="AA956" s="1"/>
      <c r="AB956" s="15"/>
      <c r="AC956" s="15"/>
      <c r="AD956" s="15"/>
      <c r="AE956" s="15"/>
      <c r="AF956" s="2"/>
      <c r="AG956" s="10" t="s">
        <v>354</v>
      </c>
      <c r="AH956" s="10" t="s">
        <v>318</v>
      </c>
      <c r="AI956" s="10" t="s">
        <v>319</v>
      </c>
      <c r="AJ956" s="10" t="s">
        <v>508</v>
      </c>
      <c r="AK956" s="10" t="s">
        <v>2893</v>
      </c>
      <c r="AL956" s="16" t="s">
        <v>45</v>
      </c>
      <c r="AM956" s="16" t="s">
        <v>45</v>
      </c>
      <c r="AN956" s="10" t="s">
        <v>50</v>
      </c>
    </row>
    <row r="957" ht="30.0" customHeight="1">
      <c r="A957" s="9" t="str">
        <f t="shared" si="48"/>
        <v>Inativo</v>
      </c>
      <c r="B957" s="9" t="str">
        <f t="shared" si="49"/>
        <v>N/I</v>
      </c>
      <c r="C957" s="9" t="str">
        <f t="shared" si="80"/>
        <v>N/I</v>
      </c>
      <c r="D957" s="12" t="s">
        <v>2886</v>
      </c>
      <c r="E957" s="11" t="s">
        <v>2887</v>
      </c>
      <c r="F957" s="11" t="s">
        <v>2950</v>
      </c>
      <c r="G957" s="12" t="s">
        <v>94</v>
      </c>
      <c r="H957" s="27">
        <v>170273.0</v>
      </c>
      <c r="I957" s="12" t="s">
        <v>2951</v>
      </c>
      <c r="J957" s="10" t="s">
        <v>197</v>
      </c>
      <c r="K957" s="10" t="s">
        <v>40</v>
      </c>
      <c r="L957" s="10" t="s">
        <v>4</v>
      </c>
      <c r="M957" s="22">
        <v>43413.0</v>
      </c>
      <c r="N957" s="32" t="s">
        <v>2952</v>
      </c>
      <c r="O957" s="10" t="s">
        <v>2953</v>
      </c>
      <c r="P957" s="10" t="s">
        <v>2892</v>
      </c>
      <c r="Q957" s="2"/>
      <c r="R957" s="10">
        <v>36.0</v>
      </c>
      <c r="S957" s="14">
        <v>43413.0</v>
      </c>
      <c r="T957" s="14">
        <v>44509.0</v>
      </c>
      <c r="U957" s="55">
        <f t="shared" si="84"/>
        <v>-1582</v>
      </c>
      <c r="V957" s="2"/>
      <c r="W957" s="15"/>
      <c r="X957" s="15"/>
      <c r="Y957" s="15"/>
      <c r="Z957" s="15"/>
      <c r="AA957" s="1"/>
      <c r="AB957" s="15"/>
      <c r="AC957" s="15"/>
      <c r="AD957" s="15"/>
      <c r="AE957" s="15"/>
      <c r="AF957" s="2"/>
      <c r="AG957" s="10" t="s">
        <v>354</v>
      </c>
      <c r="AH957" s="10" t="s">
        <v>318</v>
      </c>
      <c r="AI957" s="10" t="s">
        <v>319</v>
      </c>
      <c r="AJ957" s="10" t="s">
        <v>508</v>
      </c>
      <c r="AK957" s="10" t="s">
        <v>2893</v>
      </c>
      <c r="AL957" s="16" t="s">
        <v>45</v>
      </c>
      <c r="AM957" s="16" t="s">
        <v>45</v>
      </c>
      <c r="AN957" s="10" t="s">
        <v>50</v>
      </c>
    </row>
    <row r="958" ht="30.0" customHeight="1">
      <c r="A958" s="9" t="str">
        <f t="shared" si="48"/>
        <v>Inativo</v>
      </c>
      <c r="B958" s="9" t="str">
        <f t="shared" si="49"/>
        <v>N/I</v>
      </c>
      <c r="C958" s="9" t="str">
        <f t="shared" si="80"/>
        <v>N/I</v>
      </c>
      <c r="D958" s="12" t="s">
        <v>2886</v>
      </c>
      <c r="E958" s="11" t="s">
        <v>2887</v>
      </c>
      <c r="F958" s="11" t="s">
        <v>2954</v>
      </c>
      <c r="G958" s="12" t="s">
        <v>94</v>
      </c>
      <c r="H958" s="27">
        <v>150716.0</v>
      </c>
      <c r="I958" s="12" t="s">
        <v>2955</v>
      </c>
      <c r="J958" s="10" t="s">
        <v>197</v>
      </c>
      <c r="K958" s="10" t="s">
        <v>40</v>
      </c>
      <c r="L958" s="10" t="s">
        <v>4</v>
      </c>
      <c r="M958" s="22">
        <v>43412.0</v>
      </c>
      <c r="N958" s="32" t="s">
        <v>2956</v>
      </c>
      <c r="O958" s="10" t="s">
        <v>2957</v>
      </c>
      <c r="P958" s="10" t="s">
        <v>2892</v>
      </c>
      <c r="Q958" s="2"/>
      <c r="R958" s="10">
        <v>36.0</v>
      </c>
      <c r="S958" s="14">
        <v>43412.0</v>
      </c>
      <c r="T958" s="14">
        <v>44508.0</v>
      </c>
      <c r="U958" s="55">
        <f t="shared" si="84"/>
        <v>-1583</v>
      </c>
      <c r="V958" s="2"/>
      <c r="W958" s="15"/>
      <c r="X958" s="15"/>
      <c r="Y958" s="15"/>
      <c r="Z958" s="15"/>
      <c r="AA958" s="1"/>
      <c r="AB958" s="15"/>
      <c r="AC958" s="15"/>
      <c r="AD958" s="15"/>
      <c r="AE958" s="15"/>
      <c r="AF958" s="2"/>
      <c r="AG958" s="10" t="s">
        <v>354</v>
      </c>
      <c r="AH958" s="10" t="s">
        <v>318</v>
      </c>
      <c r="AI958" s="10" t="s">
        <v>319</v>
      </c>
      <c r="AJ958" s="10" t="s">
        <v>508</v>
      </c>
      <c r="AK958" s="10" t="s">
        <v>2893</v>
      </c>
      <c r="AL958" s="16" t="s">
        <v>45</v>
      </c>
      <c r="AM958" s="16" t="s">
        <v>45</v>
      </c>
      <c r="AN958" s="10" t="s">
        <v>50</v>
      </c>
    </row>
    <row r="959" ht="30.0" customHeight="1">
      <c r="A959" s="9" t="str">
        <f t="shared" si="48"/>
        <v>Inativo</v>
      </c>
      <c r="B959" s="9" t="str">
        <f t="shared" si="49"/>
        <v>N/I</v>
      </c>
      <c r="C959" s="9" t="str">
        <f t="shared" si="80"/>
        <v>N/I</v>
      </c>
      <c r="D959" s="12" t="s">
        <v>2886</v>
      </c>
      <c r="E959" s="11" t="s">
        <v>2887</v>
      </c>
      <c r="F959" s="11" t="s">
        <v>2958</v>
      </c>
      <c r="G959" s="12" t="s">
        <v>94</v>
      </c>
      <c r="H959" s="27">
        <v>170242.0</v>
      </c>
      <c r="I959" s="12" t="s">
        <v>2007</v>
      </c>
      <c r="J959" s="10" t="s">
        <v>197</v>
      </c>
      <c r="K959" s="10" t="s">
        <v>40</v>
      </c>
      <c r="L959" s="10" t="s">
        <v>4</v>
      </c>
      <c r="M959" s="22">
        <v>43389.0</v>
      </c>
      <c r="N959" s="32" t="s">
        <v>2959</v>
      </c>
      <c r="O959" s="10" t="s">
        <v>2960</v>
      </c>
      <c r="P959" s="10" t="s">
        <v>2892</v>
      </c>
      <c r="Q959" s="2"/>
      <c r="R959" s="10">
        <v>36.0</v>
      </c>
      <c r="S959" s="14">
        <v>43403.0</v>
      </c>
      <c r="T959" s="14">
        <v>44499.0</v>
      </c>
      <c r="U959" s="55">
        <f t="shared" si="84"/>
        <v>-1592</v>
      </c>
      <c r="V959" s="2"/>
      <c r="W959" s="15"/>
      <c r="X959" s="15"/>
      <c r="Y959" s="15"/>
      <c r="Z959" s="15"/>
      <c r="AA959" s="1"/>
      <c r="AB959" s="15"/>
      <c r="AC959" s="15"/>
      <c r="AD959" s="15"/>
      <c r="AE959" s="15"/>
      <c r="AF959" s="2"/>
      <c r="AG959" s="10" t="s">
        <v>354</v>
      </c>
      <c r="AH959" s="10" t="s">
        <v>318</v>
      </c>
      <c r="AI959" s="10" t="s">
        <v>319</v>
      </c>
      <c r="AJ959" s="10" t="s">
        <v>508</v>
      </c>
      <c r="AK959" s="10" t="s">
        <v>2893</v>
      </c>
      <c r="AL959" s="16" t="s">
        <v>45</v>
      </c>
      <c r="AM959" s="16" t="s">
        <v>45</v>
      </c>
      <c r="AN959" s="10" t="s">
        <v>50</v>
      </c>
    </row>
    <row r="960" ht="30.0" customHeight="1">
      <c r="A960" s="9" t="str">
        <f t="shared" si="48"/>
        <v>Inativo</v>
      </c>
      <c r="B960" s="9" t="str">
        <f t="shared" si="49"/>
        <v>N/I</v>
      </c>
      <c r="C960" s="9" t="str">
        <f t="shared" si="80"/>
        <v>N/I</v>
      </c>
      <c r="D960" s="12" t="s">
        <v>2886</v>
      </c>
      <c r="E960" s="11" t="s">
        <v>2887</v>
      </c>
      <c r="F960" s="11" t="s">
        <v>2961</v>
      </c>
      <c r="G960" s="12" t="s">
        <v>94</v>
      </c>
      <c r="H960" s="27">
        <v>170261.0</v>
      </c>
      <c r="I960" s="12" t="s">
        <v>2007</v>
      </c>
      <c r="J960" s="10" t="s">
        <v>197</v>
      </c>
      <c r="K960" s="10" t="s">
        <v>40</v>
      </c>
      <c r="L960" s="10" t="s">
        <v>4</v>
      </c>
      <c r="M960" s="22">
        <v>43391.0</v>
      </c>
      <c r="N960" s="32" t="s">
        <v>2962</v>
      </c>
      <c r="O960" s="10" t="s">
        <v>2963</v>
      </c>
      <c r="P960" s="10" t="s">
        <v>2892</v>
      </c>
      <c r="Q960" s="2"/>
      <c r="R960" s="10">
        <v>36.0</v>
      </c>
      <c r="S960" s="14">
        <v>43391.0</v>
      </c>
      <c r="T960" s="14">
        <v>44487.0</v>
      </c>
      <c r="U960" s="55">
        <f t="shared" si="84"/>
        <v>-1604</v>
      </c>
      <c r="V960" s="2"/>
      <c r="W960" s="15"/>
      <c r="X960" s="15"/>
      <c r="Y960" s="15"/>
      <c r="Z960" s="15"/>
      <c r="AA960" s="1"/>
      <c r="AB960" s="15"/>
      <c r="AC960" s="15"/>
      <c r="AD960" s="15"/>
      <c r="AE960" s="15"/>
      <c r="AF960" s="2"/>
      <c r="AG960" s="10" t="s">
        <v>354</v>
      </c>
      <c r="AH960" s="10" t="s">
        <v>318</v>
      </c>
      <c r="AI960" s="10" t="s">
        <v>319</v>
      </c>
      <c r="AJ960" s="10" t="s">
        <v>508</v>
      </c>
      <c r="AK960" s="10" t="s">
        <v>2893</v>
      </c>
      <c r="AL960" s="16" t="s">
        <v>45</v>
      </c>
      <c r="AM960" s="16" t="s">
        <v>45</v>
      </c>
      <c r="AN960" s="10" t="s">
        <v>50</v>
      </c>
    </row>
    <row r="961" ht="30.0" customHeight="1">
      <c r="A961" s="9" t="str">
        <f t="shared" si="48"/>
        <v>Inativo</v>
      </c>
      <c r="B961" s="9" t="str">
        <f t="shared" si="49"/>
        <v>N/I</v>
      </c>
      <c r="C961" s="9" t="str">
        <f t="shared" si="80"/>
        <v>N/I</v>
      </c>
      <c r="D961" s="12" t="s">
        <v>2886</v>
      </c>
      <c r="E961" s="11" t="s">
        <v>2887</v>
      </c>
      <c r="F961" s="11" t="s">
        <v>2964</v>
      </c>
      <c r="G961" s="12" t="s">
        <v>94</v>
      </c>
      <c r="H961" s="27">
        <v>170238.0</v>
      </c>
      <c r="I961" s="12" t="s">
        <v>324</v>
      </c>
      <c r="J961" s="10" t="s">
        <v>197</v>
      </c>
      <c r="K961" s="10" t="s">
        <v>40</v>
      </c>
      <c r="L961" s="10" t="s">
        <v>4</v>
      </c>
      <c r="M961" s="22">
        <v>43388.0</v>
      </c>
      <c r="N961" s="32" t="s">
        <v>2965</v>
      </c>
      <c r="O961" s="10" t="s">
        <v>2966</v>
      </c>
      <c r="P961" s="10" t="s">
        <v>2892</v>
      </c>
      <c r="Q961" s="2"/>
      <c r="R961" s="10">
        <v>36.0</v>
      </c>
      <c r="S961" s="14">
        <v>43388.0</v>
      </c>
      <c r="T961" s="14">
        <v>44484.0</v>
      </c>
      <c r="U961" s="55">
        <f t="shared" si="84"/>
        <v>-1607</v>
      </c>
      <c r="V961" s="2"/>
      <c r="W961" s="15"/>
      <c r="X961" s="15"/>
      <c r="Y961" s="15"/>
      <c r="Z961" s="15"/>
      <c r="AA961" s="1"/>
      <c r="AB961" s="15"/>
      <c r="AC961" s="15"/>
      <c r="AD961" s="15"/>
      <c r="AE961" s="15"/>
      <c r="AF961" s="2"/>
      <c r="AG961" s="10" t="s">
        <v>354</v>
      </c>
      <c r="AH961" s="10" t="s">
        <v>318</v>
      </c>
      <c r="AI961" s="10" t="s">
        <v>319</v>
      </c>
      <c r="AJ961" s="10" t="s">
        <v>508</v>
      </c>
      <c r="AK961" s="10" t="s">
        <v>2893</v>
      </c>
      <c r="AL961" s="16" t="s">
        <v>45</v>
      </c>
      <c r="AM961" s="16" t="s">
        <v>45</v>
      </c>
      <c r="AN961" s="10" t="s">
        <v>50</v>
      </c>
    </row>
    <row r="962" ht="30.0" customHeight="1">
      <c r="A962" s="9" t="str">
        <f t="shared" si="48"/>
        <v>Inativo</v>
      </c>
      <c r="B962" s="9" t="str">
        <f t="shared" si="49"/>
        <v>N/I</v>
      </c>
      <c r="C962" s="9" t="str">
        <f t="shared" si="80"/>
        <v>N/I</v>
      </c>
      <c r="D962" s="12" t="s">
        <v>2886</v>
      </c>
      <c r="E962" s="11" t="s">
        <v>2887</v>
      </c>
      <c r="F962" s="11" t="s">
        <v>2967</v>
      </c>
      <c r="G962" s="12" t="s">
        <v>55</v>
      </c>
      <c r="H962" s="27">
        <v>170157.0</v>
      </c>
      <c r="I962" s="12" t="s">
        <v>2968</v>
      </c>
      <c r="J962" s="10" t="s">
        <v>197</v>
      </c>
      <c r="K962" s="10" t="s">
        <v>40</v>
      </c>
      <c r="L962" s="10" t="s">
        <v>4</v>
      </c>
      <c r="M962" s="22">
        <v>43417.0</v>
      </c>
      <c r="N962" s="32" t="s">
        <v>2969</v>
      </c>
      <c r="O962" s="10" t="s">
        <v>2970</v>
      </c>
      <c r="P962" s="10" t="s">
        <v>2892</v>
      </c>
      <c r="Q962" s="2"/>
      <c r="R962" s="10">
        <v>36.0</v>
      </c>
      <c r="S962" s="14">
        <v>43417.0</v>
      </c>
      <c r="T962" s="14">
        <v>44513.0</v>
      </c>
      <c r="U962" s="55">
        <f t="shared" si="84"/>
        <v>-1578</v>
      </c>
      <c r="V962" s="2"/>
      <c r="W962" s="15"/>
      <c r="X962" s="15"/>
      <c r="Y962" s="15"/>
      <c r="Z962" s="15"/>
      <c r="AA962" s="1"/>
      <c r="AB962" s="15"/>
      <c r="AC962" s="15"/>
      <c r="AD962" s="15"/>
      <c r="AE962" s="15"/>
      <c r="AF962" s="2"/>
      <c r="AG962" s="10" t="s">
        <v>354</v>
      </c>
      <c r="AH962" s="10" t="s">
        <v>318</v>
      </c>
      <c r="AI962" s="10" t="s">
        <v>319</v>
      </c>
      <c r="AJ962" s="10" t="s">
        <v>508</v>
      </c>
      <c r="AK962" s="10" t="s">
        <v>2893</v>
      </c>
      <c r="AL962" s="16" t="s">
        <v>45</v>
      </c>
      <c r="AM962" s="16" t="s">
        <v>45</v>
      </c>
      <c r="AN962" s="10" t="s">
        <v>50</v>
      </c>
    </row>
    <row r="963" ht="30.0" customHeight="1">
      <c r="A963" s="9" t="str">
        <f t="shared" si="48"/>
        <v>Inativo</v>
      </c>
      <c r="B963" s="9" t="str">
        <f t="shared" si="49"/>
        <v>N/I</v>
      </c>
      <c r="C963" s="9" t="str">
        <f t="shared" si="80"/>
        <v>N/I</v>
      </c>
      <c r="D963" s="10" t="s">
        <v>2886</v>
      </c>
      <c r="E963" s="11" t="s">
        <v>2887</v>
      </c>
      <c r="F963" s="11" t="s">
        <v>2971</v>
      </c>
      <c r="G963" s="12" t="s">
        <v>55</v>
      </c>
      <c r="H963" s="13" t="s">
        <v>2972</v>
      </c>
      <c r="I963" s="12" t="s">
        <v>2973</v>
      </c>
      <c r="J963" s="10" t="s">
        <v>197</v>
      </c>
      <c r="K963" s="10" t="s">
        <v>40</v>
      </c>
      <c r="L963" s="10" t="s">
        <v>4</v>
      </c>
      <c r="M963" s="22">
        <v>45407.0</v>
      </c>
      <c r="N963" s="32" t="s">
        <v>2974</v>
      </c>
      <c r="O963" s="10" t="s">
        <v>2975</v>
      </c>
      <c r="P963" s="10" t="s">
        <v>2976</v>
      </c>
      <c r="Q963" s="2"/>
      <c r="R963" s="10">
        <v>12.0</v>
      </c>
      <c r="S963" s="14">
        <v>45407.0</v>
      </c>
      <c r="T963" s="14">
        <v>45771.0</v>
      </c>
      <c r="U963" s="10">
        <f t="shared" si="84"/>
        <v>-320</v>
      </c>
      <c r="V963" s="2"/>
      <c r="W963" s="15"/>
      <c r="X963" s="15"/>
      <c r="Y963" s="15"/>
      <c r="Z963" s="15"/>
      <c r="AA963" s="1"/>
      <c r="AB963" s="15"/>
      <c r="AC963" s="15"/>
      <c r="AD963" s="15"/>
      <c r="AE963" s="15"/>
      <c r="AF963" s="2"/>
      <c r="AG963" s="16" t="s">
        <v>45</v>
      </c>
      <c r="AH963" s="16" t="s">
        <v>45</v>
      </c>
      <c r="AI963" s="16" t="s">
        <v>45</v>
      </c>
      <c r="AJ963" s="16" t="s">
        <v>45</v>
      </c>
      <c r="AK963" s="16" t="s">
        <v>45</v>
      </c>
      <c r="AL963" s="16" t="s">
        <v>45</v>
      </c>
      <c r="AM963" s="16" t="s">
        <v>45</v>
      </c>
      <c r="AN963" s="10" t="s">
        <v>320</v>
      </c>
    </row>
    <row r="964" ht="30.0" customHeight="1">
      <c r="A964" s="9" t="str">
        <f t="shared" si="48"/>
        <v>Inativo</v>
      </c>
      <c r="B964" s="9" t="str">
        <f t="shared" si="49"/>
        <v>N/I</v>
      </c>
      <c r="C964" s="9" t="str">
        <f t="shared" si="80"/>
        <v>N/I</v>
      </c>
      <c r="D964" s="12" t="s">
        <v>2886</v>
      </c>
      <c r="E964" s="11" t="s">
        <v>2887</v>
      </c>
      <c r="F964" s="11" t="s">
        <v>2977</v>
      </c>
      <c r="G964" s="12" t="s">
        <v>55</v>
      </c>
      <c r="H964" s="27">
        <v>170149.0</v>
      </c>
      <c r="I964" s="12" t="s">
        <v>2978</v>
      </c>
      <c r="J964" s="10" t="s">
        <v>197</v>
      </c>
      <c r="K964" s="10" t="s">
        <v>40</v>
      </c>
      <c r="L964" s="10" t="s">
        <v>4</v>
      </c>
      <c r="M964" s="22">
        <v>43627.0</v>
      </c>
      <c r="N964" s="32" t="s">
        <v>2974</v>
      </c>
      <c r="O964" s="10" t="s">
        <v>2975</v>
      </c>
      <c r="P964" s="10" t="s">
        <v>2892</v>
      </c>
      <c r="Q964" s="2"/>
      <c r="R964" s="10">
        <v>36.0</v>
      </c>
      <c r="S964" s="14">
        <v>43416.0</v>
      </c>
      <c r="T964" s="14">
        <v>44512.0</v>
      </c>
      <c r="U964" s="55">
        <f t="shared" si="84"/>
        <v>-1579</v>
      </c>
      <c r="V964" s="2"/>
      <c r="W964" s="15"/>
      <c r="X964" s="15"/>
      <c r="Y964" s="15"/>
      <c r="Z964" s="15"/>
      <c r="AA964" s="1"/>
      <c r="AB964" s="15"/>
      <c r="AC964" s="15"/>
      <c r="AD964" s="15"/>
      <c r="AE964" s="15"/>
      <c r="AF964" s="2"/>
      <c r="AG964" s="10" t="s">
        <v>354</v>
      </c>
      <c r="AH964" s="10" t="s">
        <v>318</v>
      </c>
      <c r="AI964" s="10" t="s">
        <v>319</v>
      </c>
      <c r="AJ964" s="10" t="s">
        <v>508</v>
      </c>
      <c r="AK964" s="10" t="s">
        <v>2893</v>
      </c>
      <c r="AL964" s="16" t="s">
        <v>45</v>
      </c>
      <c r="AM964" s="16" t="s">
        <v>45</v>
      </c>
      <c r="AN964" s="10" t="s">
        <v>50</v>
      </c>
    </row>
    <row r="965" ht="30.0" customHeight="1">
      <c r="A965" s="9" t="str">
        <f t="shared" si="48"/>
        <v>Inativo</v>
      </c>
      <c r="B965" s="9" t="str">
        <f t="shared" si="49"/>
        <v>N/I</v>
      </c>
      <c r="C965" s="9" t="str">
        <f t="shared" si="80"/>
        <v>N/I</v>
      </c>
      <c r="D965" s="10" t="s">
        <v>2886</v>
      </c>
      <c r="E965" s="11" t="s">
        <v>2887</v>
      </c>
      <c r="F965" s="11" t="s">
        <v>2971</v>
      </c>
      <c r="G965" s="12" t="s">
        <v>55</v>
      </c>
      <c r="H965" s="27" t="s">
        <v>2979</v>
      </c>
      <c r="I965" s="12" t="s">
        <v>2978</v>
      </c>
      <c r="J965" s="10" t="s">
        <v>197</v>
      </c>
      <c r="K965" s="10" t="s">
        <v>40</v>
      </c>
      <c r="L965" s="10" t="s">
        <v>4</v>
      </c>
      <c r="M965" s="22">
        <v>45471.0</v>
      </c>
      <c r="N965" s="32" t="s">
        <v>2974</v>
      </c>
      <c r="O965" s="10" t="s">
        <v>2975</v>
      </c>
      <c r="P965" s="10" t="s">
        <v>2976</v>
      </c>
      <c r="Q965" s="2"/>
      <c r="R965" s="10">
        <v>12.0</v>
      </c>
      <c r="S965" s="14">
        <v>45471.0</v>
      </c>
      <c r="T965" s="14">
        <v>45835.0</v>
      </c>
      <c r="U965" s="10">
        <f t="shared" si="84"/>
        <v>-256</v>
      </c>
      <c r="V965" s="2"/>
      <c r="W965" s="15"/>
      <c r="X965" s="15"/>
      <c r="Y965" s="15"/>
      <c r="Z965" s="15"/>
      <c r="AA965" s="1"/>
      <c r="AB965" s="15"/>
      <c r="AC965" s="15"/>
      <c r="AD965" s="15"/>
      <c r="AE965" s="15"/>
      <c r="AF965" s="2"/>
      <c r="AG965" s="16" t="s">
        <v>45</v>
      </c>
      <c r="AH965" s="16" t="s">
        <v>45</v>
      </c>
      <c r="AI965" s="16" t="s">
        <v>45</v>
      </c>
      <c r="AJ965" s="16" t="s">
        <v>45</v>
      </c>
      <c r="AK965" s="16" t="s">
        <v>45</v>
      </c>
      <c r="AL965" s="16" t="s">
        <v>45</v>
      </c>
      <c r="AM965" s="16" t="s">
        <v>45</v>
      </c>
      <c r="AN965" s="10" t="s">
        <v>320</v>
      </c>
    </row>
    <row r="966" ht="30.0" customHeight="1">
      <c r="A966" s="9" t="str">
        <f t="shared" si="48"/>
        <v>Inativo</v>
      </c>
      <c r="B966" s="9" t="str">
        <f t="shared" si="49"/>
        <v>N/I</v>
      </c>
      <c r="C966" s="9" t="str">
        <f t="shared" si="80"/>
        <v>N/I</v>
      </c>
      <c r="D966" s="12" t="s">
        <v>2886</v>
      </c>
      <c r="E966" s="11" t="s">
        <v>2887</v>
      </c>
      <c r="F966" s="11" t="s">
        <v>2980</v>
      </c>
      <c r="G966" s="12" t="s">
        <v>94</v>
      </c>
      <c r="H966" s="27">
        <v>170268.0</v>
      </c>
      <c r="I966" s="12" t="s">
        <v>2981</v>
      </c>
      <c r="J966" s="10" t="s">
        <v>197</v>
      </c>
      <c r="K966" s="10" t="s">
        <v>40</v>
      </c>
      <c r="L966" s="10" t="s">
        <v>4</v>
      </c>
      <c r="M966" s="22">
        <v>43381.0</v>
      </c>
      <c r="N966" s="32" t="s">
        <v>2982</v>
      </c>
      <c r="O966" s="10" t="s">
        <v>2983</v>
      </c>
      <c r="P966" s="10" t="s">
        <v>2892</v>
      </c>
      <c r="Q966" s="2"/>
      <c r="R966" s="10">
        <v>36.0</v>
      </c>
      <c r="S966" s="14">
        <v>43381.0</v>
      </c>
      <c r="T966" s="14">
        <v>44477.0</v>
      </c>
      <c r="U966" s="55">
        <f t="shared" si="84"/>
        <v>-1614</v>
      </c>
      <c r="V966" s="2"/>
      <c r="W966" s="15"/>
      <c r="X966" s="15"/>
      <c r="Y966" s="15"/>
      <c r="Z966" s="15"/>
      <c r="AA966" s="1"/>
      <c r="AB966" s="15"/>
      <c r="AC966" s="15"/>
      <c r="AD966" s="15"/>
      <c r="AE966" s="15"/>
      <c r="AF966" s="2"/>
      <c r="AG966" s="10" t="s">
        <v>354</v>
      </c>
      <c r="AH966" s="10" t="s">
        <v>318</v>
      </c>
      <c r="AI966" s="10" t="s">
        <v>319</v>
      </c>
      <c r="AJ966" s="10" t="s">
        <v>508</v>
      </c>
      <c r="AK966" s="10" t="s">
        <v>2893</v>
      </c>
      <c r="AL966" s="16" t="s">
        <v>45</v>
      </c>
      <c r="AM966" s="16" t="s">
        <v>45</v>
      </c>
      <c r="AN966" s="10" t="s">
        <v>50</v>
      </c>
    </row>
    <row r="967" ht="30.0" customHeight="1">
      <c r="A967" s="9" t="str">
        <f t="shared" si="48"/>
        <v>Inativo</v>
      </c>
      <c r="B967" s="9" t="str">
        <f t="shared" si="49"/>
        <v>N/I</v>
      </c>
      <c r="C967" s="9" t="str">
        <f t="shared" si="80"/>
        <v>N/I</v>
      </c>
      <c r="D967" s="12" t="s">
        <v>2886</v>
      </c>
      <c r="E967" s="11" t="s">
        <v>2887</v>
      </c>
      <c r="F967" s="11" t="s">
        <v>2984</v>
      </c>
      <c r="G967" s="12" t="s">
        <v>94</v>
      </c>
      <c r="H967" s="27">
        <v>180124.0</v>
      </c>
      <c r="I967" s="12" t="s">
        <v>2985</v>
      </c>
      <c r="J967" s="10" t="s">
        <v>197</v>
      </c>
      <c r="K967" s="10" t="s">
        <v>40</v>
      </c>
      <c r="L967" s="10" t="s">
        <v>4</v>
      </c>
      <c r="M967" s="22">
        <v>43412.0</v>
      </c>
      <c r="N967" s="32" t="s">
        <v>2986</v>
      </c>
      <c r="O967" s="10" t="s">
        <v>2987</v>
      </c>
      <c r="P967" s="10" t="s">
        <v>2892</v>
      </c>
      <c r="Q967" s="2"/>
      <c r="R967" s="10">
        <v>36.0</v>
      </c>
      <c r="S967" s="14">
        <v>43412.0</v>
      </c>
      <c r="T967" s="14">
        <v>44508.0</v>
      </c>
      <c r="U967" s="55">
        <f t="shared" si="84"/>
        <v>-1583</v>
      </c>
      <c r="V967" s="2"/>
      <c r="W967" s="15"/>
      <c r="X967" s="15"/>
      <c r="Y967" s="15"/>
      <c r="Z967" s="15"/>
      <c r="AA967" s="1"/>
      <c r="AB967" s="15"/>
      <c r="AC967" s="15"/>
      <c r="AD967" s="15"/>
      <c r="AE967" s="15"/>
      <c r="AF967" s="2"/>
      <c r="AG967" s="10" t="s">
        <v>354</v>
      </c>
      <c r="AH967" s="10" t="s">
        <v>318</v>
      </c>
      <c r="AI967" s="10" t="s">
        <v>319</v>
      </c>
      <c r="AJ967" s="10" t="s">
        <v>508</v>
      </c>
      <c r="AK967" s="10" t="s">
        <v>2893</v>
      </c>
      <c r="AL967" s="16" t="s">
        <v>45</v>
      </c>
      <c r="AM967" s="16" t="s">
        <v>45</v>
      </c>
      <c r="AN967" s="10" t="s">
        <v>50</v>
      </c>
    </row>
    <row r="968" ht="30.0" customHeight="1">
      <c r="A968" s="9" t="str">
        <f t="shared" si="48"/>
        <v>Inativo</v>
      </c>
      <c r="B968" s="9" t="str">
        <f t="shared" si="49"/>
        <v>N/I</v>
      </c>
      <c r="C968" s="9" t="str">
        <f t="shared" si="80"/>
        <v>N/I</v>
      </c>
      <c r="D968" s="10" t="s">
        <v>2886</v>
      </c>
      <c r="E968" s="11" t="s">
        <v>2887</v>
      </c>
      <c r="F968" s="11" t="s">
        <v>2988</v>
      </c>
      <c r="G968" s="12" t="s">
        <v>52</v>
      </c>
      <c r="H968" s="34" t="s">
        <v>2989</v>
      </c>
      <c r="I968" s="12" t="s">
        <v>2990</v>
      </c>
      <c r="J968" s="10" t="s">
        <v>197</v>
      </c>
      <c r="K968" s="10" t="s">
        <v>40</v>
      </c>
      <c r="L968" s="10" t="s">
        <v>4</v>
      </c>
      <c r="M968" s="22">
        <v>44895.0</v>
      </c>
      <c r="N968" s="32" t="s">
        <v>2991</v>
      </c>
      <c r="O968" s="10" t="s">
        <v>2992</v>
      </c>
      <c r="P968" s="10" t="s">
        <v>2993</v>
      </c>
      <c r="Q968" s="2"/>
      <c r="R968" s="10">
        <v>36.0</v>
      </c>
      <c r="S968" s="14">
        <v>44895.0</v>
      </c>
      <c r="T968" s="14">
        <v>45991.0</v>
      </c>
      <c r="U968" s="10">
        <f t="shared" si="84"/>
        <v>-100</v>
      </c>
      <c r="V968" s="2"/>
      <c r="W968" s="15"/>
      <c r="X968" s="15"/>
      <c r="Y968" s="15"/>
      <c r="Z968" s="15"/>
      <c r="AA968" s="1"/>
      <c r="AB968" s="15"/>
      <c r="AC968" s="15"/>
      <c r="AD968" s="15"/>
      <c r="AE968" s="15"/>
      <c r="AF968" s="2"/>
      <c r="AG968" s="10" t="s">
        <v>354</v>
      </c>
      <c r="AH968" s="12" t="s">
        <v>46</v>
      </c>
      <c r="AI968" s="16" t="s">
        <v>45</v>
      </c>
      <c r="AJ968" s="10" t="s">
        <v>227</v>
      </c>
      <c r="AK968" s="16" t="s">
        <v>45</v>
      </c>
      <c r="AL968" s="10" t="s">
        <v>49</v>
      </c>
      <c r="AM968" s="10" t="s">
        <v>2994</v>
      </c>
      <c r="AN968" s="10" t="s">
        <v>50</v>
      </c>
    </row>
    <row r="969" ht="30.0" customHeight="1">
      <c r="A969" s="9" t="str">
        <f t="shared" si="48"/>
        <v>Inativo</v>
      </c>
      <c r="B969" s="9" t="str">
        <f t="shared" si="49"/>
        <v>N/I</v>
      </c>
      <c r="C969" s="9" t="str">
        <f t="shared" si="80"/>
        <v>N/I</v>
      </c>
      <c r="D969" s="10" t="s">
        <v>2886</v>
      </c>
      <c r="E969" s="11" t="s">
        <v>2887</v>
      </c>
      <c r="F969" s="11" t="s">
        <v>2988</v>
      </c>
      <c r="G969" s="12" t="s">
        <v>94</v>
      </c>
      <c r="H969" s="34" t="s">
        <v>2995</v>
      </c>
      <c r="I969" s="12" t="s">
        <v>2990</v>
      </c>
      <c r="J969" s="10" t="s">
        <v>197</v>
      </c>
      <c r="K969" s="10" t="s">
        <v>40</v>
      </c>
      <c r="L969" s="10" t="s">
        <v>4</v>
      </c>
      <c r="M969" s="22">
        <v>44895.0</v>
      </c>
      <c r="N969" s="32" t="s">
        <v>2991</v>
      </c>
      <c r="O969" s="10" t="s">
        <v>2992</v>
      </c>
      <c r="P969" s="10" t="s">
        <v>2993</v>
      </c>
      <c r="Q969" s="2"/>
      <c r="R969" s="10">
        <v>36.0</v>
      </c>
      <c r="S969" s="14">
        <v>44895.0</v>
      </c>
      <c r="T969" s="14">
        <v>45991.0</v>
      </c>
      <c r="U969" s="10">
        <f t="shared" si="84"/>
        <v>-100</v>
      </c>
      <c r="V969" s="2"/>
      <c r="W969" s="15"/>
      <c r="X969" s="15"/>
      <c r="Y969" s="15"/>
      <c r="Z969" s="15"/>
      <c r="AA969" s="1"/>
      <c r="AB969" s="15"/>
      <c r="AC969" s="15"/>
      <c r="AD969" s="15"/>
      <c r="AE969" s="15"/>
      <c r="AF969" s="2"/>
      <c r="AG969" s="10" t="s">
        <v>354</v>
      </c>
      <c r="AH969" s="12" t="s">
        <v>46</v>
      </c>
      <c r="AI969" s="16" t="s">
        <v>45</v>
      </c>
      <c r="AJ969" s="10" t="s">
        <v>227</v>
      </c>
      <c r="AK969" s="16" t="s">
        <v>45</v>
      </c>
      <c r="AL969" s="10" t="s">
        <v>49</v>
      </c>
      <c r="AM969" s="10" t="s">
        <v>2994</v>
      </c>
      <c r="AN969" s="10" t="s">
        <v>50</v>
      </c>
    </row>
    <row r="970" ht="30.0" customHeight="1">
      <c r="A970" s="9" t="str">
        <f t="shared" si="48"/>
        <v>Inativo</v>
      </c>
      <c r="B970" s="9" t="str">
        <f t="shared" si="49"/>
        <v>N/I</v>
      </c>
      <c r="C970" s="9" t="str">
        <f t="shared" si="80"/>
        <v>N/I</v>
      </c>
      <c r="D970" s="12" t="s">
        <v>2886</v>
      </c>
      <c r="E970" s="11" t="s">
        <v>2887</v>
      </c>
      <c r="F970" s="11" t="s">
        <v>2996</v>
      </c>
      <c r="G970" s="12" t="s">
        <v>94</v>
      </c>
      <c r="H970" s="27">
        <v>170387.0</v>
      </c>
      <c r="I970" s="12" t="s">
        <v>2997</v>
      </c>
      <c r="J970" s="10" t="s">
        <v>197</v>
      </c>
      <c r="K970" s="10" t="s">
        <v>40</v>
      </c>
      <c r="L970" s="10" t="s">
        <v>4</v>
      </c>
      <c r="M970" s="22">
        <v>43412.0</v>
      </c>
      <c r="N970" s="32" t="s">
        <v>2998</v>
      </c>
      <c r="O970" s="10" t="s">
        <v>2999</v>
      </c>
      <c r="P970" s="10" t="s">
        <v>2892</v>
      </c>
      <c r="Q970" s="2"/>
      <c r="R970" s="10">
        <v>36.0</v>
      </c>
      <c r="S970" s="14">
        <v>43412.0</v>
      </c>
      <c r="T970" s="14">
        <v>44508.0</v>
      </c>
      <c r="U970" s="55">
        <f t="shared" si="84"/>
        <v>-1583</v>
      </c>
      <c r="V970" s="2"/>
      <c r="W970" s="15"/>
      <c r="X970" s="15"/>
      <c r="Y970" s="15"/>
      <c r="Z970" s="15"/>
      <c r="AA970" s="1"/>
      <c r="AB970" s="15"/>
      <c r="AC970" s="15"/>
      <c r="AD970" s="15"/>
      <c r="AE970" s="15"/>
      <c r="AF970" s="2"/>
      <c r="AG970" s="10" t="s">
        <v>354</v>
      </c>
      <c r="AH970" s="10" t="s">
        <v>318</v>
      </c>
      <c r="AI970" s="10" t="s">
        <v>319</v>
      </c>
      <c r="AJ970" s="10" t="s">
        <v>508</v>
      </c>
      <c r="AK970" s="10" t="s">
        <v>2893</v>
      </c>
      <c r="AL970" s="16" t="s">
        <v>45</v>
      </c>
      <c r="AM970" s="16" t="s">
        <v>45</v>
      </c>
      <c r="AN970" s="10" t="s">
        <v>50</v>
      </c>
    </row>
    <row r="971" ht="30.0" customHeight="1">
      <c r="A971" s="9" t="str">
        <f t="shared" si="48"/>
        <v>Inativo</v>
      </c>
      <c r="B971" s="9" t="str">
        <f t="shared" si="49"/>
        <v>N/I</v>
      </c>
      <c r="C971" s="9" t="str">
        <f t="shared" si="80"/>
        <v>N/I</v>
      </c>
      <c r="D971" s="12" t="s">
        <v>2886</v>
      </c>
      <c r="E971" s="11" t="s">
        <v>2887</v>
      </c>
      <c r="F971" s="11" t="s">
        <v>3000</v>
      </c>
      <c r="G971" s="12" t="s">
        <v>94</v>
      </c>
      <c r="H971" s="27">
        <v>150592.0</v>
      </c>
      <c r="I971" s="12" t="s">
        <v>2997</v>
      </c>
      <c r="J971" s="10" t="s">
        <v>197</v>
      </c>
      <c r="K971" s="10" t="s">
        <v>40</v>
      </c>
      <c r="L971" s="10" t="s">
        <v>4</v>
      </c>
      <c r="M971" s="22">
        <v>43412.0</v>
      </c>
      <c r="N971" s="32" t="s">
        <v>2998</v>
      </c>
      <c r="O971" s="10" t="s">
        <v>2999</v>
      </c>
      <c r="P971" s="10" t="s">
        <v>2892</v>
      </c>
      <c r="Q971" s="2"/>
      <c r="R971" s="10">
        <v>36.0</v>
      </c>
      <c r="S971" s="14">
        <v>43412.0</v>
      </c>
      <c r="T971" s="14">
        <v>44508.0</v>
      </c>
      <c r="U971" s="55">
        <f t="shared" si="84"/>
        <v>-1583</v>
      </c>
      <c r="V971" s="2"/>
      <c r="W971" s="15"/>
      <c r="X971" s="15"/>
      <c r="Y971" s="15"/>
      <c r="Z971" s="15"/>
      <c r="AA971" s="1"/>
      <c r="AB971" s="15"/>
      <c r="AC971" s="15"/>
      <c r="AD971" s="15"/>
      <c r="AE971" s="15"/>
      <c r="AF971" s="2"/>
      <c r="AG971" s="10" t="s">
        <v>354</v>
      </c>
      <c r="AH971" s="10" t="s">
        <v>318</v>
      </c>
      <c r="AI971" s="10" t="s">
        <v>319</v>
      </c>
      <c r="AJ971" s="10" t="s">
        <v>508</v>
      </c>
      <c r="AK971" s="10" t="s">
        <v>2893</v>
      </c>
      <c r="AL971" s="16" t="s">
        <v>45</v>
      </c>
      <c r="AM971" s="16" t="s">
        <v>45</v>
      </c>
      <c r="AN971" s="10" t="s">
        <v>50</v>
      </c>
    </row>
    <row r="972" ht="30.0" customHeight="1">
      <c r="A972" s="9" t="str">
        <f t="shared" si="48"/>
        <v>Inativo</v>
      </c>
      <c r="B972" s="9" t="str">
        <f t="shared" si="49"/>
        <v>N/I</v>
      </c>
      <c r="C972" s="9" t="str">
        <f t="shared" si="80"/>
        <v>N/I</v>
      </c>
      <c r="D972" s="12" t="s">
        <v>2886</v>
      </c>
      <c r="E972" s="11" t="s">
        <v>2887</v>
      </c>
      <c r="F972" s="11" t="s">
        <v>3001</v>
      </c>
      <c r="G972" s="12" t="s">
        <v>55</v>
      </c>
      <c r="H972" s="27">
        <v>170159.0</v>
      </c>
      <c r="I972" s="12" t="s">
        <v>2997</v>
      </c>
      <c r="J972" s="10" t="s">
        <v>197</v>
      </c>
      <c r="K972" s="10" t="s">
        <v>40</v>
      </c>
      <c r="L972" s="10" t="s">
        <v>4</v>
      </c>
      <c r="M972" s="22">
        <v>43417.0</v>
      </c>
      <c r="N972" s="32" t="s">
        <v>2998</v>
      </c>
      <c r="O972" s="10" t="s">
        <v>2999</v>
      </c>
      <c r="P972" s="10" t="s">
        <v>2892</v>
      </c>
      <c r="Q972" s="2"/>
      <c r="R972" s="10">
        <v>36.0</v>
      </c>
      <c r="S972" s="14">
        <v>43417.0</v>
      </c>
      <c r="T972" s="14">
        <v>44513.0</v>
      </c>
      <c r="U972" s="55">
        <f t="shared" si="84"/>
        <v>-1578</v>
      </c>
      <c r="V972" s="2"/>
      <c r="W972" s="15"/>
      <c r="X972" s="15"/>
      <c r="Y972" s="15"/>
      <c r="Z972" s="15"/>
      <c r="AA972" s="1"/>
      <c r="AB972" s="15"/>
      <c r="AC972" s="15"/>
      <c r="AD972" s="15"/>
      <c r="AE972" s="15"/>
      <c r="AF972" s="2"/>
      <c r="AG972" s="10" t="s">
        <v>354</v>
      </c>
      <c r="AH972" s="10" t="s">
        <v>318</v>
      </c>
      <c r="AI972" s="10" t="s">
        <v>319</v>
      </c>
      <c r="AJ972" s="10" t="s">
        <v>508</v>
      </c>
      <c r="AK972" s="10" t="s">
        <v>2893</v>
      </c>
      <c r="AL972" s="16" t="s">
        <v>45</v>
      </c>
      <c r="AM972" s="16" t="s">
        <v>45</v>
      </c>
      <c r="AN972" s="10" t="s">
        <v>50</v>
      </c>
    </row>
    <row r="973" ht="30.0" customHeight="1">
      <c r="A973" s="9" t="str">
        <f t="shared" si="48"/>
        <v>Inativo</v>
      </c>
      <c r="B973" s="9" t="str">
        <f t="shared" si="49"/>
        <v>N/I</v>
      </c>
      <c r="C973" s="9" t="str">
        <f t="shared" si="80"/>
        <v>N/I</v>
      </c>
      <c r="D973" s="12" t="s">
        <v>2886</v>
      </c>
      <c r="E973" s="11" t="s">
        <v>2887</v>
      </c>
      <c r="F973" s="11" t="s">
        <v>3000</v>
      </c>
      <c r="G973" s="12" t="s">
        <v>55</v>
      </c>
      <c r="H973" s="27">
        <v>170160.0</v>
      </c>
      <c r="I973" s="12" t="s">
        <v>2997</v>
      </c>
      <c r="J973" s="10" t="s">
        <v>197</v>
      </c>
      <c r="K973" s="10" t="s">
        <v>40</v>
      </c>
      <c r="L973" s="10" t="s">
        <v>4</v>
      </c>
      <c r="M973" s="22">
        <v>43417.0</v>
      </c>
      <c r="N973" s="32" t="s">
        <v>2998</v>
      </c>
      <c r="O973" s="10" t="s">
        <v>2999</v>
      </c>
      <c r="P973" s="10" t="s">
        <v>2892</v>
      </c>
      <c r="Q973" s="2"/>
      <c r="R973" s="10">
        <v>36.0</v>
      </c>
      <c r="S973" s="14">
        <v>43417.0</v>
      </c>
      <c r="T973" s="14">
        <v>44513.0</v>
      </c>
      <c r="U973" s="55">
        <f t="shared" si="84"/>
        <v>-1578</v>
      </c>
      <c r="V973" s="2"/>
      <c r="W973" s="15"/>
      <c r="X973" s="15"/>
      <c r="Y973" s="15"/>
      <c r="Z973" s="15"/>
      <c r="AA973" s="1"/>
      <c r="AB973" s="15"/>
      <c r="AC973" s="15"/>
      <c r="AD973" s="15"/>
      <c r="AE973" s="15"/>
      <c r="AF973" s="2"/>
      <c r="AG973" s="10" t="s">
        <v>354</v>
      </c>
      <c r="AH973" s="10" t="s">
        <v>318</v>
      </c>
      <c r="AI973" s="10" t="s">
        <v>319</v>
      </c>
      <c r="AJ973" s="10" t="s">
        <v>508</v>
      </c>
      <c r="AK973" s="10" t="s">
        <v>2893</v>
      </c>
      <c r="AL973" s="16" t="s">
        <v>45</v>
      </c>
      <c r="AM973" s="16" t="s">
        <v>45</v>
      </c>
      <c r="AN973" s="10" t="s">
        <v>50</v>
      </c>
    </row>
    <row r="974" ht="30.0" customHeight="1">
      <c r="A974" s="9" t="str">
        <f t="shared" si="48"/>
        <v>Inativo</v>
      </c>
      <c r="B974" s="9" t="str">
        <f t="shared" si="49"/>
        <v>N/I</v>
      </c>
      <c r="C974" s="9" t="str">
        <f t="shared" si="80"/>
        <v>N/I</v>
      </c>
      <c r="D974" s="12" t="s">
        <v>2886</v>
      </c>
      <c r="E974" s="11" t="s">
        <v>2887</v>
      </c>
      <c r="F974" s="11" t="s">
        <v>3002</v>
      </c>
      <c r="G974" s="12" t="s">
        <v>94</v>
      </c>
      <c r="H974" s="27">
        <v>170274.0</v>
      </c>
      <c r="I974" s="12" t="s">
        <v>2071</v>
      </c>
      <c r="J974" s="10" t="s">
        <v>197</v>
      </c>
      <c r="K974" s="10" t="s">
        <v>40</v>
      </c>
      <c r="L974" s="10" t="s">
        <v>4</v>
      </c>
      <c r="M974" s="22">
        <v>43398.0</v>
      </c>
      <c r="N974" s="32" t="s">
        <v>3003</v>
      </c>
      <c r="O974" s="10" t="s">
        <v>3004</v>
      </c>
      <c r="P974" s="10" t="s">
        <v>2892</v>
      </c>
      <c r="Q974" s="2"/>
      <c r="R974" s="10">
        <v>36.0</v>
      </c>
      <c r="S974" s="14">
        <v>43398.0</v>
      </c>
      <c r="T974" s="14">
        <v>44494.0</v>
      </c>
      <c r="U974" s="55">
        <f t="shared" si="84"/>
        <v>-1597</v>
      </c>
      <c r="V974" s="2"/>
      <c r="W974" s="15"/>
      <c r="X974" s="15"/>
      <c r="Y974" s="15"/>
      <c r="Z974" s="15"/>
      <c r="AA974" s="1"/>
      <c r="AB974" s="15"/>
      <c r="AC974" s="15"/>
      <c r="AD974" s="15"/>
      <c r="AE974" s="15"/>
      <c r="AF974" s="2"/>
      <c r="AG974" s="10" t="s">
        <v>354</v>
      </c>
      <c r="AH974" s="10" t="s">
        <v>318</v>
      </c>
      <c r="AI974" s="10" t="s">
        <v>319</v>
      </c>
      <c r="AJ974" s="10" t="s">
        <v>508</v>
      </c>
      <c r="AK974" s="10" t="s">
        <v>2893</v>
      </c>
      <c r="AL974" s="16" t="s">
        <v>45</v>
      </c>
      <c r="AM974" s="16" t="s">
        <v>45</v>
      </c>
      <c r="AN974" s="10" t="s">
        <v>50</v>
      </c>
    </row>
    <row r="975" ht="30.0" customHeight="1">
      <c r="A975" s="9" t="str">
        <f t="shared" si="48"/>
        <v>Inativo</v>
      </c>
      <c r="B975" s="9" t="str">
        <f t="shared" si="49"/>
        <v>N/I</v>
      </c>
      <c r="C975" s="9" t="str">
        <f t="shared" si="80"/>
        <v>N/I</v>
      </c>
      <c r="D975" s="12" t="s">
        <v>2886</v>
      </c>
      <c r="E975" s="11" t="s">
        <v>2887</v>
      </c>
      <c r="F975" s="11" t="s">
        <v>3005</v>
      </c>
      <c r="G975" s="12" t="s">
        <v>94</v>
      </c>
      <c r="H975" s="27">
        <v>150682.0</v>
      </c>
      <c r="I975" s="12" t="s">
        <v>3006</v>
      </c>
      <c r="J975" s="10" t="s">
        <v>197</v>
      </c>
      <c r="K975" s="10" t="s">
        <v>40</v>
      </c>
      <c r="L975" s="10" t="s">
        <v>4</v>
      </c>
      <c r="M975" s="22">
        <v>43413.0</v>
      </c>
      <c r="N975" s="32" t="s">
        <v>3007</v>
      </c>
      <c r="O975" s="10" t="s">
        <v>3008</v>
      </c>
      <c r="P975" s="10" t="s">
        <v>2892</v>
      </c>
      <c r="Q975" s="2"/>
      <c r="R975" s="10">
        <v>36.0</v>
      </c>
      <c r="S975" s="14">
        <v>43413.0</v>
      </c>
      <c r="T975" s="14">
        <v>44509.0</v>
      </c>
      <c r="U975" s="55">
        <f t="shared" si="84"/>
        <v>-1582</v>
      </c>
      <c r="V975" s="2"/>
      <c r="W975" s="15"/>
      <c r="X975" s="15"/>
      <c r="Y975" s="15"/>
      <c r="Z975" s="15"/>
      <c r="AA975" s="1"/>
      <c r="AB975" s="15"/>
      <c r="AC975" s="15"/>
      <c r="AD975" s="15"/>
      <c r="AE975" s="15"/>
      <c r="AF975" s="2"/>
      <c r="AG975" s="10" t="s">
        <v>354</v>
      </c>
      <c r="AH975" s="10" t="s">
        <v>318</v>
      </c>
      <c r="AI975" s="10" t="s">
        <v>319</v>
      </c>
      <c r="AJ975" s="10" t="s">
        <v>508</v>
      </c>
      <c r="AK975" s="10" t="s">
        <v>2893</v>
      </c>
      <c r="AL975" s="16" t="s">
        <v>45</v>
      </c>
      <c r="AM975" s="16" t="s">
        <v>45</v>
      </c>
      <c r="AN975" s="10" t="s">
        <v>50</v>
      </c>
    </row>
    <row r="976" ht="30.0" customHeight="1">
      <c r="A976" s="9" t="str">
        <f t="shared" si="48"/>
        <v>Inativo</v>
      </c>
      <c r="B976" s="9" t="str">
        <f t="shared" si="49"/>
        <v>N/I</v>
      </c>
      <c r="C976" s="9" t="str">
        <f t="shared" si="80"/>
        <v>N/I</v>
      </c>
      <c r="D976" s="12" t="s">
        <v>2886</v>
      </c>
      <c r="E976" s="11" t="s">
        <v>2887</v>
      </c>
      <c r="F976" s="11" t="s">
        <v>3009</v>
      </c>
      <c r="G976" s="12" t="s">
        <v>94</v>
      </c>
      <c r="H976" s="27">
        <v>170232.0</v>
      </c>
      <c r="I976" s="12" t="s">
        <v>2085</v>
      </c>
      <c r="J976" s="10" t="s">
        <v>197</v>
      </c>
      <c r="K976" s="10" t="s">
        <v>40</v>
      </c>
      <c r="L976" s="10" t="s">
        <v>4</v>
      </c>
      <c r="M976" s="22">
        <v>43398.0</v>
      </c>
      <c r="N976" s="32" t="s">
        <v>3010</v>
      </c>
      <c r="O976" s="10" t="s">
        <v>3011</v>
      </c>
      <c r="P976" s="10" t="s">
        <v>2892</v>
      </c>
      <c r="Q976" s="2"/>
      <c r="R976" s="10">
        <v>36.0</v>
      </c>
      <c r="S976" s="14">
        <v>43398.0</v>
      </c>
      <c r="T976" s="14">
        <v>44494.0</v>
      </c>
      <c r="U976" s="55">
        <f t="shared" si="84"/>
        <v>-1597</v>
      </c>
      <c r="V976" s="2"/>
      <c r="W976" s="15"/>
      <c r="X976" s="15"/>
      <c r="Y976" s="15"/>
      <c r="Z976" s="15"/>
      <c r="AA976" s="1"/>
      <c r="AB976" s="15"/>
      <c r="AC976" s="15"/>
      <c r="AD976" s="15"/>
      <c r="AE976" s="15"/>
      <c r="AF976" s="2"/>
      <c r="AG976" s="10" t="s">
        <v>354</v>
      </c>
      <c r="AH976" s="10" t="s">
        <v>318</v>
      </c>
      <c r="AI976" s="10" t="s">
        <v>319</v>
      </c>
      <c r="AJ976" s="10" t="s">
        <v>508</v>
      </c>
      <c r="AK976" s="10" t="s">
        <v>2893</v>
      </c>
      <c r="AL976" s="16" t="s">
        <v>45</v>
      </c>
      <c r="AM976" s="16" t="s">
        <v>45</v>
      </c>
      <c r="AN976" s="10" t="s">
        <v>50</v>
      </c>
    </row>
    <row r="977" ht="30.0" customHeight="1">
      <c r="A977" s="9" t="str">
        <f t="shared" si="48"/>
        <v>Inativo</v>
      </c>
      <c r="B977" s="9" t="str">
        <f t="shared" si="49"/>
        <v>N/I</v>
      </c>
      <c r="C977" s="9" t="str">
        <f t="shared" si="80"/>
        <v>N/I</v>
      </c>
      <c r="D977" s="12" t="s">
        <v>2886</v>
      </c>
      <c r="E977" s="11" t="s">
        <v>2887</v>
      </c>
      <c r="F977" s="11" t="s">
        <v>3009</v>
      </c>
      <c r="G977" s="12" t="s">
        <v>94</v>
      </c>
      <c r="H977" s="27">
        <v>170233.0</v>
      </c>
      <c r="I977" s="12" t="s">
        <v>2085</v>
      </c>
      <c r="J977" s="10" t="s">
        <v>197</v>
      </c>
      <c r="K977" s="10" t="s">
        <v>40</v>
      </c>
      <c r="L977" s="10" t="s">
        <v>4</v>
      </c>
      <c r="M977" s="22">
        <v>43398.0</v>
      </c>
      <c r="N977" s="32" t="s">
        <v>3010</v>
      </c>
      <c r="O977" s="10" t="s">
        <v>3011</v>
      </c>
      <c r="P977" s="10" t="s">
        <v>2892</v>
      </c>
      <c r="Q977" s="2"/>
      <c r="R977" s="10">
        <v>36.0</v>
      </c>
      <c r="S977" s="14">
        <v>43398.0</v>
      </c>
      <c r="T977" s="14">
        <v>44494.0</v>
      </c>
      <c r="U977" s="55">
        <f t="shared" si="84"/>
        <v>-1597</v>
      </c>
      <c r="V977" s="2"/>
      <c r="W977" s="15"/>
      <c r="X977" s="15"/>
      <c r="Y977" s="15"/>
      <c r="Z977" s="15"/>
      <c r="AA977" s="1"/>
      <c r="AB977" s="15"/>
      <c r="AC977" s="15"/>
      <c r="AD977" s="15"/>
      <c r="AE977" s="15"/>
      <c r="AF977" s="2"/>
      <c r="AG977" s="10" t="s">
        <v>354</v>
      </c>
      <c r="AH977" s="10" t="s">
        <v>318</v>
      </c>
      <c r="AI977" s="10" t="s">
        <v>319</v>
      </c>
      <c r="AJ977" s="10" t="s">
        <v>508</v>
      </c>
      <c r="AK977" s="10" t="s">
        <v>2893</v>
      </c>
      <c r="AL977" s="16" t="s">
        <v>45</v>
      </c>
      <c r="AM977" s="16" t="s">
        <v>45</v>
      </c>
      <c r="AN977" s="10" t="s">
        <v>50</v>
      </c>
    </row>
    <row r="978" ht="30.0" customHeight="1">
      <c r="A978" s="9" t="str">
        <f t="shared" si="48"/>
        <v>Inativo</v>
      </c>
      <c r="B978" s="9" t="str">
        <f t="shared" si="49"/>
        <v>N/I</v>
      </c>
      <c r="C978" s="9" t="str">
        <f t="shared" si="80"/>
        <v>N/I</v>
      </c>
      <c r="D978" s="12" t="s">
        <v>2886</v>
      </c>
      <c r="E978" s="11" t="s">
        <v>2887</v>
      </c>
      <c r="F978" s="11" t="s">
        <v>3012</v>
      </c>
      <c r="G978" s="12" t="s">
        <v>94</v>
      </c>
      <c r="H978" s="27">
        <v>170264.0</v>
      </c>
      <c r="I978" s="12" t="s">
        <v>2090</v>
      </c>
      <c r="J978" s="10" t="s">
        <v>197</v>
      </c>
      <c r="K978" s="10" t="s">
        <v>40</v>
      </c>
      <c r="L978" s="10" t="s">
        <v>4</v>
      </c>
      <c r="M978" s="22">
        <v>43389.0</v>
      </c>
      <c r="N978" s="32" t="s">
        <v>3013</v>
      </c>
      <c r="O978" s="10" t="s">
        <v>2092</v>
      </c>
      <c r="P978" s="10" t="s">
        <v>2892</v>
      </c>
      <c r="Q978" s="2"/>
      <c r="R978" s="10">
        <v>36.0</v>
      </c>
      <c r="S978" s="14">
        <v>43389.0</v>
      </c>
      <c r="T978" s="14">
        <v>44485.0</v>
      </c>
      <c r="U978" s="55">
        <f t="shared" si="84"/>
        <v>-1606</v>
      </c>
      <c r="V978" s="2"/>
      <c r="W978" s="15"/>
      <c r="X978" s="15"/>
      <c r="Y978" s="15"/>
      <c r="Z978" s="15"/>
      <c r="AA978" s="1"/>
      <c r="AB978" s="15"/>
      <c r="AC978" s="15"/>
      <c r="AD978" s="15"/>
      <c r="AE978" s="15"/>
      <c r="AF978" s="2"/>
      <c r="AG978" s="10" t="s">
        <v>354</v>
      </c>
      <c r="AH978" s="10" t="s">
        <v>318</v>
      </c>
      <c r="AI978" s="10" t="s">
        <v>319</v>
      </c>
      <c r="AJ978" s="10" t="s">
        <v>508</v>
      </c>
      <c r="AK978" s="10" t="s">
        <v>2893</v>
      </c>
      <c r="AL978" s="16" t="s">
        <v>45</v>
      </c>
      <c r="AM978" s="16" t="s">
        <v>45</v>
      </c>
      <c r="AN978" s="10" t="s">
        <v>50</v>
      </c>
    </row>
    <row r="979" ht="30.0" customHeight="1">
      <c r="A979" s="9" t="str">
        <f t="shared" si="48"/>
        <v>Inativo</v>
      </c>
      <c r="B979" s="9" t="str">
        <f t="shared" si="49"/>
        <v>N/I</v>
      </c>
      <c r="C979" s="9" t="str">
        <f t="shared" si="80"/>
        <v>N/I</v>
      </c>
      <c r="D979" s="12" t="s">
        <v>2886</v>
      </c>
      <c r="E979" s="11" t="s">
        <v>2887</v>
      </c>
      <c r="F979" s="11" t="s">
        <v>3014</v>
      </c>
      <c r="G979" s="12" t="s">
        <v>94</v>
      </c>
      <c r="H979" s="27">
        <v>150504.0</v>
      </c>
      <c r="I979" s="12" t="s">
        <v>3015</v>
      </c>
      <c r="J979" s="10" t="s">
        <v>197</v>
      </c>
      <c r="K979" s="10" t="s">
        <v>40</v>
      </c>
      <c r="L979" s="10" t="s">
        <v>4</v>
      </c>
      <c r="M979" s="22">
        <v>43413.0</v>
      </c>
      <c r="N979" s="32" t="s">
        <v>3016</v>
      </c>
      <c r="O979" s="10" t="s">
        <v>3017</v>
      </c>
      <c r="P979" s="10" t="s">
        <v>2892</v>
      </c>
      <c r="Q979" s="2"/>
      <c r="R979" s="10">
        <v>36.0</v>
      </c>
      <c r="S979" s="14">
        <v>43413.0</v>
      </c>
      <c r="T979" s="14">
        <v>44509.0</v>
      </c>
      <c r="U979" s="55">
        <f t="shared" si="84"/>
        <v>-1582</v>
      </c>
      <c r="V979" s="2"/>
      <c r="W979" s="15"/>
      <c r="X979" s="15"/>
      <c r="Y979" s="15"/>
      <c r="Z979" s="15"/>
      <c r="AA979" s="1"/>
      <c r="AB979" s="15"/>
      <c r="AC979" s="15"/>
      <c r="AD979" s="15"/>
      <c r="AE979" s="15"/>
      <c r="AF979" s="2"/>
      <c r="AG979" s="10" t="s">
        <v>354</v>
      </c>
      <c r="AH979" s="10" t="s">
        <v>318</v>
      </c>
      <c r="AI979" s="10" t="s">
        <v>319</v>
      </c>
      <c r="AJ979" s="10" t="s">
        <v>508</v>
      </c>
      <c r="AK979" s="10" t="s">
        <v>2893</v>
      </c>
      <c r="AL979" s="16" t="s">
        <v>45</v>
      </c>
      <c r="AM979" s="16" t="s">
        <v>45</v>
      </c>
      <c r="AN979" s="10" t="s">
        <v>50</v>
      </c>
    </row>
    <row r="980" ht="30.0" customHeight="1">
      <c r="A980" s="9" t="str">
        <f t="shared" si="48"/>
        <v>Inativo</v>
      </c>
      <c r="B980" s="9" t="str">
        <f t="shared" si="49"/>
        <v>N/I</v>
      </c>
      <c r="C980" s="9" t="str">
        <f t="shared" si="80"/>
        <v>N/I</v>
      </c>
      <c r="D980" s="12" t="s">
        <v>2886</v>
      </c>
      <c r="E980" s="11" t="s">
        <v>2887</v>
      </c>
      <c r="F980" s="11" t="s">
        <v>3018</v>
      </c>
      <c r="G980" s="12" t="s">
        <v>94</v>
      </c>
      <c r="H980" s="27">
        <v>150595.0</v>
      </c>
      <c r="I980" s="12" t="s">
        <v>3015</v>
      </c>
      <c r="J980" s="10" t="s">
        <v>197</v>
      </c>
      <c r="K980" s="10" t="s">
        <v>40</v>
      </c>
      <c r="L980" s="10" t="s">
        <v>4</v>
      </c>
      <c r="M980" s="22">
        <v>43413.0</v>
      </c>
      <c r="N980" s="32" t="s">
        <v>3016</v>
      </c>
      <c r="O980" s="10" t="s">
        <v>3017</v>
      </c>
      <c r="P980" s="10" t="s">
        <v>2892</v>
      </c>
      <c r="Q980" s="2"/>
      <c r="R980" s="10">
        <v>36.0</v>
      </c>
      <c r="S980" s="14">
        <v>43413.0</v>
      </c>
      <c r="T980" s="14">
        <v>44509.0</v>
      </c>
      <c r="U980" s="55">
        <f t="shared" si="84"/>
        <v>-1582</v>
      </c>
      <c r="V980" s="2"/>
      <c r="W980" s="15"/>
      <c r="X980" s="15"/>
      <c r="Y980" s="15"/>
      <c r="Z980" s="15"/>
      <c r="AA980" s="1"/>
      <c r="AB980" s="15"/>
      <c r="AC980" s="15"/>
      <c r="AD980" s="15"/>
      <c r="AE980" s="15"/>
      <c r="AF980" s="2"/>
      <c r="AG980" s="10" t="s">
        <v>354</v>
      </c>
      <c r="AH980" s="10" t="s">
        <v>318</v>
      </c>
      <c r="AI980" s="10" t="s">
        <v>319</v>
      </c>
      <c r="AJ980" s="10" t="s">
        <v>508</v>
      </c>
      <c r="AK980" s="10" t="s">
        <v>2893</v>
      </c>
      <c r="AL980" s="16" t="s">
        <v>45</v>
      </c>
      <c r="AM980" s="16" t="s">
        <v>45</v>
      </c>
      <c r="AN980" s="10" t="s">
        <v>50</v>
      </c>
    </row>
    <row r="981" ht="30.0" customHeight="1">
      <c r="A981" s="9" t="str">
        <f t="shared" si="48"/>
        <v>Inativo</v>
      </c>
      <c r="B981" s="9" t="str">
        <f t="shared" si="49"/>
        <v>N/I</v>
      </c>
      <c r="C981" s="9" t="str">
        <f t="shared" si="80"/>
        <v>N/I</v>
      </c>
      <c r="D981" s="12" t="s">
        <v>2886</v>
      </c>
      <c r="E981" s="11" t="s">
        <v>2887</v>
      </c>
      <c r="F981" s="11" t="s">
        <v>3018</v>
      </c>
      <c r="G981" s="12" t="s">
        <v>55</v>
      </c>
      <c r="H981" s="27">
        <v>170161.0</v>
      </c>
      <c r="I981" s="12" t="s">
        <v>3015</v>
      </c>
      <c r="J981" s="10" t="s">
        <v>197</v>
      </c>
      <c r="K981" s="10" t="s">
        <v>40</v>
      </c>
      <c r="L981" s="10" t="s">
        <v>4</v>
      </c>
      <c r="M981" s="22">
        <v>43417.0</v>
      </c>
      <c r="N981" s="32" t="s">
        <v>3016</v>
      </c>
      <c r="O981" s="10" t="s">
        <v>3017</v>
      </c>
      <c r="P981" s="10" t="s">
        <v>2892</v>
      </c>
      <c r="Q981" s="2"/>
      <c r="R981" s="10">
        <v>36.0</v>
      </c>
      <c r="S981" s="14">
        <v>43418.0</v>
      </c>
      <c r="T981" s="14">
        <v>44514.0</v>
      </c>
      <c r="U981" s="55">
        <f t="shared" si="84"/>
        <v>-1577</v>
      </c>
      <c r="V981" s="2"/>
      <c r="W981" s="15"/>
      <c r="X981" s="15"/>
      <c r="Y981" s="15"/>
      <c r="Z981" s="15"/>
      <c r="AA981" s="1"/>
      <c r="AB981" s="15"/>
      <c r="AC981" s="15"/>
      <c r="AD981" s="15"/>
      <c r="AE981" s="15"/>
      <c r="AF981" s="2"/>
      <c r="AG981" s="10" t="s">
        <v>354</v>
      </c>
      <c r="AH981" s="10" t="s">
        <v>318</v>
      </c>
      <c r="AI981" s="10" t="s">
        <v>319</v>
      </c>
      <c r="AJ981" s="10" t="s">
        <v>508</v>
      </c>
      <c r="AK981" s="10" t="s">
        <v>2893</v>
      </c>
      <c r="AL981" s="16" t="s">
        <v>45</v>
      </c>
      <c r="AM981" s="16" t="s">
        <v>45</v>
      </c>
      <c r="AN981" s="10" t="s">
        <v>50</v>
      </c>
    </row>
    <row r="982" ht="30.0" customHeight="1">
      <c r="A982" s="9" t="str">
        <f t="shared" si="48"/>
        <v>Inativo</v>
      </c>
      <c r="B982" s="9" t="str">
        <f t="shared" si="49"/>
        <v>N/I</v>
      </c>
      <c r="C982" s="9" t="str">
        <f t="shared" si="80"/>
        <v>N/I</v>
      </c>
      <c r="D982" s="12" t="s">
        <v>2886</v>
      </c>
      <c r="E982" s="11" t="s">
        <v>2887</v>
      </c>
      <c r="F982" s="11" t="s">
        <v>3014</v>
      </c>
      <c r="G982" s="12" t="s">
        <v>55</v>
      </c>
      <c r="H982" s="27">
        <v>170163.0</v>
      </c>
      <c r="I982" s="12" t="s">
        <v>3015</v>
      </c>
      <c r="J982" s="10" t="s">
        <v>197</v>
      </c>
      <c r="K982" s="10" t="s">
        <v>40</v>
      </c>
      <c r="L982" s="10" t="s">
        <v>4</v>
      </c>
      <c r="M982" s="22">
        <v>43417.0</v>
      </c>
      <c r="N982" s="32" t="s">
        <v>3016</v>
      </c>
      <c r="O982" s="10" t="s">
        <v>3017</v>
      </c>
      <c r="P982" s="10" t="s">
        <v>2892</v>
      </c>
      <c r="Q982" s="2"/>
      <c r="R982" s="10">
        <v>36.0</v>
      </c>
      <c r="S982" s="14">
        <v>43417.0</v>
      </c>
      <c r="T982" s="14">
        <v>44513.0</v>
      </c>
      <c r="U982" s="55">
        <f t="shared" si="84"/>
        <v>-1578</v>
      </c>
      <c r="V982" s="2"/>
      <c r="W982" s="15"/>
      <c r="X982" s="15"/>
      <c r="Y982" s="15"/>
      <c r="Z982" s="15"/>
      <c r="AA982" s="1"/>
      <c r="AB982" s="15"/>
      <c r="AC982" s="15"/>
      <c r="AD982" s="15"/>
      <c r="AE982" s="15"/>
      <c r="AF982" s="2"/>
      <c r="AG982" s="10" t="s">
        <v>354</v>
      </c>
      <c r="AH982" s="10" t="s">
        <v>318</v>
      </c>
      <c r="AI982" s="10" t="s">
        <v>319</v>
      </c>
      <c r="AJ982" s="10" t="s">
        <v>508</v>
      </c>
      <c r="AK982" s="10" t="s">
        <v>2893</v>
      </c>
      <c r="AL982" s="16" t="s">
        <v>45</v>
      </c>
      <c r="AM982" s="16" t="s">
        <v>45</v>
      </c>
      <c r="AN982" s="10" t="s">
        <v>50</v>
      </c>
    </row>
    <row r="983" ht="30.0" customHeight="1">
      <c r="A983" s="9" t="str">
        <f t="shared" si="48"/>
        <v>Inativo</v>
      </c>
      <c r="B983" s="9" t="str">
        <f t="shared" si="49"/>
        <v>N/I</v>
      </c>
      <c r="C983" s="9" t="str">
        <f t="shared" si="80"/>
        <v>N/I</v>
      </c>
      <c r="D983" s="12" t="s">
        <v>2886</v>
      </c>
      <c r="E983" s="11" t="s">
        <v>2887</v>
      </c>
      <c r="F983" s="11" t="s">
        <v>3019</v>
      </c>
      <c r="G983" s="12" t="s">
        <v>94</v>
      </c>
      <c r="H983" s="27">
        <v>170371.0</v>
      </c>
      <c r="I983" s="12" t="s">
        <v>3020</v>
      </c>
      <c r="J983" s="10" t="s">
        <v>197</v>
      </c>
      <c r="K983" s="10" t="s">
        <v>40</v>
      </c>
      <c r="L983" s="10" t="s">
        <v>4</v>
      </c>
      <c r="M983" s="22">
        <v>43409.0</v>
      </c>
      <c r="N983" s="32" t="s">
        <v>3021</v>
      </c>
      <c r="O983" s="10" t="s">
        <v>3022</v>
      </c>
      <c r="P983" s="10" t="s">
        <v>2892</v>
      </c>
      <c r="Q983" s="2"/>
      <c r="R983" s="10">
        <v>36.0</v>
      </c>
      <c r="S983" s="14">
        <v>43409.0</v>
      </c>
      <c r="T983" s="14">
        <v>44505.0</v>
      </c>
      <c r="U983" s="55">
        <f t="shared" si="84"/>
        <v>-1586</v>
      </c>
      <c r="V983" s="2"/>
      <c r="W983" s="15"/>
      <c r="X983" s="15"/>
      <c r="Y983" s="15"/>
      <c r="Z983" s="15"/>
      <c r="AA983" s="1"/>
      <c r="AB983" s="15"/>
      <c r="AC983" s="15"/>
      <c r="AD983" s="15"/>
      <c r="AE983" s="15"/>
      <c r="AF983" s="2"/>
      <c r="AG983" s="10" t="s">
        <v>354</v>
      </c>
      <c r="AH983" s="10" t="s">
        <v>318</v>
      </c>
      <c r="AI983" s="10" t="s">
        <v>319</v>
      </c>
      <c r="AJ983" s="10" t="s">
        <v>508</v>
      </c>
      <c r="AK983" s="10" t="s">
        <v>2893</v>
      </c>
      <c r="AL983" s="16" t="s">
        <v>45</v>
      </c>
      <c r="AM983" s="16" t="s">
        <v>45</v>
      </c>
      <c r="AN983" s="10" t="s">
        <v>50</v>
      </c>
    </row>
    <row r="984" ht="30.0" customHeight="1">
      <c r="A984" s="9" t="str">
        <f t="shared" si="48"/>
        <v>Inativo</v>
      </c>
      <c r="B984" s="9" t="str">
        <f t="shared" si="49"/>
        <v>N/I</v>
      </c>
      <c r="C984" s="9" t="str">
        <f t="shared" si="80"/>
        <v>N/I</v>
      </c>
      <c r="D984" s="12" t="s">
        <v>2886</v>
      </c>
      <c r="E984" s="11" t="s">
        <v>2887</v>
      </c>
      <c r="F984" s="11" t="s">
        <v>3019</v>
      </c>
      <c r="G984" s="12" t="s">
        <v>55</v>
      </c>
      <c r="H984" s="27">
        <v>170152.0</v>
      </c>
      <c r="I984" s="12" t="s">
        <v>3020</v>
      </c>
      <c r="J984" s="10" t="s">
        <v>197</v>
      </c>
      <c r="K984" s="10" t="s">
        <v>40</v>
      </c>
      <c r="L984" s="10" t="s">
        <v>4</v>
      </c>
      <c r="M984" s="22">
        <v>43418.0</v>
      </c>
      <c r="N984" s="32" t="s">
        <v>3021</v>
      </c>
      <c r="O984" s="10" t="s">
        <v>3022</v>
      </c>
      <c r="P984" s="10" t="s">
        <v>2892</v>
      </c>
      <c r="Q984" s="2"/>
      <c r="R984" s="10">
        <v>36.0</v>
      </c>
      <c r="S984" s="14">
        <v>43418.0</v>
      </c>
      <c r="T984" s="14">
        <v>44514.0</v>
      </c>
      <c r="U984" s="55">
        <f t="shared" si="84"/>
        <v>-1577</v>
      </c>
      <c r="V984" s="2"/>
      <c r="W984" s="15"/>
      <c r="X984" s="15"/>
      <c r="Y984" s="15"/>
      <c r="Z984" s="15"/>
      <c r="AA984" s="1"/>
      <c r="AB984" s="15"/>
      <c r="AC984" s="15"/>
      <c r="AD984" s="15"/>
      <c r="AE984" s="15"/>
      <c r="AF984" s="2"/>
      <c r="AG984" s="10" t="s">
        <v>354</v>
      </c>
      <c r="AH984" s="10" t="s">
        <v>318</v>
      </c>
      <c r="AI984" s="10" t="s">
        <v>319</v>
      </c>
      <c r="AJ984" s="10" t="s">
        <v>508</v>
      </c>
      <c r="AK984" s="10" t="s">
        <v>2893</v>
      </c>
      <c r="AL984" s="16" t="s">
        <v>45</v>
      </c>
      <c r="AM984" s="16" t="s">
        <v>45</v>
      </c>
      <c r="AN984" s="10" t="s">
        <v>50</v>
      </c>
    </row>
    <row r="985" ht="30.0" customHeight="1">
      <c r="A985" s="9" t="str">
        <f t="shared" si="48"/>
        <v>Inativo</v>
      </c>
      <c r="B985" s="9" t="str">
        <f t="shared" si="49"/>
        <v>N/I</v>
      </c>
      <c r="C985" s="9" t="str">
        <f t="shared" si="80"/>
        <v>N/I</v>
      </c>
      <c r="D985" s="12" t="s">
        <v>2886</v>
      </c>
      <c r="E985" s="11" t="s">
        <v>2887</v>
      </c>
      <c r="F985" s="11" t="s">
        <v>3023</v>
      </c>
      <c r="G985" s="12" t="s">
        <v>55</v>
      </c>
      <c r="H985" s="27">
        <v>170148.0</v>
      </c>
      <c r="I985" s="12" t="s">
        <v>2113</v>
      </c>
      <c r="J985" s="10" t="s">
        <v>197</v>
      </c>
      <c r="K985" s="10" t="s">
        <v>40</v>
      </c>
      <c r="L985" s="10" t="s">
        <v>4</v>
      </c>
      <c r="M985" s="22">
        <v>43419.0</v>
      </c>
      <c r="N985" s="32" t="s">
        <v>3024</v>
      </c>
      <c r="O985" s="10" t="s">
        <v>3025</v>
      </c>
      <c r="P985" s="10" t="s">
        <v>2892</v>
      </c>
      <c r="Q985" s="2"/>
      <c r="R985" s="10">
        <v>36.0</v>
      </c>
      <c r="S985" s="14">
        <v>43418.0</v>
      </c>
      <c r="T985" s="14">
        <v>44514.0</v>
      </c>
      <c r="U985" s="55">
        <f t="shared" si="84"/>
        <v>-1577</v>
      </c>
      <c r="V985" s="2"/>
      <c r="W985" s="15"/>
      <c r="X985" s="15"/>
      <c r="Y985" s="15"/>
      <c r="Z985" s="15"/>
      <c r="AA985" s="1"/>
      <c r="AB985" s="15"/>
      <c r="AC985" s="15"/>
      <c r="AD985" s="15"/>
      <c r="AE985" s="15"/>
      <c r="AF985" s="2"/>
      <c r="AG985" s="10" t="s">
        <v>354</v>
      </c>
      <c r="AH985" s="10" t="s">
        <v>318</v>
      </c>
      <c r="AI985" s="10" t="s">
        <v>319</v>
      </c>
      <c r="AJ985" s="10" t="s">
        <v>508</v>
      </c>
      <c r="AK985" s="10" t="s">
        <v>2893</v>
      </c>
      <c r="AL985" s="16" t="s">
        <v>45</v>
      </c>
      <c r="AM985" s="16" t="s">
        <v>45</v>
      </c>
      <c r="AN985" s="10" t="s">
        <v>50</v>
      </c>
    </row>
    <row r="986" ht="30.0" customHeight="1">
      <c r="A986" s="9" t="str">
        <f t="shared" si="48"/>
        <v>Inativo</v>
      </c>
      <c r="B986" s="9" t="str">
        <f t="shared" si="49"/>
        <v>N/I</v>
      </c>
      <c r="C986" s="9" t="str">
        <f t="shared" si="80"/>
        <v>N/I</v>
      </c>
      <c r="D986" s="12" t="s">
        <v>2886</v>
      </c>
      <c r="E986" s="11" t="s">
        <v>2887</v>
      </c>
      <c r="F986" s="11" t="s">
        <v>3026</v>
      </c>
      <c r="G986" s="12" t="s">
        <v>55</v>
      </c>
      <c r="H986" s="27">
        <v>170150.0</v>
      </c>
      <c r="I986" s="12" t="s">
        <v>3027</v>
      </c>
      <c r="J986" s="10" t="s">
        <v>197</v>
      </c>
      <c r="K986" s="10" t="s">
        <v>40</v>
      </c>
      <c r="L986" s="10" t="s">
        <v>4</v>
      </c>
      <c r="M986" s="22">
        <v>43417.0</v>
      </c>
      <c r="N986" s="32" t="s">
        <v>3028</v>
      </c>
      <c r="O986" s="10" t="s">
        <v>2191</v>
      </c>
      <c r="P986" s="10" t="s">
        <v>2892</v>
      </c>
      <c r="Q986" s="2"/>
      <c r="R986" s="10">
        <v>36.0</v>
      </c>
      <c r="S986" s="14">
        <v>43417.0</v>
      </c>
      <c r="T986" s="14">
        <v>44513.0</v>
      </c>
      <c r="U986" s="55">
        <f t="shared" si="84"/>
        <v>-1578</v>
      </c>
      <c r="V986" s="2"/>
      <c r="W986" s="15"/>
      <c r="X986" s="15"/>
      <c r="Y986" s="15"/>
      <c r="Z986" s="15"/>
      <c r="AA986" s="1"/>
      <c r="AB986" s="15"/>
      <c r="AC986" s="15"/>
      <c r="AD986" s="15"/>
      <c r="AE986" s="15"/>
      <c r="AF986" s="2"/>
      <c r="AG986" s="10" t="s">
        <v>354</v>
      </c>
      <c r="AH986" s="10" t="s">
        <v>318</v>
      </c>
      <c r="AI986" s="10" t="s">
        <v>319</v>
      </c>
      <c r="AJ986" s="10" t="s">
        <v>508</v>
      </c>
      <c r="AK986" s="10" t="s">
        <v>2893</v>
      </c>
      <c r="AL986" s="16" t="s">
        <v>45</v>
      </c>
      <c r="AM986" s="16" t="s">
        <v>45</v>
      </c>
      <c r="AN986" s="10" t="s">
        <v>50</v>
      </c>
    </row>
    <row r="987" ht="30.0" customHeight="1">
      <c r="A987" s="9" t="str">
        <f t="shared" si="48"/>
        <v>Inativo</v>
      </c>
      <c r="B987" s="9" t="str">
        <f t="shared" si="49"/>
        <v>N/I</v>
      </c>
      <c r="C987" s="9" t="str">
        <f t="shared" si="80"/>
        <v>N/I</v>
      </c>
      <c r="D987" s="12" t="s">
        <v>2886</v>
      </c>
      <c r="E987" s="11" t="s">
        <v>2887</v>
      </c>
      <c r="F987" s="11" t="s">
        <v>3029</v>
      </c>
      <c r="G987" s="12" t="s">
        <v>94</v>
      </c>
      <c r="H987" s="27">
        <v>180119.0</v>
      </c>
      <c r="I987" s="12" t="s">
        <v>2124</v>
      </c>
      <c r="J987" s="10" t="s">
        <v>197</v>
      </c>
      <c r="K987" s="10" t="s">
        <v>40</v>
      </c>
      <c r="L987" s="10" t="s">
        <v>4</v>
      </c>
      <c r="M987" s="22">
        <v>43411.0</v>
      </c>
      <c r="N987" s="32" t="s">
        <v>3030</v>
      </c>
      <c r="O987" s="10" t="s">
        <v>2117</v>
      </c>
      <c r="P987" s="10" t="s">
        <v>2892</v>
      </c>
      <c r="Q987" s="2"/>
      <c r="R987" s="10">
        <v>36.0</v>
      </c>
      <c r="S987" s="14">
        <v>43411.0</v>
      </c>
      <c r="T987" s="14">
        <v>44507.0</v>
      </c>
      <c r="U987" s="55">
        <f t="shared" si="84"/>
        <v>-1584</v>
      </c>
      <c r="V987" s="2"/>
      <c r="W987" s="15"/>
      <c r="X987" s="15"/>
      <c r="Y987" s="15"/>
      <c r="Z987" s="15"/>
      <c r="AA987" s="1"/>
      <c r="AB987" s="15"/>
      <c r="AC987" s="15"/>
      <c r="AD987" s="15"/>
      <c r="AE987" s="15"/>
      <c r="AF987" s="2"/>
      <c r="AG987" s="10" t="s">
        <v>354</v>
      </c>
      <c r="AH987" s="10" t="s">
        <v>318</v>
      </c>
      <c r="AI987" s="10" t="s">
        <v>319</v>
      </c>
      <c r="AJ987" s="10" t="s">
        <v>508</v>
      </c>
      <c r="AK987" s="10" t="s">
        <v>2893</v>
      </c>
      <c r="AL987" s="16" t="s">
        <v>45</v>
      </c>
      <c r="AM987" s="16" t="s">
        <v>45</v>
      </c>
      <c r="AN987" s="10" t="s">
        <v>50</v>
      </c>
    </row>
    <row r="988" ht="30.0" customHeight="1">
      <c r="A988" s="9" t="str">
        <f t="shared" si="48"/>
        <v>Inativo</v>
      </c>
      <c r="B988" s="9" t="str">
        <f t="shared" si="49"/>
        <v>N/I</v>
      </c>
      <c r="C988" s="9" t="str">
        <f t="shared" si="80"/>
        <v>N/I</v>
      </c>
      <c r="D988" s="12" t="s">
        <v>2886</v>
      </c>
      <c r="E988" s="11" t="s">
        <v>2887</v>
      </c>
      <c r="F988" s="11" t="s">
        <v>3031</v>
      </c>
      <c r="G988" s="12" t="s">
        <v>94</v>
      </c>
      <c r="H988" s="27">
        <v>170262.0</v>
      </c>
      <c r="I988" s="12" t="s">
        <v>3032</v>
      </c>
      <c r="J988" s="10" t="s">
        <v>197</v>
      </c>
      <c r="K988" s="10" t="s">
        <v>40</v>
      </c>
      <c r="L988" s="10" t="s">
        <v>4</v>
      </c>
      <c r="M988" s="22">
        <v>43384.0</v>
      </c>
      <c r="N988" s="32" t="s">
        <v>3033</v>
      </c>
      <c r="O988" s="10" t="s">
        <v>3034</v>
      </c>
      <c r="P988" s="10" t="s">
        <v>2892</v>
      </c>
      <c r="Q988" s="2"/>
      <c r="R988" s="10">
        <v>36.0</v>
      </c>
      <c r="S988" s="14">
        <v>43384.0</v>
      </c>
      <c r="T988" s="14">
        <v>44480.0</v>
      </c>
      <c r="U988" s="55">
        <f t="shared" si="84"/>
        <v>-1611</v>
      </c>
      <c r="V988" s="2"/>
      <c r="W988" s="15"/>
      <c r="X988" s="15"/>
      <c r="Y988" s="15"/>
      <c r="Z988" s="15"/>
      <c r="AA988" s="1"/>
      <c r="AB988" s="15"/>
      <c r="AC988" s="15"/>
      <c r="AD988" s="15"/>
      <c r="AE988" s="15"/>
      <c r="AF988" s="2"/>
      <c r="AG988" s="10" t="s">
        <v>354</v>
      </c>
      <c r="AH988" s="10" t="s">
        <v>318</v>
      </c>
      <c r="AI988" s="10" t="s">
        <v>319</v>
      </c>
      <c r="AJ988" s="10" t="s">
        <v>508</v>
      </c>
      <c r="AK988" s="10" t="s">
        <v>2893</v>
      </c>
      <c r="AL988" s="16" t="s">
        <v>45</v>
      </c>
      <c r="AM988" s="16" t="s">
        <v>45</v>
      </c>
      <c r="AN988" s="10" t="s">
        <v>50</v>
      </c>
    </row>
    <row r="989" ht="30.0" customHeight="1">
      <c r="A989" s="9" t="str">
        <f t="shared" si="48"/>
        <v>Inativo</v>
      </c>
      <c r="B989" s="9" t="str">
        <f t="shared" si="49"/>
        <v>N/I</v>
      </c>
      <c r="C989" s="9" t="str">
        <f t="shared" si="80"/>
        <v>N/I</v>
      </c>
      <c r="D989" s="12" t="s">
        <v>2886</v>
      </c>
      <c r="E989" s="11" t="s">
        <v>2887</v>
      </c>
      <c r="F989" s="11" t="s">
        <v>3035</v>
      </c>
      <c r="G989" s="12" t="s">
        <v>94</v>
      </c>
      <c r="H989" s="27">
        <v>170236.0</v>
      </c>
      <c r="I989" s="12" t="s">
        <v>3032</v>
      </c>
      <c r="J989" s="10" t="s">
        <v>197</v>
      </c>
      <c r="K989" s="10" t="s">
        <v>40</v>
      </c>
      <c r="L989" s="10" t="s">
        <v>4</v>
      </c>
      <c r="M989" s="22">
        <v>43384.0</v>
      </c>
      <c r="N989" s="32" t="s">
        <v>3036</v>
      </c>
      <c r="O989" s="10" t="s">
        <v>3034</v>
      </c>
      <c r="P989" s="10" t="s">
        <v>2892</v>
      </c>
      <c r="Q989" s="2"/>
      <c r="R989" s="10">
        <v>36.0</v>
      </c>
      <c r="S989" s="14">
        <v>43384.0</v>
      </c>
      <c r="T989" s="14">
        <v>44480.0</v>
      </c>
      <c r="U989" s="55">
        <f t="shared" si="84"/>
        <v>-1611</v>
      </c>
      <c r="V989" s="2"/>
      <c r="W989" s="15"/>
      <c r="X989" s="15"/>
      <c r="Y989" s="15"/>
      <c r="Z989" s="15"/>
      <c r="AA989" s="1"/>
      <c r="AB989" s="15"/>
      <c r="AC989" s="15"/>
      <c r="AD989" s="15"/>
      <c r="AE989" s="15"/>
      <c r="AF989" s="2"/>
      <c r="AG989" s="10" t="s">
        <v>354</v>
      </c>
      <c r="AH989" s="10" t="s">
        <v>318</v>
      </c>
      <c r="AI989" s="10" t="s">
        <v>319</v>
      </c>
      <c r="AJ989" s="10" t="s">
        <v>508</v>
      </c>
      <c r="AK989" s="10" t="s">
        <v>2893</v>
      </c>
      <c r="AL989" s="16" t="s">
        <v>45</v>
      </c>
      <c r="AM989" s="16" t="s">
        <v>45</v>
      </c>
      <c r="AN989" s="10" t="s">
        <v>50</v>
      </c>
    </row>
    <row r="990" ht="30.0" customHeight="1">
      <c r="A990" s="9" t="str">
        <f t="shared" si="48"/>
        <v>Inativo</v>
      </c>
      <c r="B990" s="9" t="str">
        <f t="shared" si="49"/>
        <v>N/I</v>
      </c>
      <c r="C990" s="9" t="str">
        <f t="shared" si="80"/>
        <v>N/I</v>
      </c>
      <c r="D990" s="10" t="s">
        <v>2886</v>
      </c>
      <c r="E990" s="11" t="s">
        <v>2887</v>
      </c>
      <c r="F990" s="11" t="s">
        <v>3037</v>
      </c>
      <c r="G990" s="12" t="s">
        <v>94</v>
      </c>
      <c r="H990" s="34" t="s">
        <v>3038</v>
      </c>
      <c r="I990" s="12" t="s">
        <v>3032</v>
      </c>
      <c r="J990" s="10" t="s">
        <v>197</v>
      </c>
      <c r="K990" s="10" t="s">
        <v>40</v>
      </c>
      <c r="L990" s="10" t="s">
        <v>4</v>
      </c>
      <c r="M990" s="14">
        <v>44922.0</v>
      </c>
      <c r="N990" s="32" t="s">
        <v>3039</v>
      </c>
      <c r="O990" s="10" t="s">
        <v>3034</v>
      </c>
      <c r="P990" s="10" t="s">
        <v>3040</v>
      </c>
      <c r="Q990" s="2"/>
      <c r="R990" s="10">
        <v>12.0</v>
      </c>
      <c r="S990" s="14">
        <v>44922.0</v>
      </c>
      <c r="T990" s="14">
        <v>45287.0</v>
      </c>
      <c r="U990" s="10">
        <f t="shared" si="84"/>
        <v>-804</v>
      </c>
      <c r="V990" s="2"/>
      <c r="W990" s="15"/>
      <c r="X990" s="15"/>
      <c r="Y990" s="15"/>
      <c r="Z990" s="15"/>
      <c r="AA990" s="1"/>
      <c r="AB990" s="15"/>
      <c r="AC990" s="15"/>
      <c r="AD990" s="15"/>
      <c r="AE990" s="15"/>
      <c r="AF990" s="2"/>
      <c r="AG990" s="16" t="s">
        <v>45</v>
      </c>
      <c r="AH990" s="16" t="s">
        <v>45</v>
      </c>
      <c r="AI990" s="16" t="s">
        <v>45</v>
      </c>
      <c r="AJ990" s="16" t="s">
        <v>45</v>
      </c>
      <c r="AK990" s="16" t="s">
        <v>45</v>
      </c>
      <c r="AL990" s="16" t="s">
        <v>45</v>
      </c>
      <c r="AM990" s="16" t="s">
        <v>45</v>
      </c>
      <c r="AN990" s="16" t="s">
        <v>45</v>
      </c>
    </row>
    <row r="991" ht="30.0" customHeight="1">
      <c r="A991" s="9" t="str">
        <f t="shared" si="48"/>
        <v>Inativo</v>
      </c>
      <c r="B991" s="9" t="str">
        <f t="shared" si="49"/>
        <v>N/I</v>
      </c>
      <c r="C991" s="9" t="str">
        <f t="shared" si="80"/>
        <v>N/I</v>
      </c>
      <c r="D991" s="12" t="s">
        <v>2886</v>
      </c>
      <c r="E991" s="11" t="s">
        <v>2887</v>
      </c>
      <c r="F991" s="11" t="s">
        <v>3041</v>
      </c>
      <c r="G991" s="12" t="s">
        <v>94</v>
      </c>
      <c r="H991" s="27">
        <v>170265.0</v>
      </c>
      <c r="I991" s="12" t="s">
        <v>3042</v>
      </c>
      <c r="J991" s="10" t="s">
        <v>197</v>
      </c>
      <c r="K991" s="10" t="s">
        <v>40</v>
      </c>
      <c r="L991" s="10" t="s">
        <v>4</v>
      </c>
      <c r="M991" s="22">
        <v>43399.0</v>
      </c>
      <c r="N991" s="32" t="s">
        <v>3043</v>
      </c>
      <c r="O991" s="10" t="s">
        <v>3044</v>
      </c>
      <c r="P991" s="10" t="s">
        <v>2892</v>
      </c>
      <c r="Q991" s="2"/>
      <c r="R991" s="10">
        <v>36.0</v>
      </c>
      <c r="S991" s="14">
        <v>43399.0</v>
      </c>
      <c r="T991" s="14">
        <v>44495.0</v>
      </c>
      <c r="U991" s="55">
        <f t="shared" si="84"/>
        <v>-1596</v>
      </c>
      <c r="V991" s="1"/>
      <c r="W991" s="15"/>
      <c r="X991" s="15"/>
      <c r="Y991" s="15"/>
      <c r="Z991" s="15"/>
      <c r="AA991" s="1"/>
      <c r="AB991" s="15"/>
      <c r="AC991" s="15"/>
      <c r="AD991" s="15"/>
      <c r="AE991" s="15"/>
      <c r="AF991" s="2"/>
      <c r="AG991" s="10" t="s">
        <v>354</v>
      </c>
      <c r="AH991" s="10" t="s">
        <v>318</v>
      </c>
      <c r="AI991" s="10" t="s">
        <v>319</v>
      </c>
      <c r="AJ991" s="10" t="s">
        <v>508</v>
      </c>
      <c r="AK991" s="10" t="s">
        <v>2893</v>
      </c>
      <c r="AL991" s="16" t="s">
        <v>45</v>
      </c>
      <c r="AM991" s="16" t="s">
        <v>45</v>
      </c>
      <c r="AN991" s="10" t="s">
        <v>50</v>
      </c>
    </row>
    <row r="992" ht="30.0" customHeight="1">
      <c r="A992" s="9" t="str">
        <f t="shared" si="48"/>
        <v>Inativo</v>
      </c>
      <c r="B992" s="9" t="str">
        <f t="shared" si="49"/>
        <v>N/I</v>
      </c>
      <c r="C992" s="9" t="str">
        <f t="shared" si="80"/>
        <v>N/I</v>
      </c>
      <c r="D992" s="12" t="s">
        <v>2886</v>
      </c>
      <c r="E992" s="11" t="s">
        <v>2887</v>
      </c>
      <c r="F992" s="11" t="s">
        <v>3045</v>
      </c>
      <c r="G992" s="12" t="s">
        <v>94</v>
      </c>
      <c r="H992" s="27">
        <v>150649.0</v>
      </c>
      <c r="I992" s="12" t="s">
        <v>3046</v>
      </c>
      <c r="J992" s="10" t="s">
        <v>197</v>
      </c>
      <c r="K992" s="10" t="s">
        <v>40</v>
      </c>
      <c r="L992" s="10" t="s">
        <v>4</v>
      </c>
      <c r="M992" s="22">
        <v>43413.0</v>
      </c>
      <c r="N992" s="32" t="s">
        <v>3047</v>
      </c>
      <c r="O992" s="10" t="s">
        <v>3048</v>
      </c>
      <c r="P992" s="10" t="s">
        <v>2892</v>
      </c>
      <c r="Q992" s="2"/>
      <c r="R992" s="10">
        <v>36.0</v>
      </c>
      <c r="S992" s="14">
        <v>43413.0</v>
      </c>
      <c r="T992" s="14">
        <v>44509.0</v>
      </c>
      <c r="U992" s="55">
        <f t="shared" si="84"/>
        <v>-1582</v>
      </c>
      <c r="V992" s="2"/>
      <c r="W992" s="15"/>
      <c r="X992" s="15"/>
      <c r="Y992" s="15"/>
      <c r="Z992" s="15"/>
      <c r="AA992" s="1"/>
      <c r="AB992" s="15"/>
      <c r="AC992" s="15"/>
      <c r="AD992" s="15"/>
      <c r="AE992" s="15"/>
      <c r="AF992" s="2"/>
      <c r="AG992" s="10" t="s">
        <v>354</v>
      </c>
      <c r="AH992" s="10" t="s">
        <v>318</v>
      </c>
      <c r="AI992" s="10" t="s">
        <v>319</v>
      </c>
      <c r="AJ992" s="10" t="s">
        <v>508</v>
      </c>
      <c r="AK992" s="10" t="s">
        <v>2893</v>
      </c>
      <c r="AL992" s="16" t="s">
        <v>45</v>
      </c>
      <c r="AM992" s="16" t="s">
        <v>45</v>
      </c>
      <c r="AN992" s="10" t="s">
        <v>50</v>
      </c>
    </row>
    <row r="993" ht="30.0" customHeight="1">
      <c r="A993" s="9" t="str">
        <f t="shared" si="48"/>
        <v>Inativo</v>
      </c>
      <c r="B993" s="9" t="str">
        <f t="shared" si="49"/>
        <v>N/I</v>
      </c>
      <c r="C993" s="9" t="str">
        <f t="shared" si="80"/>
        <v>N/I</v>
      </c>
      <c r="D993" s="12" t="s">
        <v>2886</v>
      </c>
      <c r="E993" s="11" t="s">
        <v>2887</v>
      </c>
      <c r="F993" s="11" t="s">
        <v>3049</v>
      </c>
      <c r="G993" s="12" t="s">
        <v>55</v>
      </c>
      <c r="H993" s="27">
        <v>170162.0</v>
      </c>
      <c r="I993" s="12" t="s">
        <v>3050</v>
      </c>
      <c r="J993" s="10" t="s">
        <v>197</v>
      </c>
      <c r="K993" s="10" t="s">
        <v>40</v>
      </c>
      <c r="L993" s="10" t="s">
        <v>4</v>
      </c>
      <c r="M993" s="22">
        <v>43418.0</v>
      </c>
      <c r="N993" s="32" t="s">
        <v>3051</v>
      </c>
      <c r="O993" s="10" t="s">
        <v>3052</v>
      </c>
      <c r="P993" s="10" t="s">
        <v>2892</v>
      </c>
      <c r="Q993" s="2"/>
      <c r="R993" s="10">
        <v>36.0</v>
      </c>
      <c r="S993" s="14">
        <v>43418.0</v>
      </c>
      <c r="T993" s="14">
        <v>44514.0</v>
      </c>
      <c r="U993" s="55">
        <f t="shared" si="84"/>
        <v>-1577</v>
      </c>
      <c r="V993" s="2"/>
      <c r="W993" s="15"/>
      <c r="X993" s="15"/>
      <c r="Y993" s="15"/>
      <c r="Z993" s="15"/>
      <c r="AA993" s="1"/>
      <c r="AB993" s="15"/>
      <c r="AC993" s="15"/>
      <c r="AD993" s="15"/>
      <c r="AE993" s="15"/>
      <c r="AF993" s="2"/>
      <c r="AG993" s="10" t="s">
        <v>354</v>
      </c>
      <c r="AH993" s="10" t="s">
        <v>318</v>
      </c>
      <c r="AI993" s="10" t="s">
        <v>319</v>
      </c>
      <c r="AJ993" s="10" t="s">
        <v>508</v>
      </c>
      <c r="AK993" s="10" t="s">
        <v>2893</v>
      </c>
      <c r="AL993" s="16" t="s">
        <v>45</v>
      </c>
      <c r="AM993" s="16" t="s">
        <v>45</v>
      </c>
      <c r="AN993" s="10" t="s">
        <v>50</v>
      </c>
    </row>
    <row r="994" ht="30.0" customHeight="1">
      <c r="A994" s="9" t="str">
        <f t="shared" si="48"/>
        <v>Inativo</v>
      </c>
      <c r="B994" s="9" t="str">
        <f t="shared" si="49"/>
        <v>N/I</v>
      </c>
      <c r="C994" s="9" t="str">
        <f t="shared" si="80"/>
        <v>N/I</v>
      </c>
      <c r="D994" s="12" t="s">
        <v>2886</v>
      </c>
      <c r="E994" s="11" t="s">
        <v>2887</v>
      </c>
      <c r="F994" s="11" t="s">
        <v>3053</v>
      </c>
      <c r="G994" s="12" t="s">
        <v>55</v>
      </c>
      <c r="H994" s="27" t="s">
        <v>3054</v>
      </c>
      <c r="I994" s="12" t="s">
        <v>3055</v>
      </c>
      <c r="J994" s="10" t="s">
        <v>197</v>
      </c>
      <c r="K994" s="10" t="s">
        <v>40</v>
      </c>
      <c r="L994" s="10" t="s">
        <v>4</v>
      </c>
      <c r="M994" s="22">
        <v>43417.0</v>
      </c>
      <c r="N994" s="32" t="s">
        <v>3056</v>
      </c>
      <c r="O994" s="10" t="s">
        <v>3057</v>
      </c>
      <c r="P994" s="10" t="s">
        <v>2892</v>
      </c>
      <c r="Q994" s="2"/>
      <c r="R994" s="10">
        <v>36.0</v>
      </c>
      <c r="S994" s="14">
        <v>43417.0</v>
      </c>
      <c r="T994" s="14">
        <v>44513.0</v>
      </c>
      <c r="U994" s="55">
        <f t="shared" si="84"/>
        <v>-1578</v>
      </c>
      <c r="V994" s="2"/>
      <c r="W994" s="15"/>
      <c r="X994" s="15"/>
      <c r="Y994" s="15"/>
      <c r="Z994" s="15"/>
      <c r="AA994" s="1"/>
      <c r="AB994" s="15"/>
      <c r="AC994" s="15"/>
      <c r="AD994" s="15"/>
      <c r="AE994" s="15"/>
      <c r="AF994" s="2"/>
      <c r="AG994" s="10" t="s">
        <v>354</v>
      </c>
      <c r="AH994" s="10" t="s">
        <v>318</v>
      </c>
      <c r="AI994" s="10" t="s">
        <v>319</v>
      </c>
      <c r="AJ994" s="10" t="s">
        <v>508</v>
      </c>
      <c r="AK994" s="10" t="s">
        <v>2893</v>
      </c>
      <c r="AL994" s="16" t="s">
        <v>45</v>
      </c>
      <c r="AM994" s="16" t="s">
        <v>45</v>
      </c>
      <c r="AN994" s="10" t="s">
        <v>50</v>
      </c>
    </row>
    <row r="995" ht="30.0" customHeight="1">
      <c r="A995" s="9" t="str">
        <f t="shared" si="48"/>
        <v>Inativo</v>
      </c>
      <c r="B995" s="9" t="str">
        <f t="shared" si="49"/>
        <v>N/I</v>
      </c>
      <c r="C995" s="9" t="str">
        <f t="shared" si="80"/>
        <v>N/I</v>
      </c>
      <c r="D995" s="12" t="s">
        <v>2886</v>
      </c>
      <c r="E995" s="11" t="s">
        <v>2887</v>
      </c>
      <c r="F995" s="11" t="s">
        <v>3058</v>
      </c>
      <c r="G995" s="12" t="s">
        <v>94</v>
      </c>
      <c r="H995" s="27">
        <v>170272.0</v>
      </c>
      <c r="I995" s="12" t="s">
        <v>883</v>
      </c>
      <c r="J995" s="10" t="s">
        <v>197</v>
      </c>
      <c r="K995" s="10" t="s">
        <v>40</v>
      </c>
      <c r="L995" s="10" t="s">
        <v>4</v>
      </c>
      <c r="M995" s="22">
        <v>43399.0</v>
      </c>
      <c r="N995" s="32" t="s">
        <v>3059</v>
      </c>
      <c r="O995" s="10" t="s">
        <v>3060</v>
      </c>
      <c r="P995" s="10" t="s">
        <v>2892</v>
      </c>
      <c r="Q995" s="2"/>
      <c r="R995" s="10">
        <v>36.0</v>
      </c>
      <c r="S995" s="14">
        <v>43399.0</v>
      </c>
      <c r="T995" s="14">
        <v>44495.0</v>
      </c>
      <c r="U995" s="55">
        <f t="shared" si="84"/>
        <v>-1596</v>
      </c>
      <c r="V995" s="1"/>
      <c r="W995" s="15"/>
      <c r="X995" s="15"/>
      <c r="Y995" s="15"/>
      <c r="Z995" s="15"/>
      <c r="AA995" s="1"/>
      <c r="AB995" s="15"/>
      <c r="AC995" s="15"/>
      <c r="AD995" s="15"/>
      <c r="AE995" s="15"/>
      <c r="AF995" s="2"/>
      <c r="AG995" s="10" t="s">
        <v>354</v>
      </c>
      <c r="AH995" s="10" t="s">
        <v>318</v>
      </c>
      <c r="AI995" s="10" t="s">
        <v>319</v>
      </c>
      <c r="AJ995" s="10" t="s">
        <v>508</v>
      </c>
      <c r="AK995" s="10" t="s">
        <v>2893</v>
      </c>
      <c r="AL995" s="16" t="s">
        <v>45</v>
      </c>
      <c r="AM995" s="16" t="s">
        <v>45</v>
      </c>
      <c r="AN995" s="10" t="s">
        <v>50</v>
      </c>
    </row>
    <row r="996" ht="30.0" customHeight="1">
      <c r="A996" s="9" t="str">
        <f t="shared" si="48"/>
        <v>Inativo</v>
      </c>
      <c r="B996" s="9" t="str">
        <f t="shared" si="49"/>
        <v>N/I</v>
      </c>
      <c r="C996" s="9" t="str">
        <f t="shared" si="80"/>
        <v>N/I</v>
      </c>
      <c r="D996" s="12" t="s">
        <v>2886</v>
      </c>
      <c r="E996" s="11" t="s">
        <v>2887</v>
      </c>
      <c r="F996" s="11" t="s">
        <v>3061</v>
      </c>
      <c r="G996" s="12" t="s">
        <v>94</v>
      </c>
      <c r="H996" s="27">
        <v>150386.0</v>
      </c>
      <c r="I996" s="12" t="s">
        <v>3062</v>
      </c>
      <c r="J996" s="10" t="s">
        <v>197</v>
      </c>
      <c r="K996" s="10" t="s">
        <v>40</v>
      </c>
      <c r="L996" s="10" t="s">
        <v>4</v>
      </c>
      <c r="M996" s="22">
        <v>43411.0</v>
      </c>
      <c r="N996" s="32" t="s">
        <v>3063</v>
      </c>
      <c r="O996" s="10" t="s">
        <v>3064</v>
      </c>
      <c r="P996" s="10" t="s">
        <v>2892</v>
      </c>
      <c r="Q996" s="2"/>
      <c r="R996" s="10">
        <v>36.0</v>
      </c>
      <c r="S996" s="14">
        <v>43411.0</v>
      </c>
      <c r="T996" s="14">
        <v>44507.0</v>
      </c>
      <c r="U996" s="55">
        <f t="shared" si="84"/>
        <v>-1584</v>
      </c>
      <c r="V996" s="2"/>
      <c r="W996" s="15"/>
      <c r="X996" s="15"/>
      <c r="Y996" s="15"/>
      <c r="Z996" s="15"/>
      <c r="AA996" s="1"/>
      <c r="AB996" s="15"/>
      <c r="AC996" s="15"/>
      <c r="AD996" s="15"/>
      <c r="AE996" s="15"/>
      <c r="AF996" s="2"/>
      <c r="AG996" s="10" t="s">
        <v>354</v>
      </c>
      <c r="AH996" s="10" t="s">
        <v>318</v>
      </c>
      <c r="AI996" s="10" t="s">
        <v>319</v>
      </c>
      <c r="AJ996" s="10" t="s">
        <v>508</v>
      </c>
      <c r="AK996" s="10" t="s">
        <v>2893</v>
      </c>
      <c r="AL996" s="16" t="s">
        <v>45</v>
      </c>
      <c r="AM996" s="16" t="s">
        <v>45</v>
      </c>
      <c r="AN996" s="10" t="s">
        <v>50</v>
      </c>
    </row>
    <row r="997" ht="30.0" customHeight="1">
      <c r="A997" s="9" t="str">
        <f t="shared" si="48"/>
        <v>Inativo</v>
      </c>
      <c r="B997" s="9" t="str">
        <f t="shared" si="49"/>
        <v>N/I</v>
      </c>
      <c r="C997" s="9" t="str">
        <f t="shared" si="80"/>
        <v>N/I</v>
      </c>
      <c r="D997" s="12" t="s">
        <v>2886</v>
      </c>
      <c r="E997" s="11" t="s">
        <v>2887</v>
      </c>
      <c r="F997" s="11" t="s">
        <v>3061</v>
      </c>
      <c r="G997" s="12" t="s">
        <v>55</v>
      </c>
      <c r="H997" s="27">
        <v>170164.0</v>
      </c>
      <c r="I997" s="12" t="s">
        <v>3062</v>
      </c>
      <c r="J997" s="10" t="s">
        <v>197</v>
      </c>
      <c r="K997" s="10" t="s">
        <v>40</v>
      </c>
      <c r="L997" s="10" t="s">
        <v>4</v>
      </c>
      <c r="M997" s="22">
        <v>43418.0</v>
      </c>
      <c r="N997" s="32" t="s">
        <v>3063</v>
      </c>
      <c r="O997" s="10" t="s">
        <v>3064</v>
      </c>
      <c r="P997" s="10" t="s">
        <v>2892</v>
      </c>
      <c r="Q997" s="2"/>
      <c r="R997" s="10">
        <v>36.0</v>
      </c>
      <c r="S997" s="14">
        <v>43418.0</v>
      </c>
      <c r="T997" s="14">
        <v>44514.0</v>
      </c>
      <c r="U997" s="55">
        <f t="shared" si="84"/>
        <v>-1577</v>
      </c>
      <c r="V997" s="2"/>
      <c r="W997" s="15"/>
      <c r="X997" s="15"/>
      <c r="Y997" s="15"/>
      <c r="Z997" s="15"/>
      <c r="AA997" s="1"/>
      <c r="AB997" s="15"/>
      <c r="AC997" s="15"/>
      <c r="AD997" s="15"/>
      <c r="AE997" s="15"/>
      <c r="AF997" s="2"/>
      <c r="AG997" s="10" t="s">
        <v>354</v>
      </c>
      <c r="AH997" s="10" t="s">
        <v>318</v>
      </c>
      <c r="AI997" s="10" t="s">
        <v>319</v>
      </c>
      <c r="AJ997" s="10" t="s">
        <v>508</v>
      </c>
      <c r="AK997" s="10" t="s">
        <v>2893</v>
      </c>
      <c r="AL997" s="16" t="s">
        <v>45</v>
      </c>
      <c r="AM997" s="16" t="s">
        <v>45</v>
      </c>
      <c r="AN997" s="10" t="s">
        <v>50</v>
      </c>
    </row>
    <row r="998" ht="30.0" customHeight="1">
      <c r="A998" s="9" t="str">
        <f t="shared" si="48"/>
        <v>Inativo</v>
      </c>
      <c r="B998" s="9" t="str">
        <f t="shared" si="49"/>
        <v>N/I</v>
      </c>
      <c r="C998" s="9" t="str">
        <f t="shared" si="80"/>
        <v>N/I</v>
      </c>
      <c r="D998" s="12" t="s">
        <v>2886</v>
      </c>
      <c r="E998" s="11" t="s">
        <v>2887</v>
      </c>
      <c r="F998" s="11" t="s">
        <v>3065</v>
      </c>
      <c r="G998" s="12" t="s">
        <v>94</v>
      </c>
      <c r="H998" s="27">
        <v>170258.0</v>
      </c>
      <c r="I998" s="12" t="s">
        <v>2152</v>
      </c>
      <c r="J998" s="10" t="s">
        <v>197</v>
      </c>
      <c r="K998" s="10" t="s">
        <v>40</v>
      </c>
      <c r="L998" s="10" t="s">
        <v>4</v>
      </c>
      <c r="M998" s="22">
        <v>43398.0</v>
      </c>
      <c r="N998" s="32" t="s">
        <v>3066</v>
      </c>
      <c r="O998" s="10" t="s">
        <v>2154</v>
      </c>
      <c r="P998" s="10" t="s">
        <v>2892</v>
      </c>
      <c r="Q998" s="2"/>
      <c r="R998" s="10">
        <v>36.0</v>
      </c>
      <c r="S998" s="14">
        <v>43398.0</v>
      </c>
      <c r="T998" s="14">
        <v>44494.0</v>
      </c>
      <c r="U998" s="55">
        <f t="shared" si="84"/>
        <v>-1597</v>
      </c>
      <c r="V998" s="2"/>
      <c r="W998" s="15"/>
      <c r="X998" s="15"/>
      <c r="Y998" s="15"/>
      <c r="Z998" s="15"/>
      <c r="AA998" s="1"/>
      <c r="AB998" s="15"/>
      <c r="AC998" s="15"/>
      <c r="AD998" s="15"/>
      <c r="AE998" s="15"/>
      <c r="AF998" s="2"/>
      <c r="AG998" s="10" t="s">
        <v>354</v>
      </c>
      <c r="AH998" s="10" t="s">
        <v>318</v>
      </c>
      <c r="AI998" s="10" t="s">
        <v>319</v>
      </c>
      <c r="AJ998" s="10" t="s">
        <v>508</v>
      </c>
      <c r="AK998" s="10" t="s">
        <v>2893</v>
      </c>
      <c r="AL998" s="16" t="s">
        <v>45</v>
      </c>
      <c r="AM998" s="16" t="s">
        <v>45</v>
      </c>
      <c r="AN998" s="10" t="s">
        <v>50</v>
      </c>
    </row>
    <row r="999" ht="30.0" customHeight="1">
      <c r="A999" s="9" t="str">
        <f t="shared" si="48"/>
        <v>Inativo</v>
      </c>
      <c r="B999" s="9" t="str">
        <f t="shared" si="49"/>
        <v>N/I</v>
      </c>
      <c r="C999" s="9" t="str">
        <f t="shared" si="80"/>
        <v>N/I</v>
      </c>
      <c r="D999" s="12" t="s">
        <v>2886</v>
      </c>
      <c r="E999" s="11" t="s">
        <v>2887</v>
      </c>
      <c r="F999" s="11" t="s">
        <v>3067</v>
      </c>
      <c r="G999" s="12" t="s">
        <v>94</v>
      </c>
      <c r="H999" s="27">
        <v>170254.0</v>
      </c>
      <c r="I999" s="12" t="s">
        <v>2696</v>
      </c>
      <c r="J999" s="10" t="s">
        <v>197</v>
      </c>
      <c r="K999" s="10" t="s">
        <v>40</v>
      </c>
      <c r="L999" s="10" t="s">
        <v>4</v>
      </c>
      <c r="M999" s="22">
        <v>43409.0</v>
      </c>
      <c r="N999" s="32" t="s">
        <v>3068</v>
      </c>
      <c r="O999" s="10" t="s">
        <v>3069</v>
      </c>
      <c r="P999" s="10" t="s">
        <v>2892</v>
      </c>
      <c r="Q999" s="2"/>
      <c r="R999" s="10">
        <v>36.0</v>
      </c>
      <c r="S999" s="14">
        <v>43409.0</v>
      </c>
      <c r="T999" s="14">
        <v>44505.0</v>
      </c>
      <c r="U999" s="55">
        <f t="shared" si="84"/>
        <v>-1586</v>
      </c>
      <c r="V999" s="1"/>
      <c r="W999" s="15"/>
      <c r="X999" s="15"/>
      <c r="Y999" s="15"/>
      <c r="Z999" s="15"/>
      <c r="AA999" s="1"/>
      <c r="AB999" s="15"/>
      <c r="AC999" s="15"/>
      <c r="AD999" s="15"/>
      <c r="AE999" s="15"/>
      <c r="AF999" s="2"/>
      <c r="AG999" s="10" t="s">
        <v>354</v>
      </c>
      <c r="AH999" s="10" t="s">
        <v>318</v>
      </c>
      <c r="AI999" s="10" t="s">
        <v>319</v>
      </c>
      <c r="AJ999" s="10" t="s">
        <v>508</v>
      </c>
      <c r="AK999" s="10" t="s">
        <v>2893</v>
      </c>
      <c r="AL999" s="16" t="s">
        <v>45</v>
      </c>
      <c r="AM999" s="16" t="s">
        <v>45</v>
      </c>
      <c r="AN999" s="10" t="s">
        <v>50</v>
      </c>
    </row>
    <row r="1000" ht="30.0" customHeight="1">
      <c r="A1000" s="9" t="str">
        <f t="shared" si="48"/>
        <v>Inativo</v>
      </c>
      <c r="B1000" s="9" t="str">
        <f t="shared" si="49"/>
        <v>N/I</v>
      </c>
      <c r="C1000" s="9" t="str">
        <f t="shared" si="80"/>
        <v>N/I</v>
      </c>
      <c r="D1000" s="12" t="s">
        <v>2886</v>
      </c>
      <c r="E1000" s="11" t="s">
        <v>2887</v>
      </c>
      <c r="F1000" s="11" t="s">
        <v>3067</v>
      </c>
      <c r="G1000" s="12" t="s">
        <v>94</v>
      </c>
      <c r="H1000" s="27">
        <v>170260.0</v>
      </c>
      <c r="I1000" s="12" t="s">
        <v>2696</v>
      </c>
      <c r="J1000" s="10" t="s">
        <v>197</v>
      </c>
      <c r="K1000" s="10" t="s">
        <v>40</v>
      </c>
      <c r="L1000" s="10" t="s">
        <v>4</v>
      </c>
      <c r="M1000" s="22">
        <v>43409.0</v>
      </c>
      <c r="N1000" s="32" t="s">
        <v>3068</v>
      </c>
      <c r="O1000" s="10" t="s">
        <v>3069</v>
      </c>
      <c r="P1000" s="10" t="s">
        <v>2892</v>
      </c>
      <c r="Q1000" s="2"/>
      <c r="R1000" s="10">
        <v>36.0</v>
      </c>
      <c r="S1000" s="14">
        <v>43409.0</v>
      </c>
      <c r="T1000" s="14">
        <v>44505.0</v>
      </c>
      <c r="U1000" s="55">
        <f t="shared" si="84"/>
        <v>-1586</v>
      </c>
      <c r="V1000" s="2"/>
      <c r="W1000" s="15"/>
      <c r="X1000" s="15"/>
      <c r="Y1000" s="15"/>
      <c r="Z1000" s="15"/>
      <c r="AA1000" s="1"/>
      <c r="AB1000" s="15"/>
      <c r="AC1000" s="15"/>
      <c r="AD1000" s="15"/>
      <c r="AE1000" s="15"/>
      <c r="AF1000" s="2"/>
      <c r="AG1000" s="10" t="s">
        <v>354</v>
      </c>
      <c r="AH1000" s="10" t="s">
        <v>318</v>
      </c>
      <c r="AI1000" s="10" t="s">
        <v>319</v>
      </c>
      <c r="AJ1000" s="10" t="s">
        <v>508</v>
      </c>
      <c r="AK1000" s="10" t="s">
        <v>2893</v>
      </c>
      <c r="AL1000" s="16" t="s">
        <v>45</v>
      </c>
      <c r="AM1000" s="16" t="s">
        <v>45</v>
      </c>
      <c r="AN1000" s="10" t="s">
        <v>50</v>
      </c>
    </row>
    <row r="1001" ht="30.0" customHeight="1">
      <c r="A1001" s="9" t="str">
        <f t="shared" si="48"/>
        <v>Ativo</v>
      </c>
      <c r="B1001" s="9" t="str">
        <f t="shared" si="49"/>
        <v>N/I</v>
      </c>
      <c r="C1001" s="9" t="str">
        <f t="shared" si="80"/>
        <v>N/I</v>
      </c>
      <c r="D1001" s="10" t="s">
        <v>2886</v>
      </c>
      <c r="E1001" s="11" t="s">
        <v>2887</v>
      </c>
      <c r="F1001" s="11" t="s">
        <v>3070</v>
      </c>
      <c r="G1001" s="12" t="s">
        <v>55</v>
      </c>
      <c r="H1001" s="27" t="s">
        <v>3071</v>
      </c>
      <c r="I1001" s="12" t="s">
        <v>2696</v>
      </c>
      <c r="J1001" s="10" t="s">
        <v>197</v>
      </c>
      <c r="K1001" s="10" t="s">
        <v>40</v>
      </c>
      <c r="L1001" s="10" t="s">
        <v>4</v>
      </c>
      <c r="M1001" s="22">
        <v>45749.0</v>
      </c>
      <c r="N1001" s="32" t="s">
        <v>3072</v>
      </c>
      <c r="O1001" s="10" t="s">
        <v>3069</v>
      </c>
      <c r="P1001" s="10" t="s">
        <v>3073</v>
      </c>
      <c r="Q1001" s="2"/>
      <c r="R1001" s="10">
        <v>12.0</v>
      </c>
      <c r="S1001" s="14">
        <v>45749.0</v>
      </c>
      <c r="T1001" s="14">
        <v>46114.0</v>
      </c>
      <c r="U1001" s="10">
        <f t="shared" si="84"/>
        <v>23</v>
      </c>
      <c r="V1001" s="2"/>
      <c r="W1001" s="15"/>
      <c r="X1001" s="15"/>
      <c r="Y1001" s="15"/>
      <c r="Z1001" s="15"/>
      <c r="AA1001" s="1"/>
      <c r="AB1001" s="15"/>
      <c r="AC1001" s="15"/>
      <c r="AD1001" s="15"/>
      <c r="AE1001" s="15"/>
      <c r="AF1001" s="2"/>
      <c r="AG1001" s="16" t="s">
        <v>45</v>
      </c>
      <c r="AH1001" s="16" t="s">
        <v>45</v>
      </c>
      <c r="AI1001" s="16" t="s">
        <v>45</v>
      </c>
      <c r="AJ1001" s="16" t="s">
        <v>45</v>
      </c>
      <c r="AK1001" s="16" t="s">
        <v>45</v>
      </c>
      <c r="AL1001" s="16" t="s">
        <v>45</v>
      </c>
      <c r="AM1001" s="16" t="s">
        <v>45</v>
      </c>
      <c r="AN1001" s="16" t="s">
        <v>45</v>
      </c>
    </row>
    <row r="1002" ht="30.0" customHeight="1">
      <c r="A1002" s="9" t="str">
        <f t="shared" si="48"/>
        <v>Ativo</v>
      </c>
      <c r="B1002" s="9" t="str">
        <f t="shared" si="49"/>
        <v>N/I</v>
      </c>
      <c r="C1002" s="9" t="str">
        <f t="shared" si="80"/>
        <v>N/I</v>
      </c>
      <c r="D1002" s="10" t="s">
        <v>2886</v>
      </c>
      <c r="E1002" s="11" t="s">
        <v>2887</v>
      </c>
      <c r="F1002" s="11" t="s">
        <v>3070</v>
      </c>
      <c r="G1002" s="12" t="s">
        <v>55</v>
      </c>
      <c r="H1002" s="27" t="s">
        <v>3074</v>
      </c>
      <c r="I1002" s="12" t="s">
        <v>2696</v>
      </c>
      <c r="J1002" s="10" t="s">
        <v>197</v>
      </c>
      <c r="K1002" s="10" t="s">
        <v>40</v>
      </c>
      <c r="L1002" s="10" t="s">
        <v>4</v>
      </c>
      <c r="M1002" s="22">
        <v>45771.0</v>
      </c>
      <c r="N1002" s="32" t="s">
        <v>3072</v>
      </c>
      <c r="O1002" s="10" t="s">
        <v>3069</v>
      </c>
      <c r="P1002" s="10" t="s">
        <v>3073</v>
      </c>
      <c r="Q1002" s="2"/>
      <c r="R1002" s="10">
        <v>12.0</v>
      </c>
      <c r="S1002" s="14">
        <v>45771.0</v>
      </c>
      <c r="T1002" s="14">
        <v>46136.0</v>
      </c>
      <c r="U1002" s="10">
        <f t="shared" si="84"/>
        <v>45</v>
      </c>
      <c r="V1002" s="2"/>
      <c r="W1002" s="15"/>
      <c r="X1002" s="15"/>
      <c r="Y1002" s="15"/>
      <c r="Z1002" s="15"/>
      <c r="AA1002" s="1"/>
      <c r="AB1002" s="15"/>
      <c r="AC1002" s="15"/>
      <c r="AD1002" s="15"/>
      <c r="AE1002" s="15"/>
      <c r="AF1002" s="2"/>
      <c r="AG1002" s="16" t="s">
        <v>45</v>
      </c>
      <c r="AH1002" s="16" t="s">
        <v>45</v>
      </c>
      <c r="AI1002" s="16" t="s">
        <v>45</v>
      </c>
      <c r="AJ1002" s="16" t="s">
        <v>45</v>
      </c>
      <c r="AK1002" s="16" t="s">
        <v>45</v>
      </c>
      <c r="AL1002" s="16" t="s">
        <v>45</v>
      </c>
      <c r="AM1002" s="16" t="s">
        <v>45</v>
      </c>
      <c r="AN1002" s="16" t="s">
        <v>45</v>
      </c>
    </row>
    <row r="1003" ht="30.0" customHeight="1">
      <c r="A1003" s="9" t="str">
        <f t="shared" si="48"/>
        <v>Inativo</v>
      </c>
      <c r="B1003" s="9" t="str">
        <f t="shared" si="49"/>
        <v>N/I</v>
      </c>
      <c r="C1003" s="9" t="str">
        <f t="shared" si="80"/>
        <v>N/I</v>
      </c>
      <c r="D1003" s="12" t="s">
        <v>2886</v>
      </c>
      <c r="E1003" s="11" t="s">
        <v>2887</v>
      </c>
      <c r="F1003" s="11" t="s">
        <v>3075</v>
      </c>
      <c r="G1003" s="12" t="s">
        <v>55</v>
      </c>
      <c r="H1003" s="27">
        <v>170156.0</v>
      </c>
      <c r="I1003" s="12" t="s">
        <v>2170</v>
      </c>
      <c r="J1003" s="10" t="s">
        <v>197</v>
      </c>
      <c r="K1003" s="10" t="s">
        <v>40</v>
      </c>
      <c r="L1003" s="10" t="s">
        <v>4</v>
      </c>
      <c r="M1003" s="22">
        <v>43417.0</v>
      </c>
      <c r="N1003" s="32" t="s">
        <v>3076</v>
      </c>
      <c r="O1003" s="10" t="s">
        <v>3077</v>
      </c>
      <c r="P1003" s="10" t="s">
        <v>2892</v>
      </c>
      <c r="Q1003" s="2"/>
      <c r="R1003" s="10">
        <v>36.0</v>
      </c>
      <c r="S1003" s="14">
        <v>43417.0</v>
      </c>
      <c r="T1003" s="14">
        <v>44513.0</v>
      </c>
      <c r="U1003" s="55">
        <f t="shared" si="84"/>
        <v>-1578</v>
      </c>
      <c r="V1003" s="2"/>
      <c r="W1003" s="15"/>
      <c r="X1003" s="15"/>
      <c r="Y1003" s="15"/>
      <c r="Z1003" s="15"/>
      <c r="AA1003" s="1"/>
      <c r="AB1003" s="15"/>
      <c r="AC1003" s="15"/>
      <c r="AD1003" s="15"/>
      <c r="AE1003" s="15"/>
      <c r="AF1003" s="2"/>
      <c r="AG1003" s="10" t="s">
        <v>354</v>
      </c>
      <c r="AH1003" s="10" t="s">
        <v>318</v>
      </c>
      <c r="AI1003" s="10" t="s">
        <v>319</v>
      </c>
      <c r="AJ1003" s="10" t="s">
        <v>508</v>
      </c>
      <c r="AK1003" s="10" t="s">
        <v>2893</v>
      </c>
      <c r="AL1003" s="16" t="s">
        <v>45</v>
      </c>
      <c r="AM1003" s="16" t="s">
        <v>45</v>
      </c>
      <c r="AN1003" s="10" t="s">
        <v>50</v>
      </c>
    </row>
    <row r="1004" ht="30.0" customHeight="1">
      <c r="A1004" s="9" t="str">
        <f t="shared" si="48"/>
        <v>Inativo</v>
      </c>
      <c r="B1004" s="9" t="str">
        <f t="shared" si="49"/>
        <v>N/I</v>
      </c>
      <c r="C1004" s="9" t="str">
        <f t="shared" si="80"/>
        <v>N/I</v>
      </c>
      <c r="D1004" s="12" t="s">
        <v>2886</v>
      </c>
      <c r="E1004" s="11" t="s">
        <v>2887</v>
      </c>
      <c r="F1004" s="11" t="s">
        <v>3078</v>
      </c>
      <c r="G1004" s="12" t="s">
        <v>94</v>
      </c>
      <c r="H1004" s="27">
        <v>170380.0</v>
      </c>
      <c r="I1004" s="12" t="s">
        <v>380</v>
      </c>
      <c r="J1004" s="10" t="s">
        <v>197</v>
      </c>
      <c r="K1004" s="10" t="s">
        <v>40</v>
      </c>
      <c r="L1004" s="10" t="s">
        <v>4</v>
      </c>
      <c r="M1004" s="22">
        <v>43417.0</v>
      </c>
      <c r="N1004" s="32" t="s">
        <v>3079</v>
      </c>
      <c r="O1004" s="10" t="s">
        <v>3080</v>
      </c>
      <c r="P1004" s="10" t="s">
        <v>2892</v>
      </c>
      <c r="Q1004" s="2"/>
      <c r="R1004" s="10">
        <v>36.0</v>
      </c>
      <c r="S1004" s="14">
        <v>43417.0</v>
      </c>
      <c r="T1004" s="14">
        <v>44513.0</v>
      </c>
      <c r="U1004" s="55">
        <f t="shared" si="84"/>
        <v>-1578</v>
      </c>
      <c r="V1004" s="2"/>
      <c r="W1004" s="15"/>
      <c r="X1004" s="15"/>
      <c r="Y1004" s="15"/>
      <c r="Z1004" s="15"/>
      <c r="AA1004" s="1"/>
      <c r="AB1004" s="15"/>
      <c r="AC1004" s="15"/>
      <c r="AD1004" s="15"/>
      <c r="AE1004" s="15"/>
      <c r="AF1004" s="2"/>
      <c r="AG1004" s="10" t="s">
        <v>354</v>
      </c>
      <c r="AH1004" s="10" t="s">
        <v>318</v>
      </c>
      <c r="AI1004" s="10" t="s">
        <v>319</v>
      </c>
      <c r="AJ1004" s="10" t="s">
        <v>508</v>
      </c>
      <c r="AK1004" s="10" t="s">
        <v>2893</v>
      </c>
      <c r="AL1004" s="16" t="s">
        <v>45</v>
      </c>
      <c r="AM1004" s="16" t="s">
        <v>45</v>
      </c>
      <c r="AN1004" s="10" t="s">
        <v>50</v>
      </c>
    </row>
    <row r="1005" ht="30.0" customHeight="1">
      <c r="A1005" s="9" t="str">
        <f t="shared" si="48"/>
        <v>Inativo</v>
      </c>
      <c r="B1005" s="9" t="str">
        <f t="shared" si="49"/>
        <v>N/I</v>
      </c>
      <c r="C1005" s="9" t="str">
        <f t="shared" si="80"/>
        <v>N/I</v>
      </c>
      <c r="D1005" s="12" t="s">
        <v>2886</v>
      </c>
      <c r="E1005" s="11" t="s">
        <v>2887</v>
      </c>
      <c r="F1005" s="11" t="s">
        <v>3078</v>
      </c>
      <c r="G1005" s="12" t="s">
        <v>94</v>
      </c>
      <c r="H1005" s="27">
        <v>180126.0</v>
      </c>
      <c r="I1005" s="12" t="s">
        <v>380</v>
      </c>
      <c r="J1005" s="10" t="s">
        <v>197</v>
      </c>
      <c r="K1005" s="10" t="s">
        <v>40</v>
      </c>
      <c r="L1005" s="10" t="s">
        <v>4</v>
      </c>
      <c r="M1005" s="22">
        <v>43417.0</v>
      </c>
      <c r="N1005" s="32" t="s">
        <v>3079</v>
      </c>
      <c r="O1005" s="10" t="s">
        <v>3080</v>
      </c>
      <c r="P1005" s="10" t="s">
        <v>2892</v>
      </c>
      <c r="Q1005" s="2"/>
      <c r="R1005" s="10">
        <v>36.0</v>
      </c>
      <c r="S1005" s="14">
        <v>43417.0</v>
      </c>
      <c r="T1005" s="14">
        <v>44513.0</v>
      </c>
      <c r="U1005" s="55">
        <f t="shared" si="84"/>
        <v>-1578</v>
      </c>
      <c r="V1005" s="2"/>
      <c r="W1005" s="15"/>
      <c r="X1005" s="15"/>
      <c r="Y1005" s="15"/>
      <c r="Z1005" s="15"/>
      <c r="AA1005" s="1"/>
      <c r="AB1005" s="15"/>
      <c r="AC1005" s="15"/>
      <c r="AD1005" s="15"/>
      <c r="AE1005" s="15"/>
      <c r="AF1005" s="2"/>
      <c r="AG1005" s="10" t="s">
        <v>354</v>
      </c>
      <c r="AH1005" s="10" t="s">
        <v>318</v>
      </c>
      <c r="AI1005" s="10" t="s">
        <v>319</v>
      </c>
      <c r="AJ1005" s="10" t="s">
        <v>508</v>
      </c>
      <c r="AK1005" s="10" t="s">
        <v>2893</v>
      </c>
      <c r="AL1005" s="16" t="s">
        <v>45</v>
      </c>
      <c r="AM1005" s="16" t="s">
        <v>45</v>
      </c>
      <c r="AN1005" s="10" t="s">
        <v>50</v>
      </c>
    </row>
    <row r="1006" ht="30.0" customHeight="1">
      <c r="A1006" s="9" t="str">
        <f t="shared" si="48"/>
        <v>Inativo</v>
      </c>
      <c r="B1006" s="9" t="str">
        <f t="shared" si="49"/>
        <v>N/I</v>
      </c>
      <c r="C1006" s="9" t="str">
        <f t="shared" si="80"/>
        <v>N/I</v>
      </c>
      <c r="D1006" s="12" t="s">
        <v>2886</v>
      </c>
      <c r="E1006" s="11" t="s">
        <v>2887</v>
      </c>
      <c r="F1006" s="11" t="s">
        <v>3078</v>
      </c>
      <c r="G1006" s="12" t="s">
        <v>55</v>
      </c>
      <c r="H1006" s="27">
        <v>170151.0</v>
      </c>
      <c r="I1006" s="12" t="s">
        <v>380</v>
      </c>
      <c r="J1006" s="10" t="s">
        <v>197</v>
      </c>
      <c r="K1006" s="10" t="s">
        <v>40</v>
      </c>
      <c r="L1006" s="10" t="s">
        <v>4</v>
      </c>
      <c r="M1006" s="22">
        <v>43417.0</v>
      </c>
      <c r="N1006" s="32" t="s">
        <v>3079</v>
      </c>
      <c r="O1006" s="10" t="s">
        <v>3080</v>
      </c>
      <c r="P1006" s="10" t="s">
        <v>2892</v>
      </c>
      <c r="Q1006" s="2"/>
      <c r="R1006" s="10">
        <v>36.0</v>
      </c>
      <c r="S1006" s="14">
        <v>43417.0</v>
      </c>
      <c r="T1006" s="14">
        <v>44513.0</v>
      </c>
      <c r="U1006" s="55">
        <f t="shared" si="84"/>
        <v>-1578</v>
      </c>
      <c r="V1006" s="2"/>
      <c r="W1006" s="15"/>
      <c r="X1006" s="15"/>
      <c r="Y1006" s="15"/>
      <c r="Z1006" s="15"/>
      <c r="AA1006" s="1"/>
      <c r="AB1006" s="15"/>
      <c r="AC1006" s="15"/>
      <c r="AD1006" s="15"/>
      <c r="AE1006" s="15"/>
      <c r="AF1006" s="2"/>
      <c r="AG1006" s="10" t="s">
        <v>354</v>
      </c>
      <c r="AH1006" s="10" t="s">
        <v>318</v>
      </c>
      <c r="AI1006" s="10" t="s">
        <v>319</v>
      </c>
      <c r="AJ1006" s="10" t="s">
        <v>508</v>
      </c>
      <c r="AK1006" s="10" t="s">
        <v>2893</v>
      </c>
      <c r="AL1006" s="16" t="s">
        <v>45</v>
      </c>
      <c r="AM1006" s="16" t="s">
        <v>45</v>
      </c>
      <c r="AN1006" s="10" t="s">
        <v>50</v>
      </c>
    </row>
    <row r="1007" ht="30.0" customHeight="1">
      <c r="A1007" s="9" t="str">
        <f t="shared" si="48"/>
        <v>Inativo</v>
      </c>
      <c r="B1007" s="9" t="str">
        <f t="shared" si="49"/>
        <v>N/I</v>
      </c>
      <c r="C1007" s="9" t="str">
        <f t="shared" si="80"/>
        <v>N/I</v>
      </c>
      <c r="D1007" s="12" t="s">
        <v>2886</v>
      </c>
      <c r="E1007" s="11" t="s">
        <v>2887</v>
      </c>
      <c r="F1007" s="11" t="s">
        <v>3081</v>
      </c>
      <c r="G1007" s="12" t="s">
        <v>94</v>
      </c>
      <c r="H1007" s="27">
        <v>170277.0</v>
      </c>
      <c r="I1007" s="12" t="s">
        <v>3082</v>
      </c>
      <c r="J1007" s="10" t="s">
        <v>197</v>
      </c>
      <c r="K1007" s="10" t="s">
        <v>40</v>
      </c>
      <c r="L1007" s="10" t="s">
        <v>4</v>
      </c>
      <c r="M1007" s="22">
        <v>43403.0</v>
      </c>
      <c r="N1007" s="32" t="s">
        <v>3083</v>
      </c>
      <c r="O1007" s="10" t="s">
        <v>3084</v>
      </c>
      <c r="P1007" s="10" t="s">
        <v>2892</v>
      </c>
      <c r="Q1007" s="2"/>
      <c r="R1007" s="10">
        <v>36.0</v>
      </c>
      <c r="S1007" s="14">
        <v>43403.0</v>
      </c>
      <c r="T1007" s="14">
        <v>44499.0</v>
      </c>
      <c r="U1007" s="55">
        <f t="shared" si="84"/>
        <v>-1592</v>
      </c>
      <c r="V1007" s="1"/>
      <c r="W1007" s="15"/>
      <c r="X1007" s="15"/>
      <c r="Y1007" s="15"/>
      <c r="Z1007" s="15"/>
      <c r="AA1007" s="1"/>
      <c r="AB1007" s="15"/>
      <c r="AC1007" s="15"/>
      <c r="AD1007" s="15"/>
      <c r="AE1007" s="15"/>
      <c r="AF1007" s="2"/>
      <c r="AG1007" s="10" t="s">
        <v>354</v>
      </c>
      <c r="AH1007" s="10" t="s">
        <v>318</v>
      </c>
      <c r="AI1007" s="10" t="s">
        <v>319</v>
      </c>
      <c r="AJ1007" s="10" t="s">
        <v>508</v>
      </c>
      <c r="AK1007" s="10" t="s">
        <v>2893</v>
      </c>
      <c r="AL1007" s="16" t="s">
        <v>45</v>
      </c>
      <c r="AM1007" s="16" t="s">
        <v>45</v>
      </c>
      <c r="AN1007" s="10" t="s">
        <v>50</v>
      </c>
    </row>
    <row r="1008" ht="30.0" customHeight="1">
      <c r="A1008" s="9" t="str">
        <f t="shared" si="48"/>
        <v>Inativo</v>
      </c>
      <c r="B1008" s="9" t="str">
        <f t="shared" si="49"/>
        <v>N/I</v>
      </c>
      <c r="C1008" s="9" t="str">
        <f t="shared" si="80"/>
        <v>N/I</v>
      </c>
      <c r="D1008" s="12" t="s">
        <v>2886</v>
      </c>
      <c r="E1008" s="11" t="s">
        <v>2887</v>
      </c>
      <c r="F1008" s="11" t="s">
        <v>3085</v>
      </c>
      <c r="G1008" s="12" t="s">
        <v>94</v>
      </c>
      <c r="H1008" s="27">
        <v>170275.0</v>
      </c>
      <c r="I1008" s="12" t="s">
        <v>3082</v>
      </c>
      <c r="J1008" s="10" t="s">
        <v>197</v>
      </c>
      <c r="K1008" s="10" t="s">
        <v>40</v>
      </c>
      <c r="L1008" s="10" t="s">
        <v>4</v>
      </c>
      <c r="M1008" s="22">
        <v>43403.0</v>
      </c>
      <c r="N1008" s="32" t="s">
        <v>3086</v>
      </c>
      <c r="O1008" s="10" t="s">
        <v>3084</v>
      </c>
      <c r="P1008" s="10" t="s">
        <v>2892</v>
      </c>
      <c r="Q1008" s="2"/>
      <c r="R1008" s="10">
        <v>36.0</v>
      </c>
      <c r="S1008" s="14">
        <v>43403.0</v>
      </c>
      <c r="T1008" s="14">
        <v>44499.0</v>
      </c>
      <c r="U1008" s="55">
        <f t="shared" si="84"/>
        <v>-1592</v>
      </c>
      <c r="V1008" s="1"/>
      <c r="W1008" s="15"/>
      <c r="X1008" s="15"/>
      <c r="Y1008" s="15"/>
      <c r="Z1008" s="15"/>
      <c r="AA1008" s="1"/>
      <c r="AB1008" s="15"/>
      <c r="AC1008" s="15"/>
      <c r="AD1008" s="15"/>
      <c r="AE1008" s="15"/>
      <c r="AF1008" s="2"/>
      <c r="AG1008" s="10" t="s">
        <v>354</v>
      </c>
      <c r="AH1008" s="10" t="s">
        <v>318</v>
      </c>
      <c r="AI1008" s="10" t="s">
        <v>319</v>
      </c>
      <c r="AJ1008" s="10" t="s">
        <v>508</v>
      </c>
      <c r="AK1008" s="10" t="s">
        <v>2893</v>
      </c>
      <c r="AL1008" s="16" t="s">
        <v>45</v>
      </c>
      <c r="AM1008" s="16" t="s">
        <v>45</v>
      </c>
      <c r="AN1008" s="10" t="s">
        <v>50</v>
      </c>
    </row>
    <row r="1009" ht="30.0" customHeight="1">
      <c r="A1009" s="9" t="str">
        <f t="shared" si="48"/>
        <v>Inativo</v>
      </c>
      <c r="B1009" s="9" t="str">
        <f t="shared" si="49"/>
        <v>N/I</v>
      </c>
      <c r="C1009" s="9" t="str">
        <f t="shared" si="80"/>
        <v>N/I</v>
      </c>
      <c r="D1009" s="12" t="s">
        <v>2886</v>
      </c>
      <c r="E1009" s="11" t="s">
        <v>2887</v>
      </c>
      <c r="F1009" s="11" t="s">
        <v>3087</v>
      </c>
      <c r="G1009" s="12" t="s">
        <v>94</v>
      </c>
      <c r="H1009" s="27">
        <v>170269.0</v>
      </c>
      <c r="I1009" s="12" t="s">
        <v>3088</v>
      </c>
      <c r="J1009" s="10" t="s">
        <v>197</v>
      </c>
      <c r="K1009" s="10" t="s">
        <v>40</v>
      </c>
      <c r="L1009" s="10" t="s">
        <v>4</v>
      </c>
      <c r="M1009" s="22">
        <v>43398.0</v>
      </c>
      <c r="N1009" s="32" t="s">
        <v>3089</v>
      </c>
      <c r="O1009" s="10" t="s">
        <v>3090</v>
      </c>
      <c r="P1009" s="10" t="s">
        <v>2892</v>
      </c>
      <c r="Q1009" s="2"/>
      <c r="R1009" s="10">
        <v>36.0</v>
      </c>
      <c r="S1009" s="14">
        <v>43398.0</v>
      </c>
      <c r="T1009" s="14">
        <v>44494.0</v>
      </c>
      <c r="U1009" s="55">
        <f t="shared" si="84"/>
        <v>-1597</v>
      </c>
      <c r="V1009" s="2"/>
      <c r="W1009" s="15"/>
      <c r="X1009" s="15"/>
      <c r="Y1009" s="15"/>
      <c r="Z1009" s="15"/>
      <c r="AA1009" s="1"/>
      <c r="AB1009" s="15"/>
      <c r="AC1009" s="15"/>
      <c r="AD1009" s="15"/>
      <c r="AE1009" s="15"/>
      <c r="AF1009" s="2"/>
      <c r="AG1009" s="10" t="s">
        <v>354</v>
      </c>
      <c r="AH1009" s="10" t="s">
        <v>318</v>
      </c>
      <c r="AI1009" s="10" t="s">
        <v>319</v>
      </c>
      <c r="AJ1009" s="10" t="s">
        <v>508</v>
      </c>
      <c r="AK1009" s="10" t="s">
        <v>2893</v>
      </c>
      <c r="AL1009" s="16" t="s">
        <v>45</v>
      </c>
      <c r="AM1009" s="16" t="s">
        <v>45</v>
      </c>
      <c r="AN1009" s="10" t="s">
        <v>50</v>
      </c>
    </row>
    <row r="1010" ht="30.0" customHeight="1">
      <c r="A1010" s="9" t="str">
        <f t="shared" si="48"/>
        <v>Inativo</v>
      </c>
      <c r="B1010" s="9" t="str">
        <f t="shared" si="49"/>
        <v>N/I</v>
      </c>
      <c r="C1010" s="9" t="str">
        <f t="shared" si="80"/>
        <v>N/I</v>
      </c>
      <c r="D1010" s="12" t="s">
        <v>2886</v>
      </c>
      <c r="E1010" s="11" t="s">
        <v>2887</v>
      </c>
      <c r="F1010" s="11" t="s">
        <v>3091</v>
      </c>
      <c r="G1010" s="12" t="s">
        <v>94</v>
      </c>
      <c r="H1010" s="27">
        <v>170271.0</v>
      </c>
      <c r="I1010" s="12" t="s">
        <v>3092</v>
      </c>
      <c r="J1010" s="10" t="s">
        <v>197</v>
      </c>
      <c r="K1010" s="10" t="s">
        <v>40</v>
      </c>
      <c r="L1010" s="10" t="s">
        <v>4</v>
      </c>
      <c r="M1010" s="22">
        <v>43396.0</v>
      </c>
      <c r="N1010" s="32" t="s">
        <v>3093</v>
      </c>
      <c r="O1010" s="10" t="s">
        <v>3094</v>
      </c>
      <c r="P1010" s="10" t="s">
        <v>2892</v>
      </c>
      <c r="Q1010" s="2"/>
      <c r="R1010" s="10">
        <v>36.0</v>
      </c>
      <c r="S1010" s="14">
        <v>43396.0</v>
      </c>
      <c r="T1010" s="14">
        <v>44492.0</v>
      </c>
      <c r="U1010" s="55">
        <f t="shared" si="84"/>
        <v>-1599</v>
      </c>
      <c r="V1010" s="2"/>
      <c r="W1010" s="15"/>
      <c r="X1010" s="15"/>
      <c r="Y1010" s="15"/>
      <c r="Z1010" s="15"/>
      <c r="AA1010" s="1"/>
      <c r="AB1010" s="15"/>
      <c r="AC1010" s="15"/>
      <c r="AD1010" s="15"/>
      <c r="AE1010" s="15"/>
      <c r="AF1010" s="2"/>
      <c r="AG1010" s="10" t="s">
        <v>354</v>
      </c>
      <c r="AH1010" s="10" t="s">
        <v>318</v>
      </c>
      <c r="AI1010" s="10" t="s">
        <v>319</v>
      </c>
      <c r="AJ1010" s="10" t="s">
        <v>508</v>
      </c>
      <c r="AK1010" s="10" t="s">
        <v>2893</v>
      </c>
      <c r="AL1010" s="16" t="s">
        <v>45</v>
      </c>
      <c r="AM1010" s="16" t="s">
        <v>45</v>
      </c>
      <c r="AN1010" s="10" t="s">
        <v>50</v>
      </c>
    </row>
    <row r="1011" ht="30.0" customHeight="1">
      <c r="A1011" s="9" t="str">
        <f t="shared" si="48"/>
        <v>Inativo</v>
      </c>
      <c r="B1011" s="9" t="str">
        <f t="shared" si="49"/>
        <v>N/I</v>
      </c>
      <c r="C1011" s="9" t="str">
        <f t="shared" si="80"/>
        <v>N/I</v>
      </c>
      <c r="D1011" s="12" t="s">
        <v>2886</v>
      </c>
      <c r="E1011" s="11" t="s">
        <v>2887</v>
      </c>
      <c r="F1011" s="11" t="s">
        <v>3095</v>
      </c>
      <c r="G1011" s="12" t="s">
        <v>94</v>
      </c>
      <c r="H1011" s="27">
        <v>170372.0</v>
      </c>
      <c r="I1011" s="12" t="s">
        <v>3096</v>
      </c>
      <c r="J1011" s="10" t="s">
        <v>197</v>
      </c>
      <c r="K1011" s="10" t="s">
        <v>40</v>
      </c>
      <c r="L1011" s="10" t="s">
        <v>4</v>
      </c>
      <c r="M1011" s="22">
        <v>43410.0</v>
      </c>
      <c r="N1011" s="32" t="s">
        <v>3097</v>
      </c>
      <c r="O1011" s="10" t="s">
        <v>3098</v>
      </c>
      <c r="P1011" s="10" t="s">
        <v>2892</v>
      </c>
      <c r="Q1011" s="2"/>
      <c r="R1011" s="10">
        <v>36.0</v>
      </c>
      <c r="S1011" s="14">
        <v>43410.0</v>
      </c>
      <c r="T1011" s="14">
        <v>44506.0</v>
      </c>
      <c r="U1011" s="55">
        <f t="shared" si="84"/>
        <v>-1585</v>
      </c>
      <c r="V1011" s="2"/>
      <c r="W1011" s="15"/>
      <c r="X1011" s="15"/>
      <c r="Y1011" s="15"/>
      <c r="Z1011" s="15"/>
      <c r="AA1011" s="1"/>
      <c r="AB1011" s="15"/>
      <c r="AC1011" s="15"/>
      <c r="AD1011" s="15"/>
      <c r="AE1011" s="15"/>
      <c r="AF1011" s="2"/>
      <c r="AG1011" s="10" t="s">
        <v>354</v>
      </c>
      <c r="AH1011" s="10" t="s">
        <v>318</v>
      </c>
      <c r="AI1011" s="10" t="s">
        <v>319</v>
      </c>
      <c r="AJ1011" s="10" t="s">
        <v>508</v>
      </c>
      <c r="AK1011" s="10" t="s">
        <v>2893</v>
      </c>
      <c r="AL1011" s="16" t="s">
        <v>45</v>
      </c>
      <c r="AM1011" s="16" t="s">
        <v>45</v>
      </c>
      <c r="AN1011" s="10" t="s">
        <v>50</v>
      </c>
    </row>
    <row r="1012" ht="30.0" customHeight="1">
      <c r="A1012" s="9" t="str">
        <f t="shared" si="48"/>
        <v>Inativo</v>
      </c>
      <c r="B1012" s="9" t="str">
        <f t="shared" si="49"/>
        <v>N/I</v>
      </c>
      <c r="C1012" s="9" t="str">
        <f t="shared" si="80"/>
        <v>N/I</v>
      </c>
      <c r="D1012" s="12" t="s">
        <v>2886</v>
      </c>
      <c r="E1012" s="11" t="s">
        <v>2887</v>
      </c>
      <c r="F1012" s="11" t="s">
        <v>3099</v>
      </c>
      <c r="G1012" s="12" t="s">
        <v>94</v>
      </c>
      <c r="H1012" s="27">
        <v>150594.0</v>
      </c>
      <c r="I1012" s="12" t="s">
        <v>3100</v>
      </c>
      <c r="J1012" s="10" t="s">
        <v>197</v>
      </c>
      <c r="K1012" s="10" t="s">
        <v>40</v>
      </c>
      <c r="L1012" s="10" t="s">
        <v>4</v>
      </c>
      <c r="M1012" s="22">
        <v>43417.0</v>
      </c>
      <c r="N1012" s="32" t="s">
        <v>3101</v>
      </c>
      <c r="O1012" s="10" t="s">
        <v>3102</v>
      </c>
      <c r="P1012" s="10" t="s">
        <v>2892</v>
      </c>
      <c r="Q1012" s="2"/>
      <c r="R1012" s="10">
        <v>36.0</v>
      </c>
      <c r="S1012" s="14">
        <v>43417.0</v>
      </c>
      <c r="T1012" s="14">
        <v>44513.0</v>
      </c>
      <c r="U1012" s="55">
        <f t="shared" si="84"/>
        <v>-1578</v>
      </c>
      <c r="V1012" s="2"/>
      <c r="W1012" s="15"/>
      <c r="X1012" s="15"/>
      <c r="Y1012" s="15"/>
      <c r="Z1012" s="15"/>
      <c r="AA1012" s="1"/>
      <c r="AB1012" s="15"/>
      <c r="AC1012" s="15"/>
      <c r="AD1012" s="15"/>
      <c r="AE1012" s="15"/>
      <c r="AF1012" s="2"/>
      <c r="AG1012" s="10" t="s">
        <v>354</v>
      </c>
      <c r="AH1012" s="10" t="s">
        <v>318</v>
      </c>
      <c r="AI1012" s="10" t="s">
        <v>319</v>
      </c>
      <c r="AJ1012" s="10" t="s">
        <v>508</v>
      </c>
      <c r="AK1012" s="10" t="s">
        <v>2893</v>
      </c>
      <c r="AL1012" s="16" t="s">
        <v>45</v>
      </c>
      <c r="AM1012" s="16" t="s">
        <v>45</v>
      </c>
      <c r="AN1012" s="10" t="s">
        <v>50</v>
      </c>
    </row>
    <row r="1013" ht="30.0" customHeight="1">
      <c r="A1013" s="9" t="str">
        <f t="shared" si="48"/>
        <v>Inativo</v>
      </c>
      <c r="B1013" s="9" t="str">
        <f t="shared" si="49"/>
        <v>N/I</v>
      </c>
      <c r="C1013" s="9" t="str">
        <f t="shared" si="80"/>
        <v>N/I</v>
      </c>
      <c r="D1013" s="12" t="s">
        <v>2886</v>
      </c>
      <c r="E1013" s="11" t="s">
        <v>2887</v>
      </c>
      <c r="F1013" s="11" t="s">
        <v>3099</v>
      </c>
      <c r="G1013" s="12" t="s">
        <v>55</v>
      </c>
      <c r="H1013" s="27">
        <v>170083.0</v>
      </c>
      <c r="I1013" s="12" t="s">
        <v>3100</v>
      </c>
      <c r="J1013" s="10" t="s">
        <v>197</v>
      </c>
      <c r="K1013" s="10" t="s">
        <v>40</v>
      </c>
      <c r="L1013" s="10" t="s">
        <v>4</v>
      </c>
      <c r="M1013" s="22">
        <v>43417.0</v>
      </c>
      <c r="N1013" s="32" t="s">
        <v>3101</v>
      </c>
      <c r="O1013" s="10" t="s">
        <v>3102</v>
      </c>
      <c r="P1013" s="10" t="s">
        <v>2892</v>
      </c>
      <c r="Q1013" s="2"/>
      <c r="R1013" s="10">
        <v>36.0</v>
      </c>
      <c r="S1013" s="14">
        <v>43417.0</v>
      </c>
      <c r="T1013" s="14">
        <v>44513.0</v>
      </c>
      <c r="U1013" s="55">
        <f t="shared" si="84"/>
        <v>-1578</v>
      </c>
      <c r="V1013" s="2"/>
      <c r="W1013" s="15"/>
      <c r="X1013" s="15"/>
      <c r="Y1013" s="15"/>
      <c r="Z1013" s="15"/>
      <c r="AA1013" s="1"/>
      <c r="AB1013" s="15"/>
      <c r="AC1013" s="15"/>
      <c r="AD1013" s="15"/>
      <c r="AE1013" s="15"/>
      <c r="AF1013" s="2"/>
      <c r="AG1013" s="10" t="s">
        <v>354</v>
      </c>
      <c r="AH1013" s="10" t="s">
        <v>318</v>
      </c>
      <c r="AI1013" s="10" t="s">
        <v>319</v>
      </c>
      <c r="AJ1013" s="10" t="s">
        <v>508</v>
      </c>
      <c r="AK1013" s="10" t="s">
        <v>2893</v>
      </c>
      <c r="AL1013" s="16" t="s">
        <v>45</v>
      </c>
      <c r="AM1013" s="16" t="s">
        <v>45</v>
      </c>
      <c r="AN1013" s="10" t="s">
        <v>50</v>
      </c>
    </row>
    <row r="1014" ht="30.0" customHeight="1">
      <c r="A1014" s="9" t="str">
        <f t="shared" si="48"/>
        <v>Inativo</v>
      </c>
      <c r="B1014" s="9" t="str">
        <f t="shared" si="49"/>
        <v>N/I</v>
      </c>
      <c r="C1014" s="9" t="str">
        <f t="shared" si="80"/>
        <v>N/I</v>
      </c>
      <c r="D1014" s="12" t="s">
        <v>2886</v>
      </c>
      <c r="E1014" s="11" t="s">
        <v>2887</v>
      </c>
      <c r="F1014" s="11" t="s">
        <v>3103</v>
      </c>
      <c r="G1014" s="12" t="s">
        <v>55</v>
      </c>
      <c r="H1014" s="27">
        <v>170158.0</v>
      </c>
      <c r="I1014" s="12" t="s">
        <v>3104</v>
      </c>
      <c r="J1014" s="10" t="s">
        <v>197</v>
      </c>
      <c r="K1014" s="10" t="s">
        <v>40</v>
      </c>
      <c r="L1014" s="10" t="s">
        <v>4</v>
      </c>
      <c r="M1014" s="22">
        <v>43418.0</v>
      </c>
      <c r="N1014" s="32" t="s">
        <v>3105</v>
      </c>
      <c r="O1014" s="10" t="s">
        <v>3106</v>
      </c>
      <c r="P1014" s="10" t="s">
        <v>2892</v>
      </c>
      <c r="Q1014" s="2"/>
      <c r="R1014" s="10">
        <v>36.0</v>
      </c>
      <c r="S1014" s="14">
        <v>43418.0</v>
      </c>
      <c r="T1014" s="14">
        <v>44514.0</v>
      </c>
      <c r="U1014" s="55">
        <f t="shared" si="84"/>
        <v>-1577</v>
      </c>
      <c r="V1014" s="2"/>
      <c r="W1014" s="15"/>
      <c r="X1014" s="15"/>
      <c r="Y1014" s="15"/>
      <c r="Z1014" s="15"/>
      <c r="AA1014" s="1"/>
      <c r="AB1014" s="15"/>
      <c r="AC1014" s="15"/>
      <c r="AD1014" s="15"/>
      <c r="AE1014" s="15"/>
      <c r="AF1014" s="2"/>
      <c r="AG1014" s="10" t="s">
        <v>354</v>
      </c>
      <c r="AH1014" s="10" t="s">
        <v>318</v>
      </c>
      <c r="AI1014" s="10" t="s">
        <v>319</v>
      </c>
      <c r="AJ1014" s="10" t="s">
        <v>508</v>
      </c>
      <c r="AK1014" s="10" t="s">
        <v>2893</v>
      </c>
      <c r="AL1014" s="16" t="s">
        <v>45</v>
      </c>
      <c r="AM1014" s="16" t="s">
        <v>45</v>
      </c>
      <c r="AN1014" s="10" t="s">
        <v>50</v>
      </c>
    </row>
    <row r="1015" ht="30.0" customHeight="1">
      <c r="A1015" s="9" t="str">
        <f t="shared" si="48"/>
        <v>N/I</v>
      </c>
      <c r="B1015" s="9" t="str">
        <f t="shared" si="49"/>
        <v>Ativo</v>
      </c>
      <c r="C1015" s="9" t="str">
        <f t="shared" si="80"/>
        <v>N/I</v>
      </c>
      <c r="D1015" s="10" t="s">
        <v>3107</v>
      </c>
      <c r="E1015" s="11" t="s">
        <v>3108</v>
      </c>
      <c r="F1015" s="32" t="s">
        <v>3109</v>
      </c>
      <c r="G1015" s="12" t="s">
        <v>94</v>
      </c>
      <c r="H1015" s="36">
        <v>110071.0</v>
      </c>
      <c r="I1015" s="12" t="s">
        <v>1597</v>
      </c>
      <c r="J1015" s="10" t="s">
        <v>283</v>
      </c>
      <c r="K1015" s="10" t="s">
        <v>263</v>
      </c>
      <c r="L1015" s="10" t="s">
        <v>264</v>
      </c>
      <c r="M1015" s="22">
        <v>43271.0</v>
      </c>
      <c r="N1015" s="32" t="s">
        <v>3110</v>
      </c>
      <c r="O1015" s="10" t="s">
        <v>3111</v>
      </c>
      <c r="P1015" s="10" t="s">
        <v>3112</v>
      </c>
      <c r="Q1015" s="2"/>
      <c r="R1015" s="15"/>
      <c r="S1015" s="15"/>
      <c r="T1015" s="15"/>
      <c r="U1015" s="15"/>
      <c r="V1015" s="2"/>
      <c r="W1015" s="10">
        <v>12.0</v>
      </c>
      <c r="X1015" s="14">
        <v>45902.0</v>
      </c>
      <c r="Y1015" s="14">
        <v>46266.0</v>
      </c>
      <c r="Z1015" s="10">
        <f t="shared" ref="Z1015:Z1017" si="85">Y1015-TODAY()</f>
        <v>175</v>
      </c>
      <c r="AA1015" s="1"/>
      <c r="AB1015" s="15"/>
      <c r="AC1015" s="15"/>
      <c r="AD1015" s="15"/>
      <c r="AE1015" s="15"/>
      <c r="AF1015" s="2"/>
      <c r="AG1015" s="10" t="s">
        <v>290</v>
      </c>
      <c r="AH1015" s="12" t="s">
        <v>46</v>
      </c>
      <c r="AI1015" s="10" t="s">
        <v>226</v>
      </c>
      <c r="AJ1015" s="10" t="s">
        <v>941</v>
      </c>
      <c r="AK1015" s="16" t="s">
        <v>45</v>
      </c>
      <c r="AL1015" s="10" t="s">
        <v>2289</v>
      </c>
      <c r="AM1015" s="10" t="s">
        <v>319</v>
      </c>
      <c r="AN1015" s="10" t="s">
        <v>50</v>
      </c>
    </row>
    <row r="1016" ht="30.0" customHeight="1">
      <c r="A1016" s="9" t="str">
        <f t="shared" si="48"/>
        <v>N/I</v>
      </c>
      <c r="B1016" s="9" t="str">
        <f t="shared" si="49"/>
        <v>Ativo</v>
      </c>
      <c r="C1016" s="9" t="str">
        <f t="shared" si="80"/>
        <v>N/I</v>
      </c>
      <c r="D1016" s="10" t="s">
        <v>3107</v>
      </c>
      <c r="E1016" s="11" t="s">
        <v>3108</v>
      </c>
      <c r="F1016" s="32" t="s">
        <v>3109</v>
      </c>
      <c r="G1016" s="12" t="s">
        <v>94</v>
      </c>
      <c r="H1016" s="36">
        <v>110073.0</v>
      </c>
      <c r="I1016" s="12" t="s">
        <v>1597</v>
      </c>
      <c r="J1016" s="10" t="s">
        <v>283</v>
      </c>
      <c r="K1016" s="10" t="s">
        <v>263</v>
      </c>
      <c r="L1016" s="10" t="s">
        <v>264</v>
      </c>
      <c r="M1016" s="22">
        <v>43271.0</v>
      </c>
      <c r="N1016" s="32" t="s">
        <v>3110</v>
      </c>
      <c r="O1016" s="10" t="s">
        <v>3111</v>
      </c>
      <c r="P1016" s="10" t="s">
        <v>3112</v>
      </c>
      <c r="Q1016" s="2"/>
      <c r="R1016" s="15"/>
      <c r="S1016" s="15"/>
      <c r="T1016" s="15"/>
      <c r="U1016" s="15"/>
      <c r="V1016" s="2"/>
      <c r="W1016" s="10">
        <v>12.0</v>
      </c>
      <c r="X1016" s="14">
        <v>45902.0</v>
      </c>
      <c r="Y1016" s="14">
        <v>46266.0</v>
      </c>
      <c r="Z1016" s="10">
        <f t="shared" si="85"/>
        <v>175</v>
      </c>
      <c r="AA1016" s="1"/>
      <c r="AB1016" s="15"/>
      <c r="AC1016" s="15"/>
      <c r="AD1016" s="15"/>
      <c r="AE1016" s="15"/>
      <c r="AF1016" s="2"/>
      <c r="AG1016" s="10" t="s">
        <v>290</v>
      </c>
      <c r="AH1016" s="12" t="s">
        <v>46</v>
      </c>
      <c r="AI1016" s="10" t="s">
        <v>226</v>
      </c>
      <c r="AJ1016" s="10" t="s">
        <v>941</v>
      </c>
      <c r="AK1016" s="16" t="s">
        <v>45</v>
      </c>
      <c r="AL1016" s="10" t="s">
        <v>2289</v>
      </c>
      <c r="AM1016" s="10" t="s">
        <v>319</v>
      </c>
      <c r="AN1016" s="10" t="s">
        <v>50</v>
      </c>
    </row>
    <row r="1017" ht="30.0" customHeight="1">
      <c r="A1017" s="9" t="str">
        <f t="shared" si="48"/>
        <v>N/I</v>
      </c>
      <c r="B1017" s="9" t="str">
        <f t="shared" si="49"/>
        <v>Ativo</v>
      </c>
      <c r="C1017" s="9" t="str">
        <f t="shared" si="80"/>
        <v>N/I</v>
      </c>
      <c r="D1017" s="10" t="s">
        <v>3107</v>
      </c>
      <c r="E1017" s="11" t="s">
        <v>3108</v>
      </c>
      <c r="F1017" s="32" t="s">
        <v>3109</v>
      </c>
      <c r="G1017" s="12" t="s">
        <v>94</v>
      </c>
      <c r="H1017" s="36">
        <v>170352.0</v>
      </c>
      <c r="I1017" s="12" t="s">
        <v>1597</v>
      </c>
      <c r="J1017" s="10" t="s">
        <v>283</v>
      </c>
      <c r="K1017" s="10" t="s">
        <v>263</v>
      </c>
      <c r="L1017" s="10" t="s">
        <v>264</v>
      </c>
      <c r="M1017" s="22">
        <v>43509.0</v>
      </c>
      <c r="N1017" s="32" t="s">
        <v>3110</v>
      </c>
      <c r="O1017" s="10" t="s">
        <v>3111</v>
      </c>
      <c r="P1017" s="10" t="s">
        <v>3112</v>
      </c>
      <c r="Q1017" s="2"/>
      <c r="R1017" s="15"/>
      <c r="S1017" s="15"/>
      <c r="T1017" s="15"/>
      <c r="U1017" s="15"/>
      <c r="V1017" s="2"/>
      <c r="W1017" s="10">
        <v>12.0</v>
      </c>
      <c r="X1017" s="14">
        <v>45902.0</v>
      </c>
      <c r="Y1017" s="14">
        <v>46266.0</v>
      </c>
      <c r="Z1017" s="10">
        <f t="shared" si="85"/>
        <v>175</v>
      </c>
      <c r="AA1017" s="1"/>
      <c r="AB1017" s="15"/>
      <c r="AC1017" s="15"/>
      <c r="AD1017" s="15"/>
      <c r="AE1017" s="15"/>
      <c r="AF1017" s="2"/>
      <c r="AG1017" s="10" t="s">
        <v>290</v>
      </c>
      <c r="AH1017" s="12" t="s">
        <v>46</v>
      </c>
      <c r="AI1017" s="10" t="s">
        <v>226</v>
      </c>
      <c r="AJ1017" s="10" t="s">
        <v>941</v>
      </c>
      <c r="AK1017" s="16" t="s">
        <v>45</v>
      </c>
      <c r="AL1017" s="10" t="s">
        <v>2289</v>
      </c>
      <c r="AM1017" s="10" t="s">
        <v>319</v>
      </c>
      <c r="AN1017" s="10" t="s">
        <v>50</v>
      </c>
    </row>
    <row r="1018" ht="30.0" customHeight="1">
      <c r="A1018" s="9" t="str">
        <f t="shared" si="48"/>
        <v>N/I</v>
      </c>
      <c r="B1018" s="9" t="str">
        <f t="shared" si="49"/>
        <v>N/I</v>
      </c>
      <c r="C1018" s="9" t="str">
        <f t="shared" si="80"/>
        <v>Inativo</v>
      </c>
      <c r="D1018" s="10" t="s">
        <v>3113</v>
      </c>
      <c r="E1018" s="11" t="s">
        <v>3114</v>
      </c>
      <c r="F1018" s="32" t="s">
        <v>2789</v>
      </c>
      <c r="G1018" s="12" t="s">
        <v>55</v>
      </c>
      <c r="H1018" s="13" t="s">
        <v>3115</v>
      </c>
      <c r="I1018" s="12" t="s">
        <v>894</v>
      </c>
      <c r="J1018" s="10" t="s">
        <v>895</v>
      </c>
      <c r="K1018" s="10" t="s">
        <v>41</v>
      </c>
      <c r="L1018" s="10" t="s">
        <v>6</v>
      </c>
      <c r="M1018" s="22">
        <v>45135.0</v>
      </c>
      <c r="N1018" s="32" t="s">
        <v>3116</v>
      </c>
      <c r="O1018" s="10" t="s">
        <v>3117</v>
      </c>
      <c r="P1018" s="10" t="s">
        <v>3118</v>
      </c>
      <c r="Q1018" s="2"/>
      <c r="R1018" s="15"/>
      <c r="S1018" s="15"/>
      <c r="T1018" s="15"/>
      <c r="U1018" s="15"/>
      <c r="V1018" s="2"/>
      <c r="W1018" s="15"/>
      <c r="X1018" s="15"/>
      <c r="Y1018" s="15"/>
      <c r="Z1018" s="15"/>
      <c r="AA1018" s="1"/>
      <c r="AB1018" s="10">
        <v>12.0</v>
      </c>
      <c r="AC1018" s="14">
        <v>45667.0</v>
      </c>
      <c r="AD1018" s="14">
        <v>46032.0</v>
      </c>
      <c r="AE1018" s="10">
        <f t="shared" ref="AE1018:AE1021" si="86">AD1018-TODAY()</f>
        <v>-59</v>
      </c>
      <c r="AF1018" s="2"/>
      <c r="AG1018" s="10" t="s">
        <v>290</v>
      </c>
      <c r="AH1018" s="12" t="s">
        <v>46</v>
      </c>
      <c r="AI1018" s="10" t="s">
        <v>441</v>
      </c>
      <c r="AJ1018" s="10" t="s">
        <v>442</v>
      </c>
      <c r="AK1018" s="16" t="s">
        <v>45</v>
      </c>
      <c r="AL1018" s="10" t="s">
        <v>49</v>
      </c>
      <c r="AM1018" s="16" t="s">
        <v>45</v>
      </c>
      <c r="AN1018" s="10" t="s">
        <v>50</v>
      </c>
    </row>
    <row r="1019" ht="30.0" customHeight="1">
      <c r="A1019" s="9" t="str">
        <f t="shared" si="48"/>
        <v>N/I</v>
      </c>
      <c r="B1019" s="9" t="str">
        <f t="shared" si="49"/>
        <v>N/I</v>
      </c>
      <c r="C1019" s="9" t="str">
        <f t="shared" si="80"/>
        <v>Inativo</v>
      </c>
      <c r="D1019" s="10" t="s">
        <v>3113</v>
      </c>
      <c r="E1019" s="11" t="s">
        <v>3114</v>
      </c>
      <c r="F1019" s="32" t="s">
        <v>2789</v>
      </c>
      <c r="G1019" s="12" t="s">
        <v>55</v>
      </c>
      <c r="H1019" s="13" t="s">
        <v>3119</v>
      </c>
      <c r="I1019" s="12" t="s">
        <v>894</v>
      </c>
      <c r="J1019" s="10" t="s">
        <v>895</v>
      </c>
      <c r="K1019" s="10" t="s">
        <v>41</v>
      </c>
      <c r="L1019" s="10" t="s">
        <v>6</v>
      </c>
      <c r="M1019" s="22">
        <v>45136.0</v>
      </c>
      <c r="N1019" s="32" t="s">
        <v>3116</v>
      </c>
      <c r="O1019" s="10" t="s">
        <v>3117</v>
      </c>
      <c r="P1019" s="10" t="s">
        <v>3118</v>
      </c>
      <c r="Q1019" s="2"/>
      <c r="R1019" s="15"/>
      <c r="S1019" s="15"/>
      <c r="T1019" s="15"/>
      <c r="U1019" s="15"/>
      <c r="V1019" s="2"/>
      <c r="W1019" s="15"/>
      <c r="X1019" s="15"/>
      <c r="Y1019" s="15"/>
      <c r="Z1019" s="15"/>
      <c r="AA1019" s="1"/>
      <c r="AB1019" s="10">
        <v>12.0</v>
      </c>
      <c r="AC1019" s="14">
        <v>45667.0</v>
      </c>
      <c r="AD1019" s="14">
        <v>46032.0</v>
      </c>
      <c r="AE1019" s="10">
        <f t="shared" si="86"/>
        <v>-59</v>
      </c>
      <c r="AF1019" s="2"/>
      <c r="AG1019" s="10" t="s">
        <v>290</v>
      </c>
      <c r="AH1019" s="12" t="s">
        <v>46</v>
      </c>
      <c r="AI1019" s="10" t="s">
        <v>441</v>
      </c>
      <c r="AJ1019" s="10" t="s">
        <v>442</v>
      </c>
      <c r="AK1019" s="16" t="s">
        <v>45</v>
      </c>
      <c r="AL1019" s="10" t="s">
        <v>49</v>
      </c>
      <c r="AM1019" s="16" t="s">
        <v>45</v>
      </c>
      <c r="AN1019" s="10" t="s">
        <v>50</v>
      </c>
    </row>
    <row r="1020" ht="30.0" customHeight="1">
      <c r="A1020" s="9" t="str">
        <f t="shared" si="48"/>
        <v>N/I</v>
      </c>
      <c r="B1020" s="9" t="str">
        <f t="shared" si="49"/>
        <v>N/I</v>
      </c>
      <c r="C1020" s="9" t="str">
        <f t="shared" si="80"/>
        <v>Inativo</v>
      </c>
      <c r="D1020" s="10" t="s">
        <v>3113</v>
      </c>
      <c r="E1020" s="11" t="s">
        <v>3114</v>
      </c>
      <c r="F1020" s="32" t="s">
        <v>2789</v>
      </c>
      <c r="G1020" s="12" t="s">
        <v>55</v>
      </c>
      <c r="H1020" s="13" t="s">
        <v>3120</v>
      </c>
      <c r="I1020" s="12" t="s">
        <v>894</v>
      </c>
      <c r="J1020" s="10" t="s">
        <v>895</v>
      </c>
      <c r="K1020" s="10" t="s">
        <v>41</v>
      </c>
      <c r="L1020" s="10" t="s">
        <v>6</v>
      </c>
      <c r="M1020" s="22">
        <v>45137.0</v>
      </c>
      <c r="N1020" s="32" t="s">
        <v>3116</v>
      </c>
      <c r="O1020" s="10" t="s">
        <v>3117</v>
      </c>
      <c r="P1020" s="10" t="s">
        <v>3118</v>
      </c>
      <c r="Q1020" s="2"/>
      <c r="R1020" s="15"/>
      <c r="S1020" s="15"/>
      <c r="T1020" s="15"/>
      <c r="U1020" s="15"/>
      <c r="V1020" s="2"/>
      <c r="W1020" s="15"/>
      <c r="X1020" s="15"/>
      <c r="Y1020" s="15"/>
      <c r="Z1020" s="15"/>
      <c r="AA1020" s="1"/>
      <c r="AB1020" s="10">
        <v>12.0</v>
      </c>
      <c r="AC1020" s="14">
        <v>45667.0</v>
      </c>
      <c r="AD1020" s="14">
        <v>46032.0</v>
      </c>
      <c r="AE1020" s="10">
        <f t="shared" si="86"/>
        <v>-59</v>
      </c>
      <c r="AF1020" s="2"/>
      <c r="AG1020" s="10" t="s">
        <v>290</v>
      </c>
      <c r="AH1020" s="12" t="s">
        <v>46</v>
      </c>
      <c r="AI1020" s="10" t="s">
        <v>441</v>
      </c>
      <c r="AJ1020" s="10" t="s">
        <v>442</v>
      </c>
      <c r="AK1020" s="16" t="s">
        <v>45</v>
      </c>
      <c r="AL1020" s="10" t="s">
        <v>49</v>
      </c>
      <c r="AM1020" s="16" t="s">
        <v>45</v>
      </c>
      <c r="AN1020" s="10" t="s">
        <v>50</v>
      </c>
    </row>
    <row r="1021" ht="30.0" customHeight="1">
      <c r="A1021" s="9" t="str">
        <f t="shared" si="48"/>
        <v>N/I</v>
      </c>
      <c r="B1021" s="9" t="str">
        <f t="shared" si="49"/>
        <v>N/I</v>
      </c>
      <c r="C1021" s="9" t="str">
        <f t="shared" si="80"/>
        <v>Inativo</v>
      </c>
      <c r="D1021" s="10" t="s">
        <v>3113</v>
      </c>
      <c r="E1021" s="11" t="s">
        <v>3114</v>
      </c>
      <c r="F1021" s="32" t="s">
        <v>2789</v>
      </c>
      <c r="G1021" s="12" t="s">
        <v>55</v>
      </c>
      <c r="H1021" s="13" t="s">
        <v>3121</v>
      </c>
      <c r="I1021" s="12" t="s">
        <v>894</v>
      </c>
      <c r="J1021" s="10" t="s">
        <v>895</v>
      </c>
      <c r="K1021" s="10" t="s">
        <v>41</v>
      </c>
      <c r="L1021" s="10" t="s">
        <v>6</v>
      </c>
      <c r="M1021" s="22">
        <v>45138.0</v>
      </c>
      <c r="N1021" s="32" t="s">
        <v>3116</v>
      </c>
      <c r="O1021" s="10" t="s">
        <v>3117</v>
      </c>
      <c r="P1021" s="10" t="s">
        <v>3118</v>
      </c>
      <c r="Q1021" s="2"/>
      <c r="R1021" s="15"/>
      <c r="S1021" s="15"/>
      <c r="T1021" s="15"/>
      <c r="U1021" s="15"/>
      <c r="V1021" s="2"/>
      <c r="W1021" s="15"/>
      <c r="X1021" s="15"/>
      <c r="Y1021" s="15"/>
      <c r="Z1021" s="15"/>
      <c r="AA1021" s="1"/>
      <c r="AB1021" s="10">
        <v>12.0</v>
      </c>
      <c r="AC1021" s="14">
        <v>45667.0</v>
      </c>
      <c r="AD1021" s="14">
        <v>46032.0</v>
      </c>
      <c r="AE1021" s="10">
        <f t="shared" si="86"/>
        <v>-59</v>
      </c>
      <c r="AF1021" s="2"/>
      <c r="AG1021" s="10" t="s">
        <v>290</v>
      </c>
      <c r="AH1021" s="12" t="s">
        <v>46</v>
      </c>
      <c r="AI1021" s="10" t="s">
        <v>441</v>
      </c>
      <c r="AJ1021" s="10" t="s">
        <v>442</v>
      </c>
      <c r="AK1021" s="16" t="s">
        <v>45</v>
      </c>
      <c r="AL1021" s="10" t="s">
        <v>49</v>
      </c>
      <c r="AM1021" s="16" t="s">
        <v>45</v>
      </c>
      <c r="AN1021" s="10" t="s">
        <v>50</v>
      </c>
    </row>
    <row r="1022" ht="30.0" customHeight="1">
      <c r="A1022" s="9" t="str">
        <f t="shared" si="48"/>
        <v>Inativo</v>
      </c>
      <c r="B1022" s="9" t="str">
        <f t="shared" si="49"/>
        <v>N/I</v>
      </c>
      <c r="C1022" s="9" t="str">
        <f t="shared" si="80"/>
        <v>N/I</v>
      </c>
      <c r="D1022" s="10" t="s">
        <v>3122</v>
      </c>
      <c r="E1022" s="11" t="s">
        <v>3123</v>
      </c>
      <c r="F1022" s="32"/>
      <c r="G1022" s="12" t="s">
        <v>94</v>
      </c>
      <c r="H1022" s="20" t="s">
        <v>3124</v>
      </c>
      <c r="I1022" s="12" t="s">
        <v>3125</v>
      </c>
      <c r="J1022" s="10" t="s">
        <v>262</v>
      </c>
      <c r="K1022" s="10" t="s">
        <v>263</v>
      </c>
      <c r="L1022" s="10" t="s">
        <v>4</v>
      </c>
      <c r="M1022" s="14">
        <v>44705.0</v>
      </c>
      <c r="N1022" s="32" t="s">
        <v>3126</v>
      </c>
      <c r="O1022" s="10" t="s">
        <v>3127</v>
      </c>
      <c r="P1022" s="10" t="s">
        <v>3128</v>
      </c>
      <c r="Q1022" s="2"/>
      <c r="R1022" s="10">
        <v>36.0</v>
      </c>
      <c r="S1022" s="14">
        <v>44705.0</v>
      </c>
      <c r="T1022" s="14">
        <v>45800.0</v>
      </c>
      <c r="U1022" s="10">
        <f>T1022-TODAY()</f>
        <v>-291</v>
      </c>
      <c r="V1022" s="2"/>
      <c r="W1022" s="15"/>
      <c r="X1022" s="15"/>
      <c r="Y1022" s="15"/>
      <c r="Z1022" s="15"/>
      <c r="AA1022" s="1"/>
      <c r="AB1022" s="15"/>
      <c r="AC1022" s="15"/>
      <c r="AD1022" s="15"/>
      <c r="AE1022" s="15"/>
      <c r="AF1022" s="2"/>
      <c r="AG1022" s="10" t="s">
        <v>354</v>
      </c>
      <c r="AH1022" s="10" t="s">
        <v>318</v>
      </c>
      <c r="AI1022" s="10" t="s">
        <v>319</v>
      </c>
      <c r="AJ1022" s="10" t="s">
        <v>291</v>
      </c>
      <c r="AK1022" s="16" t="s">
        <v>45</v>
      </c>
      <c r="AL1022" s="10" t="s">
        <v>49</v>
      </c>
      <c r="AM1022" s="16" t="s">
        <v>45</v>
      </c>
      <c r="AN1022" s="10" t="s">
        <v>50</v>
      </c>
    </row>
    <row r="1023" ht="30.0" customHeight="1">
      <c r="A1023" s="9" t="str">
        <f t="shared" si="48"/>
        <v>N/I</v>
      </c>
      <c r="B1023" s="9" t="str">
        <f t="shared" si="49"/>
        <v>Inativo</v>
      </c>
      <c r="C1023" s="9" t="str">
        <f t="shared" si="80"/>
        <v>N/I</v>
      </c>
      <c r="D1023" s="10" t="s">
        <v>3129</v>
      </c>
      <c r="E1023" s="11" t="s">
        <v>3130</v>
      </c>
      <c r="F1023" s="11" t="s">
        <v>3131</v>
      </c>
      <c r="G1023" s="12" t="s">
        <v>94</v>
      </c>
      <c r="H1023" s="23" t="s">
        <v>3132</v>
      </c>
      <c r="I1023" s="12" t="s">
        <v>3133</v>
      </c>
      <c r="J1023" s="10" t="s">
        <v>189</v>
      </c>
      <c r="K1023" s="10" t="s">
        <v>190</v>
      </c>
      <c r="L1023" s="10" t="s">
        <v>264</v>
      </c>
      <c r="M1023" s="14">
        <v>43538.0</v>
      </c>
      <c r="N1023" s="11" t="s">
        <v>3134</v>
      </c>
      <c r="O1023" s="10" t="s">
        <v>3135</v>
      </c>
      <c r="P1023" s="10" t="s">
        <v>3136</v>
      </c>
      <c r="Q1023" s="2"/>
      <c r="R1023" s="15"/>
      <c r="S1023" s="15"/>
      <c r="T1023" s="15"/>
      <c r="U1023" s="15"/>
      <c r="V1023" s="2"/>
      <c r="W1023" s="10">
        <v>12.0</v>
      </c>
      <c r="X1023" s="14">
        <v>44853.0</v>
      </c>
      <c r="Y1023" s="14">
        <v>45217.0</v>
      </c>
      <c r="Z1023" s="10">
        <f>Y1023-TODAY()</f>
        <v>-874</v>
      </c>
      <c r="AA1023" s="1"/>
      <c r="AB1023" s="15"/>
      <c r="AC1023" s="15"/>
      <c r="AD1023" s="15"/>
      <c r="AE1023" s="15"/>
      <c r="AF1023" s="2"/>
      <c r="AG1023" s="10" t="s">
        <v>290</v>
      </c>
      <c r="AH1023" s="12" t="s">
        <v>46</v>
      </c>
      <c r="AI1023" s="10" t="s">
        <v>441</v>
      </c>
      <c r="AJ1023" s="10" t="s">
        <v>442</v>
      </c>
      <c r="AK1023" s="16" t="s">
        <v>45</v>
      </c>
      <c r="AL1023" s="10" t="s">
        <v>49</v>
      </c>
      <c r="AM1023" s="16" t="s">
        <v>45</v>
      </c>
      <c r="AN1023" s="10" t="s">
        <v>50</v>
      </c>
    </row>
    <row r="1024" ht="30.0" customHeight="1">
      <c r="A1024" s="9" t="str">
        <f t="shared" si="48"/>
        <v>Inativo</v>
      </c>
      <c r="B1024" s="9" t="str">
        <f t="shared" si="49"/>
        <v>N/I</v>
      </c>
      <c r="C1024" s="9" t="str">
        <f t="shared" si="80"/>
        <v>N/I</v>
      </c>
      <c r="D1024" s="10" t="s">
        <v>3137</v>
      </c>
      <c r="E1024" s="11" t="s">
        <v>3138</v>
      </c>
      <c r="F1024" s="11" t="s">
        <v>3139</v>
      </c>
      <c r="G1024" s="12" t="s">
        <v>94</v>
      </c>
      <c r="H1024" s="27">
        <v>150645.0</v>
      </c>
      <c r="I1024" s="12" t="s">
        <v>720</v>
      </c>
      <c r="J1024" s="10" t="s">
        <v>721</v>
      </c>
      <c r="K1024" s="10" t="s">
        <v>209</v>
      </c>
      <c r="L1024" s="10" t="s">
        <v>4</v>
      </c>
      <c r="M1024" s="22">
        <v>42936.0</v>
      </c>
      <c r="N1024" s="32" t="s">
        <v>3140</v>
      </c>
      <c r="O1024" s="10" t="s">
        <v>1252</v>
      </c>
      <c r="P1024" s="10" t="s">
        <v>3141</v>
      </c>
      <c r="Q1024" s="2"/>
      <c r="R1024" s="10">
        <v>24.0</v>
      </c>
      <c r="S1024" s="14">
        <v>42929.0</v>
      </c>
      <c r="T1024" s="14">
        <v>43659.0</v>
      </c>
      <c r="U1024" s="10">
        <f t="shared" ref="U1024:U1108" si="87">T1024-TODAY()</f>
        <v>-2432</v>
      </c>
      <c r="V1024" s="2"/>
      <c r="W1024" s="15"/>
      <c r="X1024" s="15"/>
      <c r="Y1024" s="15"/>
      <c r="Z1024" s="15"/>
      <c r="AA1024" s="1"/>
      <c r="AB1024" s="15"/>
      <c r="AC1024" s="15"/>
      <c r="AD1024" s="15"/>
      <c r="AE1024" s="15"/>
      <c r="AF1024" s="2"/>
      <c r="AG1024" s="16" t="s">
        <v>45</v>
      </c>
      <c r="AH1024" s="16" t="s">
        <v>45</v>
      </c>
      <c r="AI1024" s="16" t="s">
        <v>45</v>
      </c>
      <c r="AJ1024" s="16" t="s">
        <v>45</v>
      </c>
      <c r="AK1024" s="16" t="s">
        <v>45</v>
      </c>
      <c r="AL1024" s="16" t="s">
        <v>45</v>
      </c>
      <c r="AM1024" s="16" t="s">
        <v>45</v>
      </c>
      <c r="AN1024" s="16" t="s">
        <v>45</v>
      </c>
    </row>
    <row r="1025" ht="30.0" customHeight="1">
      <c r="A1025" s="9" t="str">
        <f t="shared" si="48"/>
        <v>Inativo</v>
      </c>
      <c r="B1025" s="9" t="str">
        <f t="shared" si="49"/>
        <v>N/I</v>
      </c>
      <c r="C1025" s="9" t="str">
        <f t="shared" si="80"/>
        <v>N/I</v>
      </c>
      <c r="D1025" s="10" t="s">
        <v>3137</v>
      </c>
      <c r="E1025" s="11" t="s">
        <v>3138</v>
      </c>
      <c r="F1025" s="11" t="s">
        <v>3142</v>
      </c>
      <c r="G1025" s="12" t="s">
        <v>94</v>
      </c>
      <c r="H1025" s="27">
        <v>150652.0</v>
      </c>
      <c r="I1025" s="12" t="s">
        <v>720</v>
      </c>
      <c r="J1025" s="10" t="s">
        <v>721</v>
      </c>
      <c r="K1025" s="10" t="s">
        <v>209</v>
      </c>
      <c r="L1025" s="10" t="s">
        <v>4</v>
      </c>
      <c r="M1025" s="22">
        <v>42936.0</v>
      </c>
      <c r="N1025" s="32" t="s">
        <v>3140</v>
      </c>
      <c r="O1025" s="10" t="s">
        <v>1252</v>
      </c>
      <c r="P1025" s="10" t="s">
        <v>3141</v>
      </c>
      <c r="Q1025" s="2"/>
      <c r="R1025" s="10">
        <v>24.0</v>
      </c>
      <c r="S1025" s="14">
        <v>42929.0</v>
      </c>
      <c r="T1025" s="14">
        <v>43659.0</v>
      </c>
      <c r="U1025" s="10">
        <f t="shared" si="87"/>
        <v>-2432</v>
      </c>
      <c r="V1025" s="2"/>
      <c r="W1025" s="15"/>
      <c r="X1025" s="15"/>
      <c r="Y1025" s="15"/>
      <c r="Z1025" s="15"/>
      <c r="AA1025" s="1"/>
      <c r="AB1025" s="15"/>
      <c r="AC1025" s="15"/>
      <c r="AD1025" s="15"/>
      <c r="AE1025" s="15"/>
      <c r="AF1025" s="2"/>
      <c r="AG1025" s="16" t="s">
        <v>45</v>
      </c>
      <c r="AH1025" s="16" t="s">
        <v>45</v>
      </c>
      <c r="AI1025" s="16" t="s">
        <v>45</v>
      </c>
      <c r="AJ1025" s="16" t="s">
        <v>45</v>
      </c>
      <c r="AK1025" s="16" t="s">
        <v>45</v>
      </c>
      <c r="AL1025" s="16" t="s">
        <v>45</v>
      </c>
      <c r="AM1025" s="16" t="s">
        <v>45</v>
      </c>
      <c r="AN1025" s="16" t="s">
        <v>45</v>
      </c>
    </row>
    <row r="1026" ht="30.0" customHeight="1">
      <c r="A1026" s="9" t="str">
        <f t="shared" si="48"/>
        <v>Inativo</v>
      </c>
      <c r="B1026" s="9" t="str">
        <f t="shared" si="49"/>
        <v>N/I</v>
      </c>
      <c r="C1026" s="9" t="str">
        <f t="shared" si="80"/>
        <v>N/I</v>
      </c>
      <c r="D1026" s="10" t="s">
        <v>3137</v>
      </c>
      <c r="E1026" s="11" t="s">
        <v>3138</v>
      </c>
      <c r="F1026" s="11" t="s">
        <v>3142</v>
      </c>
      <c r="G1026" s="12" t="s">
        <v>94</v>
      </c>
      <c r="H1026" s="27">
        <v>150656.0</v>
      </c>
      <c r="I1026" s="12" t="s">
        <v>720</v>
      </c>
      <c r="J1026" s="10" t="s">
        <v>721</v>
      </c>
      <c r="K1026" s="10" t="s">
        <v>209</v>
      </c>
      <c r="L1026" s="10" t="s">
        <v>4</v>
      </c>
      <c r="M1026" s="22">
        <v>42936.0</v>
      </c>
      <c r="N1026" s="32" t="s">
        <v>3140</v>
      </c>
      <c r="O1026" s="10" t="s">
        <v>1252</v>
      </c>
      <c r="P1026" s="10" t="s">
        <v>3141</v>
      </c>
      <c r="Q1026" s="2"/>
      <c r="R1026" s="10">
        <v>24.0</v>
      </c>
      <c r="S1026" s="14">
        <v>42929.0</v>
      </c>
      <c r="T1026" s="14">
        <v>43659.0</v>
      </c>
      <c r="U1026" s="10">
        <f t="shared" si="87"/>
        <v>-2432</v>
      </c>
      <c r="V1026" s="2"/>
      <c r="W1026" s="15"/>
      <c r="X1026" s="15"/>
      <c r="Y1026" s="15"/>
      <c r="Z1026" s="15"/>
      <c r="AA1026" s="1"/>
      <c r="AB1026" s="15"/>
      <c r="AC1026" s="15"/>
      <c r="AD1026" s="15"/>
      <c r="AE1026" s="15"/>
      <c r="AF1026" s="2"/>
      <c r="AG1026" s="16" t="s">
        <v>45</v>
      </c>
      <c r="AH1026" s="16" t="s">
        <v>45</v>
      </c>
      <c r="AI1026" s="16" t="s">
        <v>45</v>
      </c>
      <c r="AJ1026" s="16" t="s">
        <v>45</v>
      </c>
      <c r="AK1026" s="16" t="s">
        <v>45</v>
      </c>
      <c r="AL1026" s="16" t="s">
        <v>45</v>
      </c>
      <c r="AM1026" s="16" t="s">
        <v>45</v>
      </c>
      <c r="AN1026" s="16" t="s">
        <v>45</v>
      </c>
    </row>
    <row r="1027" ht="30.0" customHeight="1">
      <c r="A1027" s="9" t="str">
        <f t="shared" si="48"/>
        <v>Inativo</v>
      </c>
      <c r="B1027" s="9" t="str">
        <f t="shared" si="49"/>
        <v>N/I</v>
      </c>
      <c r="C1027" s="9" t="str">
        <f t="shared" si="80"/>
        <v>N/I</v>
      </c>
      <c r="D1027" s="10" t="s">
        <v>3137</v>
      </c>
      <c r="E1027" s="11" t="s">
        <v>3138</v>
      </c>
      <c r="F1027" s="11" t="s">
        <v>3143</v>
      </c>
      <c r="G1027" s="12" t="s">
        <v>94</v>
      </c>
      <c r="H1027" s="27">
        <v>150685.0</v>
      </c>
      <c r="I1027" s="12" t="s">
        <v>720</v>
      </c>
      <c r="J1027" s="10" t="s">
        <v>721</v>
      </c>
      <c r="K1027" s="10" t="s">
        <v>209</v>
      </c>
      <c r="L1027" s="10" t="s">
        <v>4</v>
      </c>
      <c r="M1027" s="22">
        <v>42937.0</v>
      </c>
      <c r="N1027" s="32" t="s">
        <v>3140</v>
      </c>
      <c r="O1027" s="10" t="s">
        <v>1252</v>
      </c>
      <c r="P1027" s="10" t="s">
        <v>3141</v>
      </c>
      <c r="Q1027" s="2"/>
      <c r="R1027" s="10">
        <v>24.0</v>
      </c>
      <c r="S1027" s="14">
        <v>42937.0</v>
      </c>
      <c r="T1027" s="14">
        <v>43667.0</v>
      </c>
      <c r="U1027" s="10">
        <f t="shared" si="87"/>
        <v>-2424</v>
      </c>
      <c r="V1027" s="2"/>
      <c r="W1027" s="15"/>
      <c r="X1027" s="15"/>
      <c r="Y1027" s="15"/>
      <c r="Z1027" s="15"/>
      <c r="AA1027" s="1"/>
      <c r="AB1027" s="15"/>
      <c r="AC1027" s="15"/>
      <c r="AD1027" s="15"/>
      <c r="AE1027" s="15"/>
      <c r="AF1027" s="2"/>
      <c r="AG1027" s="16" t="s">
        <v>45</v>
      </c>
      <c r="AH1027" s="16" t="s">
        <v>45</v>
      </c>
      <c r="AI1027" s="16" t="s">
        <v>45</v>
      </c>
      <c r="AJ1027" s="16" t="s">
        <v>45</v>
      </c>
      <c r="AK1027" s="16" t="s">
        <v>45</v>
      </c>
      <c r="AL1027" s="16" t="s">
        <v>45</v>
      </c>
      <c r="AM1027" s="16" t="s">
        <v>45</v>
      </c>
      <c r="AN1027" s="16" t="s">
        <v>45</v>
      </c>
    </row>
    <row r="1028" ht="30.0" customHeight="1">
      <c r="A1028" s="9" t="str">
        <f t="shared" si="48"/>
        <v>Inativo</v>
      </c>
      <c r="B1028" s="9" t="str">
        <f t="shared" si="49"/>
        <v>N/I</v>
      </c>
      <c r="C1028" s="9" t="str">
        <f t="shared" si="80"/>
        <v>N/I</v>
      </c>
      <c r="D1028" s="10" t="s">
        <v>3137</v>
      </c>
      <c r="E1028" s="11" t="s">
        <v>3138</v>
      </c>
      <c r="F1028" s="11" t="s">
        <v>3143</v>
      </c>
      <c r="G1028" s="12" t="s">
        <v>94</v>
      </c>
      <c r="H1028" s="27">
        <v>150657.0</v>
      </c>
      <c r="I1028" s="12" t="s">
        <v>720</v>
      </c>
      <c r="J1028" s="10" t="s">
        <v>721</v>
      </c>
      <c r="K1028" s="10" t="s">
        <v>209</v>
      </c>
      <c r="L1028" s="10" t="s">
        <v>4</v>
      </c>
      <c r="M1028" s="22">
        <v>42937.0</v>
      </c>
      <c r="N1028" s="32" t="s">
        <v>3140</v>
      </c>
      <c r="O1028" s="10" t="s">
        <v>1252</v>
      </c>
      <c r="P1028" s="10" t="s">
        <v>3141</v>
      </c>
      <c r="Q1028" s="2"/>
      <c r="R1028" s="10">
        <v>24.0</v>
      </c>
      <c r="S1028" s="14">
        <v>42937.0</v>
      </c>
      <c r="T1028" s="14">
        <v>43667.0</v>
      </c>
      <c r="U1028" s="10">
        <f t="shared" si="87"/>
        <v>-2424</v>
      </c>
      <c r="V1028" s="2"/>
      <c r="W1028" s="15"/>
      <c r="X1028" s="15"/>
      <c r="Y1028" s="15"/>
      <c r="Z1028" s="15"/>
      <c r="AA1028" s="1"/>
      <c r="AB1028" s="15"/>
      <c r="AC1028" s="15"/>
      <c r="AD1028" s="15"/>
      <c r="AE1028" s="15"/>
      <c r="AF1028" s="2"/>
      <c r="AG1028" s="16" t="s">
        <v>45</v>
      </c>
      <c r="AH1028" s="16" t="s">
        <v>45</v>
      </c>
      <c r="AI1028" s="16" t="s">
        <v>45</v>
      </c>
      <c r="AJ1028" s="16" t="s">
        <v>45</v>
      </c>
      <c r="AK1028" s="16" t="s">
        <v>45</v>
      </c>
      <c r="AL1028" s="16" t="s">
        <v>45</v>
      </c>
      <c r="AM1028" s="16" t="s">
        <v>45</v>
      </c>
      <c r="AN1028" s="16" t="s">
        <v>45</v>
      </c>
    </row>
    <row r="1029" ht="30.0" customHeight="1">
      <c r="A1029" s="9" t="str">
        <f t="shared" si="48"/>
        <v>Inativo</v>
      </c>
      <c r="B1029" s="9" t="str">
        <f t="shared" si="49"/>
        <v>N/I</v>
      </c>
      <c r="C1029" s="9" t="str">
        <f t="shared" si="80"/>
        <v>N/I</v>
      </c>
      <c r="D1029" s="10" t="s">
        <v>3137</v>
      </c>
      <c r="E1029" s="11" t="s">
        <v>3138</v>
      </c>
      <c r="F1029" s="11" t="s">
        <v>3142</v>
      </c>
      <c r="G1029" s="12" t="s">
        <v>94</v>
      </c>
      <c r="H1029" s="27">
        <v>150662.0</v>
      </c>
      <c r="I1029" s="12" t="s">
        <v>720</v>
      </c>
      <c r="J1029" s="10" t="s">
        <v>721</v>
      </c>
      <c r="K1029" s="10" t="s">
        <v>209</v>
      </c>
      <c r="L1029" s="10" t="s">
        <v>4</v>
      </c>
      <c r="M1029" s="22">
        <v>42931.0</v>
      </c>
      <c r="N1029" s="32" t="s">
        <v>3140</v>
      </c>
      <c r="O1029" s="10" t="s">
        <v>1252</v>
      </c>
      <c r="P1029" s="10" t="s">
        <v>3141</v>
      </c>
      <c r="Q1029" s="2"/>
      <c r="R1029" s="10">
        <v>24.0</v>
      </c>
      <c r="S1029" s="14">
        <v>42929.0</v>
      </c>
      <c r="T1029" s="14">
        <v>43659.0</v>
      </c>
      <c r="U1029" s="10">
        <f t="shared" si="87"/>
        <v>-2432</v>
      </c>
      <c r="V1029" s="2"/>
      <c r="W1029" s="15"/>
      <c r="X1029" s="15"/>
      <c r="Y1029" s="15"/>
      <c r="Z1029" s="15"/>
      <c r="AA1029" s="1"/>
      <c r="AB1029" s="15"/>
      <c r="AC1029" s="15"/>
      <c r="AD1029" s="15"/>
      <c r="AE1029" s="15"/>
      <c r="AF1029" s="2"/>
      <c r="AG1029" s="16" t="s">
        <v>45</v>
      </c>
      <c r="AH1029" s="16" t="s">
        <v>45</v>
      </c>
      <c r="AI1029" s="16" t="s">
        <v>45</v>
      </c>
      <c r="AJ1029" s="16" t="s">
        <v>45</v>
      </c>
      <c r="AK1029" s="16" t="s">
        <v>45</v>
      </c>
      <c r="AL1029" s="16" t="s">
        <v>45</v>
      </c>
      <c r="AM1029" s="16" t="s">
        <v>45</v>
      </c>
      <c r="AN1029" s="16" t="s">
        <v>45</v>
      </c>
    </row>
    <row r="1030" ht="30.0" customHeight="1">
      <c r="A1030" s="9" t="str">
        <f t="shared" si="48"/>
        <v>Inativo</v>
      </c>
      <c r="B1030" s="9" t="str">
        <f t="shared" si="49"/>
        <v>N/I</v>
      </c>
      <c r="C1030" s="9" t="str">
        <f t="shared" si="80"/>
        <v>N/I</v>
      </c>
      <c r="D1030" s="10" t="s">
        <v>3137</v>
      </c>
      <c r="E1030" s="11" t="s">
        <v>3138</v>
      </c>
      <c r="F1030" s="11" t="s">
        <v>3144</v>
      </c>
      <c r="G1030" s="12" t="s">
        <v>94</v>
      </c>
      <c r="H1030" s="27">
        <v>150675.0</v>
      </c>
      <c r="I1030" s="12" t="s">
        <v>720</v>
      </c>
      <c r="J1030" s="10" t="s">
        <v>721</v>
      </c>
      <c r="K1030" s="10" t="s">
        <v>209</v>
      </c>
      <c r="L1030" s="10" t="s">
        <v>4</v>
      </c>
      <c r="M1030" s="22">
        <v>42931.0</v>
      </c>
      <c r="N1030" s="32" t="s">
        <v>3140</v>
      </c>
      <c r="O1030" s="10" t="s">
        <v>1252</v>
      </c>
      <c r="P1030" s="10" t="s">
        <v>3141</v>
      </c>
      <c r="Q1030" s="2"/>
      <c r="R1030" s="10">
        <v>24.0</v>
      </c>
      <c r="S1030" s="14">
        <v>42929.0</v>
      </c>
      <c r="T1030" s="14">
        <v>43659.0</v>
      </c>
      <c r="U1030" s="10">
        <f t="shared" si="87"/>
        <v>-2432</v>
      </c>
      <c r="V1030" s="2"/>
      <c r="W1030" s="15"/>
      <c r="X1030" s="15"/>
      <c r="Y1030" s="15"/>
      <c r="Z1030" s="15"/>
      <c r="AA1030" s="1"/>
      <c r="AB1030" s="15"/>
      <c r="AC1030" s="15"/>
      <c r="AD1030" s="15"/>
      <c r="AE1030" s="15"/>
      <c r="AF1030" s="2"/>
      <c r="AG1030" s="16" t="s">
        <v>45</v>
      </c>
      <c r="AH1030" s="16" t="s">
        <v>45</v>
      </c>
      <c r="AI1030" s="16" t="s">
        <v>45</v>
      </c>
      <c r="AJ1030" s="16" t="s">
        <v>45</v>
      </c>
      <c r="AK1030" s="16" t="s">
        <v>45</v>
      </c>
      <c r="AL1030" s="16" t="s">
        <v>45</v>
      </c>
      <c r="AM1030" s="16" t="s">
        <v>45</v>
      </c>
      <c r="AN1030" s="16" t="s">
        <v>45</v>
      </c>
    </row>
    <row r="1031" ht="30.0" customHeight="1">
      <c r="A1031" s="9" t="str">
        <f t="shared" si="48"/>
        <v>Inativo</v>
      </c>
      <c r="B1031" s="9" t="str">
        <f t="shared" si="49"/>
        <v>N/I</v>
      </c>
      <c r="C1031" s="9" t="str">
        <f t="shared" si="80"/>
        <v>N/I</v>
      </c>
      <c r="D1031" s="10" t="s">
        <v>3137</v>
      </c>
      <c r="E1031" s="11" t="s">
        <v>3138</v>
      </c>
      <c r="F1031" s="11" t="s">
        <v>3142</v>
      </c>
      <c r="G1031" s="12" t="s">
        <v>94</v>
      </c>
      <c r="H1031" s="27">
        <v>150672.0</v>
      </c>
      <c r="I1031" s="12" t="s">
        <v>720</v>
      </c>
      <c r="J1031" s="10" t="s">
        <v>721</v>
      </c>
      <c r="K1031" s="10" t="s">
        <v>209</v>
      </c>
      <c r="L1031" s="10" t="s">
        <v>4</v>
      </c>
      <c r="M1031" s="22">
        <v>42931.0</v>
      </c>
      <c r="N1031" s="32" t="s">
        <v>3140</v>
      </c>
      <c r="O1031" s="10" t="s">
        <v>1252</v>
      </c>
      <c r="P1031" s="10" t="s">
        <v>3141</v>
      </c>
      <c r="Q1031" s="2"/>
      <c r="R1031" s="10">
        <v>24.0</v>
      </c>
      <c r="S1031" s="14">
        <v>42929.0</v>
      </c>
      <c r="T1031" s="14">
        <v>43659.0</v>
      </c>
      <c r="U1031" s="10">
        <f t="shared" si="87"/>
        <v>-2432</v>
      </c>
      <c r="V1031" s="2"/>
      <c r="W1031" s="15"/>
      <c r="X1031" s="15"/>
      <c r="Y1031" s="15"/>
      <c r="Z1031" s="15"/>
      <c r="AA1031" s="1"/>
      <c r="AB1031" s="15"/>
      <c r="AC1031" s="15"/>
      <c r="AD1031" s="15"/>
      <c r="AE1031" s="15"/>
      <c r="AF1031" s="2"/>
      <c r="AG1031" s="16" t="s">
        <v>45</v>
      </c>
      <c r="AH1031" s="16" t="s">
        <v>45</v>
      </c>
      <c r="AI1031" s="16" t="s">
        <v>45</v>
      </c>
      <c r="AJ1031" s="16" t="s">
        <v>45</v>
      </c>
      <c r="AK1031" s="16" t="s">
        <v>45</v>
      </c>
      <c r="AL1031" s="16" t="s">
        <v>45</v>
      </c>
      <c r="AM1031" s="16" t="s">
        <v>45</v>
      </c>
      <c r="AN1031" s="16" t="s">
        <v>45</v>
      </c>
    </row>
    <row r="1032" ht="30.0" customHeight="1">
      <c r="A1032" s="9" t="str">
        <f t="shared" si="48"/>
        <v>Inativo</v>
      </c>
      <c r="B1032" s="9" t="str">
        <f t="shared" si="49"/>
        <v>N/I</v>
      </c>
      <c r="C1032" s="9" t="str">
        <f t="shared" si="80"/>
        <v>N/I</v>
      </c>
      <c r="D1032" s="10" t="s">
        <v>3137</v>
      </c>
      <c r="E1032" s="11" t="s">
        <v>3138</v>
      </c>
      <c r="F1032" s="11" t="s">
        <v>3145</v>
      </c>
      <c r="G1032" s="12" t="s">
        <v>94</v>
      </c>
      <c r="H1032" s="27">
        <v>150715.0</v>
      </c>
      <c r="I1032" s="12" t="s">
        <v>720</v>
      </c>
      <c r="J1032" s="10" t="s">
        <v>721</v>
      </c>
      <c r="K1032" s="10" t="s">
        <v>209</v>
      </c>
      <c r="L1032" s="10" t="s">
        <v>4</v>
      </c>
      <c r="M1032" s="22">
        <v>42934.0</v>
      </c>
      <c r="N1032" s="11" t="s">
        <v>3146</v>
      </c>
      <c r="O1032" s="10" t="s">
        <v>3147</v>
      </c>
      <c r="P1032" s="10" t="s">
        <v>3141</v>
      </c>
      <c r="Q1032" s="2"/>
      <c r="R1032" s="10">
        <v>24.0</v>
      </c>
      <c r="S1032" s="14">
        <v>42934.0</v>
      </c>
      <c r="T1032" s="14">
        <v>43664.0</v>
      </c>
      <c r="U1032" s="10">
        <f t="shared" si="87"/>
        <v>-2427</v>
      </c>
      <c r="V1032" s="2"/>
      <c r="W1032" s="15"/>
      <c r="X1032" s="15"/>
      <c r="Y1032" s="15"/>
      <c r="Z1032" s="15"/>
      <c r="AA1032" s="1"/>
      <c r="AB1032" s="15"/>
      <c r="AC1032" s="15"/>
      <c r="AD1032" s="15"/>
      <c r="AE1032" s="15"/>
      <c r="AF1032" s="2"/>
      <c r="AG1032" s="16" t="s">
        <v>45</v>
      </c>
      <c r="AH1032" s="16" t="s">
        <v>45</v>
      </c>
      <c r="AI1032" s="16" t="s">
        <v>45</v>
      </c>
      <c r="AJ1032" s="16" t="s">
        <v>45</v>
      </c>
      <c r="AK1032" s="16" t="s">
        <v>45</v>
      </c>
      <c r="AL1032" s="16" t="s">
        <v>45</v>
      </c>
      <c r="AM1032" s="16" t="s">
        <v>45</v>
      </c>
      <c r="AN1032" s="16" t="s">
        <v>45</v>
      </c>
    </row>
    <row r="1033" ht="30.0" customHeight="1">
      <c r="A1033" s="9" t="str">
        <f t="shared" si="48"/>
        <v>Inativo</v>
      </c>
      <c r="B1033" s="9" t="str">
        <f t="shared" si="49"/>
        <v>N/I</v>
      </c>
      <c r="C1033" s="9" t="str">
        <f t="shared" si="80"/>
        <v>N/I</v>
      </c>
      <c r="D1033" s="10" t="s">
        <v>3137</v>
      </c>
      <c r="E1033" s="11" t="s">
        <v>3138</v>
      </c>
      <c r="F1033" s="11" t="s">
        <v>3145</v>
      </c>
      <c r="G1033" s="12" t="s">
        <v>94</v>
      </c>
      <c r="H1033" s="27">
        <v>150687.0</v>
      </c>
      <c r="I1033" s="12" t="s">
        <v>720</v>
      </c>
      <c r="J1033" s="10" t="s">
        <v>721</v>
      </c>
      <c r="K1033" s="10" t="s">
        <v>209</v>
      </c>
      <c r="L1033" s="10" t="s">
        <v>4</v>
      </c>
      <c r="M1033" s="22">
        <v>42934.0</v>
      </c>
      <c r="N1033" s="11" t="s">
        <v>3146</v>
      </c>
      <c r="O1033" s="10" t="s">
        <v>3147</v>
      </c>
      <c r="P1033" s="10" t="s">
        <v>3141</v>
      </c>
      <c r="Q1033" s="2"/>
      <c r="R1033" s="10">
        <v>24.0</v>
      </c>
      <c r="S1033" s="14">
        <v>42934.0</v>
      </c>
      <c r="T1033" s="14">
        <v>43664.0</v>
      </c>
      <c r="U1033" s="10">
        <f t="shared" si="87"/>
        <v>-2427</v>
      </c>
      <c r="V1033" s="2"/>
      <c r="W1033" s="15"/>
      <c r="X1033" s="15"/>
      <c r="Y1033" s="15"/>
      <c r="Z1033" s="15"/>
      <c r="AA1033" s="1"/>
      <c r="AB1033" s="15"/>
      <c r="AC1033" s="15"/>
      <c r="AD1033" s="15"/>
      <c r="AE1033" s="15"/>
      <c r="AF1033" s="2"/>
      <c r="AG1033" s="16" t="s">
        <v>45</v>
      </c>
      <c r="AH1033" s="16" t="s">
        <v>45</v>
      </c>
      <c r="AI1033" s="16" t="s">
        <v>45</v>
      </c>
      <c r="AJ1033" s="16" t="s">
        <v>45</v>
      </c>
      <c r="AK1033" s="16" t="s">
        <v>45</v>
      </c>
      <c r="AL1033" s="16" t="s">
        <v>45</v>
      </c>
      <c r="AM1033" s="16" t="s">
        <v>45</v>
      </c>
      <c r="AN1033" s="16" t="s">
        <v>45</v>
      </c>
    </row>
    <row r="1034" ht="30.0" customHeight="1">
      <c r="A1034" s="9" t="str">
        <f t="shared" si="48"/>
        <v>Inativo</v>
      </c>
      <c r="B1034" s="9" t="str">
        <f t="shared" si="49"/>
        <v>N/I</v>
      </c>
      <c r="C1034" s="9" t="str">
        <f t="shared" si="80"/>
        <v>N/I</v>
      </c>
      <c r="D1034" s="10" t="s">
        <v>3137</v>
      </c>
      <c r="E1034" s="11" t="s">
        <v>3138</v>
      </c>
      <c r="F1034" s="11" t="s">
        <v>3148</v>
      </c>
      <c r="G1034" s="12" t="s">
        <v>94</v>
      </c>
      <c r="H1034" s="27">
        <v>150717.0</v>
      </c>
      <c r="I1034" s="12" t="s">
        <v>720</v>
      </c>
      <c r="J1034" s="10" t="s">
        <v>721</v>
      </c>
      <c r="K1034" s="10" t="s">
        <v>209</v>
      </c>
      <c r="L1034" s="10" t="s">
        <v>4</v>
      </c>
      <c r="M1034" s="22">
        <v>42936.0</v>
      </c>
      <c r="N1034" s="32" t="s">
        <v>3140</v>
      </c>
      <c r="O1034" s="10" t="s">
        <v>1252</v>
      </c>
      <c r="P1034" s="10" t="s">
        <v>3141</v>
      </c>
      <c r="Q1034" s="2"/>
      <c r="R1034" s="10">
        <v>24.0</v>
      </c>
      <c r="S1034" s="14">
        <v>42936.0</v>
      </c>
      <c r="T1034" s="14">
        <v>43666.0</v>
      </c>
      <c r="U1034" s="10">
        <f t="shared" si="87"/>
        <v>-2425</v>
      </c>
      <c r="V1034" s="2"/>
      <c r="W1034" s="15"/>
      <c r="X1034" s="15"/>
      <c r="Y1034" s="15"/>
      <c r="Z1034" s="15"/>
      <c r="AA1034" s="1"/>
      <c r="AB1034" s="15"/>
      <c r="AC1034" s="15"/>
      <c r="AD1034" s="15"/>
      <c r="AE1034" s="15"/>
      <c r="AF1034" s="2"/>
      <c r="AG1034" s="16" t="s">
        <v>45</v>
      </c>
      <c r="AH1034" s="16" t="s">
        <v>45</v>
      </c>
      <c r="AI1034" s="16" t="s">
        <v>45</v>
      </c>
      <c r="AJ1034" s="16" t="s">
        <v>45</v>
      </c>
      <c r="AK1034" s="16" t="s">
        <v>45</v>
      </c>
      <c r="AL1034" s="16" t="s">
        <v>45</v>
      </c>
      <c r="AM1034" s="16" t="s">
        <v>45</v>
      </c>
      <c r="AN1034" s="16" t="s">
        <v>45</v>
      </c>
    </row>
    <row r="1035" ht="30.0" customHeight="1">
      <c r="A1035" s="9" t="str">
        <f t="shared" si="48"/>
        <v>Inativo</v>
      </c>
      <c r="B1035" s="9" t="str">
        <f t="shared" si="49"/>
        <v>N/I</v>
      </c>
      <c r="C1035" s="9" t="str">
        <f t="shared" si="80"/>
        <v>N/I</v>
      </c>
      <c r="D1035" s="10" t="s">
        <v>3137</v>
      </c>
      <c r="E1035" s="11" t="s">
        <v>3138</v>
      </c>
      <c r="F1035" s="11" t="s">
        <v>3149</v>
      </c>
      <c r="G1035" s="12" t="s">
        <v>94</v>
      </c>
      <c r="H1035" s="27">
        <v>150694.0</v>
      </c>
      <c r="I1035" s="12" t="s">
        <v>720</v>
      </c>
      <c r="J1035" s="10" t="s">
        <v>721</v>
      </c>
      <c r="K1035" s="10" t="s">
        <v>209</v>
      </c>
      <c r="L1035" s="10" t="s">
        <v>4</v>
      </c>
      <c r="M1035" s="22">
        <v>42936.0</v>
      </c>
      <c r="N1035" s="32" t="s">
        <v>3140</v>
      </c>
      <c r="O1035" s="10" t="s">
        <v>1252</v>
      </c>
      <c r="P1035" s="10" t="s">
        <v>3141</v>
      </c>
      <c r="Q1035" s="2"/>
      <c r="R1035" s="10">
        <v>24.0</v>
      </c>
      <c r="S1035" s="14">
        <v>42936.0</v>
      </c>
      <c r="T1035" s="14">
        <v>43666.0</v>
      </c>
      <c r="U1035" s="10">
        <f t="shared" si="87"/>
        <v>-2425</v>
      </c>
      <c r="V1035" s="2"/>
      <c r="W1035" s="15"/>
      <c r="X1035" s="15"/>
      <c r="Y1035" s="15"/>
      <c r="Z1035" s="15"/>
      <c r="AA1035" s="1"/>
      <c r="AB1035" s="15"/>
      <c r="AC1035" s="15"/>
      <c r="AD1035" s="15"/>
      <c r="AE1035" s="15"/>
      <c r="AF1035" s="2"/>
      <c r="AG1035" s="16" t="s">
        <v>45</v>
      </c>
      <c r="AH1035" s="16" t="s">
        <v>45</v>
      </c>
      <c r="AI1035" s="16" t="s">
        <v>45</v>
      </c>
      <c r="AJ1035" s="16" t="s">
        <v>45</v>
      </c>
      <c r="AK1035" s="16" t="s">
        <v>45</v>
      </c>
      <c r="AL1035" s="16" t="s">
        <v>45</v>
      </c>
      <c r="AM1035" s="16" t="s">
        <v>45</v>
      </c>
      <c r="AN1035" s="16" t="s">
        <v>45</v>
      </c>
    </row>
    <row r="1036" ht="30.0" customHeight="1">
      <c r="A1036" s="9" t="str">
        <f t="shared" si="48"/>
        <v>Inativo</v>
      </c>
      <c r="B1036" s="9" t="str">
        <f t="shared" si="49"/>
        <v>N/I</v>
      </c>
      <c r="C1036" s="9" t="str">
        <f t="shared" si="80"/>
        <v>N/I</v>
      </c>
      <c r="D1036" s="10" t="s">
        <v>3137</v>
      </c>
      <c r="E1036" s="11" t="s">
        <v>3138</v>
      </c>
      <c r="F1036" s="11" t="s">
        <v>3139</v>
      </c>
      <c r="G1036" s="12" t="s">
        <v>94</v>
      </c>
      <c r="H1036" s="27">
        <v>150660.0</v>
      </c>
      <c r="I1036" s="12" t="s">
        <v>720</v>
      </c>
      <c r="J1036" s="10" t="s">
        <v>721</v>
      </c>
      <c r="K1036" s="10" t="s">
        <v>209</v>
      </c>
      <c r="L1036" s="10" t="s">
        <v>4</v>
      </c>
      <c r="M1036" s="22">
        <v>42936.0</v>
      </c>
      <c r="N1036" s="32" t="s">
        <v>3140</v>
      </c>
      <c r="O1036" s="10" t="s">
        <v>1252</v>
      </c>
      <c r="P1036" s="10" t="s">
        <v>3141</v>
      </c>
      <c r="Q1036" s="2"/>
      <c r="R1036" s="10">
        <v>24.0</v>
      </c>
      <c r="S1036" s="14">
        <v>42936.0</v>
      </c>
      <c r="T1036" s="14">
        <v>43666.0</v>
      </c>
      <c r="U1036" s="10">
        <f t="shared" si="87"/>
        <v>-2425</v>
      </c>
      <c r="V1036" s="2"/>
      <c r="W1036" s="15"/>
      <c r="X1036" s="15"/>
      <c r="Y1036" s="15"/>
      <c r="Z1036" s="15"/>
      <c r="AA1036" s="1"/>
      <c r="AB1036" s="15"/>
      <c r="AC1036" s="15"/>
      <c r="AD1036" s="15"/>
      <c r="AE1036" s="15"/>
      <c r="AF1036" s="2"/>
      <c r="AG1036" s="16" t="s">
        <v>45</v>
      </c>
      <c r="AH1036" s="16" t="s">
        <v>45</v>
      </c>
      <c r="AI1036" s="16" t="s">
        <v>45</v>
      </c>
      <c r="AJ1036" s="16" t="s">
        <v>45</v>
      </c>
      <c r="AK1036" s="16" t="s">
        <v>45</v>
      </c>
      <c r="AL1036" s="16" t="s">
        <v>45</v>
      </c>
      <c r="AM1036" s="16" t="s">
        <v>45</v>
      </c>
      <c r="AN1036" s="16" t="s">
        <v>45</v>
      </c>
    </row>
    <row r="1037" ht="30.0" customHeight="1">
      <c r="A1037" s="9" t="str">
        <f t="shared" si="48"/>
        <v>Inativo</v>
      </c>
      <c r="B1037" s="9" t="str">
        <f t="shared" si="49"/>
        <v>N/I</v>
      </c>
      <c r="C1037" s="9" t="str">
        <f t="shared" si="80"/>
        <v>N/I</v>
      </c>
      <c r="D1037" s="10" t="s">
        <v>3137</v>
      </c>
      <c r="E1037" s="11" t="s">
        <v>3138</v>
      </c>
      <c r="F1037" s="11" t="s">
        <v>3139</v>
      </c>
      <c r="G1037" s="12" t="s">
        <v>94</v>
      </c>
      <c r="H1037" s="27">
        <v>150646.0</v>
      </c>
      <c r="I1037" s="12" t="s">
        <v>720</v>
      </c>
      <c r="J1037" s="10" t="s">
        <v>721</v>
      </c>
      <c r="K1037" s="10" t="s">
        <v>209</v>
      </c>
      <c r="L1037" s="10" t="s">
        <v>4</v>
      </c>
      <c r="M1037" s="22">
        <v>42936.0</v>
      </c>
      <c r="N1037" s="32" t="s">
        <v>3140</v>
      </c>
      <c r="O1037" s="10" t="s">
        <v>1252</v>
      </c>
      <c r="P1037" s="10" t="s">
        <v>3141</v>
      </c>
      <c r="Q1037" s="2"/>
      <c r="R1037" s="10">
        <v>24.0</v>
      </c>
      <c r="S1037" s="14">
        <v>42936.0</v>
      </c>
      <c r="T1037" s="14">
        <v>43666.0</v>
      </c>
      <c r="U1037" s="10">
        <f t="shared" si="87"/>
        <v>-2425</v>
      </c>
      <c r="V1037" s="2"/>
      <c r="W1037" s="15"/>
      <c r="X1037" s="15"/>
      <c r="Y1037" s="15"/>
      <c r="Z1037" s="15"/>
      <c r="AA1037" s="1"/>
      <c r="AB1037" s="15"/>
      <c r="AC1037" s="15"/>
      <c r="AD1037" s="15"/>
      <c r="AE1037" s="15"/>
      <c r="AF1037" s="2"/>
      <c r="AG1037" s="16" t="s">
        <v>45</v>
      </c>
      <c r="AH1037" s="16" t="s">
        <v>45</v>
      </c>
      <c r="AI1037" s="16" t="s">
        <v>45</v>
      </c>
      <c r="AJ1037" s="16" t="s">
        <v>45</v>
      </c>
      <c r="AK1037" s="16" t="s">
        <v>45</v>
      </c>
      <c r="AL1037" s="16" t="s">
        <v>45</v>
      </c>
      <c r="AM1037" s="16" t="s">
        <v>45</v>
      </c>
      <c r="AN1037" s="16" t="s">
        <v>45</v>
      </c>
    </row>
    <row r="1038" ht="30.0" customHeight="1">
      <c r="A1038" s="9" t="str">
        <f t="shared" si="48"/>
        <v>Inativo</v>
      </c>
      <c r="B1038" s="9" t="str">
        <f t="shared" si="49"/>
        <v>N/I</v>
      </c>
      <c r="C1038" s="9" t="str">
        <f t="shared" si="80"/>
        <v>N/I</v>
      </c>
      <c r="D1038" s="10" t="s">
        <v>3137</v>
      </c>
      <c r="E1038" s="11" t="s">
        <v>3138</v>
      </c>
      <c r="F1038" s="11" t="s">
        <v>3150</v>
      </c>
      <c r="G1038" s="12" t="s">
        <v>94</v>
      </c>
      <c r="H1038" s="27">
        <v>150711.0</v>
      </c>
      <c r="I1038" s="12" t="s">
        <v>720</v>
      </c>
      <c r="J1038" s="10" t="s">
        <v>721</v>
      </c>
      <c r="K1038" s="10" t="s">
        <v>209</v>
      </c>
      <c r="L1038" s="10" t="s">
        <v>4</v>
      </c>
      <c r="M1038" s="22">
        <v>42937.0</v>
      </c>
      <c r="N1038" s="11" t="s">
        <v>3151</v>
      </c>
      <c r="O1038" s="10" t="s">
        <v>3152</v>
      </c>
      <c r="P1038" s="10" t="s">
        <v>3141</v>
      </c>
      <c r="Q1038" s="2"/>
      <c r="R1038" s="10">
        <v>24.0</v>
      </c>
      <c r="S1038" s="14">
        <v>42937.0</v>
      </c>
      <c r="T1038" s="14">
        <v>43667.0</v>
      </c>
      <c r="U1038" s="10">
        <f t="shared" si="87"/>
        <v>-2424</v>
      </c>
      <c r="V1038" s="2"/>
      <c r="W1038" s="15"/>
      <c r="X1038" s="15"/>
      <c r="Y1038" s="15"/>
      <c r="Z1038" s="15"/>
      <c r="AA1038" s="1"/>
      <c r="AB1038" s="15"/>
      <c r="AC1038" s="15"/>
      <c r="AD1038" s="15"/>
      <c r="AE1038" s="15"/>
      <c r="AF1038" s="2"/>
      <c r="AG1038" s="16" t="s">
        <v>45</v>
      </c>
      <c r="AH1038" s="16" t="s">
        <v>45</v>
      </c>
      <c r="AI1038" s="16" t="s">
        <v>45</v>
      </c>
      <c r="AJ1038" s="16" t="s">
        <v>45</v>
      </c>
      <c r="AK1038" s="16" t="s">
        <v>45</v>
      </c>
      <c r="AL1038" s="16" t="s">
        <v>45</v>
      </c>
      <c r="AM1038" s="16" t="s">
        <v>45</v>
      </c>
      <c r="AN1038" s="16" t="s">
        <v>45</v>
      </c>
    </row>
    <row r="1039" ht="30.0" customHeight="1">
      <c r="A1039" s="9" t="str">
        <f t="shared" si="48"/>
        <v>Inativo</v>
      </c>
      <c r="B1039" s="9" t="str">
        <f t="shared" si="49"/>
        <v>N/I</v>
      </c>
      <c r="C1039" s="9" t="str">
        <f t="shared" si="80"/>
        <v>N/I</v>
      </c>
      <c r="D1039" s="10" t="s">
        <v>3137</v>
      </c>
      <c r="E1039" s="11" t="s">
        <v>3138</v>
      </c>
      <c r="F1039" s="11" t="s">
        <v>3153</v>
      </c>
      <c r="G1039" s="12" t="s">
        <v>94</v>
      </c>
      <c r="H1039" s="27">
        <v>150643.0</v>
      </c>
      <c r="I1039" s="12" t="s">
        <v>720</v>
      </c>
      <c r="J1039" s="10" t="s">
        <v>721</v>
      </c>
      <c r="K1039" s="10" t="s">
        <v>209</v>
      </c>
      <c r="L1039" s="10" t="s">
        <v>4</v>
      </c>
      <c r="M1039" s="22">
        <v>42971.0</v>
      </c>
      <c r="N1039" s="11" t="s">
        <v>3154</v>
      </c>
      <c r="O1039" s="10" t="s">
        <v>3155</v>
      </c>
      <c r="P1039" s="10" t="s">
        <v>3141</v>
      </c>
      <c r="Q1039" s="2"/>
      <c r="R1039" s="10">
        <v>24.0</v>
      </c>
      <c r="S1039" s="14">
        <v>42971.0</v>
      </c>
      <c r="T1039" s="14">
        <v>43701.0</v>
      </c>
      <c r="U1039" s="10">
        <f t="shared" si="87"/>
        <v>-2390</v>
      </c>
      <c r="V1039" s="2"/>
      <c r="W1039" s="15"/>
      <c r="X1039" s="15"/>
      <c r="Y1039" s="15"/>
      <c r="Z1039" s="15"/>
      <c r="AA1039" s="1"/>
      <c r="AB1039" s="15"/>
      <c r="AC1039" s="15"/>
      <c r="AD1039" s="15"/>
      <c r="AE1039" s="15"/>
      <c r="AF1039" s="2"/>
      <c r="AG1039" s="16" t="s">
        <v>45</v>
      </c>
      <c r="AH1039" s="16" t="s">
        <v>45</v>
      </c>
      <c r="AI1039" s="16" t="s">
        <v>45</v>
      </c>
      <c r="AJ1039" s="16" t="s">
        <v>45</v>
      </c>
      <c r="AK1039" s="16" t="s">
        <v>45</v>
      </c>
      <c r="AL1039" s="16" t="s">
        <v>45</v>
      </c>
      <c r="AM1039" s="16" t="s">
        <v>45</v>
      </c>
      <c r="AN1039" s="16" t="s">
        <v>45</v>
      </c>
    </row>
    <row r="1040" ht="30.0" customHeight="1">
      <c r="A1040" s="9" t="str">
        <f t="shared" si="48"/>
        <v>Inativo</v>
      </c>
      <c r="B1040" s="9" t="str">
        <f t="shared" si="49"/>
        <v>N/I</v>
      </c>
      <c r="C1040" s="9" t="str">
        <f t="shared" si="80"/>
        <v>N/I</v>
      </c>
      <c r="D1040" s="10" t="s">
        <v>3137</v>
      </c>
      <c r="E1040" s="11" t="s">
        <v>3138</v>
      </c>
      <c r="F1040" s="11" t="s">
        <v>3156</v>
      </c>
      <c r="G1040" s="12" t="s">
        <v>94</v>
      </c>
      <c r="H1040" s="27">
        <v>150683.0</v>
      </c>
      <c r="I1040" s="12" t="s">
        <v>720</v>
      </c>
      <c r="J1040" s="10" t="s">
        <v>721</v>
      </c>
      <c r="K1040" s="10" t="s">
        <v>209</v>
      </c>
      <c r="L1040" s="10" t="s">
        <v>4</v>
      </c>
      <c r="M1040" s="22">
        <v>42917.0</v>
      </c>
      <c r="N1040" s="11" t="s">
        <v>3157</v>
      </c>
      <c r="O1040" s="10" t="s">
        <v>3158</v>
      </c>
      <c r="P1040" s="10" t="s">
        <v>3141</v>
      </c>
      <c r="Q1040" s="2"/>
      <c r="R1040" s="10">
        <v>24.0</v>
      </c>
      <c r="S1040" s="14">
        <v>42917.0</v>
      </c>
      <c r="T1040" s="14">
        <v>43647.0</v>
      </c>
      <c r="U1040" s="10">
        <f t="shared" si="87"/>
        <v>-2444</v>
      </c>
      <c r="V1040" s="2"/>
      <c r="W1040" s="15"/>
      <c r="X1040" s="15"/>
      <c r="Y1040" s="15"/>
      <c r="Z1040" s="15"/>
      <c r="AA1040" s="1"/>
      <c r="AB1040" s="15"/>
      <c r="AC1040" s="15"/>
      <c r="AD1040" s="15"/>
      <c r="AE1040" s="15"/>
      <c r="AF1040" s="2"/>
      <c r="AG1040" s="16" t="s">
        <v>45</v>
      </c>
      <c r="AH1040" s="16" t="s">
        <v>45</v>
      </c>
      <c r="AI1040" s="16" t="s">
        <v>45</v>
      </c>
      <c r="AJ1040" s="16" t="s">
        <v>45</v>
      </c>
      <c r="AK1040" s="16" t="s">
        <v>45</v>
      </c>
      <c r="AL1040" s="16" t="s">
        <v>45</v>
      </c>
      <c r="AM1040" s="16" t="s">
        <v>45</v>
      </c>
      <c r="AN1040" s="16" t="s">
        <v>45</v>
      </c>
    </row>
    <row r="1041" ht="30.0" customHeight="1">
      <c r="A1041" s="9" t="str">
        <f t="shared" si="48"/>
        <v>Inativo</v>
      </c>
      <c r="B1041" s="9" t="str">
        <f t="shared" si="49"/>
        <v>N/I</v>
      </c>
      <c r="C1041" s="9" t="str">
        <f t="shared" si="80"/>
        <v>N/I</v>
      </c>
      <c r="D1041" s="10" t="s">
        <v>3137</v>
      </c>
      <c r="E1041" s="11" t="s">
        <v>3138</v>
      </c>
      <c r="F1041" s="11" t="s">
        <v>3159</v>
      </c>
      <c r="G1041" s="12" t="s">
        <v>94</v>
      </c>
      <c r="H1041" s="27">
        <v>150679.0</v>
      </c>
      <c r="I1041" s="12" t="s">
        <v>720</v>
      </c>
      <c r="J1041" s="10" t="s">
        <v>721</v>
      </c>
      <c r="K1041" s="10" t="s">
        <v>209</v>
      </c>
      <c r="L1041" s="10" t="s">
        <v>4</v>
      </c>
      <c r="M1041" s="22">
        <v>42935.0</v>
      </c>
      <c r="N1041" s="11" t="s">
        <v>3160</v>
      </c>
      <c r="O1041" s="10" t="s">
        <v>319</v>
      </c>
      <c r="P1041" s="10" t="s">
        <v>3141</v>
      </c>
      <c r="Q1041" s="2"/>
      <c r="R1041" s="10">
        <v>24.0</v>
      </c>
      <c r="S1041" s="14">
        <v>42935.0</v>
      </c>
      <c r="T1041" s="14">
        <v>43665.0</v>
      </c>
      <c r="U1041" s="10">
        <f t="shared" si="87"/>
        <v>-2426</v>
      </c>
      <c r="V1041" s="2"/>
      <c r="W1041" s="15"/>
      <c r="X1041" s="15"/>
      <c r="Y1041" s="15"/>
      <c r="Z1041" s="15"/>
      <c r="AA1041" s="1"/>
      <c r="AB1041" s="15"/>
      <c r="AC1041" s="15"/>
      <c r="AD1041" s="15"/>
      <c r="AE1041" s="15"/>
      <c r="AF1041" s="2"/>
      <c r="AG1041" s="16" t="s">
        <v>45</v>
      </c>
      <c r="AH1041" s="16" t="s">
        <v>45</v>
      </c>
      <c r="AI1041" s="16" t="s">
        <v>45</v>
      </c>
      <c r="AJ1041" s="16" t="s">
        <v>45</v>
      </c>
      <c r="AK1041" s="16" t="s">
        <v>45</v>
      </c>
      <c r="AL1041" s="16" t="s">
        <v>45</v>
      </c>
      <c r="AM1041" s="16" t="s">
        <v>45</v>
      </c>
      <c r="AN1041" s="16" t="s">
        <v>45</v>
      </c>
    </row>
    <row r="1042" ht="30.0" customHeight="1">
      <c r="A1042" s="9" t="str">
        <f t="shared" si="48"/>
        <v>Inativo</v>
      </c>
      <c r="B1042" s="9" t="str">
        <f t="shared" si="49"/>
        <v>N/I</v>
      </c>
      <c r="C1042" s="9" t="str">
        <f t="shared" si="80"/>
        <v>N/I</v>
      </c>
      <c r="D1042" s="10" t="s">
        <v>3137</v>
      </c>
      <c r="E1042" s="11" t="s">
        <v>3138</v>
      </c>
      <c r="F1042" s="11" t="s">
        <v>3159</v>
      </c>
      <c r="G1042" s="12" t="s">
        <v>94</v>
      </c>
      <c r="H1042" s="27">
        <v>150644.0</v>
      </c>
      <c r="I1042" s="12" t="s">
        <v>720</v>
      </c>
      <c r="J1042" s="10" t="s">
        <v>721</v>
      </c>
      <c r="K1042" s="10" t="s">
        <v>209</v>
      </c>
      <c r="L1042" s="10" t="s">
        <v>4</v>
      </c>
      <c r="M1042" s="22">
        <v>42935.0</v>
      </c>
      <c r="N1042" s="11" t="s">
        <v>3160</v>
      </c>
      <c r="O1042" s="10" t="s">
        <v>319</v>
      </c>
      <c r="P1042" s="10" t="s">
        <v>3141</v>
      </c>
      <c r="Q1042" s="2"/>
      <c r="R1042" s="10">
        <v>24.0</v>
      </c>
      <c r="S1042" s="14">
        <v>42935.0</v>
      </c>
      <c r="T1042" s="14">
        <v>43665.0</v>
      </c>
      <c r="U1042" s="10">
        <f t="shared" si="87"/>
        <v>-2426</v>
      </c>
      <c r="V1042" s="2"/>
      <c r="W1042" s="15"/>
      <c r="X1042" s="15"/>
      <c r="Y1042" s="15"/>
      <c r="Z1042" s="15"/>
      <c r="AA1042" s="1"/>
      <c r="AB1042" s="15"/>
      <c r="AC1042" s="15"/>
      <c r="AD1042" s="15"/>
      <c r="AE1042" s="15"/>
      <c r="AF1042" s="2"/>
      <c r="AG1042" s="16" t="s">
        <v>45</v>
      </c>
      <c r="AH1042" s="16" t="s">
        <v>45</v>
      </c>
      <c r="AI1042" s="16" t="s">
        <v>45</v>
      </c>
      <c r="AJ1042" s="16" t="s">
        <v>45</v>
      </c>
      <c r="AK1042" s="16" t="s">
        <v>45</v>
      </c>
      <c r="AL1042" s="16" t="s">
        <v>45</v>
      </c>
      <c r="AM1042" s="16" t="s">
        <v>45</v>
      </c>
      <c r="AN1042" s="16" t="s">
        <v>45</v>
      </c>
    </row>
    <row r="1043" ht="30.0" customHeight="1">
      <c r="A1043" s="9" t="str">
        <f t="shared" si="48"/>
        <v>Inativo</v>
      </c>
      <c r="B1043" s="9" t="str">
        <f t="shared" si="49"/>
        <v>N/I</v>
      </c>
      <c r="C1043" s="9" t="str">
        <f t="shared" si="80"/>
        <v>N/I</v>
      </c>
      <c r="D1043" s="10" t="s">
        <v>3137</v>
      </c>
      <c r="E1043" s="11" t="s">
        <v>3138</v>
      </c>
      <c r="F1043" s="11" t="s">
        <v>3161</v>
      </c>
      <c r="G1043" s="12" t="s">
        <v>94</v>
      </c>
      <c r="H1043" s="27">
        <v>150659.0</v>
      </c>
      <c r="I1043" s="12" t="s">
        <v>720</v>
      </c>
      <c r="J1043" s="10" t="s">
        <v>721</v>
      </c>
      <c r="K1043" s="10" t="s">
        <v>209</v>
      </c>
      <c r="L1043" s="10" t="s">
        <v>4</v>
      </c>
      <c r="M1043" s="22">
        <v>42970.0</v>
      </c>
      <c r="N1043" s="32" t="s">
        <v>3162</v>
      </c>
      <c r="O1043" s="10" t="s">
        <v>3163</v>
      </c>
      <c r="P1043" s="10" t="s">
        <v>3141</v>
      </c>
      <c r="Q1043" s="2"/>
      <c r="R1043" s="10">
        <v>24.0</v>
      </c>
      <c r="S1043" s="14">
        <v>42970.0</v>
      </c>
      <c r="T1043" s="14">
        <v>43700.0</v>
      </c>
      <c r="U1043" s="10">
        <f t="shared" si="87"/>
        <v>-2391</v>
      </c>
      <c r="V1043" s="2"/>
      <c r="W1043" s="15"/>
      <c r="X1043" s="15"/>
      <c r="Y1043" s="15"/>
      <c r="Z1043" s="15"/>
      <c r="AA1043" s="1"/>
      <c r="AB1043" s="15"/>
      <c r="AC1043" s="15"/>
      <c r="AD1043" s="15"/>
      <c r="AE1043" s="15"/>
      <c r="AF1043" s="2"/>
      <c r="AG1043" s="16" t="s">
        <v>45</v>
      </c>
      <c r="AH1043" s="16" t="s">
        <v>45</v>
      </c>
      <c r="AI1043" s="16" t="s">
        <v>45</v>
      </c>
      <c r="AJ1043" s="16" t="s">
        <v>45</v>
      </c>
      <c r="AK1043" s="16" t="s">
        <v>45</v>
      </c>
      <c r="AL1043" s="16" t="s">
        <v>45</v>
      </c>
      <c r="AM1043" s="16" t="s">
        <v>45</v>
      </c>
      <c r="AN1043" s="16" t="s">
        <v>45</v>
      </c>
    </row>
    <row r="1044" ht="30.0" customHeight="1">
      <c r="A1044" s="9" t="str">
        <f t="shared" si="48"/>
        <v>Inativo</v>
      </c>
      <c r="B1044" s="9" t="str">
        <f t="shared" si="49"/>
        <v>N/I</v>
      </c>
      <c r="C1044" s="9" t="str">
        <f t="shared" si="80"/>
        <v>N/I</v>
      </c>
      <c r="D1044" s="10" t="s">
        <v>3137</v>
      </c>
      <c r="E1044" s="11" t="s">
        <v>3138</v>
      </c>
      <c r="F1044" s="11" t="s">
        <v>3161</v>
      </c>
      <c r="G1044" s="12" t="s">
        <v>94</v>
      </c>
      <c r="H1044" s="27">
        <v>150674.0</v>
      </c>
      <c r="I1044" s="12" t="s">
        <v>720</v>
      </c>
      <c r="J1044" s="10" t="s">
        <v>721</v>
      </c>
      <c r="K1044" s="10" t="s">
        <v>209</v>
      </c>
      <c r="L1044" s="10" t="s">
        <v>4</v>
      </c>
      <c r="M1044" s="22">
        <v>42962.0</v>
      </c>
      <c r="N1044" s="32" t="s">
        <v>3162</v>
      </c>
      <c r="O1044" s="10" t="s">
        <v>3163</v>
      </c>
      <c r="P1044" s="10" t="s">
        <v>3141</v>
      </c>
      <c r="Q1044" s="2"/>
      <c r="R1044" s="10">
        <v>24.0</v>
      </c>
      <c r="S1044" s="14">
        <v>42970.0</v>
      </c>
      <c r="T1044" s="14">
        <v>43700.0</v>
      </c>
      <c r="U1044" s="10">
        <f t="shared" si="87"/>
        <v>-2391</v>
      </c>
      <c r="V1044" s="2"/>
      <c r="W1044" s="15"/>
      <c r="X1044" s="15"/>
      <c r="Y1044" s="15"/>
      <c r="Z1044" s="15"/>
      <c r="AA1044" s="1"/>
      <c r="AB1044" s="15"/>
      <c r="AC1044" s="15"/>
      <c r="AD1044" s="15"/>
      <c r="AE1044" s="15"/>
      <c r="AF1044" s="2"/>
      <c r="AG1044" s="16" t="s">
        <v>45</v>
      </c>
      <c r="AH1044" s="16" t="s">
        <v>45</v>
      </c>
      <c r="AI1044" s="16" t="s">
        <v>45</v>
      </c>
      <c r="AJ1044" s="16" t="s">
        <v>45</v>
      </c>
      <c r="AK1044" s="16" t="s">
        <v>45</v>
      </c>
      <c r="AL1044" s="16" t="s">
        <v>45</v>
      </c>
      <c r="AM1044" s="16" t="s">
        <v>45</v>
      </c>
      <c r="AN1044" s="16" t="s">
        <v>45</v>
      </c>
    </row>
    <row r="1045" ht="30.0" customHeight="1">
      <c r="A1045" s="9" t="str">
        <f t="shared" si="48"/>
        <v>Inativo</v>
      </c>
      <c r="B1045" s="9" t="str">
        <f t="shared" si="49"/>
        <v>N/I</v>
      </c>
      <c r="C1045" s="9" t="str">
        <f t="shared" si="80"/>
        <v>N/I</v>
      </c>
      <c r="D1045" s="10" t="s">
        <v>3137</v>
      </c>
      <c r="E1045" s="11" t="s">
        <v>3138</v>
      </c>
      <c r="F1045" s="11" t="s">
        <v>3164</v>
      </c>
      <c r="G1045" s="12" t="s">
        <v>94</v>
      </c>
      <c r="H1045" s="27">
        <v>150677.0</v>
      </c>
      <c r="I1045" s="12" t="s">
        <v>720</v>
      </c>
      <c r="J1045" s="10" t="s">
        <v>721</v>
      </c>
      <c r="K1045" s="10" t="s">
        <v>209</v>
      </c>
      <c r="L1045" s="10" t="s">
        <v>4</v>
      </c>
      <c r="M1045" s="22">
        <v>42969.0</v>
      </c>
      <c r="N1045" s="32" t="s">
        <v>3165</v>
      </c>
      <c r="O1045" s="10" t="s">
        <v>3166</v>
      </c>
      <c r="P1045" s="10" t="s">
        <v>3141</v>
      </c>
      <c r="Q1045" s="2"/>
      <c r="R1045" s="10">
        <v>24.0</v>
      </c>
      <c r="S1045" s="14">
        <v>42969.0</v>
      </c>
      <c r="T1045" s="14">
        <v>43699.0</v>
      </c>
      <c r="U1045" s="10">
        <f t="shared" si="87"/>
        <v>-2392</v>
      </c>
      <c r="V1045" s="2"/>
      <c r="W1045" s="15"/>
      <c r="X1045" s="15"/>
      <c r="Y1045" s="15"/>
      <c r="Z1045" s="15"/>
      <c r="AA1045" s="1"/>
      <c r="AB1045" s="15"/>
      <c r="AC1045" s="15"/>
      <c r="AD1045" s="15"/>
      <c r="AE1045" s="15"/>
      <c r="AF1045" s="2"/>
      <c r="AG1045" s="16" t="s">
        <v>45</v>
      </c>
      <c r="AH1045" s="16" t="s">
        <v>45</v>
      </c>
      <c r="AI1045" s="16" t="s">
        <v>45</v>
      </c>
      <c r="AJ1045" s="16" t="s">
        <v>45</v>
      </c>
      <c r="AK1045" s="16" t="s">
        <v>45</v>
      </c>
      <c r="AL1045" s="16" t="s">
        <v>45</v>
      </c>
      <c r="AM1045" s="16" t="s">
        <v>45</v>
      </c>
      <c r="AN1045" s="16" t="s">
        <v>45</v>
      </c>
    </row>
    <row r="1046" ht="30.0" customHeight="1">
      <c r="A1046" s="9" t="str">
        <f t="shared" si="48"/>
        <v>Inativo</v>
      </c>
      <c r="B1046" s="9" t="str">
        <f t="shared" si="49"/>
        <v>N/I</v>
      </c>
      <c r="C1046" s="9" t="str">
        <f t="shared" si="80"/>
        <v>N/I</v>
      </c>
      <c r="D1046" s="10" t="s">
        <v>3137</v>
      </c>
      <c r="E1046" s="11" t="s">
        <v>3138</v>
      </c>
      <c r="F1046" s="11" t="s">
        <v>3167</v>
      </c>
      <c r="G1046" s="12" t="s">
        <v>94</v>
      </c>
      <c r="H1046" s="27">
        <v>150641.0</v>
      </c>
      <c r="I1046" s="12" t="s">
        <v>720</v>
      </c>
      <c r="J1046" s="10" t="s">
        <v>721</v>
      </c>
      <c r="K1046" s="10" t="s">
        <v>209</v>
      </c>
      <c r="L1046" s="10" t="s">
        <v>4</v>
      </c>
      <c r="M1046" s="22">
        <v>42978.0</v>
      </c>
      <c r="N1046" s="32" t="s">
        <v>3168</v>
      </c>
      <c r="O1046" s="10" t="s">
        <v>3169</v>
      </c>
      <c r="P1046" s="10" t="s">
        <v>3141</v>
      </c>
      <c r="Q1046" s="2"/>
      <c r="R1046" s="10">
        <v>24.0</v>
      </c>
      <c r="S1046" s="14">
        <v>42978.0</v>
      </c>
      <c r="T1046" s="14">
        <v>43708.0</v>
      </c>
      <c r="U1046" s="10">
        <f t="shared" si="87"/>
        <v>-2383</v>
      </c>
      <c r="V1046" s="2"/>
      <c r="W1046" s="15"/>
      <c r="X1046" s="15"/>
      <c r="Y1046" s="15"/>
      <c r="Z1046" s="15"/>
      <c r="AA1046" s="1"/>
      <c r="AB1046" s="15"/>
      <c r="AC1046" s="15"/>
      <c r="AD1046" s="15"/>
      <c r="AE1046" s="15"/>
      <c r="AF1046" s="2"/>
      <c r="AG1046" s="16" t="s">
        <v>45</v>
      </c>
      <c r="AH1046" s="16" t="s">
        <v>45</v>
      </c>
      <c r="AI1046" s="16" t="s">
        <v>45</v>
      </c>
      <c r="AJ1046" s="16" t="s">
        <v>45</v>
      </c>
      <c r="AK1046" s="16" t="s">
        <v>45</v>
      </c>
      <c r="AL1046" s="16" t="s">
        <v>45</v>
      </c>
      <c r="AM1046" s="16" t="s">
        <v>45</v>
      </c>
      <c r="AN1046" s="16" t="s">
        <v>45</v>
      </c>
    </row>
    <row r="1047" ht="30.0" customHeight="1">
      <c r="A1047" s="9" t="str">
        <f t="shared" si="48"/>
        <v>Inativo</v>
      </c>
      <c r="B1047" s="9" t="str">
        <f t="shared" si="49"/>
        <v>N/I</v>
      </c>
      <c r="C1047" s="9" t="str">
        <f t="shared" si="80"/>
        <v>N/I</v>
      </c>
      <c r="D1047" s="10" t="s">
        <v>3137</v>
      </c>
      <c r="E1047" s="11" t="s">
        <v>3138</v>
      </c>
      <c r="F1047" s="11" t="s">
        <v>3170</v>
      </c>
      <c r="G1047" s="12" t="s">
        <v>94</v>
      </c>
      <c r="H1047" s="27">
        <v>150686.0</v>
      </c>
      <c r="I1047" s="12" t="s">
        <v>720</v>
      </c>
      <c r="J1047" s="10" t="s">
        <v>721</v>
      </c>
      <c r="K1047" s="10" t="s">
        <v>209</v>
      </c>
      <c r="L1047" s="10" t="s">
        <v>4</v>
      </c>
      <c r="M1047" s="22">
        <v>42990.0</v>
      </c>
      <c r="N1047" s="32" t="s">
        <v>3171</v>
      </c>
      <c r="O1047" s="10" t="s">
        <v>3172</v>
      </c>
      <c r="P1047" s="10" t="s">
        <v>3141</v>
      </c>
      <c r="Q1047" s="2"/>
      <c r="R1047" s="10">
        <v>24.0</v>
      </c>
      <c r="S1047" s="14">
        <v>42990.0</v>
      </c>
      <c r="T1047" s="14">
        <v>43720.0</v>
      </c>
      <c r="U1047" s="10">
        <f t="shared" si="87"/>
        <v>-2371</v>
      </c>
      <c r="V1047" s="2"/>
      <c r="W1047" s="15"/>
      <c r="X1047" s="15"/>
      <c r="Y1047" s="15"/>
      <c r="Z1047" s="15"/>
      <c r="AA1047" s="1"/>
      <c r="AB1047" s="15"/>
      <c r="AC1047" s="15"/>
      <c r="AD1047" s="15"/>
      <c r="AE1047" s="15"/>
      <c r="AF1047" s="2"/>
      <c r="AG1047" s="16" t="s">
        <v>45</v>
      </c>
      <c r="AH1047" s="16" t="s">
        <v>45</v>
      </c>
      <c r="AI1047" s="16" t="s">
        <v>45</v>
      </c>
      <c r="AJ1047" s="16" t="s">
        <v>45</v>
      </c>
      <c r="AK1047" s="16" t="s">
        <v>45</v>
      </c>
      <c r="AL1047" s="16" t="s">
        <v>45</v>
      </c>
      <c r="AM1047" s="16" t="s">
        <v>45</v>
      </c>
      <c r="AN1047" s="16" t="s">
        <v>45</v>
      </c>
    </row>
    <row r="1048" ht="30.0" customHeight="1">
      <c r="A1048" s="9" t="str">
        <f t="shared" si="48"/>
        <v>Inativo</v>
      </c>
      <c r="B1048" s="9" t="str">
        <f t="shared" si="49"/>
        <v>N/I</v>
      </c>
      <c r="C1048" s="9" t="str">
        <f t="shared" si="80"/>
        <v>N/I</v>
      </c>
      <c r="D1048" s="10" t="s">
        <v>3173</v>
      </c>
      <c r="E1048" s="11" t="s">
        <v>3138</v>
      </c>
      <c r="F1048" s="11" t="s">
        <v>3174</v>
      </c>
      <c r="G1048" s="12" t="s">
        <v>94</v>
      </c>
      <c r="H1048" s="36" t="s">
        <v>3175</v>
      </c>
      <c r="I1048" s="12" t="s">
        <v>3176</v>
      </c>
      <c r="J1048" s="10" t="s">
        <v>583</v>
      </c>
      <c r="K1048" s="10" t="s">
        <v>41</v>
      </c>
      <c r="L1048" s="10" t="s">
        <v>4</v>
      </c>
      <c r="M1048" s="22">
        <v>44069.0</v>
      </c>
      <c r="N1048" s="32" t="s">
        <v>3177</v>
      </c>
      <c r="O1048" s="10" t="s">
        <v>3178</v>
      </c>
      <c r="P1048" s="10" t="s">
        <v>3179</v>
      </c>
      <c r="Q1048" s="2"/>
      <c r="R1048" s="10">
        <v>60.0</v>
      </c>
      <c r="S1048" s="14">
        <v>44069.0</v>
      </c>
      <c r="T1048" s="14">
        <v>45895.0</v>
      </c>
      <c r="U1048" s="10">
        <f t="shared" si="87"/>
        <v>-196</v>
      </c>
      <c r="V1048" s="2"/>
      <c r="W1048" s="15"/>
      <c r="X1048" s="15"/>
      <c r="Y1048" s="15"/>
      <c r="Z1048" s="15"/>
      <c r="AA1048" s="2"/>
      <c r="AB1048" s="15"/>
      <c r="AC1048" s="15"/>
      <c r="AD1048" s="15"/>
      <c r="AE1048" s="15"/>
      <c r="AF1048" s="2"/>
      <c r="AG1048" s="10" t="s">
        <v>290</v>
      </c>
      <c r="AH1048" s="12" t="s">
        <v>46</v>
      </c>
      <c r="AI1048" s="10" t="s">
        <v>227</v>
      </c>
      <c r="AJ1048" s="10" t="s">
        <v>291</v>
      </c>
      <c r="AK1048" s="16" t="s">
        <v>45</v>
      </c>
      <c r="AL1048" s="10" t="s">
        <v>49</v>
      </c>
      <c r="AM1048" s="16" t="s">
        <v>45</v>
      </c>
      <c r="AN1048" s="10" t="s">
        <v>50</v>
      </c>
    </row>
    <row r="1049" ht="30.0" customHeight="1">
      <c r="A1049" s="9" t="str">
        <f t="shared" si="48"/>
        <v>Inativo</v>
      </c>
      <c r="B1049" s="9" t="str">
        <f t="shared" si="49"/>
        <v>N/I</v>
      </c>
      <c r="C1049" s="9" t="str">
        <f t="shared" si="80"/>
        <v>N/I</v>
      </c>
      <c r="D1049" s="10" t="s">
        <v>3173</v>
      </c>
      <c r="E1049" s="11" t="s">
        <v>3138</v>
      </c>
      <c r="F1049" s="32" t="s">
        <v>3180</v>
      </c>
      <c r="G1049" s="12" t="s">
        <v>94</v>
      </c>
      <c r="H1049" s="16">
        <v>180232.0</v>
      </c>
      <c r="I1049" s="12" t="s">
        <v>990</v>
      </c>
      <c r="J1049" s="10" t="s">
        <v>583</v>
      </c>
      <c r="K1049" s="10" t="s">
        <v>41</v>
      </c>
      <c r="L1049" s="10" t="s">
        <v>4</v>
      </c>
      <c r="M1049" s="22">
        <v>43488.0</v>
      </c>
      <c r="N1049" s="32" t="s">
        <v>3181</v>
      </c>
      <c r="O1049" s="10" t="s">
        <v>2421</v>
      </c>
      <c r="P1049" s="10" t="s">
        <v>3182</v>
      </c>
      <c r="Q1049" s="2"/>
      <c r="R1049" s="10">
        <v>60.0</v>
      </c>
      <c r="S1049" s="14">
        <v>43488.0</v>
      </c>
      <c r="T1049" s="14">
        <v>45314.0</v>
      </c>
      <c r="U1049" s="55">
        <f t="shared" si="87"/>
        <v>-777</v>
      </c>
      <c r="V1049" s="2"/>
      <c r="W1049" s="15"/>
      <c r="X1049" s="15"/>
      <c r="Y1049" s="15"/>
      <c r="Z1049" s="15"/>
      <c r="AA1049" s="2"/>
      <c r="AB1049" s="15"/>
      <c r="AC1049" s="15"/>
      <c r="AD1049" s="15"/>
      <c r="AE1049" s="15"/>
      <c r="AF1049" s="2"/>
      <c r="AG1049" s="10" t="s">
        <v>290</v>
      </c>
      <c r="AH1049" s="12" t="s">
        <v>46</v>
      </c>
      <c r="AI1049" s="10" t="s">
        <v>3183</v>
      </c>
      <c r="AJ1049" s="10" t="s">
        <v>291</v>
      </c>
      <c r="AK1049" s="10" t="s">
        <v>2893</v>
      </c>
      <c r="AL1049" s="10" t="s">
        <v>49</v>
      </c>
      <c r="AM1049" s="16" t="s">
        <v>45</v>
      </c>
      <c r="AN1049" s="10" t="s">
        <v>50</v>
      </c>
    </row>
    <row r="1050" ht="30.0" customHeight="1">
      <c r="A1050" s="9" t="str">
        <f t="shared" si="48"/>
        <v>Inativo</v>
      </c>
      <c r="B1050" s="9" t="str">
        <f t="shared" si="49"/>
        <v>N/I</v>
      </c>
      <c r="C1050" s="9" t="str">
        <f t="shared" si="80"/>
        <v>N/I</v>
      </c>
      <c r="D1050" s="10" t="s">
        <v>3173</v>
      </c>
      <c r="E1050" s="11" t="s">
        <v>3138</v>
      </c>
      <c r="F1050" s="11" t="s">
        <v>3184</v>
      </c>
      <c r="G1050" s="12" t="s">
        <v>94</v>
      </c>
      <c r="H1050" s="16">
        <v>170246.0</v>
      </c>
      <c r="I1050" s="12" t="s">
        <v>2426</v>
      </c>
      <c r="J1050" s="10" t="s">
        <v>583</v>
      </c>
      <c r="K1050" s="10" t="s">
        <v>41</v>
      </c>
      <c r="L1050" s="10" t="s">
        <v>4</v>
      </c>
      <c r="M1050" s="22">
        <v>43320.0</v>
      </c>
      <c r="N1050" s="32" t="s">
        <v>3185</v>
      </c>
      <c r="O1050" s="10" t="s">
        <v>2428</v>
      </c>
      <c r="P1050" s="10" t="s">
        <v>3186</v>
      </c>
      <c r="Q1050" s="2"/>
      <c r="R1050" s="10">
        <v>60.0</v>
      </c>
      <c r="S1050" s="14">
        <v>43312.0</v>
      </c>
      <c r="T1050" s="14">
        <v>45138.0</v>
      </c>
      <c r="U1050" s="55">
        <f t="shared" si="87"/>
        <v>-953</v>
      </c>
      <c r="V1050" s="2"/>
      <c r="W1050" s="15"/>
      <c r="X1050" s="15"/>
      <c r="Y1050" s="15"/>
      <c r="Z1050" s="15"/>
      <c r="AA1050" s="2"/>
      <c r="AB1050" s="15"/>
      <c r="AC1050" s="15"/>
      <c r="AD1050" s="15"/>
      <c r="AE1050" s="15"/>
      <c r="AF1050" s="2"/>
      <c r="AG1050" s="10" t="s">
        <v>290</v>
      </c>
      <c r="AH1050" s="12" t="s">
        <v>46</v>
      </c>
      <c r="AI1050" s="10" t="s">
        <v>3183</v>
      </c>
      <c r="AJ1050" s="10" t="s">
        <v>291</v>
      </c>
      <c r="AK1050" s="10" t="s">
        <v>2893</v>
      </c>
      <c r="AL1050" s="10" t="s">
        <v>49</v>
      </c>
      <c r="AM1050" s="16" t="s">
        <v>45</v>
      </c>
      <c r="AN1050" s="10" t="s">
        <v>50</v>
      </c>
    </row>
    <row r="1051" ht="30.0" customHeight="1">
      <c r="A1051" s="9" t="str">
        <f t="shared" si="48"/>
        <v>Inativo</v>
      </c>
      <c r="B1051" s="9" t="str">
        <f t="shared" si="49"/>
        <v>N/I</v>
      </c>
      <c r="C1051" s="9" t="str">
        <f t="shared" si="80"/>
        <v>N/I</v>
      </c>
      <c r="D1051" s="10" t="s">
        <v>3173</v>
      </c>
      <c r="E1051" s="11" t="s">
        <v>3138</v>
      </c>
      <c r="F1051" s="11" t="s">
        <v>3187</v>
      </c>
      <c r="G1051" s="12" t="s">
        <v>94</v>
      </c>
      <c r="H1051" s="36" t="s">
        <v>3188</v>
      </c>
      <c r="I1051" s="12" t="s">
        <v>2431</v>
      </c>
      <c r="J1051" s="10" t="s">
        <v>583</v>
      </c>
      <c r="K1051" s="10" t="s">
        <v>41</v>
      </c>
      <c r="L1051" s="10" t="s">
        <v>4</v>
      </c>
      <c r="M1051" s="22">
        <v>44068.0</v>
      </c>
      <c r="N1051" s="32" t="s">
        <v>3189</v>
      </c>
      <c r="O1051" s="10" t="s">
        <v>3190</v>
      </c>
      <c r="P1051" s="10" t="s">
        <v>3179</v>
      </c>
      <c r="Q1051" s="2"/>
      <c r="R1051" s="10">
        <v>60.0</v>
      </c>
      <c r="S1051" s="14">
        <v>44068.0</v>
      </c>
      <c r="T1051" s="14">
        <v>45894.0</v>
      </c>
      <c r="U1051" s="10">
        <f t="shared" si="87"/>
        <v>-197</v>
      </c>
      <c r="V1051" s="2"/>
      <c r="W1051" s="15"/>
      <c r="X1051" s="15"/>
      <c r="Y1051" s="15"/>
      <c r="Z1051" s="15"/>
      <c r="AA1051" s="2"/>
      <c r="AB1051" s="15"/>
      <c r="AC1051" s="15"/>
      <c r="AD1051" s="15"/>
      <c r="AE1051" s="15"/>
      <c r="AF1051" s="2"/>
      <c r="AG1051" s="10" t="s">
        <v>290</v>
      </c>
      <c r="AH1051" s="12" t="s">
        <v>46</v>
      </c>
      <c r="AI1051" s="10" t="s">
        <v>227</v>
      </c>
      <c r="AJ1051" s="10" t="s">
        <v>291</v>
      </c>
      <c r="AK1051" s="16" t="s">
        <v>45</v>
      </c>
      <c r="AL1051" s="10" t="s">
        <v>49</v>
      </c>
      <c r="AM1051" s="16" t="s">
        <v>45</v>
      </c>
      <c r="AN1051" s="10" t="s">
        <v>50</v>
      </c>
    </row>
    <row r="1052" ht="30.0" customHeight="1">
      <c r="A1052" s="9" t="str">
        <f t="shared" si="48"/>
        <v>Inativo</v>
      </c>
      <c r="B1052" s="9" t="str">
        <f t="shared" si="49"/>
        <v>N/I</v>
      </c>
      <c r="C1052" s="9" t="str">
        <f t="shared" si="80"/>
        <v>N/I</v>
      </c>
      <c r="D1052" s="10" t="s">
        <v>3173</v>
      </c>
      <c r="E1052" s="11" t="s">
        <v>3138</v>
      </c>
      <c r="F1052" s="11" t="s">
        <v>3191</v>
      </c>
      <c r="G1052" s="12" t="s">
        <v>94</v>
      </c>
      <c r="H1052" s="36" t="s">
        <v>3192</v>
      </c>
      <c r="I1052" s="12" t="s">
        <v>3193</v>
      </c>
      <c r="J1052" s="10" t="s">
        <v>583</v>
      </c>
      <c r="K1052" s="10" t="s">
        <v>41</v>
      </c>
      <c r="L1052" s="10" t="s">
        <v>4</v>
      </c>
      <c r="M1052" s="22">
        <v>44070.0</v>
      </c>
      <c r="N1052" s="32" t="s">
        <v>3194</v>
      </c>
      <c r="O1052" s="10" t="s">
        <v>3195</v>
      </c>
      <c r="P1052" s="10" t="s">
        <v>3179</v>
      </c>
      <c r="Q1052" s="2"/>
      <c r="R1052" s="10">
        <v>60.0</v>
      </c>
      <c r="S1052" s="14">
        <v>44070.0</v>
      </c>
      <c r="T1052" s="14">
        <v>45896.0</v>
      </c>
      <c r="U1052" s="10">
        <f t="shared" si="87"/>
        <v>-195</v>
      </c>
      <c r="V1052" s="2"/>
      <c r="W1052" s="15"/>
      <c r="X1052" s="15"/>
      <c r="Y1052" s="15"/>
      <c r="Z1052" s="15"/>
      <c r="AA1052" s="2"/>
      <c r="AB1052" s="15"/>
      <c r="AC1052" s="15"/>
      <c r="AD1052" s="15"/>
      <c r="AE1052" s="15"/>
      <c r="AF1052" s="2"/>
      <c r="AG1052" s="10" t="s">
        <v>290</v>
      </c>
      <c r="AH1052" s="12" t="s">
        <v>46</v>
      </c>
      <c r="AI1052" s="10" t="s">
        <v>227</v>
      </c>
      <c r="AJ1052" s="10" t="s">
        <v>291</v>
      </c>
      <c r="AK1052" s="16" t="s">
        <v>45</v>
      </c>
      <c r="AL1052" s="10" t="s">
        <v>49</v>
      </c>
      <c r="AM1052" s="16" t="s">
        <v>45</v>
      </c>
      <c r="AN1052" s="10" t="s">
        <v>50</v>
      </c>
    </row>
    <row r="1053" ht="30.0" customHeight="1">
      <c r="A1053" s="9" t="str">
        <f t="shared" si="48"/>
        <v>Inativo</v>
      </c>
      <c r="B1053" s="9" t="str">
        <f t="shared" si="49"/>
        <v>N/I</v>
      </c>
      <c r="C1053" s="9" t="str">
        <f t="shared" si="80"/>
        <v>N/I</v>
      </c>
      <c r="D1053" s="10" t="s">
        <v>3173</v>
      </c>
      <c r="E1053" s="11" t="s">
        <v>3138</v>
      </c>
      <c r="F1053" s="11" t="s">
        <v>3196</v>
      </c>
      <c r="G1053" s="12" t="s">
        <v>94</v>
      </c>
      <c r="H1053" s="36" t="s">
        <v>3197</v>
      </c>
      <c r="I1053" s="12" t="s">
        <v>3198</v>
      </c>
      <c r="J1053" s="10" t="s">
        <v>583</v>
      </c>
      <c r="K1053" s="10" t="s">
        <v>41</v>
      </c>
      <c r="L1053" s="10" t="s">
        <v>4</v>
      </c>
      <c r="M1053" s="22">
        <v>44067.0</v>
      </c>
      <c r="N1053" s="32" t="s">
        <v>3199</v>
      </c>
      <c r="O1053" s="10" t="s">
        <v>3200</v>
      </c>
      <c r="P1053" s="10" t="s">
        <v>3179</v>
      </c>
      <c r="Q1053" s="2"/>
      <c r="R1053" s="10">
        <v>60.0</v>
      </c>
      <c r="S1053" s="14">
        <v>44067.0</v>
      </c>
      <c r="T1053" s="14">
        <v>45893.0</v>
      </c>
      <c r="U1053" s="10">
        <f t="shared" si="87"/>
        <v>-198</v>
      </c>
      <c r="V1053" s="2"/>
      <c r="W1053" s="15"/>
      <c r="X1053" s="15"/>
      <c r="Y1053" s="15"/>
      <c r="Z1053" s="15"/>
      <c r="AA1053" s="2"/>
      <c r="AB1053" s="15"/>
      <c r="AC1053" s="15"/>
      <c r="AD1053" s="15"/>
      <c r="AE1053" s="15"/>
      <c r="AF1053" s="2"/>
      <c r="AG1053" s="10" t="s">
        <v>290</v>
      </c>
      <c r="AH1053" s="12" t="s">
        <v>46</v>
      </c>
      <c r="AI1053" s="10" t="s">
        <v>227</v>
      </c>
      <c r="AJ1053" s="10" t="s">
        <v>291</v>
      </c>
      <c r="AK1053" s="16" t="s">
        <v>45</v>
      </c>
      <c r="AL1053" s="10" t="s">
        <v>49</v>
      </c>
      <c r="AM1053" s="16" t="s">
        <v>45</v>
      </c>
      <c r="AN1053" s="10" t="s">
        <v>50</v>
      </c>
    </row>
    <row r="1054" ht="30.0" customHeight="1">
      <c r="A1054" s="9" t="str">
        <f t="shared" si="48"/>
        <v>Inativo</v>
      </c>
      <c r="B1054" s="9" t="str">
        <f t="shared" si="49"/>
        <v>N/I</v>
      </c>
      <c r="C1054" s="9" t="str">
        <f t="shared" si="80"/>
        <v>N/I</v>
      </c>
      <c r="D1054" s="10" t="s">
        <v>3173</v>
      </c>
      <c r="E1054" s="11" t="s">
        <v>3138</v>
      </c>
      <c r="F1054" s="11" t="s">
        <v>3201</v>
      </c>
      <c r="G1054" s="12" t="s">
        <v>94</v>
      </c>
      <c r="H1054" s="16">
        <v>170244.0</v>
      </c>
      <c r="I1054" s="12" t="s">
        <v>3202</v>
      </c>
      <c r="J1054" s="10" t="s">
        <v>583</v>
      </c>
      <c r="K1054" s="10" t="s">
        <v>41</v>
      </c>
      <c r="L1054" s="10" t="s">
        <v>4</v>
      </c>
      <c r="M1054" s="22">
        <v>43312.0</v>
      </c>
      <c r="N1054" s="32" t="s">
        <v>3203</v>
      </c>
      <c r="O1054" s="10" t="s">
        <v>3204</v>
      </c>
      <c r="P1054" s="10" t="s">
        <v>3186</v>
      </c>
      <c r="Q1054" s="2"/>
      <c r="R1054" s="10">
        <v>60.0</v>
      </c>
      <c r="S1054" s="14">
        <v>43312.0</v>
      </c>
      <c r="T1054" s="14">
        <v>45138.0</v>
      </c>
      <c r="U1054" s="55">
        <f t="shared" si="87"/>
        <v>-953</v>
      </c>
      <c r="V1054" s="2"/>
      <c r="W1054" s="15"/>
      <c r="X1054" s="15"/>
      <c r="Y1054" s="15"/>
      <c r="Z1054" s="15"/>
      <c r="AA1054" s="2"/>
      <c r="AB1054" s="15"/>
      <c r="AC1054" s="15"/>
      <c r="AD1054" s="15"/>
      <c r="AE1054" s="15"/>
      <c r="AF1054" s="2"/>
      <c r="AG1054" s="10" t="s">
        <v>290</v>
      </c>
      <c r="AH1054" s="12" t="s">
        <v>46</v>
      </c>
      <c r="AI1054" s="10" t="s">
        <v>3183</v>
      </c>
      <c r="AJ1054" s="10" t="s">
        <v>291</v>
      </c>
      <c r="AK1054" s="10" t="s">
        <v>2893</v>
      </c>
      <c r="AL1054" s="10" t="s">
        <v>49</v>
      </c>
      <c r="AM1054" s="16" t="s">
        <v>45</v>
      </c>
      <c r="AN1054" s="10" t="s">
        <v>50</v>
      </c>
    </row>
    <row r="1055" ht="30.0" customHeight="1">
      <c r="A1055" s="9" t="str">
        <f t="shared" si="48"/>
        <v>Inativo</v>
      </c>
      <c r="B1055" s="9" t="str">
        <f t="shared" si="49"/>
        <v>N/I</v>
      </c>
      <c r="C1055" s="9" t="str">
        <f t="shared" si="80"/>
        <v>N/I</v>
      </c>
      <c r="D1055" s="10" t="s">
        <v>3173</v>
      </c>
      <c r="E1055" s="11" t="s">
        <v>3138</v>
      </c>
      <c r="F1055" s="11" t="s">
        <v>3205</v>
      </c>
      <c r="G1055" s="12" t="s">
        <v>94</v>
      </c>
      <c r="H1055" s="36" t="s">
        <v>3206</v>
      </c>
      <c r="I1055" s="12" t="s">
        <v>3202</v>
      </c>
      <c r="J1055" s="10" t="s">
        <v>583</v>
      </c>
      <c r="K1055" s="10" t="s">
        <v>41</v>
      </c>
      <c r="L1055" s="10" t="s">
        <v>4</v>
      </c>
      <c r="M1055" s="22">
        <v>44071.0</v>
      </c>
      <c r="N1055" s="32" t="s">
        <v>3207</v>
      </c>
      <c r="O1055" s="10" t="s">
        <v>3204</v>
      </c>
      <c r="P1055" s="10" t="s">
        <v>3179</v>
      </c>
      <c r="Q1055" s="2"/>
      <c r="R1055" s="10">
        <v>60.0</v>
      </c>
      <c r="S1055" s="14">
        <v>44071.0</v>
      </c>
      <c r="T1055" s="14">
        <v>45897.0</v>
      </c>
      <c r="U1055" s="10">
        <f t="shared" si="87"/>
        <v>-194</v>
      </c>
      <c r="V1055" s="2"/>
      <c r="W1055" s="15"/>
      <c r="X1055" s="15"/>
      <c r="Y1055" s="15"/>
      <c r="Z1055" s="15"/>
      <c r="AA1055" s="2"/>
      <c r="AB1055" s="15"/>
      <c r="AC1055" s="15"/>
      <c r="AD1055" s="15"/>
      <c r="AE1055" s="15"/>
      <c r="AF1055" s="2"/>
      <c r="AG1055" s="10" t="s">
        <v>290</v>
      </c>
      <c r="AH1055" s="12" t="s">
        <v>46</v>
      </c>
      <c r="AI1055" s="10" t="s">
        <v>227</v>
      </c>
      <c r="AJ1055" s="10" t="s">
        <v>291</v>
      </c>
      <c r="AK1055" s="16" t="s">
        <v>45</v>
      </c>
      <c r="AL1055" s="10" t="s">
        <v>49</v>
      </c>
      <c r="AM1055" s="16" t="s">
        <v>45</v>
      </c>
      <c r="AN1055" s="10" t="s">
        <v>50</v>
      </c>
    </row>
    <row r="1056" ht="30.0" customHeight="1">
      <c r="A1056" s="9" t="str">
        <f t="shared" si="48"/>
        <v>Inativo</v>
      </c>
      <c r="B1056" s="9" t="str">
        <f t="shared" si="49"/>
        <v>N/I</v>
      </c>
      <c r="C1056" s="9" t="str">
        <f t="shared" si="80"/>
        <v>N/I</v>
      </c>
      <c r="D1056" s="10" t="s">
        <v>3173</v>
      </c>
      <c r="E1056" s="11" t="s">
        <v>3138</v>
      </c>
      <c r="F1056" s="32" t="s">
        <v>3208</v>
      </c>
      <c r="G1056" s="12" t="s">
        <v>94</v>
      </c>
      <c r="H1056" s="16">
        <v>180241.0</v>
      </c>
      <c r="I1056" s="12" t="s">
        <v>3209</v>
      </c>
      <c r="J1056" s="10" t="s">
        <v>583</v>
      </c>
      <c r="K1056" s="10" t="s">
        <v>41</v>
      </c>
      <c r="L1056" s="10" t="s">
        <v>4</v>
      </c>
      <c r="M1056" s="22">
        <v>43121.0</v>
      </c>
      <c r="N1056" s="32" t="s">
        <v>3210</v>
      </c>
      <c r="O1056" s="10" t="s">
        <v>3211</v>
      </c>
      <c r="P1056" s="10" t="s">
        <v>3182</v>
      </c>
      <c r="Q1056" s="2"/>
      <c r="R1056" s="10">
        <v>60.0</v>
      </c>
      <c r="S1056" s="14">
        <v>43121.0</v>
      </c>
      <c r="T1056" s="14">
        <v>44947.0</v>
      </c>
      <c r="U1056" s="55">
        <f t="shared" si="87"/>
        <v>-1144</v>
      </c>
      <c r="V1056" s="2"/>
      <c r="W1056" s="15"/>
      <c r="X1056" s="15"/>
      <c r="Y1056" s="15"/>
      <c r="Z1056" s="15"/>
      <c r="AA1056" s="2"/>
      <c r="AB1056" s="15"/>
      <c r="AC1056" s="15"/>
      <c r="AD1056" s="15"/>
      <c r="AE1056" s="15"/>
      <c r="AF1056" s="2"/>
      <c r="AG1056" s="10" t="s">
        <v>290</v>
      </c>
      <c r="AH1056" s="12" t="s">
        <v>46</v>
      </c>
      <c r="AI1056" s="10" t="s">
        <v>3183</v>
      </c>
      <c r="AJ1056" s="10" t="s">
        <v>291</v>
      </c>
      <c r="AK1056" s="10" t="s">
        <v>2893</v>
      </c>
      <c r="AL1056" s="10" t="s">
        <v>49</v>
      </c>
      <c r="AM1056" s="16" t="s">
        <v>45</v>
      </c>
      <c r="AN1056" s="10" t="s">
        <v>50</v>
      </c>
    </row>
    <row r="1057" ht="30.0" customHeight="1">
      <c r="A1057" s="9" t="str">
        <f t="shared" si="48"/>
        <v>Inativo</v>
      </c>
      <c r="B1057" s="9" t="str">
        <f t="shared" si="49"/>
        <v>N/I</v>
      </c>
      <c r="C1057" s="9" t="str">
        <f t="shared" si="80"/>
        <v>N/I</v>
      </c>
      <c r="D1057" s="10" t="s">
        <v>3173</v>
      </c>
      <c r="E1057" s="11" t="s">
        <v>3138</v>
      </c>
      <c r="F1057" s="11" t="s">
        <v>3212</v>
      </c>
      <c r="G1057" s="12" t="s">
        <v>94</v>
      </c>
      <c r="H1057" s="36" t="s">
        <v>3213</v>
      </c>
      <c r="I1057" s="12" t="s">
        <v>582</v>
      </c>
      <c r="J1057" s="10" t="s">
        <v>583</v>
      </c>
      <c r="K1057" s="10" t="s">
        <v>41</v>
      </c>
      <c r="L1057" s="10" t="s">
        <v>4</v>
      </c>
      <c r="M1057" s="22">
        <v>44069.0</v>
      </c>
      <c r="N1057" s="32" t="s">
        <v>3214</v>
      </c>
      <c r="O1057" s="10" t="s">
        <v>3215</v>
      </c>
      <c r="P1057" s="10" t="s">
        <v>3179</v>
      </c>
      <c r="Q1057" s="2"/>
      <c r="R1057" s="10">
        <v>60.0</v>
      </c>
      <c r="S1057" s="14">
        <v>44069.0</v>
      </c>
      <c r="T1057" s="14">
        <v>45895.0</v>
      </c>
      <c r="U1057" s="10">
        <f t="shared" si="87"/>
        <v>-196</v>
      </c>
      <c r="V1057" s="2"/>
      <c r="W1057" s="15"/>
      <c r="X1057" s="15"/>
      <c r="Y1057" s="15"/>
      <c r="Z1057" s="15"/>
      <c r="AA1057" s="2"/>
      <c r="AB1057" s="15"/>
      <c r="AC1057" s="15"/>
      <c r="AD1057" s="15"/>
      <c r="AE1057" s="15"/>
      <c r="AF1057" s="2"/>
      <c r="AG1057" s="10" t="s">
        <v>290</v>
      </c>
      <c r="AH1057" s="12" t="s">
        <v>46</v>
      </c>
      <c r="AI1057" s="10" t="s">
        <v>227</v>
      </c>
      <c r="AJ1057" s="10" t="s">
        <v>291</v>
      </c>
      <c r="AK1057" s="16" t="s">
        <v>45</v>
      </c>
      <c r="AL1057" s="10" t="s">
        <v>49</v>
      </c>
      <c r="AM1057" s="16" t="s">
        <v>45</v>
      </c>
      <c r="AN1057" s="10" t="s">
        <v>50</v>
      </c>
    </row>
    <row r="1058" ht="30.0" customHeight="1">
      <c r="A1058" s="9" t="str">
        <f t="shared" si="48"/>
        <v>Inativo</v>
      </c>
      <c r="B1058" s="9" t="str">
        <f t="shared" si="49"/>
        <v>N/I</v>
      </c>
      <c r="C1058" s="9" t="str">
        <f t="shared" si="80"/>
        <v>N/I</v>
      </c>
      <c r="D1058" s="10" t="s">
        <v>3173</v>
      </c>
      <c r="E1058" s="11" t="s">
        <v>3138</v>
      </c>
      <c r="F1058" s="32" t="s">
        <v>3216</v>
      </c>
      <c r="G1058" s="12" t="s">
        <v>94</v>
      </c>
      <c r="H1058" s="16">
        <v>180239.0</v>
      </c>
      <c r="I1058" s="12" t="s">
        <v>3217</v>
      </c>
      <c r="J1058" s="10" t="s">
        <v>583</v>
      </c>
      <c r="K1058" s="10" t="s">
        <v>41</v>
      </c>
      <c r="L1058" s="10" t="s">
        <v>4</v>
      </c>
      <c r="M1058" s="22">
        <v>43488.0</v>
      </c>
      <c r="N1058" s="32" t="s">
        <v>3218</v>
      </c>
      <c r="O1058" s="10" t="s">
        <v>3219</v>
      </c>
      <c r="P1058" s="10" t="s">
        <v>3182</v>
      </c>
      <c r="Q1058" s="2"/>
      <c r="R1058" s="10">
        <v>60.0</v>
      </c>
      <c r="S1058" s="14">
        <v>43488.0</v>
      </c>
      <c r="T1058" s="14">
        <v>45314.0</v>
      </c>
      <c r="U1058" s="55">
        <f t="shared" si="87"/>
        <v>-777</v>
      </c>
      <c r="V1058" s="2"/>
      <c r="W1058" s="15"/>
      <c r="X1058" s="15"/>
      <c r="Y1058" s="15"/>
      <c r="Z1058" s="15"/>
      <c r="AA1058" s="2"/>
      <c r="AB1058" s="15"/>
      <c r="AC1058" s="15"/>
      <c r="AD1058" s="15"/>
      <c r="AE1058" s="15"/>
      <c r="AF1058" s="2"/>
      <c r="AG1058" s="10" t="s">
        <v>290</v>
      </c>
      <c r="AH1058" s="12" t="s">
        <v>46</v>
      </c>
      <c r="AI1058" s="10" t="s">
        <v>3183</v>
      </c>
      <c r="AJ1058" s="10" t="s">
        <v>291</v>
      </c>
      <c r="AK1058" s="10" t="s">
        <v>2893</v>
      </c>
      <c r="AL1058" s="10" t="s">
        <v>49</v>
      </c>
      <c r="AM1058" s="16" t="s">
        <v>45</v>
      </c>
      <c r="AN1058" s="10" t="s">
        <v>50</v>
      </c>
    </row>
    <row r="1059" ht="30.0" customHeight="1">
      <c r="A1059" s="9" t="str">
        <f t="shared" si="48"/>
        <v>Inativo</v>
      </c>
      <c r="B1059" s="9" t="str">
        <f t="shared" si="49"/>
        <v>N/I</v>
      </c>
      <c r="C1059" s="9" t="str">
        <f t="shared" si="80"/>
        <v>N/I</v>
      </c>
      <c r="D1059" s="10" t="s">
        <v>3173</v>
      </c>
      <c r="E1059" s="11" t="s">
        <v>3138</v>
      </c>
      <c r="F1059" s="32" t="s">
        <v>3220</v>
      </c>
      <c r="G1059" s="12" t="s">
        <v>94</v>
      </c>
      <c r="H1059" s="16">
        <v>180220.0</v>
      </c>
      <c r="I1059" s="12" t="s">
        <v>3221</v>
      </c>
      <c r="J1059" s="10" t="s">
        <v>583</v>
      </c>
      <c r="K1059" s="10" t="s">
        <v>41</v>
      </c>
      <c r="L1059" s="10" t="s">
        <v>4</v>
      </c>
      <c r="M1059" s="22">
        <v>43488.0</v>
      </c>
      <c r="N1059" s="32" t="s">
        <v>3222</v>
      </c>
      <c r="O1059" s="10" t="s">
        <v>3223</v>
      </c>
      <c r="P1059" s="10" t="s">
        <v>3182</v>
      </c>
      <c r="Q1059" s="2"/>
      <c r="R1059" s="10">
        <v>60.0</v>
      </c>
      <c r="S1059" s="14">
        <v>43488.0</v>
      </c>
      <c r="T1059" s="14">
        <v>45312.0</v>
      </c>
      <c r="U1059" s="55">
        <f t="shared" si="87"/>
        <v>-779</v>
      </c>
      <c r="V1059" s="2"/>
      <c r="W1059" s="15"/>
      <c r="X1059" s="15"/>
      <c r="Y1059" s="15"/>
      <c r="Z1059" s="15"/>
      <c r="AA1059" s="2"/>
      <c r="AB1059" s="15"/>
      <c r="AC1059" s="15"/>
      <c r="AD1059" s="15"/>
      <c r="AE1059" s="15"/>
      <c r="AF1059" s="2"/>
      <c r="AG1059" s="10" t="s">
        <v>290</v>
      </c>
      <c r="AH1059" s="12" t="s">
        <v>46</v>
      </c>
      <c r="AI1059" s="10" t="s">
        <v>3183</v>
      </c>
      <c r="AJ1059" s="10" t="s">
        <v>291</v>
      </c>
      <c r="AK1059" s="10" t="s">
        <v>2893</v>
      </c>
      <c r="AL1059" s="10" t="s">
        <v>49</v>
      </c>
      <c r="AM1059" s="16" t="s">
        <v>45</v>
      </c>
      <c r="AN1059" s="10" t="s">
        <v>50</v>
      </c>
    </row>
    <row r="1060" ht="30.0" customHeight="1">
      <c r="A1060" s="9" t="str">
        <f t="shared" si="48"/>
        <v>Inativo</v>
      </c>
      <c r="B1060" s="9" t="str">
        <f t="shared" si="49"/>
        <v>N/I</v>
      </c>
      <c r="C1060" s="9" t="str">
        <f t="shared" si="80"/>
        <v>N/I</v>
      </c>
      <c r="D1060" s="10" t="s">
        <v>3173</v>
      </c>
      <c r="E1060" s="11" t="s">
        <v>3138</v>
      </c>
      <c r="F1060" s="11" t="s">
        <v>3224</v>
      </c>
      <c r="G1060" s="12" t="s">
        <v>94</v>
      </c>
      <c r="H1060" s="36" t="s">
        <v>3225</v>
      </c>
      <c r="I1060" s="12" t="s">
        <v>3226</v>
      </c>
      <c r="J1060" s="10" t="s">
        <v>583</v>
      </c>
      <c r="K1060" s="10" t="s">
        <v>41</v>
      </c>
      <c r="L1060" s="10" t="s">
        <v>4</v>
      </c>
      <c r="M1060" s="22">
        <v>44068.0</v>
      </c>
      <c r="N1060" s="32" t="s">
        <v>3227</v>
      </c>
      <c r="O1060" s="10" t="s">
        <v>3228</v>
      </c>
      <c r="P1060" s="10" t="s">
        <v>3179</v>
      </c>
      <c r="Q1060" s="2"/>
      <c r="R1060" s="10">
        <v>60.0</v>
      </c>
      <c r="S1060" s="14">
        <v>44068.0</v>
      </c>
      <c r="T1060" s="14">
        <v>45894.0</v>
      </c>
      <c r="U1060" s="10">
        <f t="shared" si="87"/>
        <v>-197</v>
      </c>
      <c r="V1060" s="2"/>
      <c r="W1060" s="15"/>
      <c r="X1060" s="15"/>
      <c r="Y1060" s="15"/>
      <c r="Z1060" s="15"/>
      <c r="AA1060" s="2"/>
      <c r="AB1060" s="15"/>
      <c r="AC1060" s="15"/>
      <c r="AD1060" s="15"/>
      <c r="AE1060" s="15"/>
      <c r="AF1060" s="2"/>
      <c r="AG1060" s="10" t="s">
        <v>290</v>
      </c>
      <c r="AH1060" s="12" t="s">
        <v>46</v>
      </c>
      <c r="AI1060" s="10" t="s">
        <v>227</v>
      </c>
      <c r="AJ1060" s="10" t="s">
        <v>291</v>
      </c>
      <c r="AK1060" s="16" t="s">
        <v>45</v>
      </c>
      <c r="AL1060" s="10" t="s">
        <v>49</v>
      </c>
      <c r="AM1060" s="16" t="s">
        <v>45</v>
      </c>
      <c r="AN1060" s="10" t="s">
        <v>50</v>
      </c>
    </row>
    <row r="1061" ht="30.0" customHeight="1">
      <c r="A1061" s="9" t="str">
        <f t="shared" si="48"/>
        <v>Inativo</v>
      </c>
      <c r="B1061" s="9" t="str">
        <f t="shared" si="49"/>
        <v>N/I</v>
      </c>
      <c r="C1061" s="9" t="str">
        <f t="shared" si="80"/>
        <v>N/I</v>
      </c>
      <c r="D1061" s="10" t="s">
        <v>3173</v>
      </c>
      <c r="E1061" s="11" t="s">
        <v>3138</v>
      </c>
      <c r="F1061" s="11" t="s">
        <v>3229</v>
      </c>
      <c r="G1061" s="12" t="s">
        <v>3230</v>
      </c>
      <c r="H1061" s="16" t="s">
        <v>3231</v>
      </c>
      <c r="I1061" s="12" t="s">
        <v>3232</v>
      </c>
      <c r="J1061" s="10" t="s">
        <v>583</v>
      </c>
      <c r="K1061" s="10" t="s">
        <v>41</v>
      </c>
      <c r="L1061" s="10" t="s">
        <v>4</v>
      </c>
      <c r="M1061" s="22">
        <v>43754.0</v>
      </c>
      <c r="N1061" s="32" t="s">
        <v>3233</v>
      </c>
      <c r="O1061" s="10" t="s">
        <v>1418</v>
      </c>
      <c r="P1061" s="10" t="s">
        <v>3234</v>
      </c>
      <c r="Q1061" s="2"/>
      <c r="R1061" s="10">
        <v>24.0</v>
      </c>
      <c r="S1061" s="14">
        <v>43754.0</v>
      </c>
      <c r="T1061" s="14">
        <v>44485.0</v>
      </c>
      <c r="U1061" s="10">
        <f t="shared" si="87"/>
        <v>-1606</v>
      </c>
      <c r="V1061" s="2"/>
      <c r="W1061" s="15"/>
      <c r="X1061" s="15"/>
      <c r="Y1061" s="15"/>
      <c r="Z1061" s="15"/>
      <c r="AA1061" s="2"/>
      <c r="AB1061" s="15"/>
      <c r="AC1061" s="15"/>
      <c r="AD1061" s="15"/>
      <c r="AE1061" s="15"/>
      <c r="AF1061" s="2"/>
      <c r="AG1061" s="16" t="s">
        <v>45</v>
      </c>
      <c r="AH1061" s="16" t="s">
        <v>45</v>
      </c>
      <c r="AI1061" s="16" t="s">
        <v>45</v>
      </c>
      <c r="AJ1061" s="16" t="s">
        <v>45</v>
      </c>
      <c r="AK1061" s="16" t="s">
        <v>45</v>
      </c>
      <c r="AL1061" s="16" t="s">
        <v>45</v>
      </c>
      <c r="AM1061" s="16" t="s">
        <v>45</v>
      </c>
      <c r="AN1061" s="16" t="s">
        <v>45</v>
      </c>
    </row>
    <row r="1062" ht="30.0" customHeight="1">
      <c r="A1062" s="9" t="str">
        <f t="shared" si="48"/>
        <v>Inativo</v>
      </c>
      <c r="B1062" s="9" t="str">
        <f t="shared" si="49"/>
        <v>N/I</v>
      </c>
      <c r="C1062" s="9" t="str">
        <f t="shared" si="80"/>
        <v>N/I</v>
      </c>
      <c r="D1062" s="10" t="s">
        <v>3173</v>
      </c>
      <c r="E1062" s="11" t="s">
        <v>3138</v>
      </c>
      <c r="F1062" s="11" t="s">
        <v>3235</v>
      </c>
      <c r="G1062" s="12" t="s">
        <v>94</v>
      </c>
      <c r="H1062" s="36" t="s">
        <v>3236</v>
      </c>
      <c r="I1062" s="12" t="s">
        <v>3237</v>
      </c>
      <c r="J1062" s="10" t="s">
        <v>583</v>
      </c>
      <c r="K1062" s="10" t="s">
        <v>41</v>
      </c>
      <c r="L1062" s="10" t="s">
        <v>4</v>
      </c>
      <c r="M1062" s="22">
        <v>44067.0</v>
      </c>
      <c r="N1062" s="32" t="s">
        <v>3238</v>
      </c>
      <c r="O1062" s="10" t="s">
        <v>3239</v>
      </c>
      <c r="P1062" s="10" t="s">
        <v>3179</v>
      </c>
      <c r="Q1062" s="2"/>
      <c r="R1062" s="10">
        <v>60.0</v>
      </c>
      <c r="S1062" s="14">
        <v>44067.0</v>
      </c>
      <c r="T1062" s="14">
        <v>45893.0</v>
      </c>
      <c r="U1062" s="10">
        <f t="shared" si="87"/>
        <v>-198</v>
      </c>
      <c r="V1062" s="2"/>
      <c r="W1062" s="15"/>
      <c r="X1062" s="15"/>
      <c r="Y1062" s="15"/>
      <c r="Z1062" s="15"/>
      <c r="AA1062" s="2"/>
      <c r="AB1062" s="15"/>
      <c r="AC1062" s="15"/>
      <c r="AD1062" s="15"/>
      <c r="AE1062" s="15"/>
      <c r="AF1062" s="2"/>
      <c r="AG1062" s="10" t="s">
        <v>290</v>
      </c>
      <c r="AH1062" s="12" t="s">
        <v>46</v>
      </c>
      <c r="AI1062" s="10" t="s">
        <v>227</v>
      </c>
      <c r="AJ1062" s="10" t="s">
        <v>291</v>
      </c>
      <c r="AK1062" s="16" t="s">
        <v>45</v>
      </c>
      <c r="AL1062" s="10" t="s">
        <v>49</v>
      </c>
      <c r="AM1062" s="16" t="s">
        <v>45</v>
      </c>
      <c r="AN1062" s="10" t="s">
        <v>50</v>
      </c>
    </row>
    <row r="1063" ht="30.0" customHeight="1">
      <c r="A1063" s="9" t="str">
        <f t="shared" si="48"/>
        <v>Inativo</v>
      </c>
      <c r="B1063" s="9" t="str">
        <f t="shared" si="49"/>
        <v>N/I</v>
      </c>
      <c r="C1063" s="9" t="str">
        <f t="shared" si="80"/>
        <v>N/I</v>
      </c>
      <c r="D1063" s="10" t="s">
        <v>3173</v>
      </c>
      <c r="E1063" s="11" t="s">
        <v>3138</v>
      </c>
      <c r="F1063" s="32" t="s">
        <v>3240</v>
      </c>
      <c r="G1063" s="12" t="s">
        <v>94</v>
      </c>
      <c r="H1063" s="16">
        <v>180238.0</v>
      </c>
      <c r="I1063" s="12" t="s">
        <v>3241</v>
      </c>
      <c r="J1063" s="10" t="s">
        <v>583</v>
      </c>
      <c r="K1063" s="10" t="s">
        <v>41</v>
      </c>
      <c r="L1063" s="10" t="s">
        <v>4</v>
      </c>
      <c r="M1063" s="22">
        <v>43614.0</v>
      </c>
      <c r="N1063" s="32" t="s">
        <v>3242</v>
      </c>
      <c r="O1063" s="10" t="s">
        <v>3243</v>
      </c>
      <c r="P1063" s="10" t="s">
        <v>3244</v>
      </c>
      <c r="Q1063" s="2"/>
      <c r="R1063" s="10">
        <v>60.0</v>
      </c>
      <c r="S1063" s="14">
        <v>43614.0</v>
      </c>
      <c r="T1063" s="14">
        <v>45441.0</v>
      </c>
      <c r="U1063" s="55">
        <f t="shared" si="87"/>
        <v>-650</v>
      </c>
      <c r="V1063" s="2"/>
      <c r="W1063" s="15"/>
      <c r="X1063" s="15"/>
      <c r="Y1063" s="15"/>
      <c r="Z1063" s="15"/>
      <c r="AA1063" s="2"/>
      <c r="AB1063" s="15"/>
      <c r="AC1063" s="15"/>
      <c r="AD1063" s="15"/>
      <c r="AE1063" s="15"/>
      <c r="AF1063" s="2"/>
      <c r="AG1063" s="10" t="s">
        <v>290</v>
      </c>
      <c r="AH1063" s="12" t="s">
        <v>46</v>
      </c>
      <c r="AI1063" s="10" t="s">
        <v>3183</v>
      </c>
      <c r="AJ1063" s="10" t="s">
        <v>291</v>
      </c>
      <c r="AK1063" s="10" t="s">
        <v>2893</v>
      </c>
      <c r="AL1063" s="10" t="s">
        <v>49</v>
      </c>
      <c r="AM1063" s="16" t="s">
        <v>45</v>
      </c>
      <c r="AN1063" s="10" t="s">
        <v>50</v>
      </c>
    </row>
    <row r="1064" ht="30.0" customHeight="1">
      <c r="A1064" s="9" t="str">
        <f t="shared" si="48"/>
        <v>Inativo</v>
      </c>
      <c r="B1064" s="9" t="str">
        <f t="shared" si="49"/>
        <v>N/I</v>
      </c>
      <c r="C1064" s="9" t="str">
        <f t="shared" si="80"/>
        <v>N/I</v>
      </c>
      <c r="D1064" s="10" t="s">
        <v>3173</v>
      </c>
      <c r="E1064" s="11" t="s">
        <v>3138</v>
      </c>
      <c r="F1064" s="32" t="s">
        <v>3245</v>
      </c>
      <c r="G1064" s="12" t="s">
        <v>94</v>
      </c>
      <c r="H1064" s="16">
        <v>180215.0</v>
      </c>
      <c r="I1064" s="12" t="s">
        <v>3246</v>
      </c>
      <c r="J1064" s="10" t="s">
        <v>583</v>
      </c>
      <c r="K1064" s="10" t="s">
        <v>41</v>
      </c>
      <c r="L1064" s="10" t="s">
        <v>4</v>
      </c>
      <c r="M1064" s="22">
        <v>43612.0</v>
      </c>
      <c r="N1064" s="32" t="s">
        <v>3247</v>
      </c>
      <c r="O1064" s="10" t="s">
        <v>3248</v>
      </c>
      <c r="P1064" s="10" t="s">
        <v>3244</v>
      </c>
      <c r="Q1064" s="2"/>
      <c r="R1064" s="10">
        <v>60.0</v>
      </c>
      <c r="S1064" s="14">
        <v>43612.0</v>
      </c>
      <c r="T1064" s="14">
        <v>45439.0</v>
      </c>
      <c r="U1064" s="55">
        <f t="shared" si="87"/>
        <v>-652</v>
      </c>
      <c r="V1064" s="2"/>
      <c r="W1064" s="15"/>
      <c r="X1064" s="15"/>
      <c r="Y1064" s="15"/>
      <c r="Z1064" s="15"/>
      <c r="AA1064" s="2"/>
      <c r="AB1064" s="15"/>
      <c r="AC1064" s="15"/>
      <c r="AD1064" s="15"/>
      <c r="AE1064" s="15"/>
      <c r="AF1064" s="2"/>
      <c r="AG1064" s="10" t="s">
        <v>290</v>
      </c>
      <c r="AH1064" s="12" t="s">
        <v>46</v>
      </c>
      <c r="AI1064" s="10" t="s">
        <v>3183</v>
      </c>
      <c r="AJ1064" s="10" t="s">
        <v>291</v>
      </c>
      <c r="AK1064" s="10" t="s">
        <v>2893</v>
      </c>
      <c r="AL1064" s="10" t="s">
        <v>49</v>
      </c>
      <c r="AM1064" s="16" t="s">
        <v>45</v>
      </c>
      <c r="AN1064" s="10" t="s">
        <v>50</v>
      </c>
    </row>
    <row r="1065" ht="30.0" customHeight="1">
      <c r="A1065" s="9" t="str">
        <f t="shared" si="48"/>
        <v>Inativo</v>
      </c>
      <c r="B1065" s="9" t="str">
        <f t="shared" si="49"/>
        <v>N/I</v>
      </c>
      <c r="C1065" s="9" t="str">
        <f t="shared" si="80"/>
        <v>N/I</v>
      </c>
      <c r="D1065" s="10" t="s">
        <v>3173</v>
      </c>
      <c r="E1065" s="11" t="s">
        <v>3138</v>
      </c>
      <c r="F1065" s="11" t="s">
        <v>3249</v>
      </c>
      <c r="G1065" s="12" t="s">
        <v>94</v>
      </c>
      <c r="H1065" s="36" t="s">
        <v>3250</v>
      </c>
      <c r="I1065" s="12" t="s">
        <v>3251</v>
      </c>
      <c r="J1065" s="10" t="s">
        <v>583</v>
      </c>
      <c r="K1065" s="10" t="s">
        <v>41</v>
      </c>
      <c r="L1065" s="10" t="s">
        <v>4</v>
      </c>
      <c r="M1065" s="22">
        <v>44069.0</v>
      </c>
      <c r="N1065" s="32" t="s">
        <v>3252</v>
      </c>
      <c r="O1065" s="10" t="s">
        <v>3253</v>
      </c>
      <c r="P1065" s="10" t="s">
        <v>3179</v>
      </c>
      <c r="Q1065" s="2"/>
      <c r="R1065" s="10">
        <v>60.0</v>
      </c>
      <c r="S1065" s="14">
        <v>44069.0</v>
      </c>
      <c r="T1065" s="14">
        <v>45895.0</v>
      </c>
      <c r="U1065" s="10">
        <f t="shared" si="87"/>
        <v>-196</v>
      </c>
      <c r="V1065" s="2"/>
      <c r="W1065" s="15"/>
      <c r="X1065" s="15"/>
      <c r="Y1065" s="15"/>
      <c r="Z1065" s="15"/>
      <c r="AA1065" s="2"/>
      <c r="AB1065" s="15"/>
      <c r="AC1065" s="15"/>
      <c r="AD1065" s="15"/>
      <c r="AE1065" s="15"/>
      <c r="AF1065" s="2"/>
      <c r="AG1065" s="10" t="s">
        <v>290</v>
      </c>
      <c r="AH1065" s="12" t="s">
        <v>46</v>
      </c>
      <c r="AI1065" s="10" t="s">
        <v>227</v>
      </c>
      <c r="AJ1065" s="10" t="s">
        <v>291</v>
      </c>
      <c r="AK1065" s="16" t="s">
        <v>45</v>
      </c>
      <c r="AL1065" s="10" t="s">
        <v>49</v>
      </c>
      <c r="AM1065" s="16" t="s">
        <v>45</v>
      </c>
      <c r="AN1065" s="10" t="s">
        <v>50</v>
      </c>
    </row>
    <row r="1066" ht="30.0" customHeight="1">
      <c r="A1066" s="9" t="str">
        <f t="shared" si="48"/>
        <v>Inativo</v>
      </c>
      <c r="B1066" s="9" t="str">
        <f t="shared" si="49"/>
        <v>N/I</v>
      </c>
      <c r="C1066" s="9" t="str">
        <f t="shared" si="80"/>
        <v>N/I</v>
      </c>
      <c r="D1066" s="10" t="s">
        <v>3173</v>
      </c>
      <c r="E1066" s="11" t="s">
        <v>3138</v>
      </c>
      <c r="F1066" s="11" t="s">
        <v>3224</v>
      </c>
      <c r="G1066" s="12" t="s">
        <v>94</v>
      </c>
      <c r="H1066" s="16">
        <v>170243.0</v>
      </c>
      <c r="I1066" s="12" t="s">
        <v>3254</v>
      </c>
      <c r="J1066" s="10" t="s">
        <v>583</v>
      </c>
      <c r="K1066" s="10" t="s">
        <v>41</v>
      </c>
      <c r="L1066" s="10" t="s">
        <v>4</v>
      </c>
      <c r="M1066" s="22">
        <v>43312.0</v>
      </c>
      <c r="N1066" s="32" t="s">
        <v>3255</v>
      </c>
      <c r="O1066" s="10" t="s">
        <v>3256</v>
      </c>
      <c r="P1066" s="10" t="s">
        <v>3186</v>
      </c>
      <c r="Q1066" s="2"/>
      <c r="R1066" s="10">
        <v>60.0</v>
      </c>
      <c r="S1066" s="14">
        <v>43312.0</v>
      </c>
      <c r="T1066" s="14">
        <v>45138.0</v>
      </c>
      <c r="U1066" s="55">
        <f t="shared" si="87"/>
        <v>-953</v>
      </c>
      <c r="V1066" s="2"/>
      <c r="W1066" s="15"/>
      <c r="X1066" s="15"/>
      <c r="Y1066" s="15"/>
      <c r="Z1066" s="15"/>
      <c r="AA1066" s="1"/>
      <c r="AB1066" s="15"/>
      <c r="AC1066" s="15"/>
      <c r="AD1066" s="15"/>
      <c r="AE1066" s="15"/>
      <c r="AF1066" s="2"/>
      <c r="AG1066" s="10" t="s">
        <v>290</v>
      </c>
      <c r="AH1066" s="12" t="s">
        <v>46</v>
      </c>
      <c r="AI1066" s="10" t="s">
        <v>3183</v>
      </c>
      <c r="AJ1066" s="10" t="s">
        <v>291</v>
      </c>
      <c r="AK1066" s="10" t="s">
        <v>2893</v>
      </c>
      <c r="AL1066" s="10" t="s">
        <v>49</v>
      </c>
      <c r="AM1066" s="16" t="s">
        <v>45</v>
      </c>
      <c r="AN1066" s="10" t="s">
        <v>50</v>
      </c>
    </row>
    <row r="1067" ht="30.0" customHeight="1">
      <c r="A1067" s="9" t="str">
        <f t="shared" si="48"/>
        <v>Inativo</v>
      </c>
      <c r="B1067" s="9" t="str">
        <f t="shared" si="49"/>
        <v>N/I</v>
      </c>
      <c r="C1067" s="9" t="str">
        <f t="shared" si="80"/>
        <v>N/I</v>
      </c>
      <c r="D1067" s="10" t="s">
        <v>3173</v>
      </c>
      <c r="E1067" s="11" t="s">
        <v>3138</v>
      </c>
      <c r="F1067" s="11" t="s">
        <v>3224</v>
      </c>
      <c r="G1067" s="12" t="s">
        <v>94</v>
      </c>
      <c r="H1067" s="16">
        <v>170241.0</v>
      </c>
      <c r="I1067" s="12" t="s">
        <v>643</v>
      </c>
      <c r="J1067" s="10" t="s">
        <v>583</v>
      </c>
      <c r="K1067" s="10" t="s">
        <v>41</v>
      </c>
      <c r="L1067" s="10" t="s">
        <v>4</v>
      </c>
      <c r="M1067" s="22">
        <v>43312.0</v>
      </c>
      <c r="N1067" s="32" t="s">
        <v>3257</v>
      </c>
      <c r="O1067" s="10" t="s">
        <v>3228</v>
      </c>
      <c r="P1067" s="10" t="s">
        <v>3186</v>
      </c>
      <c r="Q1067" s="2"/>
      <c r="R1067" s="10">
        <v>60.0</v>
      </c>
      <c r="S1067" s="14">
        <v>43312.0</v>
      </c>
      <c r="T1067" s="14">
        <v>45138.0</v>
      </c>
      <c r="U1067" s="55">
        <f t="shared" si="87"/>
        <v>-953</v>
      </c>
      <c r="V1067" s="2"/>
      <c r="W1067" s="15"/>
      <c r="X1067" s="15"/>
      <c r="Y1067" s="15"/>
      <c r="Z1067" s="15"/>
      <c r="AA1067" s="1"/>
      <c r="AB1067" s="15"/>
      <c r="AC1067" s="15"/>
      <c r="AD1067" s="15"/>
      <c r="AE1067" s="15"/>
      <c r="AF1067" s="2"/>
      <c r="AG1067" s="10" t="s">
        <v>290</v>
      </c>
      <c r="AH1067" s="12" t="s">
        <v>46</v>
      </c>
      <c r="AI1067" s="10" t="s">
        <v>3183</v>
      </c>
      <c r="AJ1067" s="10" t="s">
        <v>291</v>
      </c>
      <c r="AK1067" s="10" t="s">
        <v>2893</v>
      </c>
      <c r="AL1067" s="10" t="s">
        <v>49</v>
      </c>
      <c r="AM1067" s="16" t="s">
        <v>45</v>
      </c>
      <c r="AN1067" s="10" t="s">
        <v>50</v>
      </c>
    </row>
    <row r="1068" ht="30.0" customHeight="1">
      <c r="A1068" s="9" t="str">
        <f t="shared" si="48"/>
        <v>Inativo</v>
      </c>
      <c r="B1068" s="9" t="str">
        <f t="shared" si="49"/>
        <v>N/I</v>
      </c>
      <c r="C1068" s="9" t="str">
        <f t="shared" si="80"/>
        <v>N/I</v>
      </c>
      <c r="D1068" s="10" t="s">
        <v>3173</v>
      </c>
      <c r="E1068" s="11" t="s">
        <v>3138</v>
      </c>
      <c r="F1068" s="11" t="s">
        <v>3258</v>
      </c>
      <c r="G1068" s="12" t="s">
        <v>94</v>
      </c>
      <c r="H1068" s="16">
        <v>170239.0</v>
      </c>
      <c r="I1068" s="12" t="s">
        <v>643</v>
      </c>
      <c r="J1068" s="10" t="s">
        <v>583</v>
      </c>
      <c r="K1068" s="10" t="s">
        <v>41</v>
      </c>
      <c r="L1068" s="10" t="s">
        <v>4</v>
      </c>
      <c r="M1068" s="22">
        <v>43314.0</v>
      </c>
      <c r="N1068" s="32" t="s">
        <v>3259</v>
      </c>
      <c r="O1068" s="10" t="s">
        <v>3260</v>
      </c>
      <c r="P1068" s="10" t="s">
        <v>3186</v>
      </c>
      <c r="Q1068" s="2"/>
      <c r="R1068" s="10">
        <v>60.0</v>
      </c>
      <c r="S1068" s="14">
        <v>43314.0</v>
      </c>
      <c r="T1068" s="14">
        <v>45140.0</v>
      </c>
      <c r="U1068" s="55">
        <f t="shared" si="87"/>
        <v>-951</v>
      </c>
      <c r="V1068" s="2"/>
      <c r="W1068" s="15"/>
      <c r="X1068" s="15"/>
      <c r="Y1068" s="15"/>
      <c r="Z1068" s="15"/>
      <c r="AA1068" s="2"/>
      <c r="AB1068" s="15"/>
      <c r="AC1068" s="15"/>
      <c r="AD1068" s="15"/>
      <c r="AE1068" s="15"/>
      <c r="AF1068" s="2"/>
      <c r="AG1068" s="10" t="s">
        <v>290</v>
      </c>
      <c r="AH1068" s="12" t="s">
        <v>46</v>
      </c>
      <c r="AI1068" s="10" t="s">
        <v>3183</v>
      </c>
      <c r="AJ1068" s="10" t="s">
        <v>291</v>
      </c>
      <c r="AK1068" s="10" t="s">
        <v>2893</v>
      </c>
      <c r="AL1068" s="10" t="s">
        <v>49</v>
      </c>
      <c r="AM1068" s="16" t="s">
        <v>45</v>
      </c>
      <c r="AN1068" s="10" t="s">
        <v>50</v>
      </c>
    </row>
    <row r="1069" ht="30.0" customHeight="1">
      <c r="A1069" s="9" t="str">
        <f t="shared" si="48"/>
        <v>Inativo</v>
      </c>
      <c r="B1069" s="9" t="str">
        <f t="shared" si="49"/>
        <v>N/I</v>
      </c>
      <c r="C1069" s="9" t="str">
        <f t="shared" si="80"/>
        <v>N/I</v>
      </c>
      <c r="D1069" s="10" t="s">
        <v>3173</v>
      </c>
      <c r="E1069" s="11" t="s">
        <v>3138</v>
      </c>
      <c r="F1069" s="11" t="s">
        <v>3261</v>
      </c>
      <c r="G1069" s="12" t="s">
        <v>94</v>
      </c>
      <c r="H1069" s="16">
        <v>170257.0</v>
      </c>
      <c r="I1069" s="12" t="s">
        <v>643</v>
      </c>
      <c r="J1069" s="10" t="s">
        <v>583</v>
      </c>
      <c r="K1069" s="10" t="s">
        <v>41</v>
      </c>
      <c r="L1069" s="10" t="s">
        <v>4</v>
      </c>
      <c r="M1069" s="22">
        <v>43314.0</v>
      </c>
      <c r="N1069" s="32" t="s">
        <v>3259</v>
      </c>
      <c r="O1069" s="10" t="s">
        <v>1411</v>
      </c>
      <c r="P1069" s="10" t="s">
        <v>3186</v>
      </c>
      <c r="Q1069" s="2"/>
      <c r="R1069" s="10">
        <v>60.0</v>
      </c>
      <c r="S1069" s="14">
        <v>43314.0</v>
      </c>
      <c r="T1069" s="14">
        <v>45140.0</v>
      </c>
      <c r="U1069" s="55">
        <f t="shared" si="87"/>
        <v>-951</v>
      </c>
      <c r="V1069" s="2"/>
      <c r="W1069" s="15"/>
      <c r="X1069" s="15"/>
      <c r="Y1069" s="15"/>
      <c r="Z1069" s="15"/>
      <c r="AA1069" s="2"/>
      <c r="AB1069" s="15"/>
      <c r="AC1069" s="15"/>
      <c r="AD1069" s="15"/>
      <c r="AE1069" s="15"/>
      <c r="AF1069" s="2"/>
      <c r="AG1069" s="10" t="s">
        <v>290</v>
      </c>
      <c r="AH1069" s="12" t="s">
        <v>46</v>
      </c>
      <c r="AI1069" s="10" t="s">
        <v>3183</v>
      </c>
      <c r="AJ1069" s="10" t="s">
        <v>291</v>
      </c>
      <c r="AK1069" s="10" t="s">
        <v>2893</v>
      </c>
      <c r="AL1069" s="10" t="s">
        <v>49</v>
      </c>
      <c r="AM1069" s="16" t="s">
        <v>45</v>
      </c>
      <c r="AN1069" s="10" t="s">
        <v>50</v>
      </c>
    </row>
    <row r="1070" ht="30.0" customHeight="1">
      <c r="A1070" s="9" t="str">
        <f t="shared" si="48"/>
        <v>Inativo</v>
      </c>
      <c r="B1070" s="9" t="str">
        <f t="shared" si="49"/>
        <v>N/I</v>
      </c>
      <c r="C1070" s="9" t="str">
        <f t="shared" si="80"/>
        <v>N/I</v>
      </c>
      <c r="D1070" s="10" t="s">
        <v>3173</v>
      </c>
      <c r="E1070" s="11" t="s">
        <v>3138</v>
      </c>
      <c r="F1070" s="11" t="s">
        <v>3262</v>
      </c>
      <c r="G1070" s="12" t="s">
        <v>94</v>
      </c>
      <c r="H1070" s="16">
        <v>170250.0</v>
      </c>
      <c r="I1070" s="12" t="s">
        <v>643</v>
      </c>
      <c r="J1070" s="10" t="s">
        <v>583</v>
      </c>
      <c r="K1070" s="10" t="s">
        <v>41</v>
      </c>
      <c r="L1070" s="10" t="s">
        <v>4</v>
      </c>
      <c r="M1070" s="22">
        <v>43320.0</v>
      </c>
      <c r="N1070" s="32" t="s">
        <v>3263</v>
      </c>
      <c r="O1070" s="10" t="s">
        <v>3264</v>
      </c>
      <c r="P1070" s="10" t="s">
        <v>3186</v>
      </c>
      <c r="Q1070" s="2"/>
      <c r="R1070" s="10">
        <v>60.0</v>
      </c>
      <c r="S1070" s="14">
        <v>43314.0</v>
      </c>
      <c r="T1070" s="14">
        <v>45140.0</v>
      </c>
      <c r="U1070" s="55">
        <f t="shared" si="87"/>
        <v>-951</v>
      </c>
      <c r="V1070" s="2"/>
      <c r="W1070" s="15"/>
      <c r="X1070" s="15"/>
      <c r="Y1070" s="15"/>
      <c r="Z1070" s="15"/>
      <c r="AA1070" s="2"/>
      <c r="AB1070" s="15"/>
      <c r="AC1070" s="15"/>
      <c r="AD1070" s="15"/>
      <c r="AE1070" s="15"/>
      <c r="AF1070" s="2"/>
      <c r="AG1070" s="10" t="s">
        <v>290</v>
      </c>
      <c r="AH1070" s="12" t="s">
        <v>46</v>
      </c>
      <c r="AI1070" s="10" t="s">
        <v>3183</v>
      </c>
      <c r="AJ1070" s="10" t="s">
        <v>291</v>
      </c>
      <c r="AK1070" s="10" t="s">
        <v>2893</v>
      </c>
      <c r="AL1070" s="10" t="s">
        <v>49</v>
      </c>
      <c r="AM1070" s="16" t="s">
        <v>45</v>
      </c>
      <c r="AN1070" s="10" t="s">
        <v>50</v>
      </c>
    </row>
    <row r="1071" ht="30.0" customHeight="1">
      <c r="A1071" s="9" t="str">
        <f t="shared" si="48"/>
        <v>Inativo</v>
      </c>
      <c r="B1071" s="9" t="str">
        <f t="shared" si="49"/>
        <v>N/I</v>
      </c>
      <c r="C1071" s="9" t="str">
        <f t="shared" si="80"/>
        <v>N/I</v>
      </c>
      <c r="D1071" s="10" t="s">
        <v>3173</v>
      </c>
      <c r="E1071" s="11" t="s">
        <v>3138</v>
      </c>
      <c r="F1071" s="11" t="s">
        <v>3265</v>
      </c>
      <c r="G1071" s="12" t="s">
        <v>94</v>
      </c>
      <c r="H1071" s="16">
        <v>170252.0</v>
      </c>
      <c r="I1071" s="12" t="s">
        <v>643</v>
      </c>
      <c r="J1071" s="10" t="s">
        <v>583</v>
      </c>
      <c r="K1071" s="10" t="s">
        <v>41</v>
      </c>
      <c r="L1071" s="10" t="s">
        <v>4</v>
      </c>
      <c r="M1071" s="22">
        <v>43320.0</v>
      </c>
      <c r="N1071" s="32" t="s">
        <v>3259</v>
      </c>
      <c r="O1071" s="10" t="s">
        <v>1411</v>
      </c>
      <c r="P1071" s="10" t="s">
        <v>3186</v>
      </c>
      <c r="Q1071" s="2"/>
      <c r="R1071" s="10">
        <v>60.0</v>
      </c>
      <c r="S1071" s="14">
        <v>43313.0</v>
      </c>
      <c r="T1071" s="14">
        <v>45139.0</v>
      </c>
      <c r="U1071" s="55">
        <f t="shared" si="87"/>
        <v>-952</v>
      </c>
      <c r="V1071" s="2"/>
      <c r="W1071" s="15"/>
      <c r="X1071" s="15"/>
      <c r="Y1071" s="15"/>
      <c r="Z1071" s="15"/>
      <c r="AA1071" s="2"/>
      <c r="AB1071" s="15"/>
      <c r="AC1071" s="15"/>
      <c r="AD1071" s="15"/>
      <c r="AE1071" s="15"/>
      <c r="AF1071" s="2"/>
      <c r="AG1071" s="10" t="s">
        <v>290</v>
      </c>
      <c r="AH1071" s="12" t="s">
        <v>46</v>
      </c>
      <c r="AI1071" s="10" t="s">
        <v>3183</v>
      </c>
      <c r="AJ1071" s="10" t="s">
        <v>291</v>
      </c>
      <c r="AK1071" s="10" t="s">
        <v>2893</v>
      </c>
      <c r="AL1071" s="10" t="s">
        <v>49</v>
      </c>
      <c r="AM1071" s="16" t="s">
        <v>45</v>
      </c>
      <c r="AN1071" s="10" t="s">
        <v>50</v>
      </c>
    </row>
    <row r="1072" ht="30.0" customHeight="1">
      <c r="A1072" s="9" t="str">
        <f t="shared" si="48"/>
        <v>Inativo</v>
      </c>
      <c r="B1072" s="9" t="str">
        <f t="shared" si="49"/>
        <v>N/I</v>
      </c>
      <c r="C1072" s="9" t="str">
        <f t="shared" si="80"/>
        <v>N/I</v>
      </c>
      <c r="D1072" s="10" t="s">
        <v>3173</v>
      </c>
      <c r="E1072" s="11" t="s">
        <v>3138</v>
      </c>
      <c r="F1072" s="11" t="s">
        <v>3265</v>
      </c>
      <c r="G1072" s="12" t="s">
        <v>94</v>
      </c>
      <c r="H1072" s="16">
        <v>170253.0</v>
      </c>
      <c r="I1072" s="12" t="s">
        <v>643</v>
      </c>
      <c r="J1072" s="10" t="s">
        <v>583</v>
      </c>
      <c r="K1072" s="10" t="s">
        <v>41</v>
      </c>
      <c r="L1072" s="10" t="s">
        <v>4</v>
      </c>
      <c r="M1072" s="22">
        <v>43320.0</v>
      </c>
      <c r="N1072" s="32" t="s">
        <v>3259</v>
      </c>
      <c r="O1072" s="10" t="s">
        <v>1411</v>
      </c>
      <c r="P1072" s="10" t="s">
        <v>3186</v>
      </c>
      <c r="Q1072" s="2"/>
      <c r="R1072" s="10">
        <v>60.0</v>
      </c>
      <c r="S1072" s="14">
        <v>43313.0</v>
      </c>
      <c r="T1072" s="14">
        <v>45139.0</v>
      </c>
      <c r="U1072" s="55">
        <f t="shared" si="87"/>
        <v>-952</v>
      </c>
      <c r="V1072" s="2"/>
      <c r="W1072" s="15"/>
      <c r="X1072" s="15"/>
      <c r="Y1072" s="15"/>
      <c r="Z1072" s="15"/>
      <c r="AA1072" s="2"/>
      <c r="AB1072" s="15"/>
      <c r="AC1072" s="15"/>
      <c r="AD1072" s="15"/>
      <c r="AE1072" s="15"/>
      <c r="AF1072" s="2"/>
      <c r="AG1072" s="10" t="s">
        <v>290</v>
      </c>
      <c r="AH1072" s="12" t="s">
        <v>46</v>
      </c>
      <c r="AI1072" s="10" t="s">
        <v>3183</v>
      </c>
      <c r="AJ1072" s="10" t="s">
        <v>291</v>
      </c>
      <c r="AK1072" s="10" t="s">
        <v>2893</v>
      </c>
      <c r="AL1072" s="10" t="s">
        <v>49</v>
      </c>
      <c r="AM1072" s="16" t="s">
        <v>45</v>
      </c>
      <c r="AN1072" s="10" t="s">
        <v>50</v>
      </c>
    </row>
    <row r="1073" ht="30.0" customHeight="1">
      <c r="A1073" s="9" t="str">
        <f t="shared" si="48"/>
        <v>Inativo</v>
      </c>
      <c r="B1073" s="9" t="str">
        <f t="shared" si="49"/>
        <v>N/I</v>
      </c>
      <c r="C1073" s="9" t="str">
        <f t="shared" si="80"/>
        <v>N/I</v>
      </c>
      <c r="D1073" s="10" t="s">
        <v>3173</v>
      </c>
      <c r="E1073" s="11" t="s">
        <v>3138</v>
      </c>
      <c r="F1073" s="11" t="s">
        <v>3266</v>
      </c>
      <c r="G1073" s="12" t="s">
        <v>3230</v>
      </c>
      <c r="H1073" s="16" t="s">
        <v>3267</v>
      </c>
      <c r="I1073" s="12" t="s">
        <v>643</v>
      </c>
      <c r="J1073" s="10" t="s">
        <v>583</v>
      </c>
      <c r="K1073" s="10" t="s">
        <v>41</v>
      </c>
      <c r="L1073" s="10" t="s">
        <v>4</v>
      </c>
      <c r="M1073" s="22">
        <v>43752.0</v>
      </c>
      <c r="N1073" s="32" t="s">
        <v>3259</v>
      </c>
      <c r="O1073" s="10" t="s">
        <v>1411</v>
      </c>
      <c r="P1073" s="10" t="s">
        <v>3234</v>
      </c>
      <c r="Q1073" s="2"/>
      <c r="R1073" s="10">
        <v>24.0</v>
      </c>
      <c r="S1073" s="14">
        <v>43752.0</v>
      </c>
      <c r="T1073" s="14">
        <v>44483.0</v>
      </c>
      <c r="U1073" s="10">
        <f t="shared" si="87"/>
        <v>-1608</v>
      </c>
      <c r="V1073" s="2"/>
      <c r="W1073" s="15"/>
      <c r="X1073" s="15"/>
      <c r="Y1073" s="15"/>
      <c r="Z1073" s="15"/>
      <c r="AA1073" s="2"/>
      <c r="AB1073" s="15"/>
      <c r="AC1073" s="15"/>
      <c r="AD1073" s="15"/>
      <c r="AE1073" s="15"/>
      <c r="AF1073" s="2"/>
      <c r="AG1073" s="16" t="s">
        <v>45</v>
      </c>
      <c r="AH1073" s="16" t="s">
        <v>45</v>
      </c>
      <c r="AI1073" s="16" t="s">
        <v>45</v>
      </c>
      <c r="AJ1073" s="16" t="s">
        <v>45</v>
      </c>
      <c r="AK1073" s="16" t="s">
        <v>45</v>
      </c>
      <c r="AL1073" s="16" t="s">
        <v>45</v>
      </c>
      <c r="AM1073" s="16" t="s">
        <v>45</v>
      </c>
      <c r="AN1073" s="16" t="s">
        <v>45</v>
      </c>
    </row>
    <row r="1074" ht="30.0" customHeight="1">
      <c r="A1074" s="9" t="str">
        <f t="shared" si="48"/>
        <v>Inativo</v>
      </c>
      <c r="B1074" s="9" t="str">
        <f t="shared" si="49"/>
        <v>N/I</v>
      </c>
      <c r="C1074" s="9" t="str">
        <f t="shared" si="80"/>
        <v>N/I</v>
      </c>
      <c r="D1074" s="10" t="s">
        <v>3173</v>
      </c>
      <c r="E1074" s="11" t="s">
        <v>3138</v>
      </c>
      <c r="F1074" s="11" t="s">
        <v>3268</v>
      </c>
      <c r="G1074" s="12" t="s">
        <v>3230</v>
      </c>
      <c r="H1074" s="16" t="s">
        <v>3269</v>
      </c>
      <c r="I1074" s="12" t="s">
        <v>643</v>
      </c>
      <c r="J1074" s="10" t="s">
        <v>583</v>
      </c>
      <c r="K1074" s="10" t="s">
        <v>41</v>
      </c>
      <c r="L1074" s="10" t="s">
        <v>4</v>
      </c>
      <c r="M1074" s="22">
        <v>43754.0</v>
      </c>
      <c r="N1074" s="32" t="s">
        <v>3259</v>
      </c>
      <c r="O1074" s="10" t="s">
        <v>1411</v>
      </c>
      <c r="P1074" s="10" t="s">
        <v>3234</v>
      </c>
      <c r="Q1074" s="2"/>
      <c r="R1074" s="10">
        <v>24.0</v>
      </c>
      <c r="S1074" s="14">
        <v>43754.0</v>
      </c>
      <c r="T1074" s="14">
        <v>44485.0</v>
      </c>
      <c r="U1074" s="10">
        <f t="shared" si="87"/>
        <v>-1606</v>
      </c>
      <c r="V1074" s="2"/>
      <c r="W1074" s="15"/>
      <c r="X1074" s="15"/>
      <c r="Y1074" s="15"/>
      <c r="Z1074" s="15"/>
      <c r="AA1074" s="2"/>
      <c r="AB1074" s="15"/>
      <c r="AC1074" s="15"/>
      <c r="AD1074" s="15"/>
      <c r="AE1074" s="15"/>
      <c r="AF1074" s="2"/>
      <c r="AG1074" s="16" t="s">
        <v>45</v>
      </c>
      <c r="AH1074" s="16" t="s">
        <v>45</v>
      </c>
      <c r="AI1074" s="16" t="s">
        <v>45</v>
      </c>
      <c r="AJ1074" s="16" t="s">
        <v>45</v>
      </c>
      <c r="AK1074" s="16" t="s">
        <v>45</v>
      </c>
      <c r="AL1074" s="16" t="s">
        <v>45</v>
      </c>
      <c r="AM1074" s="16" t="s">
        <v>45</v>
      </c>
      <c r="AN1074" s="16" t="s">
        <v>45</v>
      </c>
    </row>
    <row r="1075" ht="30.0" customHeight="1">
      <c r="A1075" s="9" t="str">
        <f t="shared" si="48"/>
        <v>Inativo</v>
      </c>
      <c r="B1075" s="9" t="str">
        <f t="shared" si="49"/>
        <v>N/I</v>
      </c>
      <c r="C1075" s="9" t="str">
        <f t="shared" si="80"/>
        <v>N/I</v>
      </c>
      <c r="D1075" s="10" t="s">
        <v>3173</v>
      </c>
      <c r="E1075" s="11" t="s">
        <v>3138</v>
      </c>
      <c r="F1075" s="11" t="s">
        <v>3270</v>
      </c>
      <c r="G1075" s="12" t="s">
        <v>3230</v>
      </c>
      <c r="H1075" s="16" t="s">
        <v>3271</v>
      </c>
      <c r="I1075" s="12" t="s">
        <v>643</v>
      </c>
      <c r="J1075" s="10" t="s">
        <v>583</v>
      </c>
      <c r="K1075" s="10" t="s">
        <v>41</v>
      </c>
      <c r="L1075" s="10" t="s">
        <v>4</v>
      </c>
      <c r="M1075" s="22">
        <v>43755.0</v>
      </c>
      <c r="N1075" s="32" t="s">
        <v>3259</v>
      </c>
      <c r="O1075" s="10" t="s">
        <v>1411</v>
      </c>
      <c r="P1075" s="10" t="s">
        <v>3234</v>
      </c>
      <c r="Q1075" s="2"/>
      <c r="R1075" s="10">
        <v>24.0</v>
      </c>
      <c r="S1075" s="14">
        <v>43755.0</v>
      </c>
      <c r="T1075" s="14">
        <v>44486.0</v>
      </c>
      <c r="U1075" s="10">
        <f t="shared" si="87"/>
        <v>-1605</v>
      </c>
      <c r="V1075" s="2"/>
      <c r="W1075" s="15"/>
      <c r="X1075" s="15"/>
      <c r="Y1075" s="15"/>
      <c r="Z1075" s="15"/>
      <c r="AA1075" s="2"/>
      <c r="AB1075" s="15"/>
      <c r="AC1075" s="15"/>
      <c r="AD1075" s="15"/>
      <c r="AE1075" s="15"/>
      <c r="AF1075" s="2"/>
      <c r="AG1075" s="16" t="s">
        <v>45</v>
      </c>
      <c r="AH1075" s="16" t="s">
        <v>45</v>
      </c>
      <c r="AI1075" s="16" t="s">
        <v>45</v>
      </c>
      <c r="AJ1075" s="16" t="s">
        <v>45</v>
      </c>
      <c r="AK1075" s="16" t="s">
        <v>45</v>
      </c>
      <c r="AL1075" s="16" t="s">
        <v>45</v>
      </c>
      <c r="AM1075" s="16" t="s">
        <v>45</v>
      </c>
      <c r="AN1075" s="16" t="s">
        <v>45</v>
      </c>
    </row>
    <row r="1076" ht="30.0" customHeight="1">
      <c r="A1076" s="9" t="str">
        <f t="shared" si="48"/>
        <v>Inativo</v>
      </c>
      <c r="B1076" s="9" t="str">
        <f t="shared" si="49"/>
        <v>N/I</v>
      </c>
      <c r="C1076" s="9" t="str">
        <f t="shared" si="80"/>
        <v>N/I</v>
      </c>
      <c r="D1076" s="10" t="s">
        <v>3173</v>
      </c>
      <c r="E1076" s="11" t="s">
        <v>3138</v>
      </c>
      <c r="F1076" s="11" t="s">
        <v>3270</v>
      </c>
      <c r="G1076" s="12" t="s">
        <v>94</v>
      </c>
      <c r="H1076" s="36" t="s">
        <v>3272</v>
      </c>
      <c r="I1076" s="12" t="s">
        <v>3273</v>
      </c>
      <c r="J1076" s="10" t="s">
        <v>583</v>
      </c>
      <c r="K1076" s="10" t="s">
        <v>41</v>
      </c>
      <c r="L1076" s="10" t="s">
        <v>4</v>
      </c>
      <c r="M1076" s="22">
        <v>44071.0</v>
      </c>
      <c r="N1076" s="32" t="s">
        <v>3274</v>
      </c>
      <c r="O1076" s="10" t="s">
        <v>1411</v>
      </c>
      <c r="P1076" s="10" t="s">
        <v>3179</v>
      </c>
      <c r="Q1076" s="2"/>
      <c r="R1076" s="10">
        <v>60.0</v>
      </c>
      <c r="S1076" s="14">
        <v>44071.0</v>
      </c>
      <c r="T1076" s="14">
        <v>45897.0</v>
      </c>
      <c r="U1076" s="10">
        <f t="shared" si="87"/>
        <v>-194</v>
      </c>
      <c r="V1076" s="2"/>
      <c r="W1076" s="15"/>
      <c r="X1076" s="15"/>
      <c r="Y1076" s="15"/>
      <c r="Z1076" s="15"/>
      <c r="AA1076" s="2"/>
      <c r="AB1076" s="15"/>
      <c r="AC1076" s="15"/>
      <c r="AD1076" s="15"/>
      <c r="AE1076" s="15"/>
      <c r="AF1076" s="2"/>
      <c r="AG1076" s="10" t="s">
        <v>290</v>
      </c>
      <c r="AH1076" s="12" t="s">
        <v>46</v>
      </c>
      <c r="AI1076" s="10" t="s">
        <v>227</v>
      </c>
      <c r="AJ1076" s="10" t="s">
        <v>291</v>
      </c>
      <c r="AK1076" s="16" t="s">
        <v>45</v>
      </c>
      <c r="AL1076" s="10" t="s">
        <v>49</v>
      </c>
      <c r="AM1076" s="16" t="s">
        <v>45</v>
      </c>
      <c r="AN1076" s="10" t="s">
        <v>50</v>
      </c>
    </row>
    <row r="1077" ht="30.0" customHeight="1">
      <c r="A1077" s="9" t="str">
        <f t="shared" si="48"/>
        <v>Inativo</v>
      </c>
      <c r="B1077" s="9" t="str">
        <f t="shared" si="49"/>
        <v>N/I</v>
      </c>
      <c r="C1077" s="9" t="str">
        <f t="shared" si="80"/>
        <v>N/I</v>
      </c>
      <c r="D1077" s="10" t="s">
        <v>3173</v>
      </c>
      <c r="E1077" s="11" t="s">
        <v>3138</v>
      </c>
      <c r="F1077" s="11" t="s">
        <v>1458</v>
      </c>
      <c r="G1077" s="12" t="s">
        <v>94</v>
      </c>
      <c r="H1077" s="16">
        <v>170245.0</v>
      </c>
      <c r="I1077" s="12" t="s">
        <v>1455</v>
      </c>
      <c r="J1077" s="10" t="s">
        <v>583</v>
      </c>
      <c r="K1077" s="10" t="s">
        <v>41</v>
      </c>
      <c r="L1077" s="10" t="s">
        <v>4</v>
      </c>
      <c r="M1077" s="22">
        <v>43311.0</v>
      </c>
      <c r="N1077" s="32" t="s">
        <v>1460</v>
      </c>
      <c r="O1077" s="10" t="s">
        <v>3275</v>
      </c>
      <c r="P1077" s="10" t="s">
        <v>3186</v>
      </c>
      <c r="Q1077" s="2"/>
      <c r="R1077" s="10">
        <v>60.0</v>
      </c>
      <c r="S1077" s="14">
        <v>43311.0</v>
      </c>
      <c r="T1077" s="14">
        <v>45137.0</v>
      </c>
      <c r="U1077" s="55">
        <f t="shared" si="87"/>
        <v>-954</v>
      </c>
      <c r="V1077" s="2"/>
      <c r="W1077" s="15"/>
      <c r="X1077" s="15"/>
      <c r="Y1077" s="15"/>
      <c r="Z1077" s="15"/>
      <c r="AA1077" s="1"/>
      <c r="AB1077" s="15"/>
      <c r="AC1077" s="15"/>
      <c r="AD1077" s="15"/>
      <c r="AE1077" s="15"/>
      <c r="AF1077" s="2"/>
      <c r="AG1077" s="10" t="s">
        <v>290</v>
      </c>
      <c r="AH1077" s="12" t="s">
        <v>46</v>
      </c>
      <c r="AI1077" s="10" t="s">
        <v>3183</v>
      </c>
      <c r="AJ1077" s="10" t="s">
        <v>291</v>
      </c>
      <c r="AK1077" s="10" t="s">
        <v>2893</v>
      </c>
      <c r="AL1077" s="10" t="s">
        <v>49</v>
      </c>
      <c r="AM1077" s="16" t="s">
        <v>45</v>
      </c>
      <c r="AN1077" s="10" t="s">
        <v>50</v>
      </c>
    </row>
    <row r="1078" ht="30.0" customHeight="1">
      <c r="A1078" s="9" t="str">
        <f t="shared" si="48"/>
        <v>Inativo</v>
      </c>
      <c r="B1078" s="9" t="str">
        <f t="shared" si="49"/>
        <v>N/I</v>
      </c>
      <c r="C1078" s="9" t="str">
        <f t="shared" si="80"/>
        <v>N/I</v>
      </c>
      <c r="D1078" s="10" t="s">
        <v>3173</v>
      </c>
      <c r="E1078" s="11" t="s">
        <v>3138</v>
      </c>
      <c r="F1078" s="11" t="s">
        <v>3276</v>
      </c>
      <c r="G1078" s="12" t="s">
        <v>94</v>
      </c>
      <c r="H1078" s="16">
        <v>170256.0</v>
      </c>
      <c r="I1078" s="12" t="s">
        <v>1455</v>
      </c>
      <c r="J1078" s="10" t="s">
        <v>583</v>
      </c>
      <c r="K1078" s="10" t="s">
        <v>41</v>
      </c>
      <c r="L1078" s="10" t="s">
        <v>4</v>
      </c>
      <c r="M1078" s="22">
        <v>43311.0</v>
      </c>
      <c r="N1078" s="32" t="s">
        <v>3277</v>
      </c>
      <c r="O1078" s="10" t="s">
        <v>1457</v>
      </c>
      <c r="P1078" s="10" t="s">
        <v>3186</v>
      </c>
      <c r="Q1078" s="2"/>
      <c r="R1078" s="10">
        <v>60.0</v>
      </c>
      <c r="S1078" s="14">
        <v>43311.0</v>
      </c>
      <c r="T1078" s="14">
        <v>45137.0</v>
      </c>
      <c r="U1078" s="55">
        <f t="shared" si="87"/>
        <v>-954</v>
      </c>
      <c r="V1078" s="2"/>
      <c r="W1078" s="15"/>
      <c r="X1078" s="15"/>
      <c r="Y1078" s="15"/>
      <c r="Z1078" s="15"/>
      <c r="AA1078" s="1"/>
      <c r="AB1078" s="15"/>
      <c r="AC1078" s="15"/>
      <c r="AD1078" s="15"/>
      <c r="AE1078" s="15"/>
      <c r="AF1078" s="2"/>
      <c r="AG1078" s="10" t="s">
        <v>290</v>
      </c>
      <c r="AH1078" s="12" t="s">
        <v>46</v>
      </c>
      <c r="AI1078" s="10" t="s">
        <v>3183</v>
      </c>
      <c r="AJ1078" s="10" t="s">
        <v>291</v>
      </c>
      <c r="AK1078" s="10" t="s">
        <v>2893</v>
      </c>
      <c r="AL1078" s="10" t="s">
        <v>49</v>
      </c>
      <c r="AM1078" s="16" t="s">
        <v>45</v>
      </c>
      <c r="AN1078" s="10" t="s">
        <v>50</v>
      </c>
    </row>
    <row r="1079" ht="30.0" customHeight="1">
      <c r="A1079" s="9" t="str">
        <f t="shared" si="48"/>
        <v>Ativo</v>
      </c>
      <c r="B1079" s="9" t="str">
        <f t="shared" si="49"/>
        <v>N/I</v>
      </c>
      <c r="C1079" s="9" t="str">
        <f t="shared" si="80"/>
        <v>N/I</v>
      </c>
      <c r="D1079" s="10" t="s">
        <v>3173</v>
      </c>
      <c r="E1079" s="11" t="s">
        <v>3138</v>
      </c>
      <c r="F1079" s="11" t="s">
        <v>3278</v>
      </c>
      <c r="G1079" s="12" t="s">
        <v>94</v>
      </c>
      <c r="H1079" s="13" t="s">
        <v>3279</v>
      </c>
      <c r="I1079" s="12" t="s">
        <v>1455</v>
      </c>
      <c r="J1079" s="10" t="s">
        <v>583</v>
      </c>
      <c r="K1079" s="10" t="s">
        <v>41</v>
      </c>
      <c r="L1079" s="10" t="s">
        <v>4</v>
      </c>
      <c r="M1079" s="22">
        <v>45183.0</v>
      </c>
      <c r="N1079" s="32" t="s">
        <v>3280</v>
      </c>
      <c r="O1079" s="10" t="s">
        <v>3281</v>
      </c>
      <c r="P1079" s="10" t="s">
        <v>3282</v>
      </c>
      <c r="Q1079" s="2"/>
      <c r="R1079" s="10">
        <v>60.0</v>
      </c>
      <c r="S1079" s="14">
        <v>45183.0</v>
      </c>
      <c r="T1079" s="14">
        <v>47009.0</v>
      </c>
      <c r="U1079" s="10">
        <f t="shared" si="87"/>
        <v>918</v>
      </c>
      <c r="V1079" s="2"/>
      <c r="W1079" s="15"/>
      <c r="X1079" s="15"/>
      <c r="Y1079" s="15"/>
      <c r="Z1079" s="15"/>
      <c r="AA1079" s="2"/>
      <c r="AB1079" s="15"/>
      <c r="AC1079" s="15"/>
      <c r="AD1079" s="15"/>
      <c r="AE1079" s="15"/>
      <c r="AF1079" s="2"/>
      <c r="AG1079" s="10" t="s">
        <v>290</v>
      </c>
      <c r="AH1079" s="12" t="s">
        <v>46</v>
      </c>
      <c r="AI1079" s="10" t="s">
        <v>3183</v>
      </c>
      <c r="AJ1079" s="10" t="s">
        <v>291</v>
      </c>
      <c r="AK1079" s="16" t="s">
        <v>45</v>
      </c>
      <c r="AL1079" s="10" t="s">
        <v>49</v>
      </c>
      <c r="AM1079" s="16" t="s">
        <v>45</v>
      </c>
      <c r="AN1079" s="10" t="s">
        <v>50</v>
      </c>
    </row>
    <row r="1080" ht="30.0" customHeight="1">
      <c r="A1080" s="9" t="str">
        <f t="shared" si="48"/>
        <v>Ativo</v>
      </c>
      <c r="B1080" s="9" t="str">
        <f t="shared" si="49"/>
        <v>N/I</v>
      </c>
      <c r="C1080" s="9" t="str">
        <f t="shared" si="80"/>
        <v>N/I</v>
      </c>
      <c r="D1080" s="10" t="s">
        <v>3173</v>
      </c>
      <c r="E1080" s="11" t="s">
        <v>3138</v>
      </c>
      <c r="F1080" s="11" t="s">
        <v>3278</v>
      </c>
      <c r="G1080" s="12" t="s">
        <v>502</v>
      </c>
      <c r="H1080" s="13" t="s">
        <v>3283</v>
      </c>
      <c r="I1080" s="12" t="s">
        <v>1455</v>
      </c>
      <c r="J1080" s="10" t="s">
        <v>583</v>
      </c>
      <c r="K1080" s="10" t="s">
        <v>41</v>
      </c>
      <c r="L1080" s="10" t="s">
        <v>4</v>
      </c>
      <c r="M1080" s="22">
        <v>45188.0</v>
      </c>
      <c r="N1080" s="32" t="s">
        <v>3284</v>
      </c>
      <c r="O1080" s="10" t="s">
        <v>3285</v>
      </c>
      <c r="P1080" s="10" t="s">
        <v>3282</v>
      </c>
      <c r="Q1080" s="2"/>
      <c r="R1080" s="10">
        <v>60.0</v>
      </c>
      <c r="S1080" s="14">
        <v>45188.0</v>
      </c>
      <c r="T1080" s="14">
        <v>47014.0</v>
      </c>
      <c r="U1080" s="10">
        <f t="shared" si="87"/>
        <v>923</v>
      </c>
      <c r="V1080" s="2"/>
      <c r="W1080" s="15"/>
      <c r="X1080" s="15"/>
      <c r="Y1080" s="15"/>
      <c r="Z1080" s="15"/>
      <c r="AA1080" s="2"/>
      <c r="AB1080" s="15"/>
      <c r="AC1080" s="15"/>
      <c r="AD1080" s="15"/>
      <c r="AE1080" s="15"/>
      <c r="AF1080" s="2"/>
      <c r="AG1080" s="10" t="s">
        <v>290</v>
      </c>
      <c r="AH1080" s="12" t="s">
        <v>46</v>
      </c>
      <c r="AI1080" s="10" t="s">
        <v>3183</v>
      </c>
      <c r="AJ1080" s="10" t="s">
        <v>291</v>
      </c>
      <c r="AK1080" s="16" t="s">
        <v>45</v>
      </c>
      <c r="AL1080" s="10" t="s">
        <v>49</v>
      </c>
      <c r="AM1080" s="16" t="s">
        <v>45</v>
      </c>
      <c r="AN1080" s="10" t="s">
        <v>50</v>
      </c>
    </row>
    <row r="1081" ht="30.0" customHeight="1">
      <c r="A1081" s="9" t="str">
        <f t="shared" si="48"/>
        <v>Inativo</v>
      </c>
      <c r="B1081" s="9" t="str">
        <f t="shared" si="49"/>
        <v>N/I</v>
      </c>
      <c r="C1081" s="9" t="str">
        <f t="shared" si="80"/>
        <v>N/I</v>
      </c>
      <c r="D1081" s="10" t="s">
        <v>3173</v>
      </c>
      <c r="E1081" s="11" t="s">
        <v>3138</v>
      </c>
      <c r="F1081" s="32" t="s">
        <v>3286</v>
      </c>
      <c r="G1081" s="12" t="s">
        <v>94</v>
      </c>
      <c r="H1081" s="16">
        <v>180233.0</v>
      </c>
      <c r="I1081" s="12" t="s">
        <v>1479</v>
      </c>
      <c r="J1081" s="10" t="s">
        <v>583</v>
      </c>
      <c r="K1081" s="10" t="s">
        <v>41</v>
      </c>
      <c r="L1081" s="10" t="s">
        <v>4</v>
      </c>
      <c r="M1081" s="22">
        <v>43613.0</v>
      </c>
      <c r="N1081" s="32" t="s">
        <v>3287</v>
      </c>
      <c r="O1081" s="10" t="s">
        <v>3288</v>
      </c>
      <c r="P1081" s="10" t="s">
        <v>3244</v>
      </c>
      <c r="Q1081" s="2"/>
      <c r="R1081" s="10">
        <v>60.0</v>
      </c>
      <c r="S1081" s="14">
        <v>43613.0</v>
      </c>
      <c r="T1081" s="14">
        <v>45440.0</v>
      </c>
      <c r="U1081" s="55">
        <f t="shared" si="87"/>
        <v>-651</v>
      </c>
      <c r="V1081" s="2"/>
      <c r="W1081" s="15"/>
      <c r="X1081" s="15"/>
      <c r="Y1081" s="15"/>
      <c r="Z1081" s="15"/>
      <c r="AA1081" s="2"/>
      <c r="AB1081" s="15"/>
      <c r="AC1081" s="15"/>
      <c r="AD1081" s="15"/>
      <c r="AE1081" s="15"/>
      <c r="AF1081" s="2"/>
      <c r="AG1081" s="10" t="s">
        <v>290</v>
      </c>
      <c r="AH1081" s="12" t="s">
        <v>46</v>
      </c>
      <c r="AI1081" s="10" t="s">
        <v>3183</v>
      </c>
      <c r="AJ1081" s="10" t="s">
        <v>291</v>
      </c>
      <c r="AK1081" s="10" t="s">
        <v>2893</v>
      </c>
      <c r="AL1081" s="10" t="s">
        <v>49</v>
      </c>
      <c r="AM1081" s="16" t="s">
        <v>45</v>
      </c>
      <c r="AN1081" s="10" t="s">
        <v>50</v>
      </c>
    </row>
    <row r="1082" ht="30.0" customHeight="1">
      <c r="A1082" s="9" t="str">
        <f t="shared" si="48"/>
        <v>Inativo</v>
      </c>
      <c r="B1082" s="9" t="str">
        <f t="shared" si="49"/>
        <v>N/I</v>
      </c>
      <c r="C1082" s="9" t="str">
        <f t="shared" si="80"/>
        <v>N/I</v>
      </c>
      <c r="D1082" s="10" t="s">
        <v>3173</v>
      </c>
      <c r="E1082" s="11" t="s">
        <v>3138</v>
      </c>
      <c r="F1082" s="32" t="s">
        <v>3289</v>
      </c>
      <c r="G1082" s="12" t="s">
        <v>94</v>
      </c>
      <c r="H1082" s="16">
        <v>180237.0</v>
      </c>
      <c r="I1082" s="12" t="s">
        <v>3290</v>
      </c>
      <c r="J1082" s="10" t="s">
        <v>583</v>
      </c>
      <c r="K1082" s="10" t="s">
        <v>41</v>
      </c>
      <c r="L1082" s="10" t="s">
        <v>4</v>
      </c>
      <c r="M1082" s="22">
        <v>43487.0</v>
      </c>
      <c r="N1082" s="32" t="s">
        <v>3291</v>
      </c>
      <c r="O1082" s="10" t="s">
        <v>3292</v>
      </c>
      <c r="P1082" s="10" t="s">
        <v>3182</v>
      </c>
      <c r="Q1082" s="2"/>
      <c r="R1082" s="10">
        <v>60.0</v>
      </c>
      <c r="S1082" s="14">
        <v>43487.0</v>
      </c>
      <c r="T1082" s="14">
        <v>45313.0</v>
      </c>
      <c r="U1082" s="55">
        <f t="shared" si="87"/>
        <v>-778</v>
      </c>
      <c r="V1082" s="2"/>
      <c r="W1082" s="15"/>
      <c r="X1082" s="15"/>
      <c r="Y1082" s="15"/>
      <c r="Z1082" s="15"/>
      <c r="AA1082" s="2"/>
      <c r="AB1082" s="15"/>
      <c r="AC1082" s="15"/>
      <c r="AD1082" s="15"/>
      <c r="AE1082" s="15"/>
      <c r="AF1082" s="2"/>
      <c r="AG1082" s="10" t="s">
        <v>290</v>
      </c>
      <c r="AH1082" s="12" t="s">
        <v>46</v>
      </c>
      <c r="AI1082" s="10" t="s">
        <v>3183</v>
      </c>
      <c r="AJ1082" s="10" t="s">
        <v>291</v>
      </c>
      <c r="AK1082" s="10" t="s">
        <v>2893</v>
      </c>
      <c r="AL1082" s="10" t="s">
        <v>49</v>
      </c>
      <c r="AM1082" s="16" t="s">
        <v>45</v>
      </c>
      <c r="AN1082" s="10" t="s">
        <v>50</v>
      </c>
    </row>
    <row r="1083" ht="30.0" customHeight="1">
      <c r="A1083" s="9" t="str">
        <f t="shared" si="48"/>
        <v>Inativo</v>
      </c>
      <c r="B1083" s="9" t="str">
        <f t="shared" si="49"/>
        <v>N/I</v>
      </c>
      <c r="C1083" s="9" t="str">
        <f t="shared" si="80"/>
        <v>N/I</v>
      </c>
      <c r="D1083" s="10" t="s">
        <v>3293</v>
      </c>
      <c r="E1083" s="11" t="s">
        <v>3138</v>
      </c>
      <c r="F1083" s="11" t="s">
        <v>3294</v>
      </c>
      <c r="G1083" s="12" t="s">
        <v>94</v>
      </c>
      <c r="H1083" s="27" t="s">
        <v>3295</v>
      </c>
      <c r="I1083" s="12" t="s">
        <v>1053</v>
      </c>
      <c r="J1083" s="10" t="s">
        <v>222</v>
      </c>
      <c r="K1083" s="10" t="s">
        <v>40</v>
      </c>
      <c r="L1083" s="10" t="s">
        <v>4</v>
      </c>
      <c r="M1083" s="22">
        <v>43628.0</v>
      </c>
      <c r="N1083" s="32" t="s">
        <v>3296</v>
      </c>
      <c r="O1083" s="10" t="s">
        <v>3297</v>
      </c>
      <c r="P1083" s="10" t="s">
        <v>3298</v>
      </c>
      <c r="Q1083" s="2"/>
      <c r="R1083" s="10">
        <v>24.0</v>
      </c>
      <c r="S1083" s="14">
        <v>43683.0</v>
      </c>
      <c r="T1083" s="14">
        <v>44413.0</v>
      </c>
      <c r="U1083" s="55">
        <f t="shared" si="87"/>
        <v>-1678</v>
      </c>
      <c r="V1083" s="2"/>
      <c r="W1083" s="15"/>
      <c r="X1083" s="15"/>
      <c r="Y1083" s="15"/>
      <c r="Z1083" s="15"/>
      <c r="AA1083" s="2"/>
      <c r="AB1083" s="15"/>
      <c r="AC1083" s="15"/>
      <c r="AD1083" s="15"/>
      <c r="AE1083" s="15"/>
      <c r="AF1083" s="2"/>
      <c r="AG1083" s="16" t="s">
        <v>45</v>
      </c>
      <c r="AH1083" s="16" t="s">
        <v>45</v>
      </c>
      <c r="AI1083" s="16" t="s">
        <v>45</v>
      </c>
      <c r="AJ1083" s="16" t="s">
        <v>45</v>
      </c>
      <c r="AK1083" s="16" t="s">
        <v>45</v>
      </c>
      <c r="AL1083" s="16" t="s">
        <v>45</v>
      </c>
      <c r="AM1083" s="16" t="s">
        <v>45</v>
      </c>
      <c r="AN1083" s="16" t="s">
        <v>45</v>
      </c>
    </row>
    <row r="1084" ht="30.0" customHeight="1">
      <c r="A1084" s="9" t="str">
        <f t="shared" si="48"/>
        <v>Inativo</v>
      </c>
      <c r="B1084" s="9" t="str">
        <f t="shared" si="49"/>
        <v>N/I</v>
      </c>
      <c r="C1084" s="9" t="str">
        <f t="shared" si="80"/>
        <v>N/I</v>
      </c>
      <c r="D1084" s="10" t="s">
        <v>3293</v>
      </c>
      <c r="E1084" s="11" t="s">
        <v>3138</v>
      </c>
      <c r="F1084" s="11" t="s">
        <v>3299</v>
      </c>
      <c r="G1084" s="12" t="s">
        <v>94</v>
      </c>
      <c r="H1084" s="27" t="s">
        <v>3300</v>
      </c>
      <c r="I1084" s="12" t="s">
        <v>1053</v>
      </c>
      <c r="J1084" s="10" t="s">
        <v>222</v>
      </c>
      <c r="K1084" s="10" t="s">
        <v>40</v>
      </c>
      <c r="L1084" s="10" t="s">
        <v>4</v>
      </c>
      <c r="M1084" s="22">
        <v>43628.0</v>
      </c>
      <c r="N1084" s="32" t="s">
        <v>3301</v>
      </c>
      <c r="O1084" s="10" t="s">
        <v>3302</v>
      </c>
      <c r="P1084" s="10" t="s">
        <v>3298</v>
      </c>
      <c r="Q1084" s="2"/>
      <c r="R1084" s="10">
        <v>24.0</v>
      </c>
      <c r="S1084" s="14">
        <v>43683.0</v>
      </c>
      <c r="T1084" s="14">
        <v>44413.0</v>
      </c>
      <c r="U1084" s="55">
        <f t="shared" si="87"/>
        <v>-1678</v>
      </c>
      <c r="V1084" s="2"/>
      <c r="W1084" s="15"/>
      <c r="X1084" s="15"/>
      <c r="Y1084" s="15"/>
      <c r="Z1084" s="15"/>
      <c r="AA1084" s="2"/>
      <c r="AB1084" s="15"/>
      <c r="AC1084" s="15"/>
      <c r="AD1084" s="15"/>
      <c r="AE1084" s="15"/>
      <c r="AF1084" s="2"/>
      <c r="AG1084" s="16" t="s">
        <v>45</v>
      </c>
      <c r="AH1084" s="16" t="s">
        <v>45</v>
      </c>
      <c r="AI1084" s="16" t="s">
        <v>45</v>
      </c>
      <c r="AJ1084" s="16" t="s">
        <v>45</v>
      </c>
      <c r="AK1084" s="16" t="s">
        <v>45</v>
      </c>
      <c r="AL1084" s="16" t="s">
        <v>45</v>
      </c>
      <c r="AM1084" s="16" t="s">
        <v>45</v>
      </c>
      <c r="AN1084" s="16" t="s">
        <v>45</v>
      </c>
    </row>
    <row r="1085" ht="30.0" customHeight="1">
      <c r="A1085" s="9" t="str">
        <f t="shared" si="48"/>
        <v>Inativo</v>
      </c>
      <c r="B1085" s="9" t="str">
        <f t="shared" si="49"/>
        <v>N/I</v>
      </c>
      <c r="C1085" s="9" t="str">
        <f t="shared" si="80"/>
        <v>N/I</v>
      </c>
      <c r="D1085" s="10" t="s">
        <v>3293</v>
      </c>
      <c r="E1085" s="11" t="s">
        <v>3138</v>
      </c>
      <c r="F1085" s="11" t="s">
        <v>3303</v>
      </c>
      <c r="G1085" s="12" t="s">
        <v>94</v>
      </c>
      <c r="H1085" s="27" t="s">
        <v>3304</v>
      </c>
      <c r="I1085" s="12" t="s">
        <v>3305</v>
      </c>
      <c r="J1085" s="10" t="s">
        <v>222</v>
      </c>
      <c r="K1085" s="10" t="s">
        <v>40</v>
      </c>
      <c r="L1085" s="10" t="s">
        <v>4</v>
      </c>
      <c r="M1085" s="22">
        <v>43626.0</v>
      </c>
      <c r="N1085" s="32" t="s">
        <v>3306</v>
      </c>
      <c r="O1085" s="10" t="s">
        <v>3307</v>
      </c>
      <c r="P1085" s="10" t="s">
        <v>3298</v>
      </c>
      <c r="Q1085" s="2"/>
      <c r="R1085" s="10">
        <v>24.0</v>
      </c>
      <c r="S1085" s="14">
        <v>43683.0</v>
      </c>
      <c r="T1085" s="14">
        <v>44413.0</v>
      </c>
      <c r="U1085" s="55">
        <f t="shared" si="87"/>
        <v>-1678</v>
      </c>
      <c r="V1085" s="2"/>
      <c r="W1085" s="15"/>
      <c r="X1085" s="15"/>
      <c r="Y1085" s="15"/>
      <c r="Z1085" s="15"/>
      <c r="AA1085" s="2"/>
      <c r="AB1085" s="15"/>
      <c r="AC1085" s="15"/>
      <c r="AD1085" s="15"/>
      <c r="AE1085" s="15"/>
      <c r="AF1085" s="2"/>
      <c r="AG1085" s="16" t="s">
        <v>45</v>
      </c>
      <c r="AH1085" s="16" t="s">
        <v>45</v>
      </c>
      <c r="AI1085" s="16" t="s">
        <v>45</v>
      </c>
      <c r="AJ1085" s="16" t="s">
        <v>45</v>
      </c>
      <c r="AK1085" s="16" t="s">
        <v>45</v>
      </c>
      <c r="AL1085" s="16" t="s">
        <v>45</v>
      </c>
      <c r="AM1085" s="16" t="s">
        <v>45</v>
      </c>
      <c r="AN1085" s="16" t="s">
        <v>45</v>
      </c>
    </row>
    <row r="1086" ht="30.0" customHeight="1">
      <c r="A1086" s="9" t="str">
        <f t="shared" si="48"/>
        <v>Inativo</v>
      </c>
      <c r="B1086" s="9" t="str">
        <f t="shared" si="49"/>
        <v>N/I</v>
      </c>
      <c r="C1086" s="9" t="str">
        <f t="shared" si="80"/>
        <v>N/I</v>
      </c>
      <c r="D1086" s="10" t="s">
        <v>3293</v>
      </c>
      <c r="E1086" s="11" t="s">
        <v>3138</v>
      </c>
      <c r="F1086" s="11" t="s">
        <v>3308</v>
      </c>
      <c r="G1086" s="12" t="s">
        <v>94</v>
      </c>
      <c r="H1086" s="27" t="s">
        <v>3309</v>
      </c>
      <c r="I1086" s="12" t="s">
        <v>3310</v>
      </c>
      <c r="J1086" s="10" t="s">
        <v>222</v>
      </c>
      <c r="K1086" s="10" t="s">
        <v>40</v>
      </c>
      <c r="L1086" s="10" t="s">
        <v>4</v>
      </c>
      <c r="M1086" s="22">
        <v>43630.0</v>
      </c>
      <c r="N1086" s="32" t="s">
        <v>3311</v>
      </c>
      <c r="O1086" s="10" t="s">
        <v>3312</v>
      </c>
      <c r="P1086" s="10" t="s">
        <v>3298</v>
      </c>
      <c r="Q1086" s="2"/>
      <c r="R1086" s="10">
        <v>24.0</v>
      </c>
      <c r="S1086" s="14">
        <v>43683.0</v>
      </c>
      <c r="T1086" s="14">
        <v>44413.0</v>
      </c>
      <c r="U1086" s="55">
        <f t="shared" si="87"/>
        <v>-1678</v>
      </c>
      <c r="V1086" s="2"/>
      <c r="W1086" s="15"/>
      <c r="X1086" s="15"/>
      <c r="Y1086" s="15"/>
      <c r="Z1086" s="15"/>
      <c r="AA1086" s="2"/>
      <c r="AB1086" s="15"/>
      <c r="AC1086" s="15"/>
      <c r="AD1086" s="15"/>
      <c r="AE1086" s="15"/>
      <c r="AF1086" s="2"/>
      <c r="AG1086" s="16" t="s">
        <v>45</v>
      </c>
      <c r="AH1086" s="16" t="s">
        <v>45</v>
      </c>
      <c r="AI1086" s="16" t="s">
        <v>45</v>
      </c>
      <c r="AJ1086" s="16" t="s">
        <v>45</v>
      </c>
      <c r="AK1086" s="16" t="s">
        <v>45</v>
      </c>
      <c r="AL1086" s="16" t="s">
        <v>45</v>
      </c>
      <c r="AM1086" s="16" t="s">
        <v>45</v>
      </c>
      <c r="AN1086" s="16" t="s">
        <v>45</v>
      </c>
    </row>
    <row r="1087" ht="30.0" customHeight="1">
      <c r="A1087" s="9" t="str">
        <f t="shared" si="48"/>
        <v>Inativo</v>
      </c>
      <c r="B1087" s="9" t="str">
        <f t="shared" si="49"/>
        <v>N/I</v>
      </c>
      <c r="C1087" s="9" t="str">
        <f t="shared" si="80"/>
        <v>N/I</v>
      </c>
      <c r="D1087" s="10" t="s">
        <v>3293</v>
      </c>
      <c r="E1087" s="11" t="s">
        <v>3138</v>
      </c>
      <c r="F1087" s="11" t="s">
        <v>3313</v>
      </c>
      <c r="G1087" s="12" t="s">
        <v>94</v>
      </c>
      <c r="H1087" s="27" t="s">
        <v>3314</v>
      </c>
      <c r="I1087" s="12" t="s">
        <v>1284</v>
      </c>
      <c r="J1087" s="10" t="s">
        <v>222</v>
      </c>
      <c r="K1087" s="10" t="s">
        <v>40</v>
      </c>
      <c r="L1087" s="10" t="s">
        <v>4</v>
      </c>
      <c r="M1087" s="22">
        <v>43634.0</v>
      </c>
      <c r="N1087" s="32" t="s">
        <v>3315</v>
      </c>
      <c r="O1087" s="10" t="s">
        <v>3316</v>
      </c>
      <c r="P1087" s="10" t="s">
        <v>3298</v>
      </c>
      <c r="Q1087" s="2"/>
      <c r="R1087" s="10">
        <v>24.0</v>
      </c>
      <c r="S1087" s="14">
        <v>43683.0</v>
      </c>
      <c r="T1087" s="14">
        <v>44413.0</v>
      </c>
      <c r="U1087" s="55">
        <f t="shared" si="87"/>
        <v>-1678</v>
      </c>
      <c r="V1087" s="2"/>
      <c r="W1087" s="15"/>
      <c r="X1087" s="15"/>
      <c r="Y1087" s="15"/>
      <c r="Z1087" s="15"/>
      <c r="AA1087" s="2"/>
      <c r="AB1087" s="15"/>
      <c r="AC1087" s="15"/>
      <c r="AD1087" s="15"/>
      <c r="AE1087" s="15"/>
      <c r="AF1087" s="2"/>
      <c r="AG1087" s="16" t="s">
        <v>45</v>
      </c>
      <c r="AH1087" s="16" t="s">
        <v>45</v>
      </c>
      <c r="AI1087" s="16" t="s">
        <v>45</v>
      </c>
      <c r="AJ1087" s="16" t="s">
        <v>45</v>
      </c>
      <c r="AK1087" s="16" t="s">
        <v>45</v>
      </c>
      <c r="AL1087" s="16" t="s">
        <v>45</v>
      </c>
      <c r="AM1087" s="16" t="s">
        <v>45</v>
      </c>
      <c r="AN1087" s="16" t="s">
        <v>45</v>
      </c>
    </row>
    <row r="1088" ht="30.0" customHeight="1">
      <c r="A1088" s="9" t="str">
        <f t="shared" si="48"/>
        <v>Inativo</v>
      </c>
      <c r="B1088" s="9" t="str">
        <f t="shared" si="49"/>
        <v>N/I</v>
      </c>
      <c r="C1088" s="9" t="str">
        <f t="shared" si="80"/>
        <v>N/I</v>
      </c>
      <c r="D1088" s="10" t="s">
        <v>3293</v>
      </c>
      <c r="E1088" s="11" t="s">
        <v>3138</v>
      </c>
      <c r="F1088" s="11" t="s">
        <v>3317</v>
      </c>
      <c r="G1088" s="12" t="s">
        <v>94</v>
      </c>
      <c r="H1088" s="27" t="s">
        <v>3318</v>
      </c>
      <c r="I1088" s="12" t="s">
        <v>3319</v>
      </c>
      <c r="J1088" s="10" t="s">
        <v>222</v>
      </c>
      <c r="K1088" s="10" t="s">
        <v>40</v>
      </c>
      <c r="L1088" s="10" t="s">
        <v>4</v>
      </c>
      <c r="M1088" s="22">
        <v>43633.0</v>
      </c>
      <c r="N1088" s="32" t="s">
        <v>3320</v>
      </c>
      <c r="O1088" s="10" t="s">
        <v>3321</v>
      </c>
      <c r="P1088" s="10" t="s">
        <v>3298</v>
      </c>
      <c r="Q1088" s="2"/>
      <c r="R1088" s="10">
        <v>24.0</v>
      </c>
      <c r="S1088" s="14">
        <v>43683.0</v>
      </c>
      <c r="T1088" s="14">
        <v>44413.0</v>
      </c>
      <c r="U1088" s="55">
        <f t="shared" si="87"/>
        <v>-1678</v>
      </c>
      <c r="V1088" s="2"/>
      <c r="W1088" s="15"/>
      <c r="X1088" s="15"/>
      <c r="Y1088" s="15"/>
      <c r="Z1088" s="15"/>
      <c r="AA1088" s="2"/>
      <c r="AB1088" s="15"/>
      <c r="AC1088" s="15"/>
      <c r="AD1088" s="15"/>
      <c r="AE1088" s="15"/>
      <c r="AF1088" s="2"/>
      <c r="AG1088" s="16" t="s">
        <v>45</v>
      </c>
      <c r="AH1088" s="16" t="s">
        <v>45</v>
      </c>
      <c r="AI1088" s="16" t="s">
        <v>45</v>
      </c>
      <c r="AJ1088" s="16" t="s">
        <v>45</v>
      </c>
      <c r="AK1088" s="16" t="s">
        <v>45</v>
      </c>
      <c r="AL1088" s="16" t="s">
        <v>45</v>
      </c>
      <c r="AM1088" s="16" t="s">
        <v>45</v>
      </c>
      <c r="AN1088" s="16" t="s">
        <v>45</v>
      </c>
    </row>
    <row r="1089" ht="30.0" customHeight="1">
      <c r="A1089" s="9" t="str">
        <f t="shared" si="48"/>
        <v>Inativo</v>
      </c>
      <c r="B1089" s="9" t="str">
        <f t="shared" si="49"/>
        <v>N/I</v>
      </c>
      <c r="C1089" s="9" t="str">
        <f t="shared" si="80"/>
        <v>N/I</v>
      </c>
      <c r="D1089" s="10" t="s">
        <v>3293</v>
      </c>
      <c r="E1089" s="11" t="s">
        <v>3138</v>
      </c>
      <c r="F1089" s="11" t="s">
        <v>3322</v>
      </c>
      <c r="G1089" s="12" t="s">
        <v>94</v>
      </c>
      <c r="H1089" s="27" t="s">
        <v>3323</v>
      </c>
      <c r="I1089" s="12" t="s">
        <v>463</v>
      </c>
      <c r="J1089" s="10" t="s">
        <v>222</v>
      </c>
      <c r="K1089" s="10" t="s">
        <v>40</v>
      </c>
      <c r="L1089" s="10" t="s">
        <v>4</v>
      </c>
      <c r="M1089" s="22">
        <v>43621.0</v>
      </c>
      <c r="N1089" s="32" t="s">
        <v>3324</v>
      </c>
      <c r="O1089" s="10" t="s">
        <v>1129</v>
      </c>
      <c r="P1089" s="10" t="s">
        <v>3298</v>
      </c>
      <c r="Q1089" s="2"/>
      <c r="R1089" s="10">
        <v>24.0</v>
      </c>
      <c r="S1089" s="14">
        <v>43683.0</v>
      </c>
      <c r="T1089" s="14">
        <v>44413.0</v>
      </c>
      <c r="U1089" s="55">
        <f t="shared" si="87"/>
        <v>-1678</v>
      </c>
      <c r="V1089" s="2"/>
      <c r="W1089" s="15"/>
      <c r="X1089" s="15"/>
      <c r="Y1089" s="15"/>
      <c r="Z1089" s="15"/>
      <c r="AA1089" s="2"/>
      <c r="AB1089" s="15"/>
      <c r="AC1089" s="15"/>
      <c r="AD1089" s="15"/>
      <c r="AE1089" s="15"/>
      <c r="AF1089" s="2"/>
      <c r="AG1089" s="16" t="s">
        <v>45</v>
      </c>
      <c r="AH1089" s="16" t="s">
        <v>45</v>
      </c>
      <c r="AI1089" s="16" t="s">
        <v>45</v>
      </c>
      <c r="AJ1089" s="16" t="s">
        <v>45</v>
      </c>
      <c r="AK1089" s="16" t="s">
        <v>45</v>
      </c>
      <c r="AL1089" s="16" t="s">
        <v>45</v>
      </c>
      <c r="AM1089" s="16" t="s">
        <v>45</v>
      </c>
      <c r="AN1089" s="16" t="s">
        <v>45</v>
      </c>
    </row>
    <row r="1090" ht="30.0" customHeight="1">
      <c r="A1090" s="9" t="str">
        <f t="shared" si="48"/>
        <v>Inativo</v>
      </c>
      <c r="B1090" s="9" t="str">
        <f t="shared" si="49"/>
        <v>N/I</v>
      </c>
      <c r="C1090" s="9" t="str">
        <f t="shared" si="80"/>
        <v>N/I</v>
      </c>
      <c r="D1090" s="10" t="s">
        <v>3293</v>
      </c>
      <c r="E1090" s="11" t="s">
        <v>3138</v>
      </c>
      <c r="F1090" s="11" t="s">
        <v>3325</v>
      </c>
      <c r="G1090" s="12" t="s">
        <v>94</v>
      </c>
      <c r="H1090" s="27" t="s">
        <v>3326</v>
      </c>
      <c r="I1090" s="12" t="s">
        <v>463</v>
      </c>
      <c r="J1090" s="10" t="s">
        <v>222</v>
      </c>
      <c r="K1090" s="10" t="s">
        <v>40</v>
      </c>
      <c r="L1090" s="10" t="s">
        <v>4</v>
      </c>
      <c r="M1090" s="22">
        <v>43621.0</v>
      </c>
      <c r="N1090" s="32" t="s">
        <v>3324</v>
      </c>
      <c r="O1090" s="10" t="s">
        <v>1129</v>
      </c>
      <c r="P1090" s="10" t="s">
        <v>3298</v>
      </c>
      <c r="Q1090" s="2"/>
      <c r="R1090" s="10">
        <v>24.0</v>
      </c>
      <c r="S1090" s="14">
        <v>43683.0</v>
      </c>
      <c r="T1090" s="14">
        <v>44413.0</v>
      </c>
      <c r="U1090" s="55">
        <f t="shared" si="87"/>
        <v>-1678</v>
      </c>
      <c r="V1090" s="2"/>
      <c r="W1090" s="15"/>
      <c r="X1090" s="15"/>
      <c r="Y1090" s="15"/>
      <c r="Z1090" s="15"/>
      <c r="AA1090" s="2"/>
      <c r="AB1090" s="15"/>
      <c r="AC1090" s="15"/>
      <c r="AD1090" s="15"/>
      <c r="AE1090" s="15"/>
      <c r="AF1090" s="2"/>
      <c r="AG1090" s="16" t="s">
        <v>45</v>
      </c>
      <c r="AH1090" s="16" t="s">
        <v>45</v>
      </c>
      <c r="AI1090" s="16" t="s">
        <v>45</v>
      </c>
      <c r="AJ1090" s="16" t="s">
        <v>45</v>
      </c>
      <c r="AK1090" s="16" t="s">
        <v>45</v>
      </c>
      <c r="AL1090" s="16" t="s">
        <v>45</v>
      </c>
      <c r="AM1090" s="16" t="s">
        <v>45</v>
      </c>
      <c r="AN1090" s="16" t="s">
        <v>45</v>
      </c>
    </row>
    <row r="1091" ht="30.0" customHeight="1">
      <c r="A1091" s="9" t="str">
        <f t="shared" si="48"/>
        <v>Inativo</v>
      </c>
      <c r="B1091" s="9" t="str">
        <f t="shared" si="49"/>
        <v>N/I</v>
      </c>
      <c r="C1091" s="9" t="str">
        <f t="shared" si="80"/>
        <v>N/I</v>
      </c>
      <c r="D1091" s="10" t="s">
        <v>3293</v>
      </c>
      <c r="E1091" s="11" t="s">
        <v>3138</v>
      </c>
      <c r="F1091" s="11" t="s">
        <v>3327</v>
      </c>
      <c r="G1091" s="12" t="s">
        <v>94</v>
      </c>
      <c r="H1091" s="27" t="s">
        <v>3328</v>
      </c>
      <c r="I1091" s="12" t="s">
        <v>463</v>
      </c>
      <c r="J1091" s="10" t="s">
        <v>222</v>
      </c>
      <c r="K1091" s="10" t="s">
        <v>40</v>
      </c>
      <c r="L1091" s="10" t="s">
        <v>4</v>
      </c>
      <c r="M1091" s="22">
        <v>43622.0</v>
      </c>
      <c r="N1091" s="32" t="s">
        <v>3324</v>
      </c>
      <c r="O1091" s="10" t="s">
        <v>1129</v>
      </c>
      <c r="P1091" s="10" t="s">
        <v>3298</v>
      </c>
      <c r="Q1091" s="2"/>
      <c r="R1091" s="10">
        <v>24.0</v>
      </c>
      <c r="S1091" s="14">
        <v>43683.0</v>
      </c>
      <c r="T1091" s="14">
        <v>44413.0</v>
      </c>
      <c r="U1091" s="55">
        <f t="shared" si="87"/>
        <v>-1678</v>
      </c>
      <c r="V1091" s="2"/>
      <c r="W1091" s="15"/>
      <c r="X1091" s="15"/>
      <c r="Y1091" s="15"/>
      <c r="Z1091" s="15"/>
      <c r="AA1091" s="2"/>
      <c r="AB1091" s="15"/>
      <c r="AC1091" s="15"/>
      <c r="AD1091" s="15"/>
      <c r="AE1091" s="15"/>
      <c r="AF1091" s="2"/>
      <c r="AG1091" s="16" t="s">
        <v>45</v>
      </c>
      <c r="AH1091" s="16" t="s">
        <v>45</v>
      </c>
      <c r="AI1091" s="16" t="s">
        <v>45</v>
      </c>
      <c r="AJ1091" s="16" t="s">
        <v>45</v>
      </c>
      <c r="AK1091" s="16" t="s">
        <v>45</v>
      </c>
      <c r="AL1091" s="16" t="s">
        <v>45</v>
      </c>
      <c r="AM1091" s="16" t="s">
        <v>45</v>
      </c>
      <c r="AN1091" s="16" t="s">
        <v>45</v>
      </c>
    </row>
    <row r="1092" ht="30.0" customHeight="1">
      <c r="A1092" s="9" t="str">
        <f t="shared" si="48"/>
        <v>Inativo</v>
      </c>
      <c r="B1092" s="9" t="str">
        <f t="shared" si="49"/>
        <v>N/I</v>
      </c>
      <c r="C1092" s="9" t="str">
        <f t="shared" si="80"/>
        <v>N/I</v>
      </c>
      <c r="D1092" s="10" t="s">
        <v>3293</v>
      </c>
      <c r="E1092" s="11" t="s">
        <v>3138</v>
      </c>
      <c r="F1092" s="11" t="s">
        <v>3329</v>
      </c>
      <c r="G1092" s="12" t="s">
        <v>94</v>
      </c>
      <c r="H1092" s="27" t="s">
        <v>3330</v>
      </c>
      <c r="I1092" s="12" t="s">
        <v>463</v>
      </c>
      <c r="J1092" s="10" t="s">
        <v>222</v>
      </c>
      <c r="K1092" s="10" t="s">
        <v>40</v>
      </c>
      <c r="L1092" s="10" t="s">
        <v>4</v>
      </c>
      <c r="M1092" s="22">
        <v>43622.0</v>
      </c>
      <c r="N1092" s="32" t="s">
        <v>3331</v>
      </c>
      <c r="O1092" s="10" t="s">
        <v>3332</v>
      </c>
      <c r="P1092" s="10" t="s">
        <v>3298</v>
      </c>
      <c r="Q1092" s="2"/>
      <c r="R1092" s="10">
        <v>24.0</v>
      </c>
      <c r="S1092" s="14">
        <v>43683.0</v>
      </c>
      <c r="T1092" s="14">
        <v>44413.0</v>
      </c>
      <c r="U1092" s="55">
        <f t="shared" si="87"/>
        <v>-1678</v>
      </c>
      <c r="V1092" s="2"/>
      <c r="W1092" s="15"/>
      <c r="X1092" s="15"/>
      <c r="Y1092" s="15"/>
      <c r="Z1092" s="15"/>
      <c r="AA1092" s="2"/>
      <c r="AB1092" s="15"/>
      <c r="AC1092" s="15"/>
      <c r="AD1092" s="15"/>
      <c r="AE1092" s="15"/>
      <c r="AF1092" s="2"/>
      <c r="AG1092" s="16" t="s">
        <v>45</v>
      </c>
      <c r="AH1092" s="16" t="s">
        <v>45</v>
      </c>
      <c r="AI1092" s="16" t="s">
        <v>45</v>
      </c>
      <c r="AJ1092" s="16" t="s">
        <v>45</v>
      </c>
      <c r="AK1092" s="16" t="s">
        <v>45</v>
      </c>
      <c r="AL1092" s="16" t="s">
        <v>45</v>
      </c>
      <c r="AM1092" s="16" t="s">
        <v>45</v>
      </c>
      <c r="AN1092" s="16" t="s">
        <v>45</v>
      </c>
    </row>
    <row r="1093" ht="30.0" customHeight="1">
      <c r="A1093" s="9" t="str">
        <f t="shared" si="48"/>
        <v>Inativo</v>
      </c>
      <c r="B1093" s="9" t="str">
        <f t="shared" si="49"/>
        <v>N/I</v>
      </c>
      <c r="C1093" s="9" t="str">
        <f t="shared" si="80"/>
        <v>N/I</v>
      </c>
      <c r="D1093" s="10" t="s">
        <v>3293</v>
      </c>
      <c r="E1093" s="11" t="s">
        <v>3138</v>
      </c>
      <c r="F1093" s="11" t="s">
        <v>3333</v>
      </c>
      <c r="G1093" s="12" t="s">
        <v>94</v>
      </c>
      <c r="H1093" s="27" t="s">
        <v>3334</v>
      </c>
      <c r="I1093" s="12" t="s">
        <v>463</v>
      </c>
      <c r="J1093" s="10" t="s">
        <v>222</v>
      </c>
      <c r="K1093" s="10" t="s">
        <v>40</v>
      </c>
      <c r="L1093" s="10" t="s">
        <v>4</v>
      </c>
      <c r="M1093" s="22">
        <v>43622.0</v>
      </c>
      <c r="N1093" s="32" t="s">
        <v>3331</v>
      </c>
      <c r="O1093" s="10" t="s">
        <v>3332</v>
      </c>
      <c r="P1093" s="10" t="s">
        <v>3298</v>
      </c>
      <c r="Q1093" s="2"/>
      <c r="R1093" s="10">
        <v>24.0</v>
      </c>
      <c r="S1093" s="14">
        <v>43683.0</v>
      </c>
      <c r="T1093" s="14">
        <v>44413.0</v>
      </c>
      <c r="U1093" s="55">
        <f t="shared" si="87"/>
        <v>-1678</v>
      </c>
      <c r="V1093" s="2"/>
      <c r="W1093" s="15"/>
      <c r="X1093" s="15"/>
      <c r="Y1093" s="15"/>
      <c r="Z1093" s="15"/>
      <c r="AA1093" s="2"/>
      <c r="AB1093" s="15"/>
      <c r="AC1093" s="15"/>
      <c r="AD1093" s="15"/>
      <c r="AE1093" s="15"/>
      <c r="AF1093" s="2"/>
      <c r="AG1093" s="16" t="s">
        <v>45</v>
      </c>
      <c r="AH1093" s="16" t="s">
        <v>45</v>
      </c>
      <c r="AI1093" s="16" t="s">
        <v>45</v>
      </c>
      <c r="AJ1093" s="16" t="s">
        <v>45</v>
      </c>
      <c r="AK1093" s="16" t="s">
        <v>45</v>
      </c>
      <c r="AL1093" s="16" t="s">
        <v>45</v>
      </c>
      <c r="AM1093" s="16" t="s">
        <v>45</v>
      </c>
      <c r="AN1093" s="16" t="s">
        <v>45</v>
      </c>
    </row>
    <row r="1094" ht="30.0" customHeight="1">
      <c r="A1094" s="9" t="str">
        <f t="shared" si="48"/>
        <v>Inativo</v>
      </c>
      <c r="B1094" s="9" t="str">
        <f t="shared" si="49"/>
        <v>N/I</v>
      </c>
      <c r="C1094" s="9" t="str">
        <f t="shared" si="80"/>
        <v>N/I</v>
      </c>
      <c r="D1094" s="10" t="s">
        <v>3293</v>
      </c>
      <c r="E1094" s="11" t="s">
        <v>3138</v>
      </c>
      <c r="F1094" s="11" t="s">
        <v>3335</v>
      </c>
      <c r="G1094" s="12" t="s">
        <v>94</v>
      </c>
      <c r="H1094" s="27" t="s">
        <v>3336</v>
      </c>
      <c r="I1094" s="12" t="s">
        <v>463</v>
      </c>
      <c r="J1094" s="10" t="s">
        <v>222</v>
      </c>
      <c r="K1094" s="10" t="s">
        <v>40</v>
      </c>
      <c r="L1094" s="10" t="s">
        <v>4</v>
      </c>
      <c r="M1094" s="22">
        <v>43623.0</v>
      </c>
      <c r="N1094" s="32" t="s">
        <v>3324</v>
      </c>
      <c r="O1094" s="10" t="s">
        <v>1129</v>
      </c>
      <c r="P1094" s="10" t="s">
        <v>3298</v>
      </c>
      <c r="Q1094" s="2"/>
      <c r="R1094" s="10">
        <v>24.0</v>
      </c>
      <c r="S1094" s="14">
        <v>43683.0</v>
      </c>
      <c r="T1094" s="14">
        <v>44413.0</v>
      </c>
      <c r="U1094" s="55">
        <f t="shared" si="87"/>
        <v>-1678</v>
      </c>
      <c r="V1094" s="2"/>
      <c r="W1094" s="15"/>
      <c r="X1094" s="15"/>
      <c r="Y1094" s="15"/>
      <c r="Z1094" s="15"/>
      <c r="AA1094" s="2"/>
      <c r="AB1094" s="15"/>
      <c r="AC1094" s="15"/>
      <c r="AD1094" s="15"/>
      <c r="AE1094" s="15"/>
      <c r="AF1094" s="2"/>
      <c r="AG1094" s="16" t="s">
        <v>45</v>
      </c>
      <c r="AH1094" s="16" t="s">
        <v>45</v>
      </c>
      <c r="AI1094" s="16" t="s">
        <v>45</v>
      </c>
      <c r="AJ1094" s="16" t="s">
        <v>45</v>
      </c>
      <c r="AK1094" s="16" t="s">
        <v>45</v>
      </c>
      <c r="AL1094" s="16" t="s">
        <v>45</v>
      </c>
      <c r="AM1094" s="16" t="s">
        <v>45</v>
      </c>
      <c r="AN1094" s="16" t="s">
        <v>45</v>
      </c>
    </row>
    <row r="1095" ht="30.0" customHeight="1">
      <c r="A1095" s="9" t="str">
        <f t="shared" si="48"/>
        <v>Inativo</v>
      </c>
      <c r="B1095" s="9" t="str">
        <f t="shared" si="49"/>
        <v>N/I</v>
      </c>
      <c r="C1095" s="9" t="str">
        <f t="shared" si="80"/>
        <v>N/I</v>
      </c>
      <c r="D1095" s="10" t="s">
        <v>3293</v>
      </c>
      <c r="E1095" s="11" t="s">
        <v>3138</v>
      </c>
      <c r="F1095" s="11" t="s">
        <v>3337</v>
      </c>
      <c r="G1095" s="12" t="s">
        <v>94</v>
      </c>
      <c r="H1095" s="27" t="s">
        <v>3338</v>
      </c>
      <c r="I1095" s="12" t="s">
        <v>463</v>
      </c>
      <c r="J1095" s="10" t="s">
        <v>222</v>
      </c>
      <c r="K1095" s="10" t="s">
        <v>40</v>
      </c>
      <c r="L1095" s="10" t="s">
        <v>4</v>
      </c>
      <c r="M1095" s="22">
        <v>43623.0</v>
      </c>
      <c r="N1095" s="32" t="s">
        <v>3339</v>
      </c>
      <c r="O1095" s="10" t="s">
        <v>3340</v>
      </c>
      <c r="P1095" s="10" t="s">
        <v>3298</v>
      </c>
      <c r="Q1095" s="2"/>
      <c r="R1095" s="10">
        <v>24.0</v>
      </c>
      <c r="S1095" s="14">
        <v>43683.0</v>
      </c>
      <c r="T1095" s="14">
        <v>44413.0</v>
      </c>
      <c r="U1095" s="55">
        <f t="shared" si="87"/>
        <v>-1678</v>
      </c>
      <c r="V1095" s="2"/>
      <c r="W1095" s="15"/>
      <c r="X1095" s="15"/>
      <c r="Y1095" s="15"/>
      <c r="Z1095" s="15"/>
      <c r="AA1095" s="2"/>
      <c r="AB1095" s="15"/>
      <c r="AC1095" s="15"/>
      <c r="AD1095" s="15"/>
      <c r="AE1095" s="15"/>
      <c r="AF1095" s="2"/>
      <c r="AG1095" s="16" t="s">
        <v>45</v>
      </c>
      <c r="AH1095" s="16" t="s">
        <v>45</v>
      </c>
      <c r="AI1095" s="16" t="s">
        <v>45</v>
      </c>
      <c r="AJ1095" s="16" t="s">
        <v>45</v>
      </c>
      <c r="AK1095" s="16" t="s">
        <v>45</v>
      </c>
      <c r="AL1095" s="16" t="s">
        <v>45</v>
      </c>
      <c r="AM1095" s="16" t="s">
        <v>45</v>
      </c>
      <c r="AN1095" s="16" t="s">
        <v>45</v>
      </c>
    </row>
    <row r="1096" ht="30.0" customHeight="1">
      <c r="A1096" s="9" t="str">
        <f t="shared" si="48"/>
        <v>Inativo</v>
      </c>
      <c r="B1096" s="9" t="str">
        <f t="shared" si="49"/>
        <v>N/I</v>
      </c>
      <c r="C1096" s="9" t="str">
        <f t="shared" si="80"/>
        <v>N/I</v>
      </c>
      <c r="D1096" s="10" t="s">
        <v>3293</v>
      </c>
      <c r="E1096" s="11" t="s">
        <v>3138</v>
      </c>
      <c r="F1096" s="11" t="s">
        <v>3341</v>
      </c>
      <c r="G1096" s="12" t="s">
        <v>94</v>
      </c>
      <c r="H1096" s="27" t="s">
        <v>3342</v>
      </c>
      <c r="I1096" s="12" t="s">
        <v>463</v>
      </c>
      <c r="J1096" s="10" t="s">
        <v>222</v>
      </c>
      <c r="K1096" s="10" t="s">
        <v>40</v>
      </c>
      <c r="L1096" s="10" t="s">
        <v>4</v>
      </c>
      <c r="M1096" s="22">
        <v>43623.0</v>
      </c>
      <c r="N1096" s="32" t="s">
        <v>3331</v>
      </c>
      <c r="O1096" s="10" t="s">
        <v>3332</v>
      </c>
      <c r="P1096" s="10" t="s">
        <v>3298</v>
      </c>
      <c r="Q1096" s="2"/>
      <c r="R1096" s="10">
        <v>24.0</v>
      </c>
      <c r="S1096" s="14">
        <v>43683.0</v>
      </c>
      <c r="T1096" s="14">
        <v>44413.0</v>
      </c>
      <c r="U1096" s="55">
        <f t="shared" si="87"/>
        <v>-1678</v>
      </c>
      <c r="V1096" s="2"/>
      <c r="W1096" s="15"/>
      <c r="X1096" s="15"/>
      <c r="Y1096" s="15"/>
      <c r="Z1096" s="15"/>
      <c r="AA1096" s="2"/>
      <c r="AB1096" s="15"/>
      <c r="AC1096" s="15"/>
      <c r="AD1096" s="15"/>
      <c r="AE1096" s="15"/>
      <c r="AF1096" s="2"/>
      <c r="AG1096" s="16" t="s">
        <v>45</v>
      </c>
      <c r="AH1096" s="16" t="s">
        <v>45</v>
      </c>
      <c r="AI1096" s="16" t="s">
        <v>45</v>
      </c>
      <c r="AJ1096" s="16" t="s">
        <v>45</v>
      </c>
      <c r="AK1096" s="16" t="s">
        <v>45</v>
      </c>
      <c r="AL1096" s="16" t="s">
        <v>45</v>
      </c>
      <c r="AM1096" s="16" t="s">
        <v>45</v>
      </c>
      <c r="AN1096" s="16" t="s">
        <v>45</v>
      </c>
    </row>
    <row r="1097" ht="30.0" customHeight="1">
      <c r="A1097" s="9" t="str">
        <f t="shared" si="48"/>
        <v>Inativo</v>
      </c>
      <c r="B1097" s="9" t="str">
        <f t="shared" si="49"/>
        <v>N/I</v>
      </c>
      <c r="C1097" s="9" t="str">
        <f t="shared" si="80"/>
        <v>N/I</v>
      </c>
      <c r="D1097" s="10" t="s">
        <v>3293</v>
      </c>
      <c r="E1097" s="11" t="s">
        <v>3138</v>
      </c>
      <c r="F1097" s="11" t="s">
        <v>3343</v>
      </c>
      <c r="G1097" s="12" t="s">
        <v>94</v>
      </c>
      <c r="H1097" s="27" t="s">
        <v>3344</v>
      </c>
      <c r="I1097" s="12" t="s">
        <v>463</v>
      </c>
      <c r="J1097" s="10" t="s">
        <v>222</v>
      </c>
      <c r="K1097" s="10" t="s">
        <v>40</v>
      </c>
      <c r="L1097" s="10" t="s">
        <v>4</v>
      </c>
      <c r="M1097" s="22">
        <v>43623.0</v>
      </c>
      <c r="N1097" s="32" t="s">
        <v>3345</v>
      </c>
      <c r="O1097" s="10" t="s">
        <v>3346</v>
      </c>
      <c r="P1097" s="10" t="s">
        <v>3298</v>
      </c>
      <c r="Q1097" s="2"/>
      <c r="R1097" s="10">
        <v>24.0</v>
      </c>
      <c r="S1097" s="14">
        <v>43683.0</v>
      </c>
      <c r="T1097" s="14">
        <v>44413.0</v>
      </c>
      <c r="U1097" s="55">
        <f t="shared" si="87"/>
        <v>-1678</v>
      </c>
      <c r="V1097" s="2"/>
      <c r="W1097" s="15"/>
      <c r="X1097" s="15"/>
      <c r="Y1097" s="15"/>
      <c r="Z1097" s="15"/>
      <c r="AA1097" s="2"/>
      <c r="AB1097" s="15"/>
      <c r="AC1097" s="15"/>
      <c r="AD1097" s="15"/>
      <c r="AE1097" s="15"/>
      <c r="AF1097" s="2"/>
      <c r="AG1097" s="16" t="s">
        <v>45</v>
      </c>
      <c r="AH1097" s="16" t="s">
        <v>45</v>
      </c>
      <c r="AI1097" s="16" t="s">
        <v>45</v>
      </c>
      <c r="AJ1097" s="16" t="s">
        <v>45</v>
      </c>
      <c r="AK1097" s="16" t="s">
        <v>45</v>
      </c>
      <c r="AL1097" s="16" t="s">
        <v>45</v>
      </c>
      <c r="AM1097" s="16" t="s">
        <v>45</v>
      </c>
      <c r="AN1097" s="16" t="s">
        <v>45</v>
      </c>
    </row>
    <row r="1098" ht="30.0" customHeight="1">
      <c r="A1098" s="9" t="str">
        <f t="shared" si="48"/>
        <v>Inativo</v>
      </c>
      <c r="B1098" s="9" t="str">
        <f t="shared" si="49"/>
        <v>N/I</v>
      </c>
      <c r="C1098" s="9" t="str">
        <f t="shared" si="80"/>
        <v>N/I</v>
      </c>
      <c r="D1098" s="10" t="s">
        <v>3293</v>
      </c>
      <c r="E1098" s="11" t="s">
        <v>3138</v>
      </c>
      <c r="F1098" s="11" t="s">
        <v>3347</v>
      </c>
      <c r="G1098" s="12" t="s">
        <v>94</v>
      </c>
      <c r="H1098" s="27" t="s">
        <v>3348</v>
      </c>
      <c r="I1098" s="12" t="s">
        <v>463</v>
      </c>
      <c r="J1098" s="10" t="s">
        <v>222</v>
      </c>
      <c r="K1098" s="10" t="s">
        <v>40</v>
      </c>
      <c r="L1098" s="10" t="s">
        <v>4</v>
      </c>
      <c r="M1098" s="22">
        <v>43626.0</v>
      </c>
      <c r="N1098" s="32" t="s">
        <v>3349</v>
      </c>
      <c r="O1098" s="10" t="s">
        <v>3350</v>
      </c>
      <c r="P1098" s="10" t="s">
        <v>3298</v>
      </c>
      <c r="Q1098" s="2"/>
      <c r="R1098" s="10">
        <v>24.0</v>
      </c>
      <c r="S1098" s="14">
        <v>43683.0</v>
      </c>
      <c r="T1098" s="14">
        <v>44413.0</v>
      </c>
      <c r="U1098" s="55">
        <f t="shared" si="87"/>
        <v>-1678</v>
      </c>
      <c r="V1098" s="2"/>
      <c r="W1098" s="15"/>
      <c r="X1098" s="15"/>
      <c r="Y1098" s="15"/>
      <c r="Z1098" s="15"/>
      <c r="AA1098" s="2"/>
      <c r="AB1098" s="15"/>
      <c r="AC1098" s="15"/>
      <c r="AD1098" s="15"/>
      <c r="AE1098" s="15"/>
      <c r="AF1098" s="2"/>
      <c r="AG1098" s="16" t="s">
        <v>45</v>
      </c>
      <c r="AH1098" s="16" t="s">
        <v>45</v>
      </c>
      <c r="AI1098" s="16" t="s">
        <v>45</v>
      </c>
      <c r="AJ1098" s="16" t="s">
        <v>45</v>
      </c>
      <c r="AK1098" s="16" t="s">
        <v>45</v>
      </c>
      <c r="AL1098" s="16" t="s">
        <v>45</v>
      </c>
      <c r="AM1098" s="16" t="s">
        <v>45</v>
      </c>
      <c r="AN1098" s="16" t="s">
        <v>45</v>
      </c>
    </row>
    <row r="1099" ht="30.0" customHeight="1">
      <c r="A1099" s="9" t="str">
        <f t="shared" si="48"/>
        <v>Inativo</v>
      </c>
      <c r="B1099" s="9" t="str">
        <f t="shared" si="49"/>
        <v>N/I</v>
      </c>
      <c r="C1099" s="9" t="str">
        <f t="shared" si="80"/>
        <v>N/I</v>
      </c>
      <c r="D1099" s="10" t="s">
        <v>3293</v>
      </c>
      <c r="E1099" s="11" t="s">
        <v>3138</v>
      </c>
      <c r="F1099" s="11" t="s">
        <v>3351</v>
      </c>
      <c r="G1099" s="12" t="s">
        <v>94</v>
      </c>
      <c r="H1099" s="27" t="s">
        <v>3352</v>
      </c>
      <c r="I1099" s="12" t="s">
        <v>463</v>
      </c>
      <c r="J1099" s="10" t="s">
        <v>222</v>
      </c>
      <c r="K1099" s="10" t="s">
        <v>40</v>
      </c>
      <c r="L1099" s="10" t="s">
        <v>4</v>
      </c>
      <c r="M1099" s="22">
        <v>43630.0</v>
      </c>
      <c r="N1099" s="32" t="s">
        <v>3324</v>
      </c>
      <c r="O1099" s="10" t="s">
        <v>1129</v>
      </c>
      <c r="P1099" s="10" t="s">
        <v>3298</v>
      </c>
      <c r="Q1099" s="2"/>
      <c r="R1099" s="10">
        <v>24.0</v>
      </c>
      <c r="S1099" s="14">
        <v>43683.0</v>
      </c>
      <c r="T1099" s="14">
        <v>44413.0</v>
      </c>
      <c r="U1099" s="55">
        <f t="shared" si="87"/>
        <v>-1678</v>
      </c>
      <c r="V1099" s="2"/>
      <c r="W1099" s="15"/>
      <c r="X1099" s="15"/>
      <c r="Y1099" s="15"/>
      <c r="Z1099" s="15"/>
      <c r="AA1099" s="2"/>
      <c r="AB1099" s="15"/>
      <c r="AC1099" s="15"/>
      <c r="AD1099" s="15"/>
      <c r="AE1099" s="15"/>
      <c r="AF1099" s="2"/>
      <c r="AG1099" s="16" t="s">
        <v>45</v>
      </c>
      <c r="AH1099" s="16" t="s">
        <v>45</v>
      </c>
      <c r="AI1099" s="16" t="s">
        <v>45</v>
      </c>
      <c r="AJ1099" s="16" t="s">
        <v>45</v>
      </c>
      <c r="AK1099" s="16" t="s">
        <v>45</v>
      </c>
      <c r="AL1099" s="16" t="s">
        <v>45</v>
      </c>
      <c r="AM1099" s="16" t="s">
        <v>45</v>
      </c>
      <c r="AN1099" s="16" t="s">
        <v>45</v>
      </c>
    </row>
    <row r="1100" ht="30.0" customHeight="1">
      <c r="A1100" s="9" t="str">
        <f t="shared" si="48"/>
        <v>Inativo</v>
      </c>
      <c r="B1100" s="9" t="str">
        <f t="shared" si="49"/>
        <v>N/I</v>
      </c>
      <c r="C1100" s="9" t="str">
        <f t="shared" si="80"/>
        <v>N/I</v>
      </c>
      <c r="D1100" s="10" t="s">
        <v>3293</v>
      </c>
      <c r="E1100" s="11" t="s">
        <v>3138</v>
      </c>
      <c r="F1100" s="11" t="s">
        <v>3353</v>
      </c>
      <c r="G1100" s="12" t="s">
        <v>94</v>
      </c>
      <c r="H1100" s="27" t="s">
        <v>3354</v>
      </c>
      <c r="I1100" s="12" t="s">
        <v>463</v>
      </c>
      <c r="J1100" s="10" t="s">
        <v>222</v>
      </c>
      <c r="K1100" s="10" t="s">
        <v>40</v>
      </c>
      <c r="L1100" s="10" t="s">
        <v>4</v>
      </c>
      <c r="M1100" s="22">
        <v>43630.0</v>
      </c>
      <c r="N1100" s="32" t="s">
        <v>3355</v>
      </c>
      <c r="O1100" s="10" t="s">
        <v>1129</v>
      </c>
      <c r="P1100" s="10" t="s">
        <v>3298</v>
      </c>
      <c r="Q1100" s="2"/>
      <c r="R1100" s="10">
        <v>24.0</v>
      </c>
      <c r="S1100" s="14">
        <v>43683.0</v>
      </c>
      <c r="T1100" s="14">
        <v>44413.0</v>
      </c>
      <c r="U1100" s="55">
        <f t="shared" si="87"/>
        <v>-1678</v>
      </c>
      <c r="V1100" s="2"/>
      <c r="W1100" s="15"/>
      <c r="X1100" s="15"/>
      <c r="Y1100" s="15"/>
      <c r="Z1100" s="15"/>
      <c r="AA1100" s="2"/>
      <c r="AB1100" s="15"/>
      <c r="AC1100" s="15"/>
      <c r="AD1100" s="15"/>
      <c r="AE1100" s="15"/>
      <c r="AF1100" s="2"/>
      <c r="AG1100" s="16" t="s">
        <v>45</v>
      </c>
      <c r="AH1100" s="16" t="s">
        <v>45</v>
      </c>
      <c r="AI1100" s="16" t="s">
        <v>45</v>
      </c>
      <c r="AJ1100" s="16" t="s">
        <v>45</v>
      </c>
      <c r="AK1100" s="16" t="s">
        <v>45</v>
      </c>
      <c r="AL1100" s="16" t="s">
        <v>45</v>
      </c>
      <c r="AM1100" s="16" t="s">
        <v>45</v>
      </c>
      <c r="AN1100" s="16" t="s">
        <v>45</v>
      </c>
    </row>
    <row r="1101" ht="30.0" customHeight="1">
      <c r="A1101" s="9" t="str">
        <f t="shared" si="48"/>
        <v>Inativo</v>
      </c>
      <c r="B1101" s="9" t="str">
        <f t="shared" si="49"/>
        <v>N/I</v>
      </c>
      <c r="C1101" s="9" t="str">
        <f t="shared" si="80"/>
        <v>N/I</v>
      </c>
      <c r="D1101" s="10" t="s">
        <v>3293</v>
      </c>
      <c r="E1101" s="11" t="s">
        <v>3138</v>
      </c>
      <c r="F1101" s="11" t="s">
        <v>3356</v>
      </c>
      <c r="G1101" s="12" t="s">
        <v>94</v>
      </c>
      <c r="H1101" s="27" t="s">
        <v>3357</v>
      </c>
      <c r="I1101" s="12" t="s">
        <v>463</v>
      </c>
      <c r="J1101" s="10" t="s">
        <v>222</v>
      </c>
      <c r="K1101" s="10" t="s">
        <v>40</v>
      </c>
      <c r="L1101" s="10" t="s">
        <v>4</v>
      </c>
      <c r="M1101" s="22">
        <v>43630.0</v>
      </c>
      <c r="N1101" s="32" t="s">
        <v>3358</v>
      </c>
      <c r="O1101" s="10" t="s">
        <v>3359</v>
      </c>
      <c r="P1101" s="10" t="s">
        <v>3298</v>
      </c>
      <c r="Q1101" s="2"/>
      <c r="R1101" s="10">
        <v>24.0</v>
      </c>
      <c r="S1101" s="14">
        <v>43683.0</v>
      </c>
      <c r="T1101" s="14">
        <v>44413.0</v>
      </c>
      <c r="U1101" s="55">
        <f t="shared" si="87"/>
        <v>-1678</v>
      </c>
      <c r="V1101" s="2"/>
      <c r="W1101" s="15"/>
      <c r="X1101" s="15"/>
      <c r="Y1101" s="15"/>
      <c r="Z1101" s="15"/>
      <c r="AA1101" s="2"/>
      <c r="AB1101" s="15"/>
      <c r="AC1101" s="15"/>
      <c r="AD1101" s="15"/>
      <c r="AE1101" s="15"/>
      <c r="AF1101" s="2"/>
      <c r="AG1101" s="16" t="s">
        <v>45</v>
      </c>
      <c r="AH1101" s="16" t="s">
        <v>45</v>
      </c>
      <c r="AI1101" s="16" t="s">
        <v>45</v>
      </c>
      <c r="AJ1101" s="16" t="s">
        <v>45</v>
      </c>
      <c r="AK1101" s="16" t="s">
        <v>45</v>
      </c>
      <c r="AL1101" s="16" t="s">
        <v>45</v>
      </c>
      <c r="AM1101" s="16" t="s">
        <v>45</v>
      </c>
      <c r="AN1101" s="16" t="s">
        <v>45</v>
      </c>
    </row>
    <row r="1102" ht="30.0" customHeight="1">
      <c r="A1102" s="9" t="str">
        <f t="shared" si="48"/>
        <v>Inativo</v>
      </c>
      <c r="B1102" s="9" t="str">
        <f t="shared" si="49"/>
        <v>N/I</v>
      </c>
      <c r="C1102" s="9" t="str">
        <f t="shared" si="80"/>
        <v>N/I</v>
      </c>
      <c r="D1102" s="10" t="s">
        <v>3293</v>
      </c>
      <c r="E1102" s="11" t="s">
        <v>3138</v>
      </c>
      <c r="F1102" s="11" t="s">
        <v>3360</v>
      </c>
      <c r="G1102" s="12" t="s">
        <v>94</v>
      </c>
      <c r="H1102" s="27" t="s">
        <v>3361</v>
      </c>
      <c r="I1102" s="12" t="s">
        <v>463</v>
      </c>
      <c r="J1102" s="10" t="s">
        <v>222</v>
      </c>
      <c r="K1102" s="10" t="s">
        <v>40</v>
      </c>
      <c r="L1102" s="10" t="s">
        <v>4</v>
      </c>
      <c r="M1102" s="22">
        <v>43630.0</v>
      </c>
      <c r="N1102" s="32" t="s">
        <v>3362</v>
      </c>
      <c r="O1102" s="10" t="s">
        <v>1129</v>
      </c>
      <c r="P1102" s="10" t="s">
        <v>3298</v>
      </c>
      <c r="Q1102" s="2"/>
      <c r="R1102" s="10">
        <v>24.0</v>
      </c>
      <c r="S1102" s="14">
        <v>43683.0</v>
      </c>
      <c r="T1102" s="14">
        <v>44413.0</v>
      </c>
      <c r="U1102" s="55">
        <f t="shared" si="87"/>
        <v>-1678</v>
      </c>
      <c r="V1102" s="2"/>
      <c r="W1102" s="15"/>
      <c r="X1102" s="15"/>
      <c r="Y1102" s="15"/>
      <c r="Z1102" s="15"/>
      <c r="AA1102" s="2"/>
      <c r="AB1102" s="15"/>
      <c r="AC1102" s="15"/>
      <c r="AD1102" s="15"/>
      <c r="AE1102" s="15"/>
      <c r="AF1102" s="2"/>
      <c r="AG1102" s="16" t="s">
        <v>45</v>
      </c>
      <c r="AH1102" s="16" t="s">
        <v>45</v>
      </c>
      <c r="AI1102" s="16" t="s">
        <v>45</v>
      </c>
      <c r="AJ1102" s="16" t="s">
        <v>45</v>
      </c>
      <c r="AK1102" s="16" t="s">
        <v>45</v>
      </c>
      <c r="AL1102" s="16" t="s">
        <v>45</v>
      </c>
      <c r="AM1102" s="16" t="s">
        <v>45</v>
      </c>
      <c r="AN1102" s="16" t="s">
        <v>45</v>
      </c>
    </row>
    <row r="1103" ht="30.0" customHeight="1">
      <c r="A1103" s="9" t="str">
        <f t="shared" si="48"/>
        <v>Inativo</v>
      </c>
      <c r="B1103" s="9" t="str">
        <f t="shared" si="49"/>
        <v>N/I</v>
      </c>
      <c r="C1103" s="9" t="str">
        <f t="shared" si="80"/>
        <v>N/I</v>
      </c>
      <c r="D1103" s="10" t="s">
        <v>3293</v>
      </c>
      <c r="E1103" s="11" t="s">
        <v>3138</v>
      </c>
      <c r="F1103" s="11" t="s">
        <v>3363</v>
      </c>
      <c r="G1103" s="12" t="s">
        <v>94</v>
      </c>
      <c r="H1103" s="27" t="s">
        <v>3364</v>
      </c>
      <c r="I1103" s="12" t="s">
        <v>3365</v>
      </c>
      <c r="J1103" s="10" t="s">
        <v>222</v>
      </c>
      <c r="K1103" s="10" t="s">
        <v>40</v>
      </c>
      <c r="L1103" s="10" t="s">
        <v>4</v>
      </c>
      <c r="M1103" s="22">
        <v>43630.0</v>
      </c>
      <c r="N1103" s="32" t="s">
        <v>3366</v>
      </c>
      <c r="O1103" s="10" t="s">
        <v>3367</v>
      </c>
      <c r="P1103" s="10" t="s">
        <v>3298</v>
      </c>
      <c r="Q1103" s="2"/>
      <c r="R1103" s="10">
        <v>24.0</v>
      </c>
      <c r="S1103" s="14">
        <v>43683.0</v>
      </c>
      <c r="T1103" s="14">
        <v>44413.0</v>
      </c>
      <c r="U1103" s="55">
        <f t="shared" si="87"/>
        <v>-1678</v>
      </c>
      <c r="V1103" s="2"/>
      <c r="W1103" s="15"/>
      <c r="X1103" s="15"/>
      <c r="Y1103" s="15"/>
      <c r="Z1103" s="15"/>
      <c r="AA1103" s="2"/>
      <c r="AB1103" s="15"/>
      <c r="AC1103" s="15"/>
      <c r="AD1103" s="15"/>
      <c r="AE1103" s="15"/>
      <c r="AF1103" s="2"/>
      <c r="AG1103" s="16" t="s">
        <v>45</v>
      </c>
      <c r="AH1103" s="16" t="s">
        <v>45</v>
      </c>
      <c r="AI1103" s="16" t="s">
        <v>45</v>
      </c>
      <c r="AJ1103" s="16" t="s">
        <v>45</v>
      </c>
      <c r="AK1103" s="16" t="s">
        <v>45</v>
      </c>
      <c r="AL1103" s="16" t="s">
        <v>45</v>
      </c>
      <c r="AM1103" s="16" t="s">
        <v>45</v>
      </c>
      <c r="AN1103" s="16" t="s">
        <v>45</v>
      </c>
    </row>
    <row r="1104" ht="30.0" customHeight="1">
      <c r="A1104" s="9" t="str">
        <f t="shared" si="48"/>
        <v>Inativo</v>
      </c>
      <c r="B1104" s="9" t="str">
        <f t="shared" si="49"/>
        <v>N/I</v>
      </c>
      <c r="C1104" s="9" t="str">
        <f t="shared" si="80"/>
        <v>N/I</v>
      </c>
      <c r="D1104" s="10" t="s">
        <v>3293</v>
      </c>
      <c r="E1104" s="11" t="s">
        <v>3138</v>
      </c>
      <c r="F1104" s="11" t="s">
        <v>3368</v>
      </c>
      <c r="G1104" s="12" t="s">
        <v>94</v>
      </c>
      <c r="H1104" s="27" t="s">
        <v>3369</v>
      </c>
      <c r="I1104" s="12" t="s">
        <v>3370</v>
      </c>
      <c r="J1104" s="10" t="s">
        <v>222</v>
      </c>
      <c r="K1104" s="10" t="s">
        <v>40</v>
      </c>
      <c r="L1104" s="10" t="s">
        <v>4</v>
      </c>
      <c r="M1104" s="22">
        <v>43626.0</v>
      </c>
      <c r="N1104" s="32" t="s">
        <v>3371</v>
      </c>
      <c r="O1104" s="10" t="s">
        <v>3372</v>
      </c>
      <c r="P1104" s="10" t="s">
        <v>3298</v>
      </c>
      <c r="Q1104" s="2"/>
      <c r="R1104" s="10">
        <v>24.0</v>
      </c>
      <c r="S1104" s="14">
        <v>43683.0</v>
      </c>
      <c r="T1104" s="14">
        <v>44413.0</v>
      </c>
      <c r="U1104" s="55">
        <f t="shared" si="87"/>
        <v>-1678</v>
      </c>
      <c r="V1104" s="2"/>
      <c r="W1104" s="15"/>
      <c r="X1104" s="15"/>
      <c r="Y1104" s="15"/>
      <c r="Z1104" s="15"/>
      <c r="AA1104" s="2"/>
      <c r="AB1104" s="15"/>
      <c r="AC1104" s="15"/>
      <c r="AD1104" s="15"/>
      <c r="AE1104" s="15"/>
      <c r="AF1104" s="2"/>
      <c r="AG1104" s="16" t="s">
        <v>45</v>
      </c>
      <c r="AH1104" s="16" t="s">
        <v>45</v>
      </c>
      <c r="AI1104" s="16" t="s">
        <v>45</v>
      </c>
      <c r="AJ1104" s="16" t="s">
        <v>45</v>
      </c>
      <c r="AK1104" s="16" t="s">
        <v>45</v>
      </c>
      <c r="AL1104" s="16" t="s">
        <v>45</v>
      </c>
      <c r="AM1104" s="16" t="s">
        <v>45</v>
      </c>
      <c r="AN1104" s="16" t="s">
        <v>45</v>
      </c>
    </row>
    <row r="1105" ht="30.0" customHeight="1">
      <c r="A1105" s="9" t="str">
        <f t="shared" si="48"/>
        <v>Inativo</v>
      </c>
      <c r="B1105" s="9" t="str">
        <f t="shared" si="49"/>
        <v>N/I</v>
      </c>
      <c r="C1105" s="9" t="str">
        <f t="shared" si="80"/>
        <v>N/I</v>
      </c>
      <c r="D1105" s="10" t="s">
        <v>3373</v>
      </c>
      <c r="E1105" s="11" t="s">
        <v>3374</v>
      </c>
      <c r="F1105" s="11" t="s">
        <v>3375</v>
      </c>
      <c r="G1105" s="12" t="s">
        <v>52</v>
      </c>
      <c r="H1105" s="20" t="s">
        <v>3376</v>
      </c>
      <c r="I1105" s="12" t="s">
        <v>869</v>
      </c>
      <c r="J1105" s="10" t="s">
        <v>870</v>
      </c>
      <c r="K1105" s="10" t="s">
        <v>209</v>
      </c>
      <c r="L1105" s="10" t="s">
        <v>4</v>
      </c>
      <c r="M1105" s="14">
        <v>44181.0</v>
      </c>
      <c r="N1105" s="11" t="s">
        <v>3377</v>
      </c>
      <c r="O1105" s="10" t="s">
        <v>3378</v>
      </c>
      <c r="P1105" s="10" t="s">
        <v>3379</v>
      </c>
      <c r="Q1105" s="2"/>
      <c r="R1105" s="10">
        <v>12.0</v>
      </c>
      <c r="S1105" s="14">
        <v>44181.0</v>
      </c>
      <c r="T1105" s="14">
        <v>44546.0</v>
      </c>
      <c r="U1105" s="10">
        <f t="shared" si="87"/>
        <v>-1545</v>
      </c>
      <c r="V1105" s="2"/>
      <c r="W1105" s="15"/>
      <c r="X1105" s="15"/>
      <c r="Y1105" s="15"/>
      <c r="Z1105" s="15"/>
      <c r="AA1105" s="2"/>
      <c r="AB1105" s="15"/>
      <c r="AC1105" s="15"/>
      <c r="AD1105" s="15"/>
      <c r="AE1105" s="15"/>
      <c r="AF1105" s="2"/>
      <c r="AG1105" s="10" t="s">
        <v>354</v>
      </c>
      <c r="AH1105" s="10" t="s">
        <v>318</v>
      </c>
      <c r="AI1105" s="10" t="s">
        <v>319</v>
      </c>
      <c r="AJ1105" s="10" t="s">
        <v>291</v>
      </c>
      <c r="AK1105" s="16" t="s">
        <v>45</v>
      </c>
      <c r="AL1105" s="10" t="s">
        <v>49</v>
      </c>
      <c r="AM1105" s="10" t="s">
        <v>390</v>
      </c>
      <c r="AN1105" s="10" t="s">
        <v>50</v>
      </c>
    </row>
    <row r="1106" ht="30.0" customHeight="1">
      <c r="A1106" s="9" t="str">
        <f t="shared" si="48"/>
        <v>Inativo</v>
      </c>
      <c r="B1106" s="9" t="str">
        <f t="shared" si="49"/>
        <v>N/I</v>
      </c>
      <c r="C1106" s="9" t="str">
        <f t="shared" si="80"/>
        <v>N/I</v>
      </c>
      <c r="D1106" s="10" t="s">
        <v>3373</v>
      </c>
      <c r="E1106" s="11" t="s">
        <v>3374</v>
      </c>
      <c r="F1106" s="11" t="s">
        <v>3375</v>
      </c>
      <c r="G1106" s="12" t="s">
        <v>52</v>
      </c>
      <c r="H1106" s="20" t="s">
        <v>3380</v>
      </c>
      <c r="I1106" s="12" t="s">
        <v>869</v>
      </c>
      <c r="J1106" s="10" t="s">
        <v>870</v>
      </c>
      <c r="K1106" s="10" t="s">
        <v>209</v>
      </c>
      <c r="L1106" s="10" t="s">
        <v>4</v>
      </c>
      <c r="M1106" s="14">
        <v>44181.0</v>
      </c>
      <c r="N1106" s="11" t="s">
        <v>3377</v>
      </c>
      <c r="O1106" s="10" t="s">
        <v>3378</v>
      </c>
      <c r="P1106" s="10" t="s">
        <v>3379</v>
      </c>
      <c r="Q1106" s="2"/>
      <c r="R1106" s="10">
        <v>12.0</v>
      </c>
      <c r="S1106" s="14">
        <v>44181.0</v>
      </c>
      <c r="T1106" s="14">
        <v>44546.0</v>
      </c>
      <c r="U1106" s="10">
        <f t="shared" si="87"/>
        <v>-1545</v>
      </c>
      <c r="V1106" s="2"/>
      <c r="W1106" s="15"/>
      <c r="X1106" s="15"/>
      <c r="Y1106" s="15"/>
      <c r="Z1106" s="15"/>
      <c r="AA1106" s="2"/>
      <c r="AB1106" s="15"/>
      <c r="AC1106" s="15"/>
      <c r="AD1106" s="15"/>
      <c r="AE1106" s="15"/>
      <c r="AF1106" s="2"/>
      <c r="AG1106" s="10" t="s">
        <v>354</v>
      </c>
      <c r="AH1106" s="10" t="s">
        <v>318</v>
      </c>
      <c r="AI1106" s="10" t="s">
        <v>319</v>
      </c>
      <c r="AJ1106" s="10" t="s">
        <v>291</v>
      </c>
      <c r="AK1106" s="16" t="s">
        <v>45</v>
      </c>
      <c r="AL1106" s="10" t="s">
        <v>49</v>
      </c>
      <c r="AM1106" s="10" t="s">
        <v>390</v>
      </c>
      <c r="AN1106" s="10" t="s">
        <v>50</v>
      </c>
    </row>
    <row r="1107" ht="30.0" customHeight="1">
      <c r="A1107" s="9" t="str">
        <f t="shared" si="48"/>
        <v>Inativo</v>
      </c>
      <c r="B1107" s="9" t="str">
        <f t="shared" si="49"/>
        <v>N/I</v>
      </c>
      <c r="C1107" s="9" t="str">
        <f t="shared" si="80"/>
        <v>N/I</v>
      </c>
      <c r="D1107" s="10" t="s">
        <v>3373</v>
      </c>
      <c r="E1107" s="11" t="s">
        <v>3374</v>
      </c>
      <c r="F1107" s="11" t="s">
        <v>3375</v>
      </c>
      <c r="G1107" s="12" t="s">
        <v>52</v>
      </c>
      <c r="H1107" s="20" t="s">
        <v>3381</v>
      </c>
      <c r="I1107" s="12" t="s">
        <v>869</v>
      </c>
      <c r="J1107" s="10" t="s">
        <v>870</v>
      </c>
      <c r="K1107" s="10" t="s">
        <v>209</v>
      </c>
      <c r="L1107" s="10" t="s">
        <v>4</v>
      </c>
      <c r="M1107" s="14">
        <v>44181.0</v>
      </c>
      <c r="N1107" s="11" t="s">
        <v>3377</v>
      </c>
      <c r="O1107" s="10" t="s">
        <v>3378</v>
      </c>
      <c r="P1107" s="10" t="s">
        <v>3379</v>
      </c>
      <c r="Q1107" s="2"/>
      <c r="R1107" s="10">
        <v>12.0</v>
      </c>
      <c r="S1107" s="14">
        <v>44181.0</v>
      </c>
      <c r="T1107" s="14">
        <v>44546.0</v>
      </c>
      <c r="U1107" s="10">
        <f t="shared" si="87"/>
        <v>-1545</v>
      </c>
      <c r="V1107" s="2"/>
      <c r="W1107" s="15"/>
      <c r="X1107" s="15"/>
      <c r="Y1107" s="15"/>
      <c r="Z1107" s="15"/>
      <c r="AA1107" s="2"/>
      <c r="AB1107" s="15"/>
      <c r="AC1107" s="15"/>
      <c r="AD1107" s="15"/>
      <c r="AE1107" s="15"/>
      <c r="AF1107" s="2"/>
      <c r="AG1107" s="10" t="s">
        <v>354</v>
      </c>
      <c r="AH1107" s="10" t="s">
        <v>318</v>
      </c>
      <c r="AI1107" s="10" t="s">
        <v>319</v>
      </c>
      <c r="AJ1107" s="10" t="s">
        <v>291</v>
      </c>
      <c r="AK1107" s="16" t="s">
        <v>45</v>
      </c>
      <c r="AL1107" s="10" t="s">
        <v>49</v>
      </c>
      <c r="AM1107" s="10" t="s">
        <v>390</v>
      </c>
      <c r="AN1107" s="10" t="s">
        <v>50</v>
      </c>
    </row>
    <row r="1108" ht="30.0" customHeight="1">
      <c r="A1108" s="9" t="str">
        <f t="shared" si="48"/>
        <v>Inativo</v>
      </c>
      <c r="B1108" s="9" t="str">
        <f t="shared" si="49"/>
        <v>N/I</v>
      </c>
      <c r="C1108" s="9" t="str">
        <f t="shared" si="80"/>
        <v>N/I</v>
      </c>
      <c r="D1108" s="10" t="s">
        <v>3373</v>
      </c>
      <c r="E1108" s="11" t="s">
        <v>3374</v>
      </c>
      <c r="F1108" s="11" t="s">
        <v>3375</v>
      </c>
      <c r="G1108" s="12" t="s">
        <v>79</v>
      </c>
      <c r="H1108" s="20" t="s">
        <v>3382</v>
      </c>
      <c r="I1108" s="12" t="s">
        <v>869</v>
      </c>
      <c r="J1108" s="10" t="s">
        <v>870</v>
      </c>
      <c r="K1108" s="10" t="s">
        <v>209</v>
      </c>
      <c r="L1108" s="10" t="s">
        <v>4</v>
      </c>
      <c r="M1108" s="14">
        <v>44253.0</v>
      </c>
      <c r="N1108" s="11" t="s">
        <v>3377</v>
      </c>
      <c r="O1108" s="10" t="s">
        <v>3378</v>
      </c>
      <c r="P1108" s="10" t="s">
        <v>3383</v>
      </c>
      <c r="Q1108" s="2"/>
      <c r="R1108" s="10">
        <v>12.0</v>
      </c>
      <c r="S1108" s="14">
        <v>44347.0</v>
      </c>
      <c r="T1108" s="14">
        <v>44711.0</v>
      </c>
      <c r="U1108" s="10">
        <f t="shared" si="87"/>
        <v>-1380</v>
      </c>
      <c r="V1108" s="2"/>
      <c r="W1108" s="15"/>
      <c r="X1108" s="15"/>
      <c r="Y1108" s="15"/>
      <c r="Z1108" s="15"/>
      <c r="AA1108" s="2"/>
      <c r="AB1108" s="15"/>
      <c r="AC1108" s="15"/>
      <c r="AD1108" s="15"/>
      <c r="AE1108" s="15"/>
      <c r="AF1108" s="2"/>
      <c r="AG1108" s="10" t="s">
        <v>354</v>
      </c>
      <c r="AH1108" s="10" t="s">
        <v>318</v>
      </c>
      <c r="AI1108" s="10" t="s">
        <v>319</v>
      </c>
      <c r="AJ1108" s="10" t="s">
        <v>291</v>
      </c>
      <c r="AK1108" s="10" t="s">
        <v>292</v>
      </c>
      <c r="AL1108" s="10" t="s">
        <v>49</v>
      </c>
      <c r="AM1108" s="10" t="s">
        <v>390</v>
      </c>
      <c r="AN1108" s="10" t="s">
        <v>50</v>
      </c>
    </row>
    <row r="1109" ht="30.0" customHeight="1">
      <c r="A1109" s="9" t="str">
        <f t="shared" si="48"/>
        <v>N/I</v>
      </c>
      <c r="B1109" s="9" t="str">
        <f t="shared" si="49"/>
        <v>Ativo</v>
      </c>
      <c r="C1109" s="9" t="str">
        <f t="shared" si="80"/>
        <v>N/I</v>
      </c>
      <c r="D1109" s="10" t="s">
        <v>3384</v>
      </c>
      <c r="E1109" s="11" t="s">
        <v>3385</v>
      </c>
      <c r="F1109" s="11" t="s">
        <v>3386</v>
      </c>
      <c r="G1109" s="12" t="s">
        <v>94</v>
      </c>
      <c r="H1109" s="20" t="s">
        <v>3387</v>
      </c>
      <c r="I1109" s="12" t="s">
        <v>3388</v>
      </c>
      <c r="J1109" s="10" t="s">
        <v>89</v>
      </c>
      <c r="K1109" s="10" t="s">
        <v>41</v>
      </c>
      <c r="L1109" s="10" t="s">
        <v>264</v>
      </c>
      <c r="M1109" s="22">
        <v>42689.0</v>
      </c>
      <c r="N1109" s="32" t="s">
        <v>3389</v>
      </c>
      <c r="O1109" s="10" t="s">
        <v>3390</v>
      </c>
      <c r="P1109" s="10" t="s">
        <v>3391</v>
      </c>
      <c r="Q1109" s="2"/>
      <c r="R1109" s="15"/>
      <c r="S1109" s="15"/>
      <c r="T1109" s="15"/>
      <c r="U1109" s="15"/>
      <c r="V1109" s="2"/>
      <c r="W1109" s="10">
        <v>12.0</v>
      </c>
      <c r="X1109" s="14">
        <v>45737.0</v>
      </c>
      <c r="Y1109" s="14">
        <v>46102.0</v>
      </c>
      <c r="Z1109" s="10">
        <f t="shared" ref="Z1109:Z1148" si="88">Y1109-TODAY()</f>
        <v>11</v>
      </c>
      <c r="AA1109" s="2"/>
      <c r="AB1109" s="15"/>
      <c r="AC1109" s="15"/>
      <c r="AD1109" s="15"/>
      <c r="AE1109" s="15"/>
      <c r="AF1109" s="2"/>
      <c r="AG1109" s="10" t="s">
        <v>290</v>
      </c>
      <c r="AH1109" s="12" t="s">
        <v>355</v>
      </c>
      <c r="AI1109" s="10" t="s">
        <v>226</v>
      </c>
      <c r="AJ1109" s="10" t="s">
        <v>291</v>
      </c>
      <c r="AK1109" s="16" t="s">
        <v>45</v>
      </c>
      <c r="AL1109" s="10" t="s">
        <v>49</v>
      </c>
      <c r="AM1109" s="16" t="s">
        <v>45</v>
      </c>
      <c r="AN1109" s="10" t="s">
        <v>1499</v>
      </c>
    </row>
    <row r="1110" ht="30.0" customHeight="1">
      <c r="A1110" s="9" t="str">
        <f t="shared" si="48"/>
        <v>N/I</v>
      </c>
      <c r="B1110" s="9" t="str">
        <f t="shared" si="49"/>
        <v>Ativo</v>
      </c>
      <c r="C1110" s="9" t="str">
        <f t="shared" si="80"/>
        <v>N/I</v>
      </c>
      <c r="D1110" s="10" t="s">
        <v>3384</v>
      </c>
      <c r="E1110" s="11" t="s">
        <v>3385</v>
      </c>
      <c r="F1110" s="11" t="s">
        <v>3392</v>
      </c>
      <c r="G1110" s="12" t="s">
        <v>94</v>
      </c>
      <c r="H1110" s="20" t="s">
        <v>3393</v>
      </c>
      <c r="I1110" s="12" t="s">
        <v>970</v>
      </c>
      <c r="J1110" s="10" t="s">
        <v>89</v>
      </c>
      <c r="K1110" s="10" t="s">
        <v>41</v>
      </c>
      <c r="L1110" s="10" t="s">
        <v>264</v>
      </c>
      <c r="M1110" s="22">
        <v>43378.0</v>
      </c>
      <c r="N1110" s="32" t="s">
        <v>3394</v>
      </c>
      <c r="O1110" s="10" t="s">
        <v>1168</v>
      </c>
      <c r="P1110" s="10" t="s">
        <v>3391</v>
      </c>
      <c r="Q1110" s="2"/>
      <c r="R1110" s="15"/>
      <c r="S1110" s="15"/>
      <c r="T1110" s="15"/>
      <c r="U1110" s="15"/>
      <c r="V1110" s="2"/>
      <c r="W1110" s="10">
        <v>12.0</v>
      </c>
      <c r="X1110" s="14">
        <v>45737.0</v>
      </c>
      <c r="Y1110" s="14">
        <v>46102.0</v>
      </c>
      <c r="Z1110" s="10">
        <f t="shared" si="88"/>
        <v>11</v>
      </c>
      <c r="AA1110" s="2"/>
      <c r="AB1110" s="15"/>
      <c r="AC1110" s="15"/>
      <c r="AD1110" s="15"/>
      <c r="AE1110" s="15"/>
      <c r="AF1110" s="2"/>
      <c r="AG1110" s="10" t="s">
        <v>290</v>
      </c>
      <c r="AH1110" s="12" t="s">
        <v>355</v>
      </c>
      <c r="AI1110" s="10" t="s">
        <v>226</v>
      </c>
      <c r="AJ1110" s="10" t="s">
        <v>291</v>
      </c>
      <c r="AK1110" s="16" t="s">
        <v>45</v>
      </c>
      <c r="AL1110" s="10" t="s">
        <v>49</v>
      </c>
      <c r="AM1110" s="16" t="s">
        <v>45</v>
      </c>
      <c r="AN1110" s="10" t="s">
        <v>1499</v>
      </c>
    </row>
    <row r="1111" ht="30.0" customHeight="1">
      <c r="A1111" s="9" t="str">
        <f t="shared" si="48"/>
        <v>N/I</v>
      </c>
      <c r="B1111" s="9" t="str">
        <f t="shared" si="49"/>
        <v>Ativo</v>
      </c>
      <c r="C1111" s="9" t="str">
        <f t="shared" si="80"/>
        <v>N/I</v>
      </c>
      <c r="D1111" s="10" t="s">
        <v>3384</v>
      </c>
      <c r="E1111" s="11" t="s">
        <v>3385</v>
      </c>
      <c r="F1111" s="11" t="s">
        <v>3395</v>
      </c>
      <c r="G1111" s="12" t="s">
        <v>94</v>
      </c>
      <c r="H1111" s="20" t="s">
        <v>3396</v>
      </c>
      <c r="I1111" s="12" t="s">
        <v>970</v>
      </c>
      <c r="J1111" s="10" t="s">
        <v>89</v>
      </c>
      <c r="K1111" s="10" t="s">
        <v>41</v>
      </c>
      <c r="L1111" s="10" t="s">
        <v>264</v>
      </c>
      <c r="M1111" s="22">
        <v>43377.0</v>
      </c>
      <c r="N1111" s="32" t="s">
        <v>3397</v>
      </c>
      <c r="O1111" s="10" t="s">
        <v>972</v>
      </c>
      <c r="P1111" s="10" t="s">
        <v>3391</v>
      </c>
      <c r="Q1111" s="2"/>
      <c r="R1111" s="15"/>
      <c r="S1111" s="15"/>
      <c r="T1111" s="15"/>
      <c r="U1111" s="15"/>
      <c r="V1111" s="2"/>
      <c r="W1111" s="10">
        <v>12.0</v>
      </c>
      <c r="X1111" s="14">
        <v>45737.0</v>
      </c>
      <c r="Y1111" s="14">
        <v>46102.0</v>
      </c>
      <c r="Z1111" s="10">
        <f t="shared" si="88"/>
        <v>11</v>
      </c>
      <c r="AA1111" s="2"/>
      <c r="AB1111" s="15"/>
      <c r="AC1111" s="15"/>
      <c r="AD1111" s="15"/>
      <c r="AE1111" s="15"/>
      <c r="AF1111" s="2"/>
      <c r="AG1111" s="10" t="s">
        <v>290</v>
      </c>
      <c r="AH1111" s="12" t="s">
        <v>355</v>
      </c>
      <c r="AI1111" s="10" t="s">
        <v>226</v>
      </c>
      <c r="AJ1111" s="10" t="s">
        <v>291</v>
      </c>
      <c r="AK1111" s="16" t="s">
        <v>45</v>
      </c>
      <c r="AL1111" s="10" t="s">
        <v>49</v>
      </c>
      <c r="AM1111" s="16" t="s">
        <v>45</v>
      </c>
      <c r="AN1111" s="10" t="s">
        <v>1499</v>
      </c>
    </row>
    <row r="1112" ht="30.0" customHeight="1">
      <c r="A1112" s="9" t="str">
        <f t="shared" si="48"/>
        <v>N/I</v>
      </c>
      <c r="B1112" s="9" t="str">
        <f t="shared" si="49"/>
        <v>Ativo</v>
      </c>
      <c r="C1112" s="9" t="str">
        <f t="shared" si="80"/>
        <v>N/I</v>
      </c>
      <c r="D1112" s="10" t="s">
        <v>3384</v>
      </c>
      <c r="E1112" s="11" t="s">
        <v>3385</v>
      </c>
      <c r="F1112" s="11" t="s">
        <v>3398</v>
      </c>
      <c r="G1112" s="12" t="s">
        <v>94</v>
      </c>
      <c r="H1112" s="20" t="s">
        <v>3399</v>
      </c>
      <c r="I1112" s="12" t="s">
        <v>970</v>
      </c>
      <c r="J1112" s="10" t="s">
        <v>89</v>
      </c>
      <c r="K1112" s="10" t="s">
        <v>41</v>
      </c>
      <c r="L1112" s="10" t="s">
        <v>264</v>
      </c>
      <c r="M1112" s="22">
        <v>43378.0</v>
      </c>
      <c r="N1112" s="32" t="s">
        <v>3400</v>
      </c>
      <c r="O1112" s="10" t="s">
        <v>972</v>
      </c>
      <c r="P1112" s="10" t="s">
        <v>3391</v>
      </c>
      <c r="Q1112" s="2"/>
      <c r="R1112" s="15"/>
      <c r="S1112" s="15"/>
      <c r="T1112" s="15"/>
      <c r="U1112" s="15"/>
      <c r="V1112" s="2"/>
      <c r="W1112" s="10">
        <v>12.0</v>
      </c>
      <c r="X1112" s="14">
        <v>45737.0</v>
      </c>
      <c r="Y1112" s="14">
        <v>46102.0</v>
      </c>
      <c r="Z1112" s="10">
        <f t="shared" si="88"/>
        <v>11</v>
      </c>
      <c r="AA1112" s="2"/>
      <c r="AB1112" s="15"/>
      <c r="AC1112" s="15"/>
      <c r="AD1112" s="15"/>
      <c r="AE1112" s="15"/>
      <c r="AF1112" s="2"/>
      <c r="AG1112" s="10" t="s">
        <v>290</v>
      </c>
      <c r="AH1112" s="12" t="s">
        <v>355</v>
      </c>
      <c r="AI1112" s="10" t="s">
        <v>226</v>
      </c>
      <c r="AJ1112" s="10" t="s">
        <v>291</v>
      </c>
      <c r="AK1112" s="16" t="s">
        <v>45</v>
      </c>
      <c r="AL1112" s="10" t="s">
        <v>49</v>
      </c>
      <c r="AM1112" s="16" t="s">
        <v>45</v>
      </c>
      <c r="AN1112" s="10" t="s">
        <v>1499</v>
      </c>
    </row>
    <row r="1113" ht="30.0" customHeight="1">
      <c r="A1113" s="9" t="str">
        <f t="shared" si="48"/>
        <v>N/I</v>
      </c>
      <c r="B1113" s="9" t="str">
        <f t="shared" si="49"/>
        <v>Ativo</v>
      </c>
      <c r="C1113" s="9" t="str">
        <f t="shared" si="80"/>
        <v>N/I</v>
      </c>
      <c r="D1113" s="10" t="s">
        <v>3384</v>
      </c>
      <c r="E1113" s="11" t="s">
        <v>3385</v>
      </c>
      <c r="F1113" s="11" t="s">
        <v>3401</v>
      </c>
      <c r="G1113" s="12" t="s">
        <v>94</v>
      </c>
      <c r="H1113" s="20" t="s">
        <v>3402</v>
      </c>
      <c r="I1113" s="12" t="s">
        <v>970</v>
      </c>
      <c r="J1113" s="10" t="s">
        <v>89</v>
      </c>
      <c r="K1113" s="10" t="s">
        <v>41</v>
      </c>
      <c r="L1113" s="10" t="s">
        <v>264</v>
      </c>
      <c r="M1113" s="22">
        <v>42683.0</v>
      </c>
      <c r="N1113" s="32" t="s">
        <v>3403</v>
      </c>
      <c r="O1113" s="10" t="s">
        <v>1168</v>
      </c>
      <c r="P1113" s="10" t="s">
        <v>3391</v>
      </c>
      <c r="Q1113" s="2"/>
      <c r="R1113" s="15"/>
      <c r="S1113" s="15"/>
      <c r="T1113" s="15"/>
      <c r="U1113" s="15"/>
      <c r="V1113" s="2"/>
      <c r="W1113" s="10">
        <v>12.0</v>
      </c>
      <c r="X1113" s="14">
        <v>45737.0</v>
      </c>
      <c r="Y1113" s="14">
        <v>46102.0</v>
      </c>
      <c r="Z1113" s="10">
        <f t="shared" si="88"/>
        <v>11</v>
      </c>
      <c r="AA1113" s="2"/>
      <c r="AB1113" s="15"/>
      <c r="AC1113" s="15"/>
      <c r="AD1113" s="15"/>
      <c r="AE1113" s="15"/>
      <c r="AF1113" s="2"/>
      <c r="AG1113" s="10" t="s">
        <v>290</v>
      </c>
      <c r="AH1113" s="12" t="s">
        <v>355</v>
      </c>
      <c r="AI1113" s="10" t="s">
        <v>226</v>
      </c>
      <c r="AJ1113" s="10" t="s">
        <v>291</v>
      </c>
      <c r="AK1113" s="16" t="s">
        <v>45</v>
      </c>
      <c r="AL1113" s="10" t="s">
        <v>49</v>
      </c>
      <c r="AM1113" s="16" t="s">
        <v>45</v>
      </c>
      <c r="AN1113" s="10" t="s">
        <v>1499</v>
      </c>
    </row>
    <row r="1114" ht="30.0" customHeight="1">
      <c r="A1114" s="9" t="str">
        <f t="shared" si="48"/>
        <v>N/I</v>
      </c>
      <c r="B1114" s="9" t="str">
        <f t="shared" si="49"/>
        <v>Ativo</v>
      </c>
      <c r="C1114" s="9" t="str">
        <f t="shared" si="80"/>
        <v>N/I</v>
      </c>
      <c r="D1114" s="10" t="s">
        <v>3384</v>
      </c>
      <c r="E1114" s="11" t="s">
        <v>3385</v>
      </c>
      <c r="F1114" s="11" t="s">
        <v>3395</v>
      </c>
      <c r="G1114" s="12" t="s">
        <v>94</v>
      </c>
      <c r="H1114" s="20" t="s">
        <v>3404</v>
      </c>
      <c r="I1114" s="12" t="s">
        <v>970</v>
      </c>
      <c r="J1114" s="10" t="s">
        <v>89</v>
      </c>
      <c r="K1114" s="10" t="s">
        <v>41</v>
      </c>
      <c r="L1114" s="10" t="s">
        <v>264</v>
      </c>
      <c r="M1114" s="22">
        <v>42681.0</v>
      </c>
      <c r="N1114" s="32" t="s">
        <v>3403</v>
      </c>
      <c r="O1114" s="10" t="s">
        <v>1168</v>
      </c>
      <c r="P1114" s="10" t="s">
        <v>3391</v>
      </c>
      <c r="Q1114" s="2"/>
      <c r="R1114" s="15"/>
      <c r="S1114" s="15"/>
      <c r="T1114" s="15"/>
      <c r="U1114" s="15"/>
      <c r="V1114" s="2"/>
      <c r="W1114" s="10">
        <v>12.0</v>
      </c>
      <c r="X1114" s="14">
        <v>45737.0</v>
      </c>
      <c r="Y1114" s="14">
        <v>46102.0</v>
      </c>
      <c r="Z1114" s="10">
        <f t="shared" si="88"/>
        <v>11</v>
      </c>
      <c r="AA1114" s="2"/>
      <c r="AB1114" s="15"/>
      <c r="AC1114" s="15"/>
      <c r="AD1114" s="15"/>
      <c r="AE1114" s="15"/>
      <c r="AF1114" s="2"/>
      <c r="AG1114" s="10" t="s">
        <v>290</v>
      </c>
      <c r="AH1114" s="12" t="s">
        <v>355</v>
      </c>
      <c r="AI1114" s="10" t="s">
        <v>226</v>
      </c>
      <c r="AJ1114" s="10" t="s">
        <v>291</v>
      </c>
      <c r="AK1114" s="16" t="s">
        <v>45</v>
      </c>
      <c r="AL1114" s="10" t="s">
        <v>49</v>
      </c>
      <c r="AM1114" s="16" t="s">
        <v>45</v>
      </c>
      <c r="AN1114" s="10" t="s">
        <v>1499</v>
      </c>
    </row>
    <row r="1115" ht="30.0" customHeight="1">
      <c r="A1115" s="9" t="str">
        <f t="shared" si="48"/>
        <v>N/I</v>
      </c>
      <c r="B1115" s="9" t="str">
        <f t="shared" si="49"/>
        <v>Ativo</v>
      </c>
      <c r="C1115" s="9" t="str">
        <f t="shared" si="80"/>
        <v>N/I</v>
      </c>
      <c r="D1115" s="10" t="s">
        <v>3384</v>
      </c>
      <c r="E1115" s="11" t="s">
        <v>3385</v>
      </c>
      <c r="F1115" s="11" t="s">
        <v>1225</v>
      </c>
      <c r="G1115" s="12" t="s">
        <v>94</v>
      </c>
      <c r="H1115" s="20" t="s">
        <v>3405</v>
      </c>
      <c r="I1115" s="12" t="s">
        <v>970</v>
      </c>
      <c r="J1115" s="10" t="s">
        <v>89</v>
      </c>
      <c r="K1115" s="10" t="s">
        <v>41</v>
      </c>
      <c r="L1115" s="10" t="s">
        <v>264</v>
      </c>
      <c r="M1115" s="22">
        <v>42684.0</v>
      </c>
      <c r="N1115" s="32" t="s">
        <v>1165</v>
      </c>
      <c r="O1115" s="10" t="s">
        <v>1168</v>
      </c>
      <c r="P1115" s="10" t="s">
        <v>3391</v>
      </c>
      <c r="Q1115" s="2"/>
      <c r="R1115" s="15"/>
      <c r="S1115" s="15"/>
      <c r="T1115" s="15"/>
      <c r="U1115" s="15"/>
      <c r="V1115" s="2"/>
      <c r="W1115" s="10">
        <v>12.0</v>
      </c>
      <c r="X1115" s="14">
        <v>45737.0</v>
      </c>
      <c r="Y1115" s="14">
        <v>46102.0</v>
      </c>
      <c r="Z1115" s="10">
        <f t="shared" si="88"/>
        <v>11</v>
      </c>
      <c r="AA1115" s="2"/>
      <c r="AB1115" s="15"/>
      <c r="AC1115" s="15"/>
      <c r="AD1115" s="15"/>
      <c r="AE1115" s="15"/>
      <c r="AF1115" s="2"/>
      <c r="AG1115" s="10" t="s">
        <v>290</v>
      </c>
      <c r="AH1115" s="12" t="s">
        <v>355</v>
      </c>
      <c r="AI1115" s="10" t="s">
        <v>226</v>
      </c>
      <c r="AJ1115" s="10" t="s">
        <v>291</v>
      </c>
      <c r="AK1115" s="16" t="s">
        <v>45</v>
      </c>
      <c r="AL1115" s="10" t="s">
        <v>49</v>
      </c>
      <c r="AM1115" s="16" t="s">
        <v>45</v>
      </c>
      <c r="AN1115" s="10" t="s">
        <v>1499</v>
      </c>
    </row>
    <row r="1116" ht="30.0" customHeight="1">
      <c r="A1116" s="9" t="str">
        <f t="shared" si="48"/>
        <v>N/I</v>
      </c>
      <c r="B1116" s="9" t="str">
        <f t="shared" si="49"/>
        <v>Ativo</v>
      </c>
      <c r="C1116" s="9" t="str">
        <f t="shared" si="80"/>
        <v>N/I</v>
      </c>
      <c r="D1116" s="10" t="s">
        <v>3384</v>
      </c>
      <c r="E1116" s="11" t="s">
        <v>3385</v>
      </c>
      <c r="F1116" s="11" t="s">
        <v>3406</v>
      </c>
      <c r="G1116" s="12" t="s">
        <v>94</v>
      </c>
      <c r="H1116" s="20" t="s">
        <v>3407</v>
      </c>
      <c r="I1116" s="12" t="s">
        <v>970</v>
      </c>
      <c r="J1116" s="10" t="s">
        <v>89</v>
      </c>
      <c r="K1116" s="10" t="s">
        <v>41</v>
      </c>
      <c r="L1116" s="10" t="s">
        <v>264</v>
      </c>
      <c r="M1116" s="22">
        <v>42682.0</v>
      </c>
      <c r="N1116" s="32" t="s">
        <v>3403</v>
      </c>
      <c r="O1116" s="10" t="s">
        <v>3408</v>
      </c>
      <c r="P1116" s="10" t="s">
        <v>3391</v>
      </c>
      <c r="Q1116" s="2"/>
      <c r="R1116" s="15"/>
      <c r="S1116" s="15"/>
      <c r="T1116" s="15"/>
      <c r="U1116" s="15"/>
      <c r="V1116" s="2"/>
      <c r="W1116" s="10">
        <v>12.0</v>
      </c>
      <c r="X1116" s="14">
        <v>45737.0</v>
      </c>
      <c r="Y1116" s="14">
        <v>46102.0</v>
      </c>
      <c r="Z1116" s="10">
        <f t="shared" si="88"/>
        <v>11</v>
      </c>
      <c r="AA1116" s="2"/>
      <c r="AB1116" s="15"/>
      <c r="AC1116" s="15"/>
      <c r="AD1116" s="15"/>
      <c r="AE1116" s="15"/>
      <c r="AF1116" s="2"/>
      <c r="AG1116" s="10" t="s">
        <v>290</v>
      </c>
      <c r="AH1116" s="12" t="s">
        <v>355</v>
      </c>
      <c r="AI1116" s="10" t="s">
        <v>226</v>
      </c>
      <c r="AJ1116" s="10" t="s">
        <v>291</v>
      </c>
      <c r="AK1116" s="16" t="s">
        <v>45</v>
      </c>
      <c r="AL1116" s="10" t="s">
        <v>49</v>
      </c>
      <c r="AM1116" s="16" t="s">
        <v>45</v>
      </c>
      <c r="AN1116" s="10" t="s">
        <v>1499</v>
      </c>
    </row>
    <row r="1117" ht="30.0" customHeight="1">
      <c r="A1117" s="9" t="str">
        <f t="shared" si="48"/>
        <v>N/I</v>
      </c>
      <c r="B1117" s="9" t="str">
        <f t="shared" si="49"/>
        <v>Ativo</v>
      </c>
      <c r="C1117" s="9" t="str">
        <f t="shared" si="80"/>
        <v>N/I</v>
      </c>
      <c r="D1117" s="10" t="s">
        <v>3384</v>
      </c>
      <c r="E1117" s="11" t="s">
        <v>3385</v>
      </c>
      <c r="F1117" s="11" t="s">
        <v>3409</v>
      </c>
      <c r="G1117" s="12" t="s">
        <v>94</v>
      </c>
      <c r="H1117" s="20" t="s">
        <v>3410</v>
      </c>
      <c r="I1117" s="12" t="s">
        <v>3411</v>
      </c>
      <c r="J1117" s="10" t="s">
        <v>89</v>
      </c>
      <c r="K1117" s="10" t="s">
        <v>41</v>
      </c>
      <c r="L1117" s="10" t="s">
        <v>264</v>
      </c>
      <c r="M1117" s="22">
        <v>42684.0</v>
      </c>
      <c r="N1117" s="32" t="s">
        <v>3412</v>
      </c>
      <c r="O1117" s="10" t="s">
        <v>3413</v>
      </c>
      <c r="P1117" s="10" t="s">
        <v>3391</v>
      </c>
      <c r="Q1117" s="2"/>
      <c r="R1117" s="15"/>
      <c r="S1117" s="15"/>
      <c r="T1117" s="15"/>
      <c r="U1117" s="15"/>
      <c r="V1117" s="2"/>
      <c r="W1117" s="10">
        <v>12.0</v>
      </c>
      <c r="X1117" s="14">
        <v>45737.0</v>
      </c>
      <c r="Y1117" s="14">
        <v>46102.0</v>
      </c>
      <c r="Z1117" s="10">
        <f t="shared" si="88"/>
        <v>11</v>
      </c>
      <c r="AA1117" s="2"/>
      <c r="AB1117" s="15"/>
      <c r="AC1117" s="15"/>
      <c r="AD1117" s="15"/>
      <c r="AE1117" s="15"/>
      <c r="AF1117" s="2"/>
      <c r="AG1117" s="10" t="s">
        <v>290</v>
      </c>
      <c r="AH1117" s="12" t="s">
        <v>355</v>
      </c>
      <c r="AI1117" s="10" t="s">
        <v>226</v>
      </c>
      <c r="AJ1117" s="10" t="s">
        <v>291</v>
      </c>
      <c r="AK1117" s="16" t="s">
        <v>45</v>
      </c>
      <c r="AL1117" s="10" t="s">
        <v>49</v>
      </c>
      <c r="AM1117" s="16" t="s">
        <v>45</v>
      </c>
      <c r="AN1117" s="10" t="s">
        <v>1499</v>
      </c>
    </row>
    <row r="1118" ht="30.0" customHeight="1">
      <c r="A1118" s="9" t="str">
        <f t="shared" si="48"/>
        <v>N/I</v>
      </c>
      <c r="B1118" s="9" t="str">
        <f t="shared" si="49"/>
        <v>Ativo</v>
      </c>
      <c r="C1118" s="9" t="str">
        <f t="shared" si="80"/>
        <v>N/I</v>
      </c>
      <c r="D1118" s="10" t="s">
        <v>3384</v>
      </c>
      <c r="E1118" s="11" t="s">
        <v>3385</v>
      </c>
      <c r="F1118" s="11" t="s">
        <v>3414</v>
      </c>
      <c r="G1118" s="12" t="s">
        <v>94</v>
      </c>
      <c r="H1118" s="56" t="s">
        <v>3415</v>
      </c>
      <c r="I1118" s="12" t="s">
        <v>3416</v>
      </c>
      <c r="J1118" s="10" t="s">
        <v>89</v>
      </c>
      <c r="K1118" s="10" t="s">
        <v>41</v>
      </c>
      <c r="L1118" s="10" t="s">
        <v>264</v>
      </c>
      <c r="M1118" s="22">
        <v>43377.0</v>
      </c>
      <c r="N1118" s="32" t="s">
        <v>3417</v>
      </c>
      <c r="O1118" s="10" t="s">
        <v>3418</v>
      </c>
      <c r="P1118" s="10" t="s">
        <v>3391</v>
      </c>
      <c r="Q1118" s="2"/>
      <c r="R1118" s="15"/>
      <c r="S1118" s="15"/>
      <c r="T1118" s="15"/>
      <c r="U1118" s="15"/>
      <c r="V1118" s="2"/>
      <c r="W1118" s="10">
        <v>12.0</v>
      </c>
      <c r="X1118" s="14">
        <v>45737.0</v>
      </c>
      <c r="Y1118" s="14">
        <v>46102.0</v>
      </c>
      <c r="Z1118" s="10">
        <f t="shared" si="88"/>
        <v>11</v>
      </c>
      <c r="AA1118" s="2"/>
      <c r="AB1118" s="15"/>
      <c r="AC1118" s="15"/>
      <c r="AD1118" s="15"/>
      <c r="AE1118" s="15"/>
      <c r="AF1118" s="2"/>
      <c r="AG1118" s="10" t="s">
        <v>290</v>
      </c>
      <c r="AH1118" s="12" t="s">
        <v>355</v>
      </c>
      <c r="AI1118" s="10" t="s">
        <v>226</v>
      </c>
      <c r="AJ1118" s="10" t="s">
        <v>291</v>
      </c>
      <c r="AK1118" s="16" t="s">
        <v>45</v>
      </c>
      <c r="AL1118" s="10" t="s">
        <v>49</v>
      </c>
      <c r="AM1118" s="16" t="s">
        <v>45</v>
      </c>
      <c r="AN1118" s="10" t="s">
        <v>1499</v>
      </c>
    </row>
    <row r="1119" ht="30.0" customHeight="1">
      <c r="A1119" s="9" t="str">
        <f t="shared" si="48"/>
        <v>N/I</v>
      </c>
      <c r="B1119" s="9" t="str">
        <f t="shared" si="49"/>
        <v>Ativo</v>
      </c>
      <c r="C1119" s="9" t="str">
        <f t="shared" si="80"/>
        <v>N/I</v>
      </c>
      <c r="D1119" s="10" t="s">
        <v>3384</v>
      </c>
      <c r="E1119" s="11" t="s">
        <v>3385</v>
      </c>
      <c r="F1119" s="11" t="s">
        <v>3419</v>
      </c>
      <c r="G1119" s="12" t="s">
        <v>94</v>
      </c>
      <c r="H1119" s="20" t="s">
        <v>3420</v>
      </c>
      <c r="I1119" s="12" t="s">
        <v>3421</v>
      </c>
      <c r="J1119" s="10" t="s">
        <v>89</v>
      </c>
      <c r="K1119" s="10" t="s">
        <v>41</v>
      </c>
      <c r="L1119" s="10" t="s">
        <v>264</v>
      </c>
      <c r="M1119" s="22">
        <v>42269.0</v>
      </c>
      <c r="N1119" s="32" t="s">
        <v>3422</v>
      </c>
      <c r="O1119" s="10" t="s">
        <v>3390</v>
      </c>
      <c r="P1119" s="10" t="s">
        <v>3391</v>
      </c>
      <c r="Q1119" s="2"/>
      <c r="R1119" s="15"/>
      <c r="S1119" s="15"/>
      <c r="T1119" s="15"/>
      <c r="U1119" s="15"/>
      <c r="V1119" s="2"/>
      <c r="W1119" s="10">
        <v>12.0</v>
      </c>
      <c r="X1119" s="14">
        <v>45737.0</v>
      </c>
      <c r="Y1119" s="14">
        <v>46102.0</v>
      </c>
      <c r="Z1119" s="10">
        <f t="shared" si="88"/>
        <v>11</v>
      </c>
      <c r="AA1119" s="2"/>
      <c r="AB1119" s="15"/>
      <c r="AC1119" s="15"/>
      <c r="AD1119" s="15"/>
      <c r="AE1119" s="15"/>
      <c r="AF1119" s="2"/>
      <c r="AG1119" s="10" t="s">
        <v>290</v>
      </c>
      <c r="AH1119" s="12" t="s">
        <v>355</v>
      </c>
      <c r="AI1119" s="10" t="s">
        <v>226</v>
      </c>
      <c r="AJ1119" s="10" t="s">
        <v>291</v>
      </c>
      <c r="AK1119" s="16" t="s">
        <v>45</v>
      </c>
      <c r="AL1119" s="10" t="s">
        <v>49</v>
      </c>
      <c r="AM1119" s="16" t="s">
        <v>45</v>
      </c>
      <c r="AN1119" s="10" t="s">
        <v>1499</v>
      </c>
    </row>
    <row r="1120" ht="30.0" customHeight="1">
      <c r="A1120" s="9" t="str">
        <f t="shared" si="48"/>
        <v>N/I</v>
      </c>
      <c r="B1120" s="9" t="str">
        <f t="shared" si="49"/>
        <v>Ativo</v>
      </c>
      <c r="C1120" s="9" t="str">
        <f t="shared" si="80"/>
        <v>N/I</v>
      </c>
      <c r="D1120" s="10" t="s">
        <v>3384</v>
      </c>
      <c r="E1120" s="11" t="s">
        <v>3385</v>
      </c>
      <c r="F1120" s="11" t="s">
        <v>3423</v>
      </c>
      <c r="G1120" s="12" t="s">
        <v>94</v>
      </c>
      <c r="H1120" s="20" t="s">
        <v>3424</v>
      </c>
      <c r="I1120" s="12" t="s">
        <v>3425</v>
      </c>
      <c r="J1120" s="10" t="s">
        <v>89</v>
      </c>
      <c r="K1120" s="10" t="s">
        <v>41</v>
      </c>
      <c r="L1120" s="10" t="s">
        <v>264</v>
      </c>
      <c r="M1120" s="22">
        <v>42272.0</v>
      </c>
      <c r="N1120" s="32" t="s">
        <v>3426</v>
      </c>
      <c r="O1120" s="10" t="s">
        <v>3427</v>
      </c>
      <c r="P1120" s="10" t="s">
        <v>3391</v>
      </c>
      <c r="Q1120" s="2"/>
      <c r="R1120" s="15"/>
      <c r="S1120" s="15"/>
      <c r="T1120" s="15"/>
      <c r="U1120" s="15"/>
      <c r="V1120" s="2"/>
      <c r="W1120" s="10">
        <v>12.0</v>
      </c>
      <c r="X1120" s="14">
        <v>45737.0</v>
      </c>
      <c r="Y1120" s="14">
        <v>46102.0</v>
      </c>
      <c r="Z1120" s="10">
        <f t="shared" si="88"/>
        <v>11</v>
      </c>
      <c r="AA1120" s="2"/>
      <c r="AB1120" s="15"/>
      <c r="AC1120" s="15"/>
      <c r="AD1120" s="15"/>
      <c r="AE1120" s="15"/>
      <c r="AF1120" s="2"/>
      <c r="AG1120" s="10" t="s">
        <v>290</v>
      </c>
      <c r="AH1120" s="12" t="s">
        <v>355</v>
      </c>
      <c r="AI1120" s="10" t="s">
        <v>226</v>
      </c>
      <c r="AJ1120" s="10" t="s">
        <v>291</v>
      </c>
      <c r="AK1120" s="16" t="s">
        <v>45</v>
      </c>
      <c r="AL1120" s="10" t="s">
        <v>49</v>
      </c>
      <c r="AM1120" s="16" t="s">
        <v>45</v>
      </c>
      <c r="AN1120" s="10" t="s">
        <v>1499</v>
      </c>
    </row>
    <row r="1121" ht="30.0" customHeight="1">
      <c r="A1121" s="9" t="str">
        <f t="shared" si="48"/>
        <v>N/I</v>
      </c>
      <c r="B1121" s="9" t="str">
        <f t="shared" si="49"/>
        <v>Ativo</v>
      </c>
      <c r="C1121" s="9" t="str">
        <f t="shared" si="80"/>
        <v>N/I</v>
      </c>
      <c r="D1121" s="10" t="s">
        <v>3384</v>
      </c>
      <c r="E1121" s="11" t="s">
        <v>3385</v>
      </c>
      <c r="F1121" s="11" t="s">
        <v>3428</v>
      </c>
      <c r="G1121" s="12" t="s">
        <v>94</v>
      </c>
      <c r="H1121" s="20" t="s">
        <v>3429</v>
      </c>
      <c r="I1121" s="12" t="s">
        <v>370</v>
      </c>
      <c r="J1121" s="10" t="s">
        <v>89</v>
      </c>
      <c r="K1121" s="10" t="s">
        <v>41</v>
      </c>
      <c r="L1121" s="10" t="s">
        <v>264</v>
      </c>
      <c r="M1121" s="22">
        <v>43378.0</v>
      </c>
      <c r="N1121" s="32" t="s">
        <v>3430</v>
      </c>
      <c r="O1121" s="10" t="s">
        <v>3431</v>
      </c>
      <c r="P1121" s="10" t="s">
        <v>3391</v>
      </c>
      <c r="Q1121" s="2"/>
      <c r="R1121" s="15"/>
      <c r="S1121" s="15"/>
      <c r="T1121" s="15"/>
      <c r="U1121" s="15"/>
      <c r="V1121" s="2"/>
      <c r="W1121" s="10">
        <v>12.0</v>
      </c>
      <c r="X1121" s="14">
        <v>45737.0</v>
      </c>
      <c r="Y1121" s="14">
        <v>46102.0</v>
      </c>
      <c r="Z1121" s="10">
        <f t="shared" si="88"/>
        <v>11</v>
      </c>
      <c r="AA1121" s="2"/>
      <c r="AB1121" s="15"/>
      <c r="AC1121" s="15"/>
      <c r="AD1121" s="15"/>
      <c r="AE1121" s="15"/>
      <c r="AF1121" s="2"/>
      <c r="AG1121" s="10" t="s">
        <v>290</v>
      </c>
      <c r="AH1121" s="12" t="s">
        <v>355</v>
      </c>
      <c r="AI1121" s="10" t="s">
        <v>226</v>
      </c>
      <c r="AJ1121" s="10" t="s">
        <v>291</v>
      </c>
      <c r="AK1121" s="16" t="s">
        <v>45</v>
      </c>
      <c r="AL1121" s="10" t="s">
        <v>49</v>
      </c>
      <c r="AM1121" s="16" t="s">
        <v>45</v>
      </c>
      <c r="AN1121" s="10" t="s">
        <v>1499</v>
      </c>
    </row>
    <row r="1122" ht="30.0" customHeight="1">
      <c r="A1122" s="9" t="str">
        <f t="shared" si="48"/>
        <v>N/I</v>
      </c>
      <c r="B1122" s="9" t="str">
        <f t="shared" si="49"/>
        <v>Ativo</v>
      </c>
      <c r="C1122" s="9" t="str">
        <f t="shared" si="80"/>
        <v>N/I</v>
      </c>
      <c r="D1122" s="10" t="s">
        <v>3384</v>
      </c>
      <c r="E1122" s="11" t="s">
        <v>3385</v>
      </c>
      <c r="F1122" s="11" t="s">
        <v>3432</v>
      </c>
      <c r="G1122" s="12" t="s">
        <v>94</v>
      </c>
      <c r="H1122" s="20" t="s">
        <v>3433</v>
      </c>
      <c r="I1122" s="12" t="s">
        <v>370</v>
      </c>
      <c r="J1122" s="10" t="s">
        <v>89</v>
      </c>
      <c r="K1122" s="10" t="s">
        <v>41</v>
      </c>
      <c r="L1122" s="10" t="s">
        <v>264</v>
      </c>
      <c r="M1122" s="22">
        <v>42684.0</v>
      </c>
      <c r="N1122" s="32" t="s">
        <v>3434</v>
      </c>
      <c r="O1122" s="10" t="s">
        <v>3435</v>
      </c>
      <c r="P1122" s="10" t="s">
        <v>3391</v>
      </c>
      <c r="Q1122" s="2"/>
      <c r="R1122" s="15"/>
      <c r="S1122" s="15"/>
      <c r="T1122" s="15"/>
      <c r="U1122" s="15"/>
      <c r="V1122" s="2"/>
      <c r="W1122" s="10">
        <v>12.0</v>
      </c>
      <c r="X1122" s="14">
        <v>45737.0</v>
      </c>
      <c r="Y1122" s="14">
        <v>46102.0</v>
      </c>
      <c r="Z1122" s="10">
        <f t="shared" si="88"/>
        <v>11</v>
      </c>
      <c r="AA1122" s="2"/>
      <c r="AB1122" s="15"/>
      <c r="AC1122" s="15"/>
      <c r="AD1122" s="15"/>
      <c r="AE1122" s="15"/>
      <c r="AF1122" s="2"/>
      <c r="AG1122" s="10" t="s">
        <v>290</v>
      </c>
      <c r="AH1122" s="12" t="s">
        <v>355</v>
      </c>
      <c r="AI1122" s="10" t="s">
        <v>226</v>
      </c>
      <c r="AJ1122" s="10" t="s">
        <v>291</v>
      </c>
      <c r="AK1122" s="16" t="s">
        <v>45</v>
      </c>
      <c r="AL1122" s="10" t="s">
        <v>49</v>
      </c>
      <c r="AM1122" s="16" t="s">
        <v>45</v>
      </c>
      <c r="AN1122" s="10" t="s">
        <v>1499</v>
      </c>
    </row>
    <row r="1123" ht="30.0" customHeight="1">
      <c r="A1123" s="9" t="str">
        <f t="shared" si="48"/>
        <v>N/I</v>
      </c>
      <c r="B1123" s="9" t="str">
        <f t="shared" si="49"/>
        <v>Ativo</v>
      </c>
      <c r="C1123" s="9" t="str">
        <f t="shared" si="80"/>
        <v>N/I</v>
      </c>
      <c r="D1123" s="10" t="s">
        <v>3384</v>
      </c>
      <c r="E1123" s="11" t="s">
        <v>3385</v>
      </c>
      <c r="F1123" s="11" t="s">
        <v>3436</v>
      </c>
      <c r="G1123" s="12" t="s">
        <v>94</v>
      </c>
      <c r="H1123" s="20" t="s">
        <v>3437</v>
      </c>
      <c r="I1123" s="12" t="s">
        <v>3438</v>
      </c>
      <c r="J1123" s="10" t="s">
        <v>89</v>
      </c>
      <c r="K1123" s="10" t="s">
        <v>41</v>
      </c>
      <c r="L1123" s="10" t="s">
        <v>264</v>
      </c>
      <c r="M1123" s="22">
        <v>42682.0</v>
      </c>
      <c r="N1123" s="32" t="s">
        <v>669</v>
      </c>
      <c r="O1123" s="10" t="s">
        <v>3439</v>
      </c>
      <c r="P1123" s="10" t="s">
        <v>3391</v>
      </c>
      <c r="Q1123" s="2"/>
      <c r="R1123" s="15"/>
      <c r="S1123" s="15"/>
      <c r="T1123" s="15"/>
      <c r="U1123" s="15"/>
      <c r="V1123" s="2"/>
      <c r="W1123" s="10">
        <v>12.0</v>
      </c>
      <c r="X1123" s="14">
        <v>45737.0</v>
      </c>
      <c r="Y1123" s="14">
        <v>46102.0</v>
      </c>
      <c r="Z1123" s="10">
        <f t="shared" si="88"/>
        <v>11</v>
      </c>
      <c r="AA1123" s="2"/>
      <c r="AB1123" s="15"/>
      <c r="AC1123" s="15"/>
      <c r="AD1123" s="15"/>
      <c r="AE1123" s="15"/>
      <c r="AF1123" s="2"/>
      <c r="AG1123" s="10" t="s">
        <v>290</v>
      </c>
      <c r="AH1123" s="12" t="s">
        <v>355</v>
      </c>
      <c r="AI1123" s="10" t="s">
        <v>226</v>
      </c>
      <c r="AJ1123" s="10" t="s">
        <v>291</v>
      </c>
      <c r="AK1123" s="16" t="s">
        <v>45</v>
      </c>
      <c r="AL1123" s="10" t="s">
        <v>49</v>
      </c>
      <c r="AM1123" s="16" t="s">
        <v>45</v>
      </c>
      <c r="AN1123" s="10" t="s">
        <v>1499</v>
      </c>
    </row>
    <row r="1124" ht="30.0" customHeight="1">
      <c r="A1124" s="9" t="str">
        <f t="shared" si="48"/>
        <v>N/I</v>
      </c>
      <c r="B1124" s="9" t="str">
        <f t="shared" si="49"/>
        <v>Ativo</v>
      </c>
      <c r="C1124" s="9" t="str">
        <f t="shared" si="80"/>
        <v>N/I</v>
      </c>
      <c r="D1124" s="10" t="s">
        <v>3384</v>
      </c>
      <c r="E1124" s="11" t="s">
        <v>3385</v>
      </c>
      <c r="F1124" s="11" t="s">
        <v>3440</v>
      </c>
      <c r="G1124" s="12" t="s">
        <v>94</v>
      </c>
      <c r="H1124" s="20" t="s">
        <v>3441</v>
      </c>
      <c r="I1124" s="12" t="s">
        <v>3442</v>
      </c>
      <c r="J1124" s="10" t="s">
        <v>89</v>
      </c>
      <c r="K1124" s="10" t="s">
        <v>41</v>
      </c>
      <c r="L1124" s="10" t="s">
        <v>264</v>
      </c>
      <c r="M1124" s="22">
        <v>43419.0</v>
      </c>
      <c r="N1124" s="32" t="s">
        <v>3443</v>
      </c>
      <c r="O1124" s="10" t="s">
        <v>3444</v>
      </c>
      <c r="P1124" s="10" t="s">
        <v>3391</v>
      </c>
      <c r="Q1124" s="2"/>
      <c r="R1124" s="15"/>
      <c r="S1124" s="15"/>
      <c r="T1124" s="15"/>
      <c r="U1124" s="15"/>
      <c r="V1124" s="2"/>
      <c r="W1124" s="10">
        <v>12.0</v>
      </c>
      <c r="X1124" s="14">
        <v>45737.0</v>
      </c>
      <c r="Y1124" s="14">
        <v>46102.0</v>
      </c>
      <c r="Z1124" s="10">
        <f t="shared" si="88"/>
        <v>11</v>
      </c>
      <c r="AA1124" s="2"/>
      <c r="AB1124" s="15"/>
      <c r="AC1124" s="15"/>
      <c r="AD1124" s="15"/>
      <c r="AE1124" s="15"/>
      <c r="AF1124" s="2"/>
      <c r="AG1124" s="10" t="s">
        <v>290</v>
      </c>
      <c r="AH1124" s="12" t="s">
        <v>355</v>
      </c>
      <c r="AI1124" s="10" t="s">
        <v>226</v>
      </c>
      <c r="AJ1124" s="10" t="s">
        <v>291</v>
      </c>
      <c r="AK1124" s="16" t="s">
        <v>45</v>
      </c>
      <c r="AL1124" s="10" t="s">
        <v>49</v>
      </c>
      <c r="AM1124" s="16" t="s">
        <v>45</v>
      </c>
      <c r="AN1124" s="10" t="s">
        <v>1499</v>
      </c>
    </row>
    <row r="1125" ht="30.0" customHeight="1">
      <c r="A1125" s="9" t="str">
        <f t="shared" si="48"/>
        <v>N/I</v>
      </c>
      <c r="B1125" s="9" t="str">
        <f t="shared" si="49"/>
        <v>Ativo</v>
      </c>
      <c r="C1125" s="9" t="str">
        <f t="shared" si="80"/>
        <v>N/I</v>
      </c>
      <c r="D1125" s="10" t="s">
        <v>3384</v>
      </c>
      <c r="E1125" s="11" t="s">
        <v>3385</v>
      </c>
      <c r="F1125" s="11" t="s">
        <v>3445</v>
      </c>
      <c r="G1125" s="12" t="s">
        <v>94</v>
      </c>
      <c r="H1125" s="20" t="s">
        <v>3446</v>
      </c>
      <c r="I1125" s="12" t="s">
        <v>1164</v>
      </c>
      <c r="J1125" s="10" t="s">
        <v>89</v>
      </c>
      <c r="K1125" s="10" t="s">
        <v>41</v>
      </c>
      <c r="L1125" s="10" t="s">
        <v>264</v>
      </c>
      <c r="M1125" s="22">
        <v>43377.0</v>
      </c>
      <c r="N1125" s="32" t="s">
        <v>1165</v>
      </c>
      <c r="O1125" s="10" t="s">
        <v>1168</v>
      </c>
      <c r="P1125" s="10" t="s">
        <v>3391</v>
      </c>
      <c r="Q1125" s="2"/>
      <c r="R1125" s="15"/>
      <c r="S1125" s="15"/>
      <c r="T1125" s="15"/>
      <c r="U1125" s="15"/>
      <c r="V1125" s="2"/>
      <c r="W1125" s="10">
        <v>12.0</v>
      </c>
      <c r="X1125" s="14">
        <v>45737.0</v>
      </c>
      <c r="Y1125" s="14">
        <v>46102.0</v>
      </c>
      <c r="Z1125" s="10">
        <f t="shared" si="88"/>
        <v>11</v>
      </c>
      <c r="AA1125" s="2"/>
      <c r="AB1125" s="15"/>
      <c r="AC1125" s="15"/>
      <c r="AD1125" s="15"/>
      <c r="AE1125" s="15"/>
      <c r="AF1125" s="2"/>
      <c r="AG1125" s="10" t="s">
        <v>290</v>
      </c>
      <c r="AH1125" s="12" t="s">
        <v>355</v>
      </c>
      <c r="AI1125" s="10" t="s">
        <v>226</v>
      </c>
      <c r="AJ1125" s="10" t="s">
        <v>291</v>
      </c>
      <c r="AK1125" s="16" t="s">
        <v>45</v>
      </c>
      <c r="AL1125" s="10" t="s">
        <v>49</v>
      </c>
      <c r="AM1125" s="16" t="s">
        <v>45</v>
      </c>
      <c r="AN1125" s="10" t="s">
        <v>1499</v>
      </c>
    </row>
    <row r="1126" ht="30.0" customHeight="1">
      <c r="A1126" s="9" t="str">
        <f t="shared" si="48"/>
        <v>N/I</v>
      </c>
      <c r="B1126" s="9" t="str">
        <f t="shared" si="49"/>
        <v>Ativo</v>
      </c>
      <c r="C1126" s="9" t="str">
        <f t="shared" si="80"/>
        <v>N/I</v>
      </c>
      <c r="D1126" s="10" t="s">
        <v>3384</v>
      </c>
      <c r="E1126" s="11" t="s">
        <v>3385</v>
      </c>
      <c r="F1126" s="11" t="s">
        <v>3447</v>
      </c>
      <c r="G1126" s="12" t="s">
        <v>94</v>
      </c>
      <c r="H1126" s="20" t="s">
        <v>3448</v>
      </c>
      <c r="I1126" s="12" t="s">
        <v>1164</v>
      </c>
      <c r="J1126" s="10" t="s">
        <v>89</v>
      </c>
      <c r="K1126" s="10" t="s">
        <v>41</v>
      </c>
      <c r="L1126" s="10" t="s">
        <v>264</v>
      </c>
      <c r="M1126" s="22">
        <v>43377.0</v>
      </c>
      <c r="N1126" s="32" t="s">
        <v>1165</v>
      </c>
      <c r="O1126" s="10" t="s">
        <v>1168</v>
      </c>
      <c r="P1126" s="10" t="s">
        <v>3391</v>
      </c>
      <c r="Q1126" s="2"/>
      <c r="R1126" s="15"/>
      <c r="S1126" s="15"/>
      <c r="T1126" s="15"/>
      <c r="U1126" s="15"/>
      <c r="V1126" s="2"/>
      <c r="W1126" s="10">
        <v>12.0</v>
      </c>
      <c r="X1126" s="14">
        <v>45737.0</v>
      </c>
      <c r="Y1126" s="14">
        <v>46102.0</v>
      </c>
      <c r="Z1126" s="10">
        <f t="shared" si="88"/>
        <v>11</v>
      </c>
      <c r="AA1126" s="2"/>
      <c r="AB1126" s="15"/>
      <c r="AC1126" s="15"/>
      <c r="AD1126" s="15"/>
      <c r="AE1126" s="15"/>
      <c r="AF1126" s="2"/>
      <c r="AG1126" s="10" t="s">
        <v>290</v>
      </c>
      <c r="AH1126" s="12" t="s">
        <v>355</v>
      </c>
      <c r="AI1126" s="10" t="s">
        <v>226</v>
      </c>
      <c r="AJ1126" s="10" t="s">
        <v>291</v>
      </c>
      <c r="AK1126" s="16" t="s">
        <v>45</v>
      </c>
      <c r="AL1126" s="10" t="s">
        <v>49</v>
      </c>
      <c r="AM1126" s="16" t="s">
        <v>45</v>
      </c>
      <c r="AN1126" s="10" t="s">
        <v>1499</v>
      </c>
    </row>
    <row r="1127" ht="30.0" customHeight="1">
      <c r="A1127" s="9" t="str">
        <f t="shared" si="48"/>
        <v>N/I</v>
      </c>
      <c r="B1127" s="9" t="str">
        <f t="shared" si="49"/>
        <v>Ativo</v>
      </c>
      <c r="C1127" s="9" t="str">
        <f t="shared" si="80"/>
        <v>N/I</v>
      </c>
      <c r="D1127" s="10" t="s">
        <v>3384</v>
      </c>
      <c r="E1127" s="11" t="s">
        <v>3385</v>
      </c>
      <c r="F1127" s="11" t="s">
        <v>3449</v>
      </c>
      <c r="G1127" s="12" t="s">
        <v>94</v>
      </c>
      <c r="H1127" s="20" t="s">
        <v>3450</v>
      </c>
      <c r="I1127" s="12" t="s">
        <v>1164</v>
      </c>
      <c r="J1127" s="10" t="s">
        <v>89</v>
      </c>
      <c r="K1127" s="10" t="s">
        <v>41</v>
      </c>
      <c r="L1127" s="10" t="s">
        <v>264</v>
      </c>
      <c r="M1127" s="22">
        <v>44246.0</v>
      </c>
      <c r="N1127" s="32" t="s">
        <v>3403</v>
      </c>
      <c r="O1127" s="10" t="s">
        <v>1168</v>
      </c>
      <c r="P1127" s="10" t="s">
        <v>3391</v>
      </c>
      <c r="Q1127" s="2"/>
      <c r="R1127" s="15"/>
      <c r="S1127" s="15"/>
      <c r="T1127" s="15"/>
      <c r="U1127" s="15"/>
      <c r="V1127" s="2"/>
      <c r="W1127" s="10">
        <v>12.0</v>
      </c>
      <c r="X1127" s="14">
        <v>45737.0</v>
      </c>
      <c r="Y1127" s="14">
        <v>46102.0</v>
      </c>
      <c r="Z1127" s="10">
        <f t="shared" si="88"/>
        <v>11</v>
      </c>
      <c r="AA1127" s="2"/>
      <c r="AB1127" s="15"/>
      <c r="AC1127" s="15"/>
      <c r="AD1127" s="15"/>
      <c r="AE1127" s="15"/>
      <c r="AF1127" s="2"/>
      <c r="AG1127" s="10" t="s">
        <v>290</v>
      </c>
      <c r="AH1127" s="12" t="s">
        <v>355</v>
      </c>
      <c r="AI1127" s="10" t="s">
        <v>226</v>
      </c>
      <c r="AJ1127" s="10" t="s">
        <v>291</v>
      </c>
      <c r="AK1127" s="16" t="s">
        <v>45</v>
      </c>
      <c r="AL1127" s="10" t="s">
        <v>49</v>
      </c>
      <c r="AM1127" s="16" t="s">
        <v>45</v>
      </c>
      <c r="AN1127" s="10" t="s">
        <v>1499</v>
      </c>
    </row>
    <row r="1128" ht="30.0" customHeight="1">
      <c r="A1128" s="9" t="str">
        <f t="shared" si="48"/>
        <v>N/I</v>
      </c>
      <c r="B1128" s="9" t="str">
        <f t="shared" si="49"/>
        <v>Ativo</v>
      </c>
      <c r="C1128" s="9" t="str">
        <f t="shared" si="80"/>
        <v>N/I</v>
      </c>
      <c r="D1128" s="10" t="s">
        <v>3384</v>
      </c>
      <c r="E1128" s="11" t="s">
        <v>3385</v>
      </c>
      <c r="F1128" s="11" t="s">
        <v>3451</v>
      </c>
      <c r="G1128" s="12" t="s">
        <v>94</v>
      </c>
      <c r="H1128" s="20" t="s">
        <v>3452</v>
      </c>
      <c r="I1128" s="12" t="s">
        <v>1164</v>
      </c>
      <c r="J1128" s="10" t="s">
        <v>89</v>
      </c>
      <c r="K1128" s="10" t="s">
        <v>41</v>
      </c>
      <c r="L1128" s="10" t="s">
        <v>264</v>
      </c>
      <c r="M1128" s="22">
        <v>42684.0</v>
      </c>
      <c r="N1128" s="32" t="s">
        <v>1165</v>
      </c>
      <c r="O1128" s="10" t="s">
        <v>1168</v>
      </c>
      <c r="P1128" s="10" t="s">
        <v>3391</v>
      </c>
      <c r="Q1128" s="2"/>
      <c r="R1128" s="15"/>
      <c r="S1128" s="15"/>
      <c r="T1128" s="15"/>
      <c r="U1128" s="15"/>
      <c r="V1128" s="2"/>
      <c r="W1128" s="10">
        <v>12.0</v>
      </c>
      <c r="X1128" s="14">
        <v>45737.0</v>
      </c>
      <c r="Y1128" s="14">
        <v>46102.0</v>
      </c>
      <c r="Z1128" s="10">
        <f t="shared" si="88"/>
        <v>11</v>
      </c>
      <c r="AA1128" s="2"/>
      <c r="AB1128" s="15"/>
      <c r="AC1128" s="15"/>
      <c r="AD1128" s="15"/>
      <c r="AE1128" s="15"/>
      <c r="AF1128" s="2"/>
      <c r="AG1128" s="10" t="s">
        <v>290</v>
      </c>
      <c r="AH1128" s="12" t="s">
        <v>355</v>
      </c>
      <c r="AI1128" s="10" t="s">
        <v>226</v>
      </c>
      <c r="AJ1128" s="10" t="s">
        <v>291</v>
      </c>
      <c r="AK1128" s="16" t="s">
        <v>45</v>
      </c>
      <c r="AL1128" s="10" t="s">
        <v>49</v>
      </c>
      <c r="AM1128" s="16" t="s">
        <v>45</v>
      </c>
      <c r="AN1128" s="10" t="s">
        <v>1499</v>
      </c>
    </row>
    <row r="1129" ht="30.0" customHeight="1">
      <c r="A1129" s="9" t="str">
        <f t="shared" si="48"/>
        <v>N/I</v>
      </c>
      <c r="B1129" s="9" t="str">
        <f t="shared" si="49"/>
        <v>Ativo</v>
      </c>
      <c r="C1129" s="9" t="str">
        <f t="shared" si="80"/>
        <v>N/I</v>
      </c>
      <c r="D1129" s="10" t="s">
        <v>3384</v>
      </c>
      <c r="E1129" s="11" t="s">
        <v>3385</v>
      </c>
      <c r="F1129" s="11" t="s">
        <v>3453</v>
      </c>
      <c r="G1129" s="12" t="s">
        <v>94</v>
      </c>
      <c r="H1129" s="20" t="s">
        <v>3454</v>
      </c>
      <c r="I1129" s="12" t="s">
        <v>1164</v>
      </c>
      <c r="J1129" s="10" t="s">
        <v>89</v>
      </c>
      <c r="K1129" s="10" t="s">
        <v>41</v>
      </c>
      <c r="L1129" s="10" t="s">
        <v>264</v>
      </c>
      <c r="M1129" s="22">
        <v>42686.0</v>
      </c>
      <c r="N1129" s="32" t="s">
        <v>3403</v>
      </c>
      <c r="O1129" s="10" t="s">
        <v>1168</v>
      </c>
      <c r="P1129" s="10" t="s">
        <v>3391</v>
      </c>
      <c r="Q1129" s="2"/>
      <c r="R1129" s="15"/>
      <c r="S1129" s="15"/>
      <c r="T1129" s="15"/>
      <c r="U1129" s="15"/>
      <c r="V1129" s="2"/>
      <c r="W1129" s="10">
        <v>12.0</v>
      </c>
      <c r="X1129" s="14">
        <v>45737.0</v>
      </c>
      <c r="Y1129" s="14">
        <v>46102.0</v>
      </c>
      <c r="Z1129" s="10">
        <f t="shared" si="88"/>
        <v>11</v>
      </c>
      <c r="AA1129" s="1"/>
      <c r="AB1129" s="15"/>
      <c r="AC1129" s="15"/>
      <c r="AD1129" s="15"/>
      <c r="AE1129" s="15"/>
      <c r="AF1129" s="2"/>
      <c r="AG1129" s="10" t="s">
        <v>290</v>
      </c>
      <c r="AH1129" s="12" t="s">
        <v>355</v>
      </c>
      <c r="AI1129" s="10" t="s">
        <v>226</v>
      </c>
      <c r="AJ1129" s="10" t="s">
        <v>291</v>
      </c>
      <c r="AK1129" s="16" t="s">
        <v>45</v>
      </c>
      <c r="AL1129" s="10" t="s">
        <v>49</v>
      </c>
      <c r="AM1129" s="16" t="s">
        <v>45</v>
      </c>
      <c r="AN1129" s="10" t="s">
        <v>1499</v>
      </c>
    </row>
    <row r="1130" ht="30.0" customHeight="1">
      <c r="A1130" s="9" t="str">
        <f t="shared" si="48"/>
        <v>N/I</v>
      </c>
      <c r="B1130" s="9" t="str">
        <f t="shared" si="49"/>
        <v>Ativo</v>
      </c>
      <c r="C1130" s="9" t="str">
        <f t="shared" si="80"/>
        <v>N/I</v>
      </c>
      <c r="D1130" s="10" t="s">
        <v>3384</v>
      </c>
      <c r="E1130" s="11" t="s">
        <v>3385</v>
      </c>
      <c r="F1130" s="11" t="s">
        <v>3455</v>
      </c>
      <c r="G1130" s="12" t="s">
        <v>94</v>
      </c>
      <c r="H1130" s="20" t="s">
        <v>3456</v>
      </c>
      <c r="I1130" s="12" t="s">
        <v>1164</v>
      </c>
      <c r="J1130" s="10" t="s">
        <v>89</v>
      </c>
      <c r="K1130" s="10" t="s">
        <v>41</v>
      </c>
      <c r="L1130" s="10" t="s">
        <v>264</v>
      </c>
      <c r="M1130" s="22">
        <v>42688.0</v>
      </c>
      <c r="N1130" s="32" t="s">
        <v>3403</v>
      </c>
      <c r="O1130" s="10" t="s">
        <v>1168</v>
      </c>
      <c r="P1130" s="10" t="s">
        <v>3391</v>
      </c>
      <c r="Q1130" s="2"/>
      <c r="R1130" s="15"/>
      <c r="S1130" s="15"/>
      <c r="T1130" s="15"/>
      <c r="U1130" s="15"/>
      <c r="V1130" s="2"/>
      <c r="W1130" s="10">
        <v>12.0</v>
      </c>
      <c r="X1130" s="14">
        <v>45737.0</v>
      </c>
      <c r="Y1130" s="14">
        <v>46102.0</v>
      </c>
      <c r="Z1130" s="10">
        <f t="shared" si="88"/>
        <v>11</v>
      </c>
      <c r="AA1130" s="2"/>
      <c r="AB1130" s="15"/>
      <c r="AC1130" s="15"/>
      <c r="AD1130" s="15"/>
      <c r="AE1130" s="15"/>
      <c r="AF1130" s="2"/>
      <c r="AG1130" s="10" t="s">
        <v>290</v>
      </c>
      <c r="AH1130" s="12" t="s">
        <v>355</v>
      </c>
      <c r="AI1130" s="10" t="s">
        <v>226</v>
      </c>
      <c r="AJ1130" s="10" t="s">
        <v>291</v>
      </c>
      <c r="AK1130" s="16" t="s">
        <v>45</v>
      </c>
      <c r="AL1130" s="10" t="s">
        <v>49</v>
      </c>
      <c r="AM1130" s="16" t="s">
        <v>45</v>
      </c>
      <c r="AN1130" s="10" t="s">
        <v>1499</v>
      </c>
    </row>
    <row r="1131" ht="30.0" customHeight="1">
      <c r="A1131" s="9" t="str">
        <f t="shared" si="48"/>
        <v>N/I</v>
      </c>
      <c r="B1131" s="9" t="str">
        <f t="shared" si="49"/>
        <v>Ativo</v>
      </c>
      <c r="C1131" s="9" t="str">
        <f t="shared" si="80"/>
        <v>N/I</v>
      </c>
      <c r="D1131" s="10" t="s">
        <v>3384</v>
      </c>
      <c r="E1131" s="11" t="s">
        <v>3385</v>
      </c>
      <c r="F1131" s="11" t="s">
        <v>3457</v>
      </c>
      <c r="G1131" s="12" t="s">
        <v>94</v>
      </c>
      <c r="H1131" s="20" t="s">
        <v>3458</v>
      </c>
      <c r="I1131" s="12" t="s">
        <v>88</v>
      </c>
      <c r="J1131" s="10" t="s">
        <v>89</v>
      </c>
      <c r="K1131" s="10" t="s">
        <v>41</v>
      </c>
      <c r="L1131" s="10" t="s">
        <v>264</v>
      </c>
      <c r="M1131" s="22">
        <v>43378.0</v>
      </c>
      <c r="N1131" s="32" t="s">
        <v>3459</v>
      </c>
      <c r="O1131" s="10" t="s">
        <v>3460</v>
      </c>
      <c r="P1131" s="10" t="s">
        <v>3391</v>
      </c>
      <c r="Q1131" s="2"/>
      <c r="R1131" s="15"/>
      <c r="S1131" s="15"/>
      <c r="T1131" s="15"/>
      <c r="U1131" s="15"/>
      <c r="V1131" s="2"/>
      <c r="W1131" s="10">
        <v>12.0</v>
      </c>
      <c r="X1131" s="14">
        <v>45737.0</v>
      </c>
      <c r="Y1131" s="14">
        <v>46102.0</v>
      </c>
      <c r="Z1131" s="10">
        <f t="shared" si="88"/>
        <v>11</v>
      </c>
      <c r="AA1131" s="2"/>
      <c r="AB1131" s="15"/>
      <c r="AC1131" s="15"/>
      <c r="AD1131" s="15"/>
      <c r="AE1131" s="15"/>
      <c r="AF1131" s="2"/>
      <c r="AG1131" s="10" t="s">
        <v>290</v>
      </c>
      <c r="AH1131" s="12" t="s">
        <v>355</v>
      </c>
      <c r="AI1131" s="10" t="s">
        <v>226</v>
      </c>
      <c r="AJ1131" s="10" t="s">
        <v>291</v>
      </c>
      <c r="AK1131" s="16" t="s">
        <v>45</v>
      </c>
      <c r="AL1131" s="10" t="s">
        <v>49</v>
      </c>
      <c r="AM1131" s="16" t="s">
        <v>45</v>
      </c>
      <c r="AN1131" s="10" t="s">
        <v>1499</v>
      </c>
    </row>
    <row r="1132" ht="30.0" customHeight="1">
      <c r="A1132" s="9" t="str">
        <f t="shared" si="48"/>
        <v>N/I</v>
      </c>
      <c r="B1132" s="9" t="str">
        <f t="shared" si="49"/>
        <v>Ativo</v>
      </c>
      <c r="C1132" s="9" t="str">
        <f t="shared" si="80"/>
        <v>N/I</v>
      </c>
      <c r="D1132" s="10" t="s">
        <v>3384</v>
      </c>
      <c r="E1132" s="11" t="s">
        <v>3385</v>
      </c>
      <c r="F1132" s="11" t="s">
        <v>3461</v>
      </c>
      <c r="G1132" s="12" t="s">
        <v>94</v>
      </c>
      <c r="H1132" s="20" t="s">
        <v>3462</v>
      </c>
      <c r="I1132" s="12" t="s">
        <v>88</v>
      </c>
      <c r="J1132" s="10" t="s">
        <v>89</v>
      </c>
      <c r="K1132" s="10" t="s">
        <v>41</v>
      </c>
      <c r="L1132" s="10" t="s">
        <v>264</v>
      </c>
      <c r="M1132" s="22">
        <v>42688.0</v>
      </c>
      <c r="N1132" s="32" t="s">
        <v>3463</v>
      </c>
      <c r="O1132" s="10" t="s">
        <v>1194</v>
      </c>
      <c r="P1132" s="10" t="s">
        <v>3391</v>
      </c>
      <c r="Q1132" s="2"/>
      <c r="R1132" s="15"/>
      <c r="S1132" s="15"/>
      <c r="T1132" s="15"/>
      <c r="U1132" s="15"/>
      <c r="V1132" s="2"/>
      <c r="W1132" s="10">
        <v>12.0</v>
      </c>
      <c r="X1132" s="14">
        <v>45737.0</v>
      </c>
      <c r="Y1132" s="14">
        <v>46102.0</v>
      </c>
      <c r="Z1132" s="10">
        <f t="shared" si="88"/>
        <v>11</v>
      </c>
      <c r="AA1132" s="2"/>
      <c r="AB1132" s="15"/>
      <c r="AC1132" s="15"/>
      <c r="AD1132" s="15"/>
      <c r="AE1132" s="15"/>
      <c r="AF1132" s="2"/>
      <c r="AG1132" s="10" t="s">
        <v>290</v>
      </c>
      <c r="AH1132" s="12" t="s">
        <v>355</v>
      </c>
      <c r="AI1132" s="10" t="s">
        <v>226</v>
      </c>
      <c r="AJ1132" s="10" t="s">
        <v>291</v>
      </c>
      <c r="AK1132" s="16" t="s">
        <v>45</v>
      </c>
      <c r="AL1132" s="10" t="s">
        <v>49</v>
      </c>
      <c r="AM1132" s="16" t="s">
        <v>45</v>
      </c>
      <c r="AN1132" s="10" t="s">
        <v>1499</v>
      </c>
    </row>
    <row r="1133" ht="30.0" customHeight="1">
      <c r="A1133" s="9" t="str">
        <f t="shared" si="48"/>
        <v>N/I</v>
      </c>
      <c r="B1133" s="9" t="str">
        <f t="shared" si="49"/>
        <v>Ativo</v>
      </c>
      <c r="C1133" s="9" t="str">
        <f t="shared" si="80"/>
        <v>N/I</v>
      </c>
      <c r="D1133" s="10" t="s">
        <v>3384</v>
      </c>
      <c r="E1133" s="11" t="s">
        <v>3385</v>
      </c>
      <c r="F1133" s="11" t="s">
        <v>3464</v>
      </c>
      <c r="G1133" s="12" t="s">
        <v>94</v>
      </c>
      <c r="H1133" s="20" t="s">
        <v>3465</v>
      </c>
      <c r="I1133" s="12" t="s">
        <v>3466</v>
      </c>
      <c r="J1133" s="10" t="s">
        <v>89</v>
      </c>
      <c r="K1133" s="10" t="s">
        <v>41</v>
      </c>
      <c r="L1133" s="10" t="s">
        <v>264</v>
      </c>
      <c r="M1133" s="22">
        <v>43378.0</v>
      </c>
      <c r="N1133" s="32" t="s">
        <v>3467</v>
      </c>
      <c r="O1133" s="10" t="s">
        <v>3468</v>
      </c>
      <c r="P1133" s="10" t="s">
        <v>3391</v>
      </c>
      <c r="Q1133" s="2"/>
      <c r="R1133" s="15"/>
      <c r="S1133" s="15"/>
      <c r="T1133" s="15"/>
      <c r="U1133" s="15"/>
      <c r="V1133" s="2"/>
      <c r="W1133" s="10">
        <v>12.0</v>
      </c>
      <c r="X1133" s="14">
        <v>45737.0</v>
      </c>
      <c r="Y1133" s="14">
        <v>46102.0</v>
      </c>
      <c r="Z1133" s="10">
        <f t="shared" si="88"/>
        <v>11</v>
      </c>
      <c r="AA1133" s="2"/>
      <c r="AB1133" s="15"/>
      <c r="AC1133" s="15"/>
      <c r="AD1133" s="15"/>
      <c r="AE1133" s="15"/>
      <c r="AF1133" s="2"/>
      <c r="AG1133" s="10" t="s">
        <v>290</v>
      </c>
      <c r="AH1133" s="12" t="s">
        <v>355</v>
      </c>
      <c r="AI1133" s="10" t="s">
        <v>226</v>
      </c>
      <c r="AJ1133" s="10" t="s">
        <v>291</v>
      </c>
      <c r="AK1133" s="16" t="s">
        <v>45</v>
      </c>
      <c r="AL1133" s="10" t="s">
        <v>49</v>
      </c>
      <c r="AM1133" s="16" t="s">
        <v>45</v>
      </c>
      <c r="AN1133" s="10" t="s">
        <v>1499</v>
      </c>
    </row>
    <row r="1134" ht="30.0" customHeight="1">
      <c r="A1134" s="9" t="str">
        <f t="shared" si="48"/>
        <v>N/I</v>
      </c>
      <c r="B1134" s="9" t="str">
        <f t="shared" si="49"/>
        <v>Ativo</v>
      </c>
      <c r="C1134" s="9" t="str">
        <f t="shared" si="80"/>
        <v>N/I</v>
      </c>
      <c r="D1134" s="10" t="s">
        <v>3384</v>
      </c>
      <c r="E1134" s="11" t="s">
        <v>3385</v>
      </c>
      <c r="F1134" s="11" t="s">
        <v>3469</v>
      </c>
      <c r="G1134" s="12" t="s">
        <v>55</v>
      </c>
      <c r="H1134" s="20" t="s">
        <v>3470</v>
      </c>
      <c r="I1134" s="12" t="s">
        <v>3471</v>
      </c>
      <c r="J1134" s="10" t="s">
        <v>89</v>
      </c>
      <c r="K1134" s="10" t="s">
        <v>41</v>
      </c>
      <c r="L1134" s="10" t="s">
        <v>264</v>
      </c>
      <c r="M1134" s="22">
        <v>43378.0</v>
      </c>
      <c r="N1134" s="32" t="s">
        <v>3472</v>
      </c>
      <c r="O1134" s="10" t="s">
        <v>3473</v>
      </c>
      <c r="P1134" s="10" t="s">
        <v>3391</v>
      </c>
      <c r="Q1134" s="2"/>
      <c r="R1134" s="15"/>
      <c r="S1134" s="15"/>
      <c r="T1134" s="15"/>
      <c r="U1134" s="15"/>
      <c r="V1134" s="2"/>
      <c r="W1134" s="10">
        <v>12.0</v>
      </c>
      <c r="X1134" s="14">
        <v>45737.0</v>
      </c>
      <c r="Y1134" s="14">
        <v>46102.0</v>
      </c>
      <c r="Z1134" s="10">
        <f t="shared" si="88"/>
        <v>11</v>
      </c>
      <c r="AA1134" s="2"/>
      <c r="AB1134" s="15"/>
      <c r="AC1134" s="15"/>
      <c r="AD1134" s="15"/>
      <c r="AE1134" s="15"/>
      <c r="AF1134" s="2"/>
      <c r="AG1134" s="10" t="s">
        <v>290</v>
      </c>
      <c r="AH1134" s="12" t="s">
        <v>355</v>
      </c>
      <c r="AI1134" s="10" t="s">
        <v>226</v>
      </c>
      <c r="AJ1134" s="10" t="s">
        <v>291</v>
      </c>
      <c r="AK1134" s="16" t="s">
        <v>45</v>
      </c>
      <c r="AL1134" s="10" t="s">
        <v>49</v>
      </c>
      <c r="AM1134" s="16" t="s">
        <v>45</v>
      </c>
      <c r="AN1134" s="10" t="s">
        <v>1499</v>
      </c>
    </row>
    <row r="1135" ht="30.0" customHeight="1">
      <c r="A1135" s="9" t="str">
        <f t="shared" si="48"/>
        <v>N/I</v>
      </c>
      <c r="B1135" s="9" t="str">
        <f t="shared" si="49"/>
        <v>Ativo</v>
      </c>
      <c r="C1135" s="9" t="str">
        <f t="shared" si="80"/>
        <v>N/I</v>
      </c>
      <c r="D1135" s="10" t="s">
        <v>3384</v>
      </c>
      <c r="E1135" s="11" t="s">
        <v>3385</v>
      </c>
      <c r="F1135" s="11" t="s">
        <v>3469</v>
      </c>
      <c r="G1135" s="12" t="s">
        <v>94</v>
      </c>
      <c r="H1135" s="20" t="s">
        <v>3474</v>
      </c>
      <c r="I1135" s="12" t="s">
        <v>3471</v>
      </c>
      <c r="J1135" s="10" t="s">
        <v>89</v>
      </c>
      <c r="K1135" s="10" t="s">
        <v>41</v>
      </c>
      <c r="L1135" s="10" t="s">
        <v>264</v>
      </c>
      <c r="M1135" s="22">
        <v>43378.0</v>
      </c>
      <c r="N1135" s="32" t="s">
        <v>3472</v>
      </c>
      <c r="O1135" s="10" t="s">
        <v>3473</v>
      </c>
      <c r="P1135" s="10" t="s">
        <v>3391</v>
      </c>
      <c r="Q1135" s="2"/>
      <c r="R1135" s="15"/>
      <c r="S1135" s="15"/>
      <c r="T1135" s="15"/>
      <c r="U1135" s="15"/>
      <c r="V1135" s="2"/>
      <c r="W1135" s="10">
        <v>12.0</v>
      </c>
      <c r="X1135" s="14">
        <v>45737.0</v>
      </c>
      <c r="Y1135" s="14">
        <v>46102.0</v>
      </c>
      <c r="Z1135" s="10">
        <f t="shared" si="88"/>
        <v>11</v>
      </c>
      <c r="AA1135" s="2"/>
      <c r="AB1135" s="15"/>
      <c r="AC1135" s="15"/>
      <c r="AD1135" s="15"/>
      <c r="AE1135" s="15"/>
      <c r="AF1135" s="2"/>
      <c r="AG1135" s="10" t="s">
        <v>290</v>
      </c>
      <c r="AH1135" s="12" t="s">
        <v>355</v>
      </c>
      <c r="AI1135" s="10" t="s">
        <v>226</v>
      </c>
      <c r="AJ1135" s="10" t="s">
        <v>291</v>
      </c>
      <c r="AK1135" s="16" t="s">
        <v>45</v>
      </c>
      <c r="AL1135" s="10" t="s">
        <v>49</v>
      </c>
      <c r="AM1135" s="16" t="s">
        <v>45</v>
      </c>
      <c r="AN1135" s="10" t="s">
        <v>1499</v>
      </c>
    </row>
    <row r="1136" ht="30.0" customHeight="1">
      <c r="A1136" s="9" t="str">
        <f t="shared" si="48"/>
        <v>N/I</v>
      </c>
      <c r="B1136" s="9" t="str">
        <f t="shared" si="49"/>
        <v>Ativo</v>
      </c>
      <c r="C1136" s="9" t="str">
        <f t="shared" si="80"/>
        <v>N/I</v>
      </c>
      <c r="D1136" s="10" t="s">
        <v>3384</v>
      </c>
      <c r="E1136" s="11" t="s">
        <v>3385</v>
      </c>
      <c r="F1136" s="11" t="s">
        <v>3475</v>
      </c>
      <c r="G1136" s="12" t="s">
        <v>94</v>
      </c>
      <c r="H1136" s="20" t="s">
        <v>3476</v>
      </c>
      <c r="I1136" s="12" t="s">
        <v>3477</v>
      </c>
      <c r="J1136" s="10" t="s">
        <v>89</v>
      </c>
      <c r="K1136" s="10" t="s">
        <v>41</v>
      </c>
      <c r="L1136" s="10" t="s">
        <v>264</v>
      </c>
      <c r="M1136" s="22">
        <v>42685.0</v>
      </c>
      <c r="N1136" s="32" t="s">
        <v>3478</v>
      </c>
      <c r="O1136" s="10" t="s">
        <v>3479</v>
      </c>
      <c r="P1136" s="10" t="s">
        <v>3391</v>
      </c>
      <c r="Q1136" s="2"/>
      <c r="R1136" s="15"/>
      <c r="S1136" s="15"/>
      <c r="T1136" s="15"/>
      <c r="U1136" s="15"/>
      <c r="V1136" s="2"/>
      <c r="W1136" s="10">
        <v>12.0</v>
      </c>
      <c r="X1136" s="14">
        <v>45737.0</v>
      </c>
      <c r="Y1136" s="14">
        <v>46102.0</v>
      </c>
      <c r="Z1136" s="10">
        <f t="shared" si="88"/>
        <v>11</v>
      </c>
      <c r="AA1136" s="2"/>
      <c r="AB1136" s="15"/>
      <c r="AC1136" s="15"/>
      <c r="AD1136" s="15"/>
      <c r="AE1136" s="15"/>
      <c r="AF1136" s="2"/>
      <c r="AG1136" s="10" t="s">
        <v>290</v>
      </c>
      <c r="AH1136" s="12" t="s">
        <v>355</v>
      </c>
      <c r="AI1136" s="10" t="s">
        <v>226</v>
      </c>
      <c r="AJ1136" s="10" t="s">
        <v>291</v>
      </c>
      <c r="AK1136" s="16" t="s">
        <v>45</v>
      </c>
      <c r="AL1136" s="10" t="s">
        <v>49</v>
      </c>
      <c r="AM1136" s="16" t="s">
        <v>45</v>
      </c>
      <c r="AN1136" s="10" t="s">
        <v>1499</v>
      </c>
    </row>
    <row r="1137" ht="30.0" customHeight="1">
      <c r="A1137" s="9" t="str">
        <f t="shared" si="48"/>
        <v>N/I</v>
      </c>
      <c r="B1137" s="9" t="str">
        <f t="shared" si="49"/>
        <v>Ativo</v>
      </c>
      <c r="C1137" s="9" t="str">
        <f t="shared" si="80"/>
        <v>N/I</v>
      </c>
      <c r="D1137" s="10" t="s">
        <v>3384</v>
      </c>
      <c r="E1137" s="11" t="s">
        <v>3385</v>
      </c>
      <c r="F1137" s="11" t="s">
        <v>3480</v>
      </c>
      <c r="G1137" s="12" t="s">
        <v>94</v>
      </c>
      <c r="H1137" s="20" t="s">
        <v>3481</v>
      </c>
      <c r="I1137" s="12" t="s">
        <v>3477</v>
      </c>
      <c r="J1137" s="10" t="s">
        <v>89</v>
      </c>
      <c r="K1137" s="10" t="s">
        <v>41</v>
      </c>
      <c r="L1137" s="10" t="s">
        <v>264</v>
      </c>
      <c r="M1137" s="22">
        <v>42684.0</v>
      </c>
      <c r="N1137" s="32" t="s">
        <v>3482</v>
      </c>
      <c r="O1137" s="10" t="s">
        <v>3483</v>
      </c>
      <c r="P1137" s="10" t="s">
        <v>3391</v>
      </c>
      <c r="Q1137" s="2"/>
      <c r="R1137" s="15"/>
      <c r="S1137" s="15"/>
      <c r="T1137" s="15"/>
      <c r="U1137" s="15"/>
      <c r="V1137" s="2"/>
      <c r="W1137" s="10">
        <v>12.0</v>
      </c>
      <c r="X1137" s="14">
        <v>45737.0</v>
      </c>
      <c r="Y1137" s="14">
        <v>46102.0</v>
      </c>
      <c r="Z1137" s="10">
        <f t="shared" si="88"/>
        <v>11</v>
      </c>
      <c r="AA1137" s="2"/>
      <c r="AB1137" s="15"/>
      <c r="AC1137" s="15"/>
      <c r="AD1137" s="15"/>
      <c r="AE1137" s="15"/>
      <c r="AF1137" s="2"/>
      <c r="AG1137" s="10" t="s">
        <v>290</v>
      </c>
      <c r="AH1137" s="12" t="s">
        <v>355</v>
      </c>
      <c r="AI1137" s="10" t="s">
        <v>226</v>
      </c>
      <c r="AJ1137" s="10" t="s">
        <v>291</v>
      </c>
      <c r="AK1137" s="16" t="s">
        <v>45</v>
      </c>
      <c r="AL1137" s="10" t="s">
        <v>49</v>
      </c>
      <c r="AM1137" s="16" t="s">
        <v>45</v>
      </c>
      <c r="AN1137" s="10" t="s">
        <v>1499</v>
      </c>
    </row>
    <row r="1138" ht="30.0" customHeight="1">
      <c r="A1138" s="9" t="str">
        <f t="shared" si="48"/>
        <v>N/I</v>
      </c>
      <c r="B1138" s="9" t="str">
        <f t="shared" si="49"/>
        <v>Ativo</v>
      </c>
      <c r="C1138" s="9" t="str">
        <f t="shared" si="80"/>
        <v>N/I</v>
      </c>
      <c r="D1138" s="10" t="s">
        <v>3384</v>
      </c>
      <c r="E1138" s="11" t="s">
        <v>3385</v>
      </c>
      <c r="F1138" s="11" t="s">
        <v>1166</v>
      </c>
      <c r="G1138" s="12" t="s">
        <v>94</v>
      </c>
      <c r="H1138" s="20" t="s">
        <v>3484</v>
      </c>
      <c r="I1138" s="12" t="s">
        <v>3485</v>
      </c>
      <c r="J1138" s="10" t="s">
        <v>89</v>
      </c>
      <c r="K1138" s="10" t="s">
        <v>41</v>
      </c>
      <c r="L1138" s="10" t="s">
        <v>264</v>
      </c>
      <c r="M1138" s="22">
        <v>42686.0</v>
      </c>
      <c r="N1138" s="32" t="s">
        <v>3486</v>
      </c>
      <c r="O1138" s="10" t="s">
        <v>1168</v>
      </c>
      <c r="P1138" s="10" t="s">
        <v>3391</v>
      </c>
      <c r="Q1138" s="2"/>
      <c r="R1138" s="15"/>
      <c r="S1138" s="15"/>
      <c r="T1138" s="15"/>
      <c r="U1138" s="15"/>
      <c r="V1138" s="2"/>
      <c r="W1138" s="10">
        <v>12.0</v>
      </c>
      <c r="X1138" s="14">
        <v>45737.0</v>
      </c>
      <c r="Y1138" s="14">
        <v>46102.0</v>
      </c>
      <c r="Z1138" s="10">
        <f t="shared" si="88"/>
        <v>11</v>
      </c>
      <c r="AA1138" s="2"/>
      <c r="AB1138" s="15"/>
      <c r="AC1138" s="15"/>
      <c r="AD1138" s="15"/>
      <c r="AE1138" s="15"/>
      <c r="AF1138" s="2"/>
      <c r="AG1138" s="10" t="s">
        <v>290</v>
      </c>
      <c r="AH1138" s="12" t="s">
        <v>355</v>
      </c>
      <c r="AI1138" s="10" t="s">
        <v>226</v>
      </c>
      <c r="AJ1138" s="10" t="s">
        <v>291</v>
      </c>
      <c r="AK1138" s="16" t="s">
        <v>45</v>
      </c>
      <c r="AL1138" s="10" t="s">
        <v>49</v>
      </c>
      <c r="AM1138" s="16" t="s">
        <v>45</v>
      </c>
      <c r="AN1138" s="10" t="s">
        <v>1499</v>
      </c>
    </row>
    <row r="1139" ht="30.0" customHeight="1">
      <c r="A1139" s="9" t="str">
        <f t="shared" si="48"/>
        <v>N/I</v>
      </c>
      <c r="B1139" s="9" t="str">
        <f t="shared" si="49"/>
        <v>Ativo</v>
      </c>
      <c r="C1139" s="9" t="str">
        <f t="shared" si="80"/>
        <v>N/I</v>
      </c>
      <c r="D1139" s="10" t="s">
        <v>3384</v>
      </c>
      <c r="E1139" s="11" t="s">
        <v>3385</v>
      </c>
      <c r="F1139" s="11" t="s">
        <v>3487</v>
      </c>
      <c r="G1139" s="12" t="s">
        <v>94</v>
      </c>
      <c r="H1139" s="20" t="s">
        <v>3488</v>
      </c>
      <c r="I1139" s="12" t="s">
        <v>3489</v>
      </c>
      <c r="J1139" s="10" t="s">
        <v>89</v>
      </c>
      <c r="K1139" s="10" t="s">
        <v>41</v>
      </c>
      <c r="L1139" s="10" t="s">
        <v>264</v>
      </c>
      <c r="M1139" s="22">
        <v>42686.0</v>
      </c>
      <c r="N1139" s="32" t="s">
        <v>3490</v>
      </c>
      <c r="O1139" s="10" t="s">
        <v>3491</v>
      </c>
      <c r="P1139" s="10" t="s">
        <v>3391</v>
      </c>
      <c r="Q1139" s="2"/>
      <c r="R1139" s="15"/>
      <c r="S1139" s="15"/>
      <c r="T1139" s="15"/>
      <c r="U1139" s="15"/>
      <c r="V1139" s="2"/>
      <c r="W1139" s="10">
        <v>12.0</v>
      </c>
      <c r="X1139" s="14">
        <v>45737.0</v>
      </c>
      <c r="Y1139" s="14">
        <v>46102.0</v>
      </c>
      <c r="Z1139" s="10">
        <f t="shared" si="88"/>
        <v>11</v>
      </c>
      <c r="AA1139" s="2"/>
      <c r="AB1139" s="15"/>
      <c r="AC1139" s="15"/>
      <c r="AD1139" s="15"/>
      <c r="AE1139" s="15"/>
      <c r="AF1139" s="2"/>
      <c r="AG1139" s="10" t="s">
        <v>290</v>
      </c>
      <c r="AH1139" s="12" t="s">
        <v>355</v>
      </c>
      <c r="AI1139" s="10" t="s">
        <v>226</v>
      </c>
      <c r="AJ1139" s="10" t="s">
        <v>291</v>
      </c>
      <c r="AK1139" s="16" t="s">
        <v>45</v>
      </c>
      <c r="AL1139" s="10" t="s">
        <v>49</v>
      </c>
      <c r="AM1139" s="16" t="s">
        <v>45</v>
      </c>
      <c r="AN1139" s="10" t="s">
        <v>1499</v>
      </c>
    </row>
    <row r="1140" ht="30.0" customHeight="1">
      <c r="A1140" s="9" t="str">
        <f t="shared" si="48"/>
        <v>N/I</v>
      </c>
      <c r="B1140" s="9" t="str">
        <f t="shared" si="49"/>
        <v>Inativo</v>
      </c>
      <c r="C1140" s="9" t="str">
        <f t="shared" si="80"/>
        <v>N/I</v>
      </c>
      <c r="D1140" s="10" t="s">
        <v>3492</v>
      </c>
      <c r="E1140" s="11" t="s">
        <v>3493</v>
      </c>
      <c r="F1140" s="11" t="s">
        <v>3494</v>
      </c>
      <c r="G1140" s="12" t="s">
        <v>94</v>
      </c>
      <c r="H1140" s="23" t="s">
        <v>3495</v>
      </c>
      <c r="I1140" s="12" t="s">
        <v>3496</v>
      </c>
      <c r="J1140" s="10" t="s">
        <v>652</v>
      </c>
      <c r="K1140" s="10" t="s">
        <v>41</v>
      </c>
      <c r="L1140" s="10" t="s">
        <v>264</v>
      </c>
      <c r="M1140" s="22">
        <v>42589.0</v>
      </c>
      <c r="N1140" s="32" t="s">
        <v>3497</v>
      </c>
      <c r="O1140" s="10" t="s">
        <v>3498</v>
      </c>
      <c r="P1140" s="10" t="s">
        <v>3499</v>
      </c>
      <c r="Q1140" s="2"/>
      <c r="R1140" s="15"/>
      <c r="S1140" s="15"/>
      <c r="T1140" s="15"/>
      <c r="U1140" s="15"/>
      <c r="V1140" s="2"/>
      <c r="W1140" s="10">
        <v>12.0</v>
      </c>
      <c r="X1140" s="14">
        <v>44755.0</v>
      </c>
      <c r="Y1140" s="14">
        <v>45120.0</v>
      </c>
      <c r="Z1140" s="10">
        <f t="shared" si="88"/>
        <v>-971</v>
      </c>
      <c r="AA1140" s="2"/>
      <c r="AB1140" s="15"/>
      <c r="AC1140" s="15"/>
      <c r="AD1140" s="15"/>
      <c r="AE1140" s="15"/>
      <c r="AF1140" s="2"/>
      <c r="AG1140" s="16" t="s">
        <v>45</v>
      </c>
      <c r="AH1140" s="10" t="s">
        <v>318</v>
      </c>
      <c r="AI1140" s="10" t="s">
        <v>319</v>
      </c>
      <c r="AJ1140" s="10" t="s">
        <v>442</v>
      </c>
      <c r="AK1140" s="16" t="s">
        <v>45</v>
      </c>
      <c r="AL1140" s="10" t="s">
        <v>49</v>
      </c>
      <c r="AM1140" s="10" t="s">
        <v>2994</v>
      </c>
      <c r="AN1140" s="10" t="s">
        <v>50</v>
      </c>
    </row>
    <row r="1141" ht="30.0" customHeight="1">
      <c r="A1141" s="9" t="str">
        <f t="shared" si="48"/>
        <v>N/I</v>
      </c>
      <c r="B1141" s="9" t="str">
        <f t="shared" si="49"/>
        <v>Inativo</v>
      </c>
      <c r="C1141" s="9" t="str">
        <f t="shared" si="80"/>
        <v>N/I</v>
      </c>
      <c r="D1141" s="10" t="s">
        <v>3492</v>
      </c>
      <c r="E1141" s="11" t="s">
        <v>3493</v>
      </c>
      <c r="F1141" s="11" t="s">
        <v>3500</v>
      </c>
      <c r="G1141" s="12" t="s">
        <v>94</v>
      </c>
      <c r="H1141" s="23">
        <v>140088.0</v>
      </c>
      <c r="I1141" s="12" t="s">
        <v>3501</v>
      </c>
      <c r="J1141" s="10" t="s">
        <v>652</v>
      </c>
      <c r="K1141" s="10" t="s">
        <v>41</v>
      </c>
      <c r="L1141" s="10" t="s">
        <v>264</v>
      </c>
      <c r="M1141" s="22">
        <v>42592.0</v>
      </c>
      <c r="N1141" s="32" t="s">
        <v>3502</v>
      </c>
      <c r="O1141" s="10" t="s">
        <v>3503</v>
      </c>
      <c r="P1141" s="10" t="s">
        <v>3499</v>
      </c>
      <c r="Q1141" s="2"/>
      <c r="R1141" s="15"/>
      <c r="S1141" s="15"/>
      <c r="T1141" s="15"/>
      <c r="U1141" s="15"/>
      <c r="V1141" s="2"/>
      <c r="W1141" s="10">
        <v>12.0</v>
      </c>
      <c r="X1141" s="14">
        <v>44755.0</v>
      </c>
      <c r="Y1141" s="14">
        <v>45120.0</v>
      </c>
      <c r="Z1141" s="10">
        <f t="shared" si="88"/>
        <v>-971</v>
      </c>
      <c r="AA1141" s="2"/>
      <c r="AB1141" s="15"/>
      <c r="AC1141" s="15"/>
      <c r="AD1141" s="15"/>
      <c r="AE1141" s="15"/>
      <c r="AF1141" s="2"/>
      <c r="AG1141" s="16" t="s">
        <v>45</v>
      </c>
      <c r="AH1141" s="10" t="s">
        <v>318</v>
      </c>
      <c r="AI1141" s="10" t="s">
        <v>319</v>
      </c>
      <c r="AJ1141" s="10" t="s">
        <v>442</v>
      </c>
      <c r="AK1141" s="16" t="s">
        <v>45</v>
      </c>
      <c r="AL1141" s="10" t="s">
        <v>49</v>
      </c>
      <c r="AM1141" s="10" t="s">
        <v>2994</v>
      </c>
      <c r="AN1141" s="10" t="s">
        <v>50</v>
      </c>
    </row>
    <row r="1142" ht="30.0" customHeight="1">
      <c r="A1142" s="9" t="str">
        <f t="shared" si="48"/>
        <v>N/I</v>
      </c>
      <c r="B1142" s="9" t="str">
        <f t="shared" si="49"/>
        <v>Inativo</v>
      </c>
      <c r="C1142" s="9" t="str">
        <f t="shared" si="80"/>
        <v>N/I</v>
      </c>
      <c r="D1142" s="10" t="s">
        <v>3492</v>
      </c>
      <c r="E1142" s="11" t="s">
        <v>3493</v>
      </c>
      <c r="F1142" s="11" t="s">
        <v>3504</v>
      </c>
      <c r="G1142" s="12" t="s">
        <v>94</v>
      </c>
      <c r="H1142" s="23" t="s">
        <v>3505</v>
      </c>
      <c r="I1142" s="12" t="s">
        <v>950</v>
      </c>
      <c r="J1142" s="10" t="s">
        <v>652</v>
      </c>
      <c r="K1142" s="10" t="s">
        <v>41</v>
      </c>
      <c r="L1142" s="10" t="s">
        <v>264</v>
      </c>
      <c r="M1142" s="22">
        <v>42912.0</v>
      </c>
      <c r="N1142" s="32" t="s">
        <v>951</v>
      </c>
      <c r="O1142" s="10" t="s">
        <v>3506</v>
      </c>
      <c r="P1142" s="10" t="s">
        <v>3499</v>
      </c>
      <c r="Q1142" s="2"/>
      <c r="R1142" s="15"/>
      <c r="S1142" s="15"/>
      <c r="T1142" s="15"/>
      <c r="U1142" s="15"/>
      <c r="V1142" s="2"/>
      <c r="W1142" s="10">
        <v>12.0</v>
      </c>
      <c r="X1142" s="14">
        <v>44755.0</v>
      </c>
      <c r="Y1142" s="14">
        <v>45120.0</v>
      </c>
      <c r="Z1142" s="10">
        <f t="shared" si="88"/>
        <v>-971</v>
      </c>
      <c r="AA1142" s="1"/>
      <c r="AB1142" s="15"/>
      <c r="AC1142" s="15"/>
      <c r="AD1142" s="15"/>
      <c r="AE1142" s="15"/>
      <c r="AF1142" s="2"/>
      <c r="AG1142" s="16" t="s">
        <v>45</v>
      </c>
      <c r="AH1142" s="10" t="s">
        <v>318</v>
      </c>
      <c r="AI1142" s="10" t="s">
        <v>319</v>
      </c>
      <c r="AJ1142" s="10" t="s">
        <v>442</v>
      </c>
      <c r="AK1142" s="16" t="s">
        <v>45</v>
      </c>
      <c r="AL1142" s="10" t="s">
        <v>49</v>
      </c>
      <c r="AM1142" s="10" t="s">
        <v>2994</v>
      </c>
      <c r="AN1142" s="10" t="s">
        <v>50</v>
      </c>
    </row>
    <row r="1143" ht="30.0" customHeight="1">
      <c r="A1143" s="9" t="str">
        <f t="shared" si="48"/>
        <v>N/I</v>
      </c>
      <c r="B1143" s="9" t="str">
        <f t="shared" si="49"/>
        <v>Inativo</v>
      </c>
      <c r="C1143" s="9" t="str">
        <f t="shared" si="80"/>
        <v>N/I</v>
      </c>
      <c r="D1143" s="10" t="s">
        <v>3492</v>
      </c>
      <c r="E1143" s="11" t="s">
        <v>3493</v>
      </c>
      <c r="F1143" s="11" t="s">
        <v>3507</v>
      </c>
      <c r="G1143" s="12" t="s">
        <v>94</v>
      </c>
      <c r="H1143" s="23" t="s">
        <v>3508</v>
      </c>
      <c r="I1143" s="12" t="s">
        <v>3509</v>
      </c>
      <c r="J1143" s="10" t="s">
        <v>652</v>
      </c>
      <c r="K1143" s="10" t="s">
        <v>41</v>
      </c>
      <c r="L1143" s="10" t="s">
        <v>264</v>
      </c>
      <c r="M1143" s="22">
        <v>42592.0</v>
      </c>
      <c r="N1143" s="32" t="s">
        <v>3510</v>
      </c>
      <c r="O1143" s="10" t="s">
        <v>3511</v>
      </c>
      <c r="P1143" s="10" t="s">
        <v>3499</v>
      </c>
      <c r="Q1143" s="2"/>
      <c r="R1143" s="15"/>
      <c r="S1143" s="15"/>
      <c r="T1143" s="15"/>
      <c r="U1143" s="15"/>
      <c r="V1143" s="2"/>
      <c r="W1143" s="10">
        <v>12.0</v>
      </c>
      <c r="X1143" s="14">
        <v>44755.0</v>
      </c>
      <c r="Y1143" s="14">
        <v>45120.0</v>
      </c>
      <c r="Z1143" s="10">
        <f t="shared" si="88"/>
        <v>-971</v>
      </c>
      <c r="AA1143" s="2"/>
      <c r="AB1143" s="15"/>
      <c r="AC1143" s="15"/>
      <c r="AD1143" s="15"/>
      <c r="AE1143" s="15"/>
      <c r="AF1143" s="2"/>
      <c r="AG1143" s="16" t="s">
        <v>45</v>
      </c>
      <c r="AH1143" s="10" t="s">
        <v>318</v>
      </c>
      <c r="AI1143" s="10" t="s">
        <v>319</v>
      </c>
      <c r="AJ1143" s="10" t="s">
        <v>442</v>
      </c>
      <c r="AK1143" s="16" t="s">
        <v>45</v>
      </c>
      <c r="AL1143" s="10" t="s">
        <v>49</v>
      </c>
      <c r="AM1143" s="10" t="s">
        <v>2994</v>
      </c>
      <c r="AN1143" s="10" t="s">
        <v>50</v>
      </c>
    </row>
    <row r="1144" ht="30.0" customHeight="1">
      <c r="A1144" s="9" t="str">
        <f t="shared" si="48"/>
        <v>N/I</v>
      </c>
      <c r="B1144" s="9" t="str">
        <f t="shared" si="49"/>
        <v>Inativo</v>
      </c>
      <c r="C1144" s="9" t="str">
        <f t="shared" si="80"/>
        <v>N/I</v>
      </c>
      <c r="D1144" s="10" t="s">
        <v>3492</v>
      </c>
      <c r="E1144" s="11" t="s">
        <v>3493</v>
      </c>
      <c r="F1144" s="11" t="s">
        <v>3512</v>
      </c>
      <c r="G1144" s="12" t="s">
        <v>94</v>
      </c>
      <c r="H1144" s="23" t="s">
        <v>3513</v>
      </c>
      <c r="I1144" s="12" t="s">
        <v>3514</v>
      </c>
      <c r="J1144" s="10" t="s">
        <v>652</v>
      </c>
      <c r="K1144" s="10" t="s">
        <v>41</v>
      </c>
      <c r="L1144" s="10" t="s">
        <v>264</v>
      </c>
      <c r="M1144" s="22">
        <v>42592.0</v>
      </c>
      <c r="N1144" s="32" t="s">
        <v>3515</v>
      </c>
      <c r="O1144" s="10" t="s">
        <v>952</v>
      </c>
      <c r="P1144" s="10" t="s">
        <v>3499</v>
      </c>
      <c r="Q1144" s="2"/>
      <c r="R1144" s="15"/>
      <c r="S1144" s="15"/>
      <c r="T1144" s="15"/>
      <c r="U1144" s="15"/>
      <c r="V1144" s="2"/>
      <c r="W1144" s="10">
        <v>12.0</v>
      </c>
      <c r="X1144" s="14">
        <v>44755.0</v>
      </c>
      <c r="Y1144" s="14">
        <v>45120.0</v>
      </c>
      <c r="Z1144" s="10">
        <f t="shared" si="88"/>
        <v>-971</v>
      </c>
      <c r="AA1144" s="2"/>
      <c r="AB1144" s="15"/>
      <c r="AC1144" s="15"/>
      <c r="AD1144" s="15"/>
      <c r="AE1144" s="15"/>
      <c r="AF1144" s="2"/>
      <c r="AG1144" s="16" t="s">
        <v>45</v>
      </c>
      <c r="AH1144" s="10" t="s">
        <v>318</v>
      </c>
      <c r="AI1144" s="10" t="s">
        <v>319</v>
      </c>
      <c r="AJ1144" s="10" t="s">
        <v>442</v>
      </c>
      <c r="AK1144" s="16" t="s">
        <v>45</v>
      </c>
      <c r="AL1144" s="10" t="s">
        <v>49</v>
      </c>
      <c r="AM1144" s="10" t="s">
        <v>2994</v>
      </c>
      <c r="AN1144" s="10" t="s">
        <v>50</v>
      </c>
    </row>
    <row r="1145" ht="30.0" customHeight="1">
      <c r="A1145" s="9" t="str">
        <f t="shared" si="48"/>
        <v>N/I</v>
      </c>
      <c r="B1145" s="9" t="str">
        <f t="shared" si="49"/>
        <v>Inativo</v>
      </c>
      <c r="C1145" s="9" t="str">
        <f t="shared" si="80"/>
        <v>N/I</v>
      </c>
      <c r="D1145" s="10" t="s">
        <v>3492</v>
      </c>
      <c r="E1145" s="11" t="s">
        <v>3493</v>
      </c>
      <c r="F1145" s="11" t="s">
        <v>3516</v>
      </c>
      <c r="G1145" s="12" t="s">
        <v>94</v>
      </c>
      <c r="H1145" s="23" t="s">
        <v>3517</v>
      </c>
      <c r="I1145" s="12" t="s">
        <v>3518</v>
      </c>
      <c r="J1145" s="10" t="s">
        <v>652</v>
      </c>
      <c r="K1145" s="10" t="s">
        <v>41</v>
      </c>
      <c r="L1145" s="10" t="s">
        <v>264</v>
      </c>
      <c r="M1145" s="22">
        <v>42592.0</v>
      </c>
      <c r="N1145" s="32" t="s">
        <v>3519</v>
      </c>
      <c r="O1145" s="10" t="s">
        <v>3520</v>
      </c>
      <c r="P1145" s="10" t="s">
        <v>3499</v>
      </c>
      <c r="Q1145" s="2"/>
      <c r="R1145" s="15"/>
      <c r="S1145" s="15"/>
      <c r="T1145" s="15"/>
      <c r="U1145" s="15"/>
      <c r="V1145" s="2"/>
      <c r="W1145" s="10">
        <v>12.0</v>
      </c>
      <c r="X1145" s="14">
        <v>44755.0</v>
      </c>
      <c r="Y1145" s="14">
        <v>45120.0</v>
      </c>
      <c r="Z1145" s="10">
        <f t="shared" si="88"/>
        <v>-971</v>
      </c>
      <c r="AA1145" s="1"/>
      <c r="AB1145" s="15"/>
      <c r="AC1145" s="15"/>
      <c r="AD1145" s="15"/>
      <c r="AE1145" s="15"/>
      <c r="AF1145" s="2"/>
      <c r="AG1145" s="16" t="s">
        <v>45</v>
      </c>
      <c r="AH1145" s="10" t="s">
        <v>318</v>
      </c>
      <c r="AI1145" s="10" t="s">
        <v>319</v>
      </c>
      <c r="AJ1145" s="10" t="s">
        <v>442</v>
      </c>
      <c r="AK1145" s="16" t="s">
        <v>45</v>
      </c>
      <c r="AL1145" s="10" t="s">
        <v>49</v>
      </c>
      <c r="AM1145" s="10" t="s">
        <v>2994</v>
      </c>
      <c r="AN1145" s="10" t="s">
        <v>50</v>
      </c>
    </row>
    <row r="1146" ht="30.0" customHeight="1">
      <c r="A1146" s="9" t="str">
        <f t="shared" si="48"/>
        <v>N/I</v>
      </c>
      <c r="B1146" s="9" t="str">
        <f t="shared" si="49"/>
        <v>Inativo</v>
      </c>
      <c r="C1146" s="9" t="str">
        <f t="shared" si="80"/>
        <v>N/I</v>
      </c>
      <c r="D1146" s="10" t="s">
        <v>3492</v>
      </c>
      <c r="E1146" s="11" t="s">
        <v>3493</v>
      </c>
      <c r="F1146" s="11" t="s">
        <v>3521</v>
      </c>
      <c r="G1146" s="12" t="s">
        <v>94</v>
      </c>
      <c r="H1146" s="23" t="s">
        <v>3522</v>
      </c>
      <c r="I1146" s="12" t="s">
        <v>3523</v>
      </c>
      <c r="J1146" s="10" t="s">
        <v>652</v>
      </c>
      <c r="K1146" s="10" t="s">
        <v>41</v>
      </c>
      <c r="L1146" s="10" t="s">
        <v>264</v>
      </c>
      <c r="M1146" s="22">
        <v>42591.0</v>
      </c>
      <c r="N1146" s="32" t="s">
        <v>3524</v>
      </c>
      <c r="O1146" s="10" t="s">
        <v>3525</v>
      </c>
      <c r="P1146" s="10" t="s">
        <v>3499</v>
      </c>
      <c r="Q1146" s="2"/>
      <c r="R1146" s="15"/>
      <c r="S1146" s="15"/>
      <c r="T1146" s="15"/>
      <c r="U1146" s="15"/>
      <c r="V1146" s="2"/>
      <c r="W1146" s="10">
        <v>12.0</v>
      </c>
      <c r="X1146" s="14">
        <v>44755.0</v>
      </c>
      <c r="Y1146" s="14">
        <v>45120.0</v>
      </c>
      <c r="Z1146" s="10">
        <f t="shared" si="88"/>
        <v>-971</v>
      </c>
      <c r="AA1146" s="2"/>
      <c r="AB1146" s="15"/>
      <c r="AC1146" s="15"/>
      <c r="AD1146" s="15"/>
      <c r="AE1146" s="15"/>
      <c r="AF1146" s="2"/>
      <c r="AG1146" s="16" t="s">
        <v>45</v>
      </c>
      <c r="AH1146" s="10" t="s">
        <v>318</v>
      </c>
      <c r="AI1146" s="10" t="s">
        <v>319</v>
      </c>
      <c r="AJ1146" s="10" t="s">
        <v>442</v>
      </c>
      <c r="AK1146" s="16" t="s">
        <v>45</v>
      </c>
      <c r="AL1146" s="10" t="s">
        <v>49</v>
      </c>
      <c r="AM1146" s="10" t="s">
        <v>2994</v>
      </c>
      <c r="AN1146" s="10" t="s">
        <v>50</v>
      </c>
    </row>
    <row r="1147" ht="30.0" customHeight="1">
      <c r="A1147" s="9" t="str">
        <f t="shared" si="48"/>
        <v>N/I</v>
      </c>
      <c r="B1147" s="9" t="str">
        <f t="shared" si="49"/>
        <v>Inativo</v>
      </c>
      <c r="C1147" s="9" t="str">
        <f t="shared" si="80"/>
        <v>N/I</v>
      </c>
      <c r="D1147" s="10" t="s">
        <v>3492</v>
      </c>
      <c r="E1147" s="11" t="s">
        <v>3493</v>
      </c>
      <c r="F1147" s="11" t="s">
        <v>3526</v>
      </c>
      <c r="G1147" s="12" t="s">
        <v>94</v>
      </c>
      <c r="H1147" s="23" t="s">
        <v>3527</v>
      </c>
      <c r="I1147" s="12" t="s">
        <v>1326</v>
      </c>
      <c r="J1147" s="10" t="s">
        <v>652</v>
      </c>
      <c r="K1147" s="10" t="s">
        <v>41</v>
      </c>
      <c r="L1147" s="10" t="s">
        <v>264</v>
      </c>
      <c r="M1147" s="22">
        <v>42592.0</v>
      </c>
      <c r="N1147" s="32" t="s">
        <v>1327</v>
      </c>
      <c r="O1147" s="10" t="s">
        <v>3528</v>
      </c>
      <c r="P1147" s="10" t="s">
        <v>3499</v>
      </c>
      <c r="Q1147" s="2"/>
      <c r="R1147" s="15"/>
      <c r="S1147" s="15"/>
      <c r="T1147" s="15"/>
      <c r="U1147" s="15"/>
      <c r="V1147" s="2"/>
      <c r="W1147" s="10">
        <v>12.0</v>
      </c>
      <c r="X1147" s="14">
        <v>44755.0</v>
      </c>
      <c r="Y1147" s="14">
        <v>45120.0</v>
      </c>
      <c r="Z1147" s="10">
        <f t="shared" si="88"/>
        <v>-971</v>
      </c>
      <c r="AA1147" s="2"/>
      <c r="AB1147" s="15"/>
      <c r="AC1147" s="15"/>
      <c r="AD1147" s="15"/>
      <c r="AE1147" s="15"/>
      <c r="AF1147" s="2"/>
      <c r="AG1147" s="16" t="s">
        <v>45</v>
      </c>
      <c r="AH1147" s="10" t="s">
        <v>318</v>
      </c>
      <c r="AI1147" s="10" t="s">
        <v>319</v>
      </c>
      <c r="AJ1147" s="10" t="s">
        <v>442</v>
      </c>
      <c r="AK1147" s="16" t="s">
        <v>45</v>
      </c>
      <c r="AL1147" s="10" t="s">
        <v>49</v>
      </c>
      <c r="AM1147" s="10" t="s">
        <v>2994</v>
      </c>
      <c r="AN1147" s="10" t="s">
        <v>50</v>
      </c>
    </row>
    <row r="1148" ht="30.0" customHeight="1">
      <c r="A1148" s="9" t="str">
        <f t="shared" si="48"/>
        <v>N/I</v>
      </c>
      <c r="B1148" s="9" t="str">
        <f t="shared" si="49"/>
        <v>Inativo</v>
      </c>
      <c r="C1148" s="9" t="str">
        <f t="shared" si="80"/>
        <v>N/I</v>
      </c>
      <c r="D1148" s="10" t="s">
        <v>3492</v>
      </c>
      <c r="E1148" s="11" t="s">
        <v>3493</v>
      </c>
      <c r="F1148" s="11" t="s">
        <v>3529</v>
      </c>
      <c r="G1148" s="12" t="s">
        <v>94</v>
      </c>
      <c r="H1148" s="23" t="s">
        <v>3530</v>
      </c>
      <c r="I1148" s="12" t="s">
        <v>3531</v>
      </c>
      <c r="J1148" s="10" t="s">
        <v>652</v>
      </c>
      <c r="K1148" s="10" t="s">
        <v>41</v>
      </c>
      <c r="L1148" s="10" t="s">
        <v>264</v>
      </c>
      <c r="M1148" s="22">
        <v>42590.0</v>
      </c>
      <c r="N1148" s="32" t="s">
        <v>3502</v>
      </c>
      <c r="O1148" s="10" t="s">
        <v>3503</v>
      </c>
      <c r="P1148" s="10" t="s">
        <v>3499</v>
      </c>
      <c r="Q1148" s="2"/>
      <c r="R1148" s="15"/>
      <c r="S1148" s="15"/>
      <c r="T1148" s="15"/>
      <c r="U1148" s="15"/>
      <c r="V1148" s="2"/>
      <c r="W1148" s="10">
        <v>12.0</v>
      </c>
      <c r="X1148" s="14">
        <v>44755.0</v>
      </c>
      <c r="Y1148" s="14">
        <v>45120.0</v>
      </c>
      <c r="Z1148" s="10">
        <f t="shared" si="88"/>
        <v>-971</v>
      </c>
      <c r="AA1148" s="2"/>
      <c r="AB1148" s="15"/>
      <c r="AC1148" s="15"/>
      <c r="AD1148" s="15"/>
      <c r="AE1148" s="15"/>
      <c r="AF1148" s="2"/>
      <c r="AG1148" s="16" t="s">
        <v>45</v>
      </c>
      <c r="AH1148" s="10" t="s">
        <v>318</v>
      </c>
      <c r="AI1148" s="10" t="s">
        <v>319</v>
      </c>
      <c r="AJ1148" s="10" t="s">
        <v>442</v>
      </c>
      <c r="AK1148" s="16" t="s">
        <v>45</v>
      </c>
      <c r="AL1148" s="10" t="s">
        <v>49</v>
      </c>
      <c r="AM1148" s="10" t="s">
        <v>2994</v>
      </c>
      <c r="AN1148" s="10" t="s">
        <v>50</v>
      </c>
    </row>
    <row r="1149" ht="30.0" customHeight="1">
      <c r="A1149" s="9" t="str">
        <f t="shared" si="48"/>
        <v>N/I</v>
      </c>
      <c r="B1149" s="9" t="str">
        <f t="shared" si="49"/>
        <v>N/I</v>
      </c>
      <c r="C1149" s="9" t="str">
        <f t="shared" si="80"/>
        <v>N/I</v>
      </c>
      <c r="D1149" s="10" t="s">
        <v>3492</v>
      </c>
      <c r="E1149" s="11" t="s">
        <v>3493</v>
      </c>
      <c r="F1149" s="32"/>
      <c r="G1149" s="12" t="s">
        <v>94</v>
      </c>
      <c r="H1149" s="57" t="s">
        <v>187</v>
      </c>
      <c r="I1149" s="12"/>
      <c r="J1149" s="10" t="s">
        <v>652</v>
      </c>
      <c r="K1149" s="10" t="s">
        <v>41</v>
      </c>
      <c r="L1149" s="10" t="s">
        <v>264</v>
      </c>
      <c r="M1149" s="24" t="s">
        <v>193</v>
      </c>
      <c r="N1149" s="11"/>
      <c r="O1149" s="10"/>
      <c r="P1149" s="10" t="s">
        <v>3499</v>
      </c>
      <c r="Q1149" s="2"/>
      <c r="R1149" s="15"/>
      <c r="S1149" s="15"/>
      <c r="T1149" s="15"/>
      <c r="U1149" s="15"/>
      <c r="V1149" s="2"/>
      <c r="W1149" s="10">
        <v>12.0</v>
      </c>
      <c r="X1149" s="26" t="s">
        <v>1489</v>
      </c>
      <c r="Y1149" s="26" t="s">
        <v>1489</v>
      </c>
      <c r="Z1149" s="10"/>
      <c r="AA1149" s="1"/>
      <c r="AB1149" s="15"/>
      <c r="AC1149" s="15"/>
      <c r="AD1149" s="15"/>
      <c r="AE1149" s="15"/>
      <c r="AF1149" s="2"/>
      <c r="AG1149" s="16" t="s">
        <v>45</v>
      </c>
      <c r="AH1149" s="10" t="s">
        <v>318</v>
      </c>
      <c r="AI1149" s="10" t="s">
        <v>319</v>
      </c>
      <c r="AJ1149" s="10" t="s">
        <v>442</v>
      </c>
      <c r="AK1149" s="16" t="s">
        <v>45</v>
      </c>
      <c r="AL1149" s="10" t="s">
        <v>49</v>
      </c>
      <c r="AM1149" s="10" t="s">
        <v>2994</v>
      </c>
      <c r="AN1149" s="10" t="s">
        <v>50</v>
      </c>
    </row>
    <row r="1150" ht="30.0" customHeight="1">
      <c r="A1150" s="9" t="str">
        <f t="shared" si="48"/>
        <v>N/I</v>
      </c>
      <c r="B1150" s="9" t="str">
        <f t="shared" si="49"/>
        <v>N/I</v>
      </c>
      <c r="C1150" s="9" t="str">
        <f t="shared" si="80"/>
        <v>N/I</v>
      </c>
      <c r="D1150" s="10" t="s">
        <v>3492</v>
      </c>
      <c r="E1150" s="11" t="s">
        <v>3493</v>
      </c>
      <c r="F1150" s="32"/>
      <c r="G1150" s="12" t="s">
        <v>94</v>
      </c>
      <c r="H1150" s="57" t="s">
        <v>187</v>
      </c>
      <c r="I1150" s="12"/>
      <c r="J1150" s="10" t="s">
        <v>652</v>
      </c>
      <c r="K1150" s="10" t="s">
        <v>41</v>
      </c>
      <c r="L1150" s="10" t="s">
        <v>264</v>
      </c>
      <c r="M1150" s="24" t="s">
        <v>193</v>
      </c>
      <c r="N1150" s="11"/>
      <c r="O1150" s="10"/>
      <c r="P1150" s="10" t="s">
        <v>3499</v>
      </c>
      <c r="Q1150" s="2"/>
      <c r="R1150" s="15"/>
      <c r="S1150" s="15"/>
      <c r="T1150" s="15"/>
      <c r="U1150" s="15"/>
      <c r="V1150" s="2"/>
      <c r="W1150" s="10">
        <v>12.0</v>
      </c>
      <c r="X1150" s="26" t="s">
        <v>1489</v>
      </c>
      <c r="Y1150" s="26" t="s">
        <v>1489</v>
      </c>
      <c r="Z1150" s="10"/>
      <c r="AA1150" s="1"/>
      <c r="AB1150" s="15"/>
      <c r="AC1150" s="15"/>
      <c r="AD1150" s="15"/>
      <c r="AE1150" s="15"/>
      <c r="AF1150" s="2"/>
      <c r="AG1150" s="16" t="s">
        <v>45</v>
      </c>
      <c r="AH1150" s="10" t="s">
        <v>318</v>
      </c>
      <c r="AI1150" s="10" t="s">
        <v>319</v>
      </c>
      <c r="AJ1150" s="10" t="s">
        <v>442</v>
      </c>
      <c r="AK1150" s="16" t="s">
        <v>45</v>
      </c>
      <c r="AL1150" s="10" t="s">
        <v>49</v>
      </c>
      <c r="AM1150" s="10" t="s">
        <v>2994</v>
      </c>
      <c r="AN1150" s="10" t="s">
        <v>50</v>
      </c>
    </row>
    <row r="1151" ht="30.0" customHeight="1">
      <c r="A1151" s="9" t="str">
        <f t="shared" si="48"/>
        <v>Ativo</v>
      </c>
      <c r="B1151" s="9" t="str">
        <f t="shared" si="49"/>
        <v>N/I</v>
      </c>
      <c r="C1151" s="9" t="str">
        <f t="shared" si="80"/>
        <v>N/I</v>
      </c>
      <c r="D1151" s="10" t="s">
        <v>3532</v>
      </c>
      <c r="E1151" s="11" t="s">
        <v>3533</v>
      </c>
      <c r="F1151" s="11" t="s">
        <v>3534</v>
      </c>
      <c r="G1151" s="12" t="s">
        <v>55</v>
      </c>
      <c r="H1151" s="16" t="s">
        <v>3535</v>
      </c>
      <c r="I1151" s="12" t="s">
        <v>3536</v>
      </c>
      <c r="J1151" s="10" t="s">
        <v>870</v>
      </c>
      <c r="K1151" s="10" t="s">
        <v>209</v>
      </c>
      <c r="L1151" s="10" t="s">
        <v>4</v>
      </c>
      <c r="M1151" s="22">
        <v>45574.0</v>
      </c>
      <c r="N1151" s="32" t="s">
        <v>3537</v>
      </c>
      <c r="O1151" s="10" t="s">
        <v>3538</v>
      </c>
      <c r="P1151" s="10" t="s">
        <v>3539</v>
      </c>
      <c r="Q1151" s="2"/>
      <c r="R1151" s="10">
        <v>36.0</v>
      </c>
      <c r="S1151" s="14">
        <v>45589.0</v>
      </c>
      <c r="T1151" s="14">
        <v>46683.0</v>
      </c>
      <c r="U1151" s="55">
        <f t="shared" ref="U1151:U1157" si="89">T1151-TODAY()</f>
        <v>592</v>
      </c>
      <c r="V1151" s="2"/>
      <c r="W1151" s="15"/>
      <c r="X1151" s="15"/>
      <c r="Y1151" s="15"/>
      <c r="Z1151" s="15"/>
      <c r="AA1151" s="1"/>
      <c r="AB1151" s="15"/>
      <c r="AC1151" s="15"/>
      <c r="AD1151" s="15"/>
      <c r="AE1151" s="15"/>
      <c r="AF1151" s="2"/>
      <c r="AG1151" s="10" t="s">
        <v>3540</v>
      </c>
      <c r="AH1151" s="12" t="s">
        <v>46</v>
      </c>
      <c r="AI1151" s="10" t="s">
        <v>291</v>
      </c>
      <c r="AJ1151" s="10" t="s">
        <v>3541</v>
      </c>
      <c r="AK1151" s="16" t="s">
        <v>45</v>
      </c>
      <c r="AL1151" s="10" t="s">
        <v>49</v>
      </c>
      <c r="AM1151" s="16" t="s">
        <v>45</v>
      </c>
      <c r="AN1151" s="10" t="s">
        <v>320</v>
      </c>
    </row>
    <row r="1152" ht="30.0" customHeight="1">
      <c r="A1152" s="9" t="str">
        <f t="shared" si="48"/>
        <v>Ativo</v>
      </c>
      <c r="B1152" s="9" t="str">
        <f t="shared" si="49"/>
        <v>N/I</v>
      </c>
      <c r="C1152" s="9" t="str">
        <f t="shared" si="80"/>
        <v>N/I</v>
      </c>
      <c r="D1152" s="10" t="s">
        <v>3532</v>
      </c>
      <c r="E1152" s="11" t="s">
        <v>3533</v>
      </c>
      <c r="F1152" s="11" t="s">
        <v>3542</v>
      </c>
      <c r="G1152" s="12" t="s">
        <v>55</v>
      </c>
      <c r="H1152" s="16" t="s">
        <v>3543</v>
      </c>
      <c r="I1152" s="12" t="s">
        <v>3544</v>
      </c>
      <c r="J1152" s="10" t="s">
        <v>870</v>
      </c>
      <c r="K1152" s="10" t="s">
        <v>209</v>
      </c>
      <c r="L1152" s="10" t="s">
        <v>4</v>
      </c>
      <c r="M1152" s="22">
        <v>45567.0</v>
      </c>
      <c r="N1152" s="32" t="s">
        <v>3545</v>
      </c>
      <c r="O1152" s="10" t="s">
        <v>3546</v>
      </c>
      <c r="P1152" s="10" t="s">
        <v>3539</v>
      </c>
      <c r="Q1152" s="2"/>
      <c r="R1152" s="10">
        <v>36.0</v>
      </c>
      <c r="S1152" s="14">
        <v>45589.0</v>
      </c>
      <c r="T1152" s="14">
        <v>46683.0</v>
      </c>
      <c r="U1152" s="55">
        <f t="shared" si="89"/>
        <v>592</v>
      </c>
      <c r="V1152" s="2"/>
      <c r="W1152" s="15"/>
      <c r="X1152" s="15"/>
      <c r="Y1152" s="15"/>
      <c r="Z1152" s="15"/>
      <c r="AA1152" s="1"/>
      <c r="AB1152" s="15"/>
      <c r="AC1152" s="15"/>
      <c r="AD1152" s="15"/>
      <c r="AE1152" s="15"/>
      <c r="AF1152" s="2"/>
      <c r="AG1152" s="10" t="s">
        <v>3540</v>
      </c>
      <c r="AH1152" s="12" t="s">
        <v>46</v>
      </c>
      <c r="AI1152" s="10" t="s">
        <v>291</v>
      </c>
      <c r="AJ1152" s="10" t="s">
        <v>3541</v>
      </c>
      <c r="AK1152" s="16" t="s">
        <v>45</v>
      </c>
      <c r="AL1152" s="10" t="s">
        <v>49</v>
      </c>
      <c r="AM1152" s="16" t="s">
        <v>45</v>
      </c>
      <c r="AN1152" s="10" t="s">
        <v>320</v>
      </c>
    </row>
    <row r="1153" ht="30.0" customHeight="1">
      <c r="A1153" s="9" t="str">
        <f t="shared" si="48"/>
        <v>Ativo</v>
      </c>
      <c r="B1153" s="9" t="str">
        <f t="shared" si="49"/>
        <v>N/I</v>
      </c>
      <c r="C1153" s="9" t="str">
        <f t="shared" si="80"/>
        <v>N/I</v>
      </c>
      <c r="D1153" s="10" t="s">
        <v>3532</v>
      </c>
      <c r="E1153" s="11" t="s">
        <v>3533</v>
      </c>
      <c r="F1153" s="11" t="s">
        <v>3547</v>
      </c>
      <c r="G1153" s="12" t="s">
        <v>55</v>
      </c>
      <c r="H1153" s="16" t="s">
        <v>3548</v>
      </c>
      <c r="I1153" s="12" t="s">
        <v>3549</v>
      </c>
      <c r="J1153" s="10" t="s">
        <v>870</v>
      </c>
      <c r="K1153" s="10" t="s">
        <v>209</v>
      </c>
      <c r="L1153" s="10" t="s">
        <v>4</v>
      </c>
      <c r="M1153" s="22">
        <v>45568.0</v>
      </c>
      <c r="N1153" s="32" t="s">
        <v>3550</v>
      </c>
      <c r="O1153" s="10" t="s">
        <v>3551</v>
      </c>
      <c r="P1153" s="10" t="s">
        <v>3539</v>
      </c>
      <c r="Q1153" s="2"/>
      <c r="R1153" s="10">
        <v>36.0</v>
      </c>
      <c r="S1153" s="14">
        <v>45589.0</v>
      </c>
      <c r="T1153" s="14">
        <v>46683.0</v>
      </c>
      <c r="U1153" s="55">
        <f t="shared" si="89"/>
        <v>592</v>
      </c>
      <c r="V1153" s="2"/>
      <c r="W1153" s="15"/>
      <c r="X1153" s="15"/>
      <c r="Y1153" s="15"/>
      <c r="Z1153" s="15"/>
      <c r="AA1153" s="1"/>
      <c r="AB1153" s="15"/>
      <c r="AC1153" s="15"/>
      <c r="AD1153" s="15"/>
      <c r="AE1153" s="15"/>
      <c r="AF1153" s="2"/>
      <c r="AG1153" s="10" t="s">
        <v>3540</v>
      </c>
      <c r="AH1153" s="12" t="s">
        <v>46</v>
      </c>
      <c r="AI1153" s="10" t="s">
        <v>291</v>
      </c>
      <c r="AJ1153" s="10" t="s">
        <v>3541</v>
      </c>
      <c r="AK1153" s="16" t="s">
        <v>45</v>
      </c>
      <c r="AL1153" s="10" t="s">
        <v>49</v>
      </c>
      <c r="AM1153" s="16" t="s">
        <v>45</v>
      </c>
      <c r="AN1153" s="10" t="s">
        <v>320</v>
      </c>
    </row>
    <row r="1154" ht="30.0" customHeight="1">
      <c r="A1154" s="9" t="str">
        <f t="shared" si="48"/>
        <v>Ativo</v>
      </c>
      <c r="B1154" s="9" t="str">
        <f t="shared" si="49"/>
        <v>N/I</v>
      </c>
      <c r="C1154" s="9" t="str">
        <f t="shared" si="80"/>
        <v>N/I</v>
      </c>
      <c r="D1154" s="10" t="s">
        <v>3532</v>
      </c>
      <c r="E1154" s="11" t="s">
        <v>3533</v>
      </c>
      <c r="F1154" s="11" t="s">
        <v>3552</v>
      </c>
      <c r="G1154" s="12" t="s">
        <v>55</v>
      </c>
      <c r="H1154" s="16" t="s">
        <v>3553</v>
      </c>
      <c r="I1154" s="12" t="s">
        <v>3554</v>
      </c>
      <c r="J1154" s="10" t="s">
        <v>870</v>
      </c>
      <c r="K1154" s="10" t="s">
        <v>209</v>
      </c>
      <c r="L1154" s="10" t="s">
        <v>4</v>
      </c>
      <c r="M1154" s="22">
        <v>45572.0</v>
      </c>
      <c r="N1154" s="32" t="s">
        <v>3555</v>
      </c>
      <c r="O1154" s="10" t="s">
        <v>3556</v>
      </c>
      <c r="P1154" s="10" t="s">
        <v>3539</v>
      </c>
      <c r="Q1154" s="2"/>
      <c r="R1154" s="10">
        <v>36.0</v>
      </c>
      <c r="S1154" s="14">
        <v>45589.0</v>
      </c>
      <c r="T1154" s="14">
        <v>46683.0</v>
      </c>
      <c r="U1154" s="55">
        <f t="shared" si="89"/>
        <v>592</v>
      </c>
      <c r="V1154" s="2"/>
      <c r="W1154" s="15"/>
      <c r="X1154" s="15"/>
      <c r="Y1154" s="15"/>
      <c r="Z1154" s="15"/>
      <c r="AA1154" s="1"/>
      <c r="AB1154" s="15"/>
      <c r="AC1154" s="15"/>
      <c r="AD1154" s="15"/>
      <c r="AE1154" s="15"/>
      <c r="AF1154" s="2"/>
      <c r="AG1154" s="10" t="s">
        <v>3540</v>
      </c>
      <c r="AH1154" s="12" t="s">
        <v>46</v>
      </c>
      <c r="AI1154" s="10" t="s">
        <v>291</v>
      </c>
      <c r="AJ1154" s="10" t="s">
        <v>3541</v>
      </c>
      <c r="AK1154" s="16" t="s">
        <v>45</v>
      </c>
      <c r="AL1154" s="10" t="s">
        <v>49</v>
      </c>
      <c r="AM1154" s="16" t="s">
        <v>45</v>
      </c>
      <c r="AN1154" s="10" t="s">
        <v>320</v>
      </c>
    </row>
    <row r="1155" ht="30.0" customHeight="1">
      <c r="A1155" s="9" t="str">
        <f t="shared" si="48"/>
        <v>Ativo</v>
      </c>
      <c r="B1155" s="9" t="str">
        <f t="shared" si="49"/>
        <v>N/I</v>
      </c>
      <c r="C1155" s="9" t="str">
        <f t="shared" si="80"/>
        <v>N/I</v>
      </c>
      <c r="D1155" s="10" t="s">
        <v>3532</v>
      </c>
      <c r="E1155" s="11" t="s">
        <v>3533</v>
      </c>
      <c r="F1155" s="11" t="s">
        <v>3557</v>
      </c>
      <c r="G1155" s="12" t="s">
        <v>55</v>
      </c>
      <c r="H1155" s="16" t="s">
        <v>3558</v>
      </c>
      <c r="I1155" s="12" t="s">
        <v>869</v>
      </c>
      <c r="J1155" s="10" t="s">
        <v>870</v>
      </c>
      <c r="K1155" s="10" t="s">
        <v>209</v>
      </c>
      <c r="L1155" s="10" t="s">
        <v>4</v>
      </c>
      <c r="M1155" s="22">
        <v>45567.0</v>
      </c>
      <c r="N1155" s="32" t="s">
        <v>3559</v>
      </c>
      <c r="O1155" s="10" t="s">
        <v>3560</v>
      </c>
      <c r="P1155" s="10" t="s">
        <v>3539</v>
      </c>
      <c r="Q1155" s="2"/>
      <c r="R1155" s="10">
        <v>36.0</v>
      </c>
      <c r="S1155" s="14">
        <v>45589.0</v>
      </c>
      <c r="T1155" s="14">
        <v>46683.0</v>
      </c>
      <c r="U1155" s="55">
        <f t="shared" si="89"/>
        <v>592</v>
      </c>
      <c r="V1155" s="2"/>
      <c r="W1155" s="15"/>
      <c r="X1155" s="15"/>
      <c r="Y1155" s="15"/>
      <c r="Z1155" s="15"/>
      <c r="AA1155" s="1"/>
      <c r="AB1155" s="15"/>
      <c r="AC1155" s="15"/>
      <c r="AD1155" s="15"/>
      <c r="AE1155" s="15"/>
      <c r="AF1155" s="2"/>
      <c r="AG1155" s="10" t="s">
        <v>3540</v>
      </c>
      <c r="AH1155" s="12" t="s">
        <v>46</v>
      </c>
      <c r="AI1155" s="10" t="s">
        <v>291</v>
      </c>
      <c r="AJ1155" s="10" t="s">
        <v>3541</v>
      </c>
      <c r="AK1155" s="16" t="s">
        <v>45</v>
      </c>
      <c r="AL1155" s="10" t="s">
        <v>49</v>
      </c>
      <c r="AM1155" s="16" t="s">
        <v>45</v>
      </c>
      <c r="AN1155" s="10" t="s">
        <v>320</v>
      </c>
    </row>
    <row r="1156" ht="30.0" customHeight="1">
      <c r="A1156" s="9" t="str">
        <f t="shared" si="48"/>
        <v>Ativo</v>
      </c>
      <c r="B1156" s="9" t="str">
        <f t="shared" si="49"/>
        <v>N/I</v>
      </c>
      <c r="C1156" s="9" t="str">
        <f t="shared" si="80"/>
        <v>N/I</v>
      </c>
      <c r="D1156" s="10" t="s">
        <v>3532</v>
      </c>
      <c r="E1156" s="11" t="s">
        <v>3533</v>
      </c>
      <c r="F1156" s="11" t="s">
        <v>3561</v>
      </c>
      <c r="G1156" s="12" t="s">
        <v>55</v>
      </c>
      <c r="H1156" s="16" t="s">
        <v>3562</v>
      </c>
      <c r="I1156" s="12" t="s">
        <v>3563</v>
      </c>
      <c r="J1156" s="10" t="s">
        <v>870</v>
      </c>
      <c r="K1156" s="10" t="s">
        <v>209</v>
      </c>
      <c r="L1156" s="10" t="s">
        <v>4</v>
      </c>
      <c r="M1156" s="22">
        <v>45569.0</v>
      </c>
      <c r="N1156" s="32" t="s">
        <v>3564</v>
      </c>
      <c r="O1156" s="10" t="s">
        <v>3565</v>
      </c>
      <c r="P1156" s="10" t="s">
        <v>3539</v>
      </c>
      <c r="Q1156" s="2"/>
      <c r="R1156" s="10">
        <v>36.0</v>
      </c>
      <c r="S1156" s="14">
        <v>45589.0</v>
      </c>
      <c r="T1156" s="14">
        <v>46683.0</v>
      </c>
      <c r="U1156" s="55">
        <f t="shared" si="89"/>
        <v>592</v>
      </c>
      <c r="V1156" s="2"/>
      <c r="W1156" s="15"/>
      <c r="X1156" s="15"/>
      <c r="Y1156" s="15"/>
      <c r="Z1156" s="15"/>
      <c r="AA1156" s="1"/>
      <c r="AB1156" s="15"/>
      <c r="AC1156" s="15"/>
      <c r="AD1156" s="15"/>
      <c r="AE1156" s="15"/>
      <c r="AF1156" s="2"/>
      <c r="AG1156" s="10" t="s">
        <v>3540</v>
      </c>
      <c r="AH1156" s="12" t="s">
        <v>46</v>
      </c>
      <c r="AI1156" s="10" t="s">
        <v>291</v>
      </c>
      <c r="AJ1156" s="10" t="s">
        <v>3541</v>
      </c>
      <c r="AK1156" s="16" t="s">
        <v>45</v>
      </c>
      <c r="AL1156" s="10" t="s">
        <v>49</v>
      </c>
      <c r="AM1156" s="16" t="s">
        <v>45</v>
      </c>
      <c r="AN1156" s="10" t="s">
        <v>320</v>
      </c>
    </row>
    <row r="1157" ht="30.0" customHeight="1">
      <c r="A1157" s="9" t="str">
        <f t="shared" si="48"/>
        <v>Ativo</v>
      </c>
      <c r="B1157" s="9" t="str">
        <f t="shared" si="49"/>
        <v>N/I</v>
      </c>
      <c r="C1157" s="9" t="str">
        <f t="shared" si="80"/>
        <v>N/I</v>
      </c>
      <c r="D1157" s="10" t="s">
        <v>3532</v>
      </c>
      <c r="E1157" s="11" t="s">
        <v>3533</v>
      </c>
      <c r="F1157" s="11" t="s">
        <v>3566</v>
      </c>
      <c r="G1157" s="12" t="s">
        <v>55</v>
      </c>
      <c r="H1157" s="16" t="s">
        <v>3567</v>
      </c>
      <c r="I1157" s="12" t="s">
        <v>3568</v>
      </c>
      <c r="J1157" s="10" t="s">
        <v>870</v>
      </c>
      <c r="K1157" s="10" t="s">
        <v>209</v>
      </c>
      <c r="L1157" s="10" t="s">
        <v>4</v>
      </c>
      <c r="M1157" s="22">
        <v>45566.0</v>
      </c>
      <c r="N1157" s="32" t="s">
        <v>3569</v>
      </c>
      <c r="O1157" s="10" t="s">
        <v>3570</v>
      </c>
      <c r="P1157" s="10" t="s">
        <v>3539</v>
      </c>
      <c r="Q1157" s="2"/>
      <c r="R1157" s="10">
        <v>36.0</v>
      </c>
      <c r="S1157" s="14">
        <v>45589.0</v>
      </c>
      <c r="T1157" s="14">
        <v>46683.0</v>
      </c>
      <c r="U1157" s="55">
        <f t="shared" si="89"/>
        <v>592</v>
      </c>
      <c r="V1157" s="2"/>
      <c r="W1157" s="15"/>
      <c r="X1157" s="15"/>
      <c r="Y1157" s="15"/>
      <c r="Z1157" s="15"/>
      <c r="AA1157" s="1"/>
      <c r="AB1157" s="15"/>
      <c r="AC1157" s="15"/>
      <c r="AD1157" s="15"/>
      <c r="AE1157" s="15"/>
      <c r="AF1157" s="2"/>
      <c r="AG1157" s="10" t="s">
        <v>3540</v>
      </c>
      <c r="AH1157" s="12" t="s">
        <v>46</v>
      </c>
      <c r="AI1157" s="10" t="s">
        <v>291</v>
      </c>
      <c r="AJ1157" s="10" t="s">
        <v>3541</v>
      </c>
      <c r="AK1157" s="16" t="s">
        <v>45</v>
      </c>
      <c r="AL1157" s="10" t="s">
        <v>49</v>
      </c>
      <c r="AM1157" s="16" t="s">
        <v>45</v>
      </c>
      <c r="AN1157" s="10" t="s">
        <v>320</v>
      </c>
    </row>
    <row r="1158" ht="30.0" customHeight="1">
      <c r="A1158" s="9" t="str">
        <f t="shared" si="48"/>
        <v>N/I</v>
      </c>
      <c r="B1158" s="9" t="str">
        <f t="shared" si="49"/>
        <v>N/I</v>
      </c>
      <c r="C1158" s="9" t="str">
        <f t="shared" si="80"/>
        <v>N/I</v>
      </c>
      <c r="D1158" s="10" t="s">
        <v>3571</v>
      </c>
      <c r="E1158" s="11" t="s">
        <v>3572</v>
      </c>
      <c r="F1158" s="32" t="s">
        <v>3573</v>
      </c>
      <c r="G1158" s="12" t="s">
        <v>1691</v>
      </c>
      <c r="H1158" s="25" t="s">
        <v>187</v>
      </c>
      <c r="I1158" s="12" t="s">
        <v>3574</v>
      </c>
      <c r="J1158" s="10" t="s">
        <v>216</v>
      </c>
      <c r="K1158" s="10" t="s">
        <v>40</v>
      </c>
      <c r="L1158" s="10" t="s">
        <v>6</v>
      </c>
      <c r="M1158" s="24" t="s">
        <v>193</v>
      </c>
      <c r="N1158" s="11" t="s">
        <v>3575</v>
      </c>
      <c r="O1158" s="10" t="s">
        <v>3576</v>
      </c>
      <c r="P1158" s="10" t="s">
        <v>3577</v>
      </c>
      <c r="Q1158" s="2"/>
      <c r="R1158" s="15"/>
      <c r="S1158" s="15"/>
      <c r="T1158" s="15"/>
      <c r="U1158" s="15"/>
      <c r="V1158" s="2"/>
      <c r="W1158" s="15"/>
      <c r="X1158" s="15"/>
      <c r="Y1158" s="15"/>
      <c r="Z1158" s="15"/>
      <c r="AA1158" s="1"/>
      <c r="AB1158" s="10">
        <v>48.0</v>
      </c>
      <c r="AC1158" s="49" t="s">
        <v>1489</v>
      </c>
      <c r="AD1158" s="49" t="s">
        <v>1489</v>
      </c>
      <c r="AE1158" s="10"/>
      <c r="AF1158" s="2"/>
      <c r="AG1158" s="10" t="s">
        <v>290</v>
      </c>
      <c r="AH1158" s="12" t="s">
        <v>46</v>
      </c>
      <c r="AI1158" s="10" t="s">
        <v>291</v>
      </c>
      <c r="AJ1158" s="10" t="s">
        <v>292</v>
      </c>
      <c r="AK1158" s="16" t="s">
        <v>45</v>
      </c>
      <c r="AL1158" s="10" t="s">
        <v>49</v>
      </c>
      <c r="AM1158" s="16" t="s">
        <v>45</v>
      </c>
      <c r="AN1158" s="10" t="s">
        <v>50</v>
      </c>
    </row>
    <row r="1159" ht="30.0" customHeight="1">
      <c r="A1159" s="9" t="str">
        <f t="shared" si="48"/>
        <v>N/I</v>
      </c>
      <c r="B1159" s="9" t="str">
        <f t="shared" si="49"/>
        <v>N/I</v>
      </c>
      <c r="C1159" s="9" t="str">
        <f t="shared" si="80"/>
        <v>N/I</v>
      </c>
      <c r="D1159" s="10" t="s">
        <v>3571</v>
      </c>
      <c r="E1159" s="11" t="s">
        <v>3572</v>
      </c>
      <c r="F1159" s="32" t="s">
        <v>3578</v>
      </c>
      <c r="G1159" s="12" t="s">
        <v>3579</v>
      </c>
      <c r="H1159" s="25" t="s">
        <v>187</v>
      </c>
      <c r="I1159" s="12" t="s">
        <v>3580</v>
      </c>
      <c r="J1159" s="10" t="s">
        <v>216</v>
      </c>
      <c r="K1159" s="10" t="s">
        <v>40</v>
      </c>
      <c r="L1159" s="10" t="s">
        <v>6</v>
      </c>
      <c r="M1159" s="24" t="s">
        <v>193</v>
      </c>
      <c r="N1159" s="11" t="s">
        <v>3581</v>
      </c>
      <c r="O1159" s="10" t="s">
        <v>3582</v>
      </c>
      <c r="P1159" s="10" t="s">
        <v>3583</v>
      </c>
      <c r="Q1159" s="2"/>
      <c r="R1159" s="10">
        <v>60.0</v>
      </c>
      <c r="S1159" s="45" t="s">
        <v>187</v>
      </c>
      <c r="T1159" s="45" t="s">
        <v>187</v>
      </c>
      <c r="U1159" s="10"/>
      <c r="V1159" s="2"/>
      <c r="W1159" s="15"/>
      <c r="X1159" s="15"/>
      <c r="Y1159" s="15"/>
      <c r="Z1159" s="15"/>
      <c r="AA1159" s="1"/>
      <c r="AB1159" s="10">
        <v>48.0</v>
      </c>
      <c r="AC1159" s="49" t="s">
        <v>1489</v>
      </c>
      <c r="AD1159" s="49" t="s">
        <v>1489</v>
      </c>
      <c r="AE1159" s="10"/>
      <c r="AF1159" s="2"/>
      <c r="AG1159" s="10" t="s">
        <v>290</v>
      </c>
      <c r="AH1159" s="10" t="s">
        <v>318</v>
      </c>
      <c r="AI1159" s="10" t="s">
        <v>319</v>
      </c>
      <c r="AJ1159" s="10" t="s">
        <v>291</v>
      </c>
      <c r="AK1159" s="16" t="s">
        <v>45</v>
      </c>
      <c r="AL1159" s="10" t="s">
        <v>49</v>
      </c>
      <c r="AM1159" s="10" t="s">
        <v>508</v>
      </c>
      <c r="AN1159" s="10" t="s">
        <v>50</v>
      </c>
    </row>
    <row r="1160" ht="30.0" customHeight="1">
      <c r="A1160" s="9" t="str">
        <f t="shared" si="48"/>
        <v>N/I</v>
      </c>
      <c r="B1160" s="9" t="str">
        <f t="shared" si="49"/>
        <v>N/I</v>
      </c>
      <c r="C1160" s="9" t="str">
        <f t="shared" si="80"/>
        <v>N/I</v>
      </c>
      <c r="D1160" s="10" t="s">
        <v>3571</v>
      </c>
      <c r="E1160" s="11" t="s">
        <v>3572</v>
      </c>
      <c r="F1160" s="32" t="s">
        <v>3584</v>
      </c>
      <c r="G1160" s="12" t="s">
        <v>1691</v>
      </c>
      <c r="H1160" s="25" t="s">
        <v>187</v>
      </c>
      <c r="I1160" s="12" t="s">
        <v>3585</v>
      </c>
      <c r="J1160" s="10" t="s">
        <v>216</v>
      </c>
      <c r="K1160" s="10" t="s">
        <v>40</v>
      </c>
      <c r="L1160" s="10" t="s">
        <v>6</v>
      </c>
      <c r="M1160" s="24" t="s">
        <v>193</v>
      </c>
      <c r="N1160" s="11" t="s">
        <v>3586</v>
      </c>
      <c r="O1160" s="10" t="s">
        <v>3587</v>
      </c>
      <c r="P1160" s="10" t="s">
        <v>3577</v>
      </c>
      <c r="Q1160" s="2"/>
      <c r="R1160" s="15"/>
      <c r="S1160" s="15"/>
      <c r="T1160" s="15"/>
      <c r="U1160" s="15"/>
      <c r="V1160" s="2"/>
      <c r="W1160" s="15"/>
      <c r="X1160" s="15"/>
      <c r="Y1160" s="15"/>
      <c r="Z1160" s="15"/>
      <c r="AA1160" s="1"/>
      <c r="AB1160" s="10">
        <v>48.0</v>
      </c>
      <c r="AC1160" s="49" t="s">
        <v>1489</v>
      </c>
      <c r="AD1160" s="49" t="s">
        <v>1489</v>
      </c>
      <c r="AE1160" s="10"/>
      <c r="AF1160" s="2"/>
      <c r="AG1160" s="10" t="s">
        <v>290</v>
      </c>
      <c r="AH1160" s="12" t="s">
        <v>46</v>
      </c>
      <c r="AI1160" s="10" t="s">
        <v>291</v>
      </c>
      <c r="AJ1160" s="10" t="s">
        <v>292</v>
      </c>
      <c r="AK1160" s="16" t="s">
        <v>45</v>
      </c>
      <c r="AL1160" s="10" t="s">
        <v>49</v>
      </c>
      <c r="AM1160" s="16" t="s">
        <v>45</v>
      </c>
      <c r="AN1160" s="10" t="s">
        <v>50</v>
      </c>
    </row>
    <row r="1161" ht="30.0" customHeight="1">
      <c r="A1161" s="9" t="str">
        <f t="shared" si="48"/>
        <v>N/I</v>
      </c>
      <c r="B1161" s="9" t="str">
        <f t="shared" si="49"/>
        <v>N/I</v>
      </c>
      <c r="C1161" s="9" t="str">
        <f t="shared" si="80"/>
        <v>Ativo</v>
      </c>
      <c r="D1161" s="10" t="s">
        <v>3571</v>
      </c>
      <c r="E1161" s="11" t="s">
        <v>3572</v>
      </c>
      <c r="F1161" s="11" t="s">
        <v>3588</v>
      </c>
      <c r="G1161" s="12" t="s">
        <v>1691</v>
      </c>
      <c r="H1161" s="34" t="s">
        <v>3589</v>
      </c>
      <c r="I1161" s="12" t="s">
        <v>3590</v>
      </c>
      <c r="J1161" s="10" t="s">
        <v>216</v>
      </c>
      <c r="K1161" s="10" t="s">
        <v>40</v>
      </c>
      <c r="L1161" s="10" t="s">
        <v>6</v>
      </c>
      <c r="M1161" s="22">
        <v>45288.0</v>
      </c>
      <c r="N1161" s="32" t="s">
        <v>3591</v>
      </c>
      <c r="O1161" s="10" t="s">
        <v>3592</v>
      </c>
      <c r="P1161" s="10" t="s">
        <v>3593</v>
      </c>
      <c r="Q1161" s="2"/>
      <c r="R1161" s="15"/>
      <c r="S1161" s="15"/>
      <c r="T1161" s="15"/>
      <c r="U1161" s="15"/>
      <c r="V1161" s="2"/>
      <c r="W1161" s="15"/>
      <c r="X1161" s="15"/>
      <c r="Y1161" s="15"/>
      <c r="Z1161" s="15"/>
      <c r="AA1161" s="1"/>
      <c r="AB1161" s="10">
        <v>48.0</v>
      </c>
      <c r="AC1161" s="14">
        <v>45169.0</v>
      </c>
      <c r="AD1161" s="14">
        <v>46630.0</v>
      </c>
      <c r="AE1161" s="10">
        <f t="shared" ref="AE1161:AE1164" si="90">AD1161-TODAY()</f>
        <v>539</v>
      </c>
      <c r="AF1161" s="2"/>
      <c r="AG1161" s="10" t="s">
        <v>1498</v>
      </c>
      <c r="AH1161" s="12" t="s">
        <v>46</v>
      </c>
      <c r="AI1161" s="10" t="s">
        <v>227</v>
      </c>
      <c r="AJ1161" s="10" t="s">
        <v>390</v>
      </c>
      <c r="AK1161" s="12" t="s">
        <v>3594</v>
      </c>
      <c r="AL1161" s="10" t="s">
        <v>49</v>
      </c>
      <c r="AM1161" s="10" t="s">
        <v>508</v>
      </c>
      <c r="AN1161" s="10" t="s">
        <v>320</v>
      </c>
    </row>
    <row r="1162" ht="30.0" customHeight="1">
      <c r="A1162" s="9" t="str">
        <f t="shared" si="48"/>
        <v>N/I</v>
      </c>
      <c r="B1162" s="9" t="str">
        <f t="shared" si="49"/>
        <v>N/I</v>
      </c>
      <c r="C1162" s="9" t="str">
        <f t="shared" si="80"/>
        <v>Ativo</v>
      </c>
      <c r="D1162" s="10" t="s">
        <v>3571</v>
      </c>
      <c r="E1162" s="11" t="s">
        <v>3572</v>
      </c>
      <c r="F1162" s="11" t="s">
        <v>3595</v>
      </c>
      <c r="G1162" s="12" t="s">
        <v>1691</v>
      </c>
      <c r="H1162" s="13" t="s">
        <v>3596</v>
      </c>
      <c r="I1162" s="12" t="s">
        <v>3590</v>
      </c>
      <c r="J1162" s="10" t="s">
        <v>216</v>
      </c>
      <c r="K1162" s="10" t="s">
        <v>40</v>
      </c>
      <c r="L1162" s="10" t="s">
        <v>6</v>
      </c>
      <c r="M1162" s="22">
        <v>45463.0</v>
      </c>
      <c r="N1162" s="32" t="s">
        <v>3591</v>
      </c>
      <c r="O1162" s="10" t="s">
        <v>3597</v>
      </c>
      <c r="P1162" s="10" t="s">
        <v>3598</v>
      </c>
      <c r="Q1162" s="2"/>
      <c r="R1162" s="15"/>
      <c r="S1162" s="15"/>
      <c r="T1162" s="15"/>
      <c r="U1162" s="15"/>
      <c r="V1162" s="2"/>
      <c r="W1162" s="15"/>
      <c r="X1162" s="15"/>
      <c r="Y1162" s="15"/>
      <c r="Z1162" s="15"/>
      <c r="AA1162" s="1"/>
      <c r="AB1162" s="10">
        <v>48.0</v>
      </c>
      <c r="AC1162" s="14">
        <v>45169.0</v>
      </c>
      <c r="AD1162" s="14">
        <v>46629.0</v>
      </c>
      <c r="AE1162" s="10">
        <f t="shared" si="90"/>
        <v>538</v>
      </c>
      <c r="AF1162" s="2"/>
      <c r="AG1162" s="10" t="s">
        <v>1498</v>
      </c>
      <c r="AH1162" s="12" t="s">
        <v>46</v>
      </c>
      <c r="AI1162" s="10" t="s">
        <v>227</v>
      </c>
      <c r="AJ1162" s="10" t="s">
        <v>390</v>
      </c>
      <c r="AK1162" s="12" t="s">
        <v>3594</v>
      </c>
      <c r="AL1162" s="10" t="s">
        <v>49</v>
      </c>
      <c r="AM1162" s="10" t="s">
        <v>508</v>
      </c>
      <c r="AN1162" s="10" t="s">
        <v>320</v>
      </c>
    </row>
    <row r="1163" ht="30.0" customHeight="1">
      <c r="A1163" s="9" t="str">
        <f t="shared" si="48"/>
        <v>N/I</v>
      </c>
      <c r="B1163" s="9" t="str">
        <f t="shared" si="49"/>
        <v>N/I</v>
      </c>
      <c r="C1163" s="9" t="str">
        <f t="shared" si="80"/>
        <v>Ativo</v>
      </c>
      <c r="D1163" s="10" t="s">
        <v>3571</v>
      </c>
      <c r="E1163" s="11" t="s">
        <v>3572</v>
      </c>
      <c r="F1163" s="11" t="s">
        <v>3599</v>
      </c>
      <c r="G1163" s="12" t="s">
        <v>3579</v>
      </c>
      <c r="H1163" s="13" t="s">
        <v>3600</v>
      </c>
      <c r="I1163" s="12" t="s">
        <v>3590</v>
      </c>
      <c r="J1163" s="10" t="s">
        <v>216</v>
      </c>
      <c r="K1163" s="10" t="s">
        <v>40</v>
      </c>
      <c r="L1163" s="10" t="s">
        <v>6</v>
      </c>
      <c r="M1163" s="22">
        <v>45518.0</v>
      </c>
      <c r="N1163" s="32" t="s">
        <v>3601</v>
      </c>
      <c r="O1163" s="10" t="s">
        <v>3602</v>
      </c>
      <c r="P1163" s="10" t="s">
        <v>3603</v>
      </c>
      <c r="Q1163" s="2"/>
      <c r="R1163" s="15"/>
      <c r="S1163" s="15"/>
      <c r="T1163" s="15"/>
      <c r="U1163" s="15"/>
      <c r="V1163" s="2"/>
      <c r="W1163" s="15"/>
      <c r="X1163" s="15"/>
      <c r="Y1163" s="15"/>
      <c r="Z1163" s="15"/>
      <c r="AA1163" s="1"/>
      <c r="AB1163" s="10">
        <v>48.0</v>
      </c>
      <c r="AC1163" s="14">
        <v>45566.0</v>
      </c>
      <c r="AD1163" s="14">
        <v>47026.0</v>
      </c>
      <c r="AE1163" s="10">
        <f t="shared" si="90"/>
        <v>935</v>
      </c>
      <c r="AF1163" s="2"/>
      <c r="AG1163" s="10" t="s">
        <v>1498</v>
      </c>
      <c r="AH1163" s="12" t="s">
        <v>46</v>
      </c>
      <c r="AI1163" s="10" t="s">
        <v>227</v>
      </c>
      <c r="AJ1163" s="10" t="s">
        <v>390</v>
      </c>
      <c r="AK1163" s="16" t="s">
        <v>45</v>
      </c>
      <c r="AL1163" s="10" t="s">
        <v>49</v>
      </c>
      <c r="AM1163" s="10" t="s">
        <v>508</v>
      </c>
      <c r="AN1163" s="10" t="s">
        <v>320</v>
      </c>
    </row>
    <row r="1164" ht="30.0" customHeight="1">
      <c r="A1164" s="9" t="str">
        <f t="shared" si="48"/>
        <v>N/I</v>
      </c>
      <c r="B1164" s="9" t="str">
        <f t="shared" si="49"/>
        <v>N/I</v>
      </c>
      <c r="C1164" s="9" t="str">
        <f t="shared" si="80"/>
        <v>Ativo</v>
      </c>
      <c r="D1164" s="10" t="s">
        <v>3571</v>
      </c>
      <c r="E1164" s="11" t="s">
        <v>3572</v>
      </c>
      <c r="F1164" s="11" t="s">
        <v>3599</v>
      </c>
      <c r="G1164" s="12" t="s">
        <v>3579</v>
      </c>
      <c r="H1164" s="13" t="s">
        <v>3604</v>
      </c>
      <c r="I1164" s="12" t="s">
        <v>3590</v>
      </c>
      <c r="J1164" s="10" t="s">
        <v>216</v>
      </c>
      <c r="K1164" s="10" t="s">
        <v>40</v>
      </c>
      <c r="L1164" s="10" t="s">
        <v>6</v>
      </c>
      <c r="M1164" s="22">
        <v>45518.0</v>
      </c>
      <c r="N1164" s="32" t="s">
        <v>3601</v>
      </c>
      <c r="O1164" s="10" t="s">
        <v>3602</v>
      </c>
      <c r="P1164" s="10" t="s">
        <v>3603</v>
      </c>
      <c r="Q1164" s="2"/>
      <c r="R1164" s="15"/>
      <c r="S1164" s="15"/>
      <c r="T1164" s="15"/>
      <c r="U1164" s="15"/>
      <c r="V1164" s="2"/>
      <c r="W1164" s="15"/>
      <c r="X1164" s="15"/>
      <c r="Y1164" s="15"/>
      <c r="Z1164" s="15"/>
      <c r="AA1164" s="1"/>
      <c r="AB1164" s="10">
        <v>48.0</v>
      </c>
      <c r="AC1164" s="14">
        <v>45566.0</v>
      </c>
      <c r="AD1164" s="14">
        <v>47026.0</v>
      </c>
      <c r="AE1164" s="10">
        <f t="shared" si="90"/>
        <v>935</v>
      </c>
      <c r="AF1164" s="2"/>
      <c r="AG1164" s="10" t="s">
        <v>1498</v>
      </c>
      <c r="AH1164" s="12" t="s">
        <v>46</v>
      </c>
      <c r="AI1164" s="10" t="s">
        <v>227</v>
      </c>
      <c r="AJ1164" s="10" t="s">
        <v>390</v>
      </c>
      <c r="AK1164" s="16" t="s">
        <v>45</v>
      </c>
      <c r="AL1164" s="10" t="s">
        <v>49</v>
      </c>
      <c r="AM1164" s="10" t="s">
        <v>508</v>
      </c>
      <c r="AN1164" s="10" t="s">
        <v>320</v>
      </c>
    </row>
    <row r="1165" ht="30.0" customHeight="1">
      <c r="A1165" s="9" t="str">
        <f t="shared" si="48"/>
        <v>N/I</v>
      </c>
      <c r="B1165" s="9" t="str">
        <f t="shared" si="49"/>
        <v>N/I</v>
      </c>
      <c r="C1165" s="9" t="str">
        <f t="shared" si="80"/>
        <v>N/I</v>
      </c>
      <c r="D1165" s="10" t="s">
        <v>3571</v>
      </c>
      <c r="E1165" s="11" t="s">
        <v>3572</v>
      </c>
      <c r="F1165" s="32" t="s">
        <v>3605</v>
      </c>
      <c r="G1165" s="12" t="s">
        <v>3579</v>
      </c>
      <c r="H1165" s="25" t="s">
        <v>187</v>
      </c>
      <c r="I1165" s="12" t="s">
        <v>3606</v>
      </c>
      <c r="J1165" s="10" t="s">
        <v>216</v>
      </c>
      <c r="K1165" s="10" t="s">
        <v>40</v>
      </c>
      <c r="L1165" s="10" t="s">
        <v>6</v>
      </c>
      <c r="M1165" s="24" t="s">
        <v>193</v>
      </c>
      <c r="N1165" s="11" t="s">
        <v>3607</v>
      </c>
      <c r="O1165" s="10" t="s">
        <v>3608</v>
      </c>
      <c r="P1165" s="10" t="s">
        <v>3583</v>
      </c>
      <c r="Q1165" s="2"/>
      <c r="R1165" s="10">
        <v>60.0</v>
      </c>
      <c r="S1165" s="45" t="s">
        <v>187</v>
      </c>
      <c r="T1165" s="45" t="s">
        <v>187</v>
      </c>
      <c r="U1165" s="10"/>
      <c r="V1165" s="2"/>
      <c r="W1165" s="15"/>
      <c r="X1165" s="15"/>
      <c r="Y1165" s="15"/>
      <c r="Z1165" s="15"/>
      <c r="AA1165" s="1"/>
      <c r="AB1165" s="10">
        <v>48.0</v>
      </c>
      <c r="AC1165" s="49" t="s">
        <v>1489</v>
      </c>
      <c r="AD1165" s="49" t="s">
        <v>1489</v>
      </c>
      <c r="AE1165" s="10"/>
      <c r="AF1165" s="2"/>
      <c r="AG1165" s="10" t="s">
        <v>290</v>
      </c>
      <c r="AH1165" s="10" t="s">
        <v>318</v>
      </c>
      <c r="AI1165" s="10" t="s">
        <v>319</v>
      </c>
      <c r="AJ1165" s="10" t="s">
        <v>291</v>
      </c>
      <c r="AK1165" s="16" t="s">
        <v>45</v>
      </c>
      <c r="AL1165" s="10" t="s">
        <v>49</v>
      </c>
      <c r="AM1165" s="10" t="s">
        <v>508</v>
      </c>
      <c r="AN1165" s="10" t="s">
        <v>50</v>
      </c>
    </row>
    <row r="1166" ht="30.0" customHeight="1">
      <c r="A1166" s="9" t="str">
        <f t="shared" si="48"/>
        <v>N/I</v>
      </c>
      <c r="B1166" s="9" t="str">
        <f t="shared" si="49"/>
        <v>N/I</v>
      </c>
      <c r="C1166" s="9" t="str">
        <f t="shared" si="80"/>
        <v>Ativo</v>
      </c>
      <c r="D1166" s="10" t="s">
        <v>3571</v>
      </c>
      <c r="E1166" s="11" t="s">
        <v>3572</v>
      </c>
      <c r="F1166" s="11" t="s">
        <v>3609</v>
      </c>
      <c r="G1166" s="12" t="s">
        <v>1691</v>
      </c>
      <c r="H1166" s="13" t="s">
        <v>3610</v>
      </c>
      <c r="I1166" s="12" t="s">
        <v>3611</v>
      </c>
      <c r="J1166" s="10" t="s">
        <v>216</v>
      </c>
      <c r="K1166" s="10" t="s">
        <v>40</v>
      </c>
      <c r="L1166" s="10" t="s">
        <v>6</v>
      </c>
      <c r="M1166" s="22">
        <v>45461.0</v>
      </c>
      <c r="N1166" s="32" t="s">
        <v>3612</v>
      </c>
      <c r="O1166" s="10" t="s">
        <v>3613</v>
      </c>
      <c r="P1166" s="10" t="s">
        <v>3598</v>
      </c>
      <c r="Q1166" s="2"/>
      <c r="R1166" s="15"/>
      <c r="S1166" s="15"/>
      <c r="T1166" s="15"/>
      <c r="U1166" s="15"/>
      <c r="V1166" s="2"/>
      <c r="W1166" s="15"/>
      <c r="X1166" s="15"/>
      <c r="Y1166" s="15"/>
      <c r="Z1166" s="15"/>
      <c r="AA1166" s="1"/>
      <c r="AB1166" s="10">
        <v>48.0</v>
      </c>
      <c r="AC1166" s="14">
        <v>45169.0</v>
      </c>
      <c r="AD1166" s="14">
        <v>46629.0</v>
      </c>
      <c r="AE1166" s="10">
        <f t="shared" ref="AE1166:AE1174" si="91">AD1166-TODAY()</f>
        <v>538</v>
      </c>
      <c r="AF1166" s="2"/>
      <c r="AG1166" s="10" t="s">
        <v>1498</v>
      </c>
      <c r="AH1166" s="12" t="s">
        <v>46</v>
      </c>
      <c r="AI1166" s="10" t="s">
        <v>227</v>
      </c>
      <c r="AJ1166" s="10" t="s">
        <v>390</v>
      </c>
      <c r="AK1166" s="12" t="s">
        <v>3594</v>
      </c>
      <c r="AL1166" s="10" t="s">
        <v>49</v>
      </c>
      <c r="AM1166" s="10" t="s">
        <v>508</v>
      </c>
      <c r="AN1166" s="10" t="s">
        <v>320</v>
      </c>
    </row>
    <row r="1167" ht="30.0" customHeight="1">
      <c r="A1167" s="9" t="str">
        <f t="shared" si="48"/>
        <v>N/I</v>
      </c>
      <c r="B1167" s="9" t="str">
        <f t="shared" si="49"/>
        <v>N/I</v>
      </c>
      <c r="C1167" s="9" t="str">
        <f t="shared" si="80"/>
        <v>Ativo</v>
      </c>
      <c r="D1167" s="10" t="s">
        <v>3571</v>
      </c>
      <c r="E1167" s="11" t="s">
        <v>3572</v>
      </c>
      <c r="F1167" s="11" t="s">
        <v>3609</v>
      </c>
      <c r="G1167" s="12" t="s">
        <v>3579</v>
      </c>
      <c r="H1167" s="13" t="s">
        <v>3614</v>
      </c>
      <c r="I1167" s="12" t="s">
        <v>3611</v>
      </c>
      <c r="J1167" s="10" t="s">
        <v>216</v>
      </c>
      <c r="K1167" s="10" t="s">
        <v>40</v>
      </c>
      <c r="L1167" s="10" t="s">
        <v>6</v>
      </c>
      <c r="M1167" s="22">
        <v>45534.0</v>
      </c>
      <c r="N1167" s="32" t="s">
        <v>3615</v>
      </c>
      <c r="O1167" s="10" t="s">
        <v>3613</v>
      </c>
      <c r="P1167" s="10" t="s">
        <v>3603</v>
      </c>
      <c r="Q1167" s="2"/>
      <c r="R1167" s="15"/>
      <c r="S1167" s="15"/>
      <c r="T1167" s="15"/>
      <c r="U1167" s="15"/>
      <c r="V1167" s="2"/>
      <c r="W1167" s="15"/>
      <c r="X1167" s="15"/>
      <c r="Y1167" s="15"/>
      <c r="Z1167" s="15"/>
      <c r="AA1167" s="1"/>
      <c r="AB1167" s="10">
        <v>48.0</v>
      </c>
      <c r="AC1167" s="14">
        <v>45566.0</v>
      </c>
      <c r="AD1167" s="14">
        <v>47026.0</v>
      </c>
      <c r="AE1167" s="10">
        <f t="shared" si="91"/>
        <v>935</v>
      </c>
      <c r="AF1167" s="2"/>
      <c r="AG1167" s="10" t="s">
        <v>1498</v>
      </c>
      <c r="AH1167" s="12" t="s">
        <v>46</v>
      </c>
      <c r="AI1167" s="10" t="s">
        <v>227</v>
      </c>
      <c r="AJ1167" s="10" t="s">
        <v>390</v>
      </c>
      <c r="AK1167" s="16" t="s">
        <v>45</v>
      </c>
      <c r="AL1167" s="10" t="s">
        <v>49</v>
      </c>
      <c r="AM1167" s="10" t="s">
        <v>508</v>
      </c>
      <c r="AN1167" s="10" t="s">
        <v>320</v>
      </c>
    </row>
    <row r="1168" ht="30.0" customHeight="1">
      <c r="A1168" s="9" t="str">
        <f t="shared" si="48"/>
        <v>N/I</v>
      </c>
      <c r="B1168" s="9" t="str">
        <f t="shared" si="49"/>
        <v>N/I</v>
      </c>
      <c r="C1168" s="9" t="str">
        <f t="shared" si="80"/>
        <v>Ativo</v>
      </c>
      <c r="D1168" s="10" t="s">
        <v>3571</v>
      </c>
      <c r="E1168" s="11" t="s">
        <v>3572</v>
      </c>
      <c r="F1168" s="11" t="s">
        <v>3616</v>
      </c>
      <c r="G1168" s="12" t="s">
        <v>1691</v>
      </c>
      <c r="H1168" s="34" t="s">
        <v>3617</v>
      </c>
      <c r="I1168" s="12" t="s">
        <v>3618</v>
      </c>
      <c r="J1168" s="10" t="s">
        <v>216</v>
      </c>
      <c r="K1168" s="10" t="s">
        <v>40</v>
      </c>
      <c r="L1168" s="10" t="s">
        <v>6</v>
      </c>
      <c r="M1168" s="22">
        <v>45343.0</v>
      </c>
      <c r="N1168" s="32" t="s">
        <v>3619</v>
      </c>
      <c r="O1168" s="10" t="s">
        <v>3620</v>
      </c>
      <c r="P1168" s="10" t="s">
        <v>3593</v>
      </c>
      <c r="Q1168" s="2"/>
      <c r="R1168" s="15"/>
      <c r="S1168" s="15"/>
      <c r="T1168" s="15"/>
      <c r="U1168" s="15"/>
      <c r="V1168" s="2"/>
      <c r="W1168" s="15"/>
      <c r="X1168" s="15"/>
      <c r="Y1168" s="15"/>
      <c r="Z1168" s="15"/>
      <c r="AA1168" s="2"/>
      <c r="AB1168" s="10">
        <v>48.0</v>
      </c>
      <c r="AC1168" s="14">
        <v>45169.0</v>
      </c>
      <c r="AD1168" s="14">
        <v>46630.0</v>
      </c>
      <c r="AE1168" s="10">
        <f t="shared" si="91"/>
        <v>539</v>
      </c>
      <c r="AF1168" s="2"/>
      <c r="AG1168" s="10" t="s">
        <v>1498</v>
      </c>
      <c r="AH1168" s="12" t="s">
        <v>46</v>
      </c>
      <c r="AI1168" s="10" t="s">
        <v>227</v>
      </c>
      <c r="AJ1168" s="10" t="s">
        <v>390</v>
      </c>
      <c r="AK1168" s="12" t="s">
        <v>3594</v>
      </c>
      <c r="AL1168" s="10" t="s">
        <v>49</v>
      </c>
      <c r="AM1168" s="10" t="s">
        <v>508</v>
      </c>
      <c r="AN1168" s="10" t="s">
        <v>320</v>
      </c>
    </row>
    <row r="1169" ht="30.0" customHeight="1">
      <c r="A1169" s="9" t="str">
        <f t="shared" si="48"/>
        <v>N/I</v>
      </c>
      <c r="B1169" s="9" t="str">
        <f t="shared" si="49"/>
        <v>N/I</v>
      </c>
      <c r="C1169" s="9" t="str">
        <f t="shared" si="80"/>
        <v>Ativo</v>
      </c>
      <c r="D1169" s="10" t="s">
        <v>3571</v>
      </c>
      <c r="E1169" s="11" t="s">
        <v>3572</v>
      </c>
      <c r="F1169" s="11" t="s">
        <v>3621</v>
      </c>
      <c r="G1169" s="12" t="s">
        <v>3579</v>
      </c>
      <c r="H1169" s="13" t="s">
        <v>3622</v>
      </c>
      <c r="I1169" s="12" t="s">
        <v>3618</v>
      </c>
      <c r="J1169" s="10" t="s">
        <v>216</v>
      </c>
      <c r="K1169" s="10" t="s">
        <v>40</v>
      </c>
      <c r="L1169" s="10" t="s">
        <v>6</v>
      </c>
      <c r="M1169" s="22">
        <v>45525.0</v>
      </c>
      <c r="N1169" s="32" t="s">
        <v>3619</v>
      </c>
      <c r="O1169" s="10" t="s">
        <v>3623</v>
      </c>
      <c r="P1169" s="10" t="s">
        <v>3603</v>
      </c>
      <c r="Q1169" s="2"/>
      <c r="R1169" s="15"/>
      <c r="S1169" s="15"/>
      <c r="T1169" s="15"/>
      <c r="U1169" s="15"/>
      <c r="V1169" s="2"/>
      <c r="W1169" s="15"/>
      <c r="X1169" s="15"/>
      <c r="Y1169" s="15"/>
      <c r="Z1169" s="15"/>
      <c r="AA1169" s="1"/>
      <c r="AB1169" s="10">
        <v>48.0</v>
      </c>
      <c r="AC1169" s="14">
        <v>45566.0</v>
      </c>
      <c r="AD1169" s="14">
        <v>47026.0</v>
      </c>
      <c r="AE1169" s="10">
        <f t="shared" si="91"/>
        <v>935</v>
      </c>
      <c r="AF1169" s="2"/>
      <c r="AG1169" s="10" t="s">
        <v>1498</v>
      </c>
      <c r="AH1169" s="12" t="s">
        <v>46</v>
      </c>
      <c r="AI1169" s="10" t="s">
        <v>227</v>
      </c>
      <c r="AJ1169" s="10" t="s">
        <v>390</v>
      </c>
      <c r="AK1169" s="16" t="s">
        <v>45</v>
      </c>
      <c r="AL1169" s="10" t="s">
        <v>49</v>
      </c>
      <c r="AM1169" s="10" t="s">
        <v>508</v>
      </c>
      <c r="AN1169" s="10" t="s">
        <v>320</v>
      </c>
    </row>
    <row r="1170" ht="30.0" customHeight="1">
      <c r="A1170" s="9" t="str">
        <f t="shared" si="48"/>
        <v>N/I</v>
      </c>
      <c r="B1170" s="9" t="str">
        <f t="shared" si="49"/>
        <v>N/I</v>
      </c>
      <c r="C1170" s="9" t="str">
        <f t="shared" si="80"/>
        <v>Ativo</v>
      </c>
      <c r="D1170" s="10" t="s">
        <v>3571</v>
      </c>
      <c r="E1170" s="11" t="s">
        <v>3572</v>
      </c>
      <c r="F1170" s="11" t="s">
        <v>3624</v>
      </c>
      <c r="G1170" s="12" t="s">
        <v>1691</v>
      </c>
      <c r="H1170" s="34" t="s">
        <v>3625</v>
      </c>
      <c r="I1170" s="12" t="s">
        <v>784</v>
      </c>
      <c r="J1170" s="10" t="s">
        <v>216</v>
      </c>
      <c r="K1170" s="10" t="s">
        <v>40</v>
      </c>
      <c r="L1170" s="10" t="s">
        <v>6</v>
      </c>
      <c r="M1170" s="22">
        <v>45259.0</v>
      </c>
      <c r="N1170" s="32" t="s">
        <v>3626</v>
      </c>
      <c r="O1170" s="10" t="s">
        <v>3627</v>
      </c>
      <c r="P1170" s="10" t="s">
        <v>3593</v>
      </c>
      <c r="Q1170" s="2"/>
      <c r="R1170" s="15"/>
      <c r="S1170" s="15"/>
      <c r="T1170" s="15"/>
      <c r="U1170" s="15"/>
      <c r="V1170" s="2"/>
      <c r="W1170" s="15"/>
      <c r="X1170" s="15"/>
      <c r="Y1170" s="15"/>
      <c r="Z1170" s="15"/>
      <c r="AA1170" s="1"/>
      <c r="AB1170" s="10">
        <v>48.0</v>
      </c>
      <c r="AC1170" s="14">
        <v>45169.0</v>
      </c>
      <c r="AD1170" s="14">
        <v>46630.0</v>
      </c>
      <c r="AE1170" s="10">
        <f t="shared" si="91"/>
        <v>539</v>
      </c>
      <c r="AF1170" s="2"/>
      <c r="AG1170" s="10" t="s">
        <v>1498</v>
      </c>
      <c r="AH1170" s="12" t="s">
        <v>46</v>
      </c>
      <c r="AI1170" s="10" t="s">
        <v>227</v>
      </c>
      <c r="AJ1170" s="10" t="s">
        <v>390</v>
      </c>
      <c r="AK1170" s="12" t="s">
        <v>3594</v>
      </c>
      <c r="AL1170" s="10" t="s">
        <v>49</v>
      </c>
      <c r="AM1170" s="10" t="s">
        <v>508</v>
      </c>
      <c r="AN1170" s="10" t="s">
        <v>320</v>
      </c>
    </row>
    <row r="1171" ht="30.0" customHeight="1">
      <c r="A1171" s="9" t="str">
        <f t="shared" si="48"/>
        <v>N/I</v>
      </c>
      <c r="B1171" s="9" t="str">
        <f t="shared" si="49"/>
        <v>N/I</v>
      </c>
      <c r="C1171" s="9" t="str">
        <f t="shared" si="80"/>
        <v>Ativo</v>
      </c>
      <c r="D1171" s="10" t="s">
        <v>3571</v>
      </c>
      <c r="E1171" s="11" t="s">
        <v>3572</v>
      </c>
      <c r="F1171" s="11" t="s">
        <v>3628</v>
      </c>
      <c r="G1171" s="12" t="s">
        <v>1691</v>
      </c>
      <c r="H1171" s="34" t="s">
        <v>3629</v>
      </c>
      <c r="I1171" s="12" t="s">
        <v>784</v>
      </c>
      <c r="J1171" s="10" t="s">
        <v>216</v>
      </c>
      <c r="K1171" s="10" t="s">
        <v>40</v>
      </c>
      <c r="L1171" s="10" t="s">
        <v>6</v>
      </c>
      <c r="M1171" s="22">
        <v>45275.0</v>
      </c>
      <c r="N1171" s="32" t="s">
        <v>3630</v>
      </c>
      <c r="O1171" s="10" t="s">
        <v>3631</v>
      </c>
      <c r="P1171" s="10" t="s">
        <v>3593</v>
      </c>
      <c r="Q1171" s="2"/>
      <c r="R1171" s="15"/>
      <c r="S1171" s="15"/>
      <c r="T1171" s="15"/>
      <c r="U1171" s="15"/>
      <c r="V1171" s="2"/>
      <c r="W1171" s="15"/>
      <c r="X1171" s="15"/>
      <c r="Y1171" s="15"/>
      <c r="Z1171" s="15"/>
      <c r="AA1171" s="1"/>
      <c r="AB1171" s="10">
        <v>48.0</v>
      </c>
      <c r="AC1171" s="14">
        <v>45169.0</v>
      </c>
      <c r="AD1171" s="14">
        <v>46630.0</v>
      </c>
      <c r="AE1171" s="10">
        <f t="shared" si="91"/>
        <v>539</v>
      </c>
      <c r="AF1171" s="2"/>
      <c r="AG1171" s="10" t="s">
        <v>1498</v>
      </c>
      <c r="AH1171" s="12" t="s">
        <v>46</v>
      </c>
      <c r="AI1171" s="10" t="s">
        <v>227</v>
      </c>
      <c r="AJ1171" s="10" t="s">
        <v>390</v>
      </c>
      <c r="AK1171" s="12" t="s">
        <v>3594</v>
      </c>
      <c r="AL1171" s="10" t="s">
        <v>49</v>
      </c>
      <c r="AM1171" s="10" t="s">
        <v>508</v>
      </c>
      <c r="AN1171" s="10" t="s">
        <v>320</v>
      </c>
    </row>
    <row r="1172" ht="30.0" customHeight="1">
      <c r="A1172" s="9" t="str">
        <f t="shared" si="48"/>
        <v>N/I</v>
      </c>
      <c r="B1172" s="9" t="str">
        <f t="shared" si="49"/>
        <v>N/I</v>
      </c>
      <c r="C1172" s="9" t="str">
        <f t="shared" si="80"/>
        <v>Ativo</v>
      </c>
      <c r="D1172" s="10" t="s">
        <v>3571</v>
      </c>
      <c r="E1172" s="11" t="s">
        <v>3572</v>
      </c>
      <c r="F1172" s="11" t="s">
        <v>3632</v>
      </c>
      <c r="G1172" s="12" t="s">
        <v>3579</v>
      </c>
      <c r="H1172" s="27" t="s">
        <v>3633</v>
      </c>
      <c r="I1172" s="12" t="s">
        <v>784</v>
      </c>
      <c r="J1172" s="10" t="s">
        <v>216</v>
      </c>
      <c r="K1172" s="10" t="s">
        <v>40</v>
      </c>
      <c r="L1172" s="10" t="s">
        <v>6</v>
      </c>
      <c r="M1172" s="22">
        <v>45821.0</v>
      </c>
      <c r="N1172" s="32" t="s">
        <v>3634</v>
      </c>
      <c r="O1172" s="10" t="s">
        <v>3635</v>
      </c>
      <c r="P1172" s="10" t="s">
        <v>3603</v>
      </c>
      <c r="Q1172" s="2"/>
      <c r="R1172" s="15"/>
      <c r="S1172" s="15"/>
      <c r="T1172" s="15"/>
      <c r="U1172" s="15"/>
      <c r="V1172" s="2"/>
      <c r="W1172" s="15"/>
      <c r="X1172" s="15"/>
      <c r="Y1172" s="15"/>
      <c r="Z1172" s="15"/>
      <c r="AA1172" s="1"/>
      <c r="AB1172" s="10">
        <v>48.0</v>
      </c>
      <c r="AC1172" s="14">
        <v>45566.0</v>
      </c>
      <c r="AD1172" s="14">
        <v>47026.0</v>
      </c>
      <c r="AE1172" s="10">
        <f t="shared" si="91"/>
        <v>935</v>
      </c>
      <c r="AF1172" s="2"/>
      <c r="AG1172" s="10" t="s">
        <v>1498</v>
      </c>
      <c r="AH1172" s="12" t="s">
        <v>46</v>
      </c>
      <c r="AI1172" s="10" t="s">
        <v>227</v>
      </c>
      <c r="AJ1172" s="10" t="s">
        <v>390</v>
      </c>
      <c r="AK1172" s="16" t="s">
        <v>45</v>
      </c>
      <c r="AL1172" s="10" t="s">
        <v>49</v>
      </c>
      <c r="AM1172" s="10" t="s">
        <v>508</v>
      </c>
      <c r="AN1172" s="10" t="s">
        <v>320</v>
      </c>
    </row>
    <row r="1173" ht="30.0" customHeight="1">
      <c r="A1173" s="9" t="str">
        <f t="shared" si="48"/>
        <v>N/I</v>
      </c>
      <c r="B1173" s="9" t="str">
        <f t="shared" si="49"/>
        <v>N/I</v>
      </c>
      <c r="C1173" s="9" t="str">
        <f t="shared" si="80"/>
        <v>Ativo</v>
      </c>
      <c r="D1173" s="10" t="s">
        <v>3571</v>
      </c>
      <c r="E1173" s="11" t="s">
        <v>3572</v>
      </c>
      <c r="F1173" s="32" t="s">
        <v>3636</v>
      </c>
      <c r="G1173" s="12" t="s">
        <v>1691</v>
      </c>
      <c r="H1173" s="34" t="s">
        <v>3637</v>
      </c>
      <c r="I1173" s="12" t="s">
        <v>3638</v>
      </c>
      <c r="J1173" s="10" t="s">
        <v>216</v>
      </c>
      <c r="K1173" s="10" t="s">
        <v>40</v>
      </c>
      <c r="L1173" s="10" t="s">
        <v>6</v>
      </c>
      <c r="M1173" s="22">
        <v>45261.0</v>
      </c>
      <c r="N1173" s="32" t="s">
        <v>3639</v>
      </c>
      <c r="O1173" s="10" t="s">
        <v>3640</v>
      </c>
      <c r="P1173" s="10" t="s">
        <v>3641</v>
      </c>
      <c r="Q1173" s="2"/>
      <c r="R1173" s="15"/>
      <c r="S1173" s="15"/>
      <c r="T1173" s="15"/>
      <c r="U1173" s="15"/>
      <c r="V1173" s="2"/>
      <c r="W1173" s="15"/>
      <c r="X1173" s="15"/>
      <c r="Y1173" s="15"/>
      <c r="Z1173" s="15"/>
      <c r="AA1173" s="1"/>
      <c r="AB1173" s="10">
        <v>48.0</v>
      </c>
      <c r="AC1173" s="14">
        <v>45169.0</v>
      </c>
      <c r="AD1173" s="14">
        <v>46629.0</v>
      </c>
      <c r="AE1173" s="10">
        <f t="shared" si="91"/>
        <v>538</v>
      </c>
      <c r="AF1173" s="2"/>
      <c r="AG1173" s="10" t="s">
        <v>1498</v>
      </c>
      <c r="AH1173" s="12" t="s">
        <v>46</v>
      </c>
      <c r="AI1173" s="10" t="s">
        <v>227</v>
      </c>
      <c r="AJ1173" s="10" t="s">
        <v>390</v>
      </c>
      <c r="AK1173" s="12" t="s">
        <v>3594</v>
      </c>
      <c r="AL1173" s="10" t="s">
        <v>49</v>
      </c>
      <c r="AM1173" s="10" t="s">
        <v>508</v>
      </c>
      <c r="AN1173" s="10" t="s">
        <v>320</v>
      </c>
    </row>
    <row r="1174" ht="30.0" customHeight="1">
      <c r="A1174" s="9" t="str">
        <f t="shared" si="48"/>
        <v>N/I</v>
      </c>
      <c r="B1174" s="9" t="str">
        <f t="shared" si="49"/>
        <v>N/I</v>
      </c>
      <c r="C1174" s="9" t="str">
        <f t="shared" si="80"/>
        <v>Ativo</v>
      </c>
      <c r="D1174" s="10" t="s">
        <v>3571</v>
      </c>
      <c r="E1174" s="11" t="s">
        <v>3572</v>
      </c>
      <c r="F1174" s="11" t="s">
        <v>3642</v>
      </c>
      <c r="G1174" s="12" t="s">
        <v>3579</v>
      </c>
      <c r="H1174" s="13" t="s">
        <v>3643</v>
      </c>
      <c r="I1174" s="12" t="s">
        <v>3638</v>
      </c>
      <c r="J1174" s="10" t="s">
        <v>216</v>
      </c>
      <c r="K1174" s="10" t="s">
        <v>40</v>
      </c>
      <c r="L1174" s="10" t="s">
        <v>6</v>
      </c>
      <c r="M1174" s="22">
        <v>45524.0</v>
      </c>
      <c r="N1174" s="32" t="s">
        <v>3639</v>
      </c>
      <c r="O1174" s="10" t="s">
        <v>3640</v>
      </c>
      <c r="P1174" s="10" t="s">
        <v>3603</v>
      </c>
      <c r="Q1174" s="2"/>
      <c r="R1174" s="15"/>
      <c r="S1174" s="15"/>
      <c r="T1174" s="15"/>
      <c r="U1174" s="15"/>
      <c r="V1174" s="2"/>
      <c r="W1174" s="15"/>
      <c r="X1174" s="15"/>
      <c r="Y1174" s="15"/>
      <c r="Z1174" s="15"/>
      <c r="AA1174" s="1"/>
      <c r="AB1174" s="10">
        <v>48.0</v>
      </c>
      <c r="AC1174" s="14">
        <v>45566.0</v>
      </c>
      <c r="AD1174" s="14">
        <v>47026.0</v>
      </c>
      <c r="AE1174" s="10">
        <f t="shared" si="91"/>
        <v>935</v>
      </c>
      <c r="AF1174" s="2"/>
      <c r="AG1174" s="10" t="s">
        <v>1498</v>
      </c>
      <c r="AH1174" s="12" t="s">
        <v>46</v>
      </c>
      <c r="AI1174" s="10" t="s">
        <v>227</v>
      </c>
      <c r="AJ1174" s="10" t="s">
        <v>390</v>
      </c>
      <c r="AK1174" s="16" t="s">
        <v>45</v>
      </c>
      <c r="AL1174" s="10" t="s">
        <v>49</v>
      </c>
      <c r="AM1174" s="10" t="s">
        <v>508</v>
      </c>
      <c r="AN1174" s="10" t="s">
        <v>320</v>
      </c>
    </row>
    <row r="1175" ht="30.0" customHeight="1">
      <c r="A1175" s="9" t="str">
        <f t="shared" si="48"/>
        <v>N/I</v>
      </c>
      <c r="B1175" s="9" t="str">
        <f t="shared" si="49"/>
        <v>N/I</v>
      </c>
      <c r="C1175" s="9" t="str">
        <f t="shared" si="80"/>
        <v>N/I</v>
      </c>
      <c r="D1175" s="10" t="s">
        <v>3571</v>
      </c>
      <c r="E1175" s="11" t="s">
        <v>3572</v>
      </c>
      <c r="F1175" s="32" t="s">
        <v>3644</v>
      </c>
      <c r="G1175" s="12" t="s">
        <v>3579</v>
      </c>
      <c r="H1175" s="25" t="s">
        <v>187</v>
      </c>
      <c r="I1175" s="12" t="s">
        <v>3645</v>
      </c>
      <c r="J1175" s="10" t="s">
        <v>216</v>
      </c>
      <c r="K1175" s="10" t="s">
        <v>40</v>
      </c>
      <c r="L1175" s="10" t="s">
        <v>6</v>
      </c>
      <c r="M1175" s="24" t="s">
        <v>193</v>
      </c>
      <c r="N1175" s="11" t="s">
        <v>3646</v>
      </c>
      <c r="O1175" s="10" t="s">
        <v>3647</v>
      </c>
      <c r="P1175" s="10" t="s">
        <v>3583</v>
      </c>
      <c r="Q1175" s="2"/>
      <c r="R1175" s="15"/>
      <c r="S1175" s="15"/>
      <c r="T1175" s="15"/>
      <c r="U1175" s="15"/>
      <c r="V1175" s="2"/>
      <c r="W1175" s="15"/>
      <c r="X1175" s="15"/>
      <c r="Y1175" s="15"/>
      <c r="Z1175" s="15"/>
      <c r="AA1175" s="1"/>
      <c r="AB1175" s="10">
        <v>48.0</v>
      </c>
      <c r="AC1175" s="49" t="s">
        <v>1489</v>
      </c>
      <c r="AD1175" s="49" t="s">
        <v>1489</v>
      </c>
      <c r="AE1175" s="10"/>
      <c r="AF1175" s="2"/>
      <c r="AG1175" s="10" t="s">
        <v>1498</v>
      </c>
      <c r="AH1175" s="12" t="s">
        <v>46</v>
      </c>
      <c r="AI1175" s="10" t="s">
        <v>227</v>
      </c>
      <c r="AJ1175" s="10" t="s">
        <v>390</v>
      </c>
      <c r="AK1175" s="16" t="s">
        <v>45</v>
      </c>
      <c r="AL1175" s="10" t="s">
        <v>49</v>
      </c>
      <c r="AM1175" s="10" t="s">
        <v>508</v>
      </c>
      <c r="AN1175" s="16"/>
    </row>
    <row r="1176" ht="30.0" customHeight="1">
      <c r="A1176" s="9" t="str">
        <f t="shared" si="48"/>
        <v>N/I</v>
      </c>
      <c r="B1176" s="9" t="str">
        <f t="shared" si="49"/>
        <v>N/I</v>
      </c>
      <c r="C1176" s="9" t="str">
        <f t="shared" si="80"/>
        <v>Ativo</v>
      </c>
      <c r="D1176" s="10" t="s">
        <v>3571</v>
      </c>
      <c r="E1176" s="11" t="s">
        <v>3572</v>
      </c>
      <c r="F1176" s="11" t="s">
        <v>3648</v>
      </c>
      <c r="G1176" s="12" t="s">
        <v>3579</v>
      </c>
      <c r="H1176" s="27" t="s">
        <v>3649</v>
      </c>
      <c r="I1176" s="12" t="s">
        <v>3650</v>
      </c>
      <c r="J1176" s="10" t="s">
        <v>216</v>
      </c>
      <c r="K1176" s="10" t="s">
        <v>40</v>
      </c>
      <c r="L1176" s="10" t="s">
        <v>6</v>
      </c>
      <c r="M1176" s="22">
        <v>45817.0</v>
      </c>
      <c r="N1176" s="32" t="s">
        <v>3651</v>
      </c>
      <c r="O1176" s="10" t="s">
        <v>3652</v>
      </c>
      <c r="P1176" s="10" t="s">
        <v>3603</v>
      </c>
      <c r="Q1176" s="2"/>
      <c r="R1176" s="15"/>
      <c r="S1176" s="15"/>
      <c r="T1176" s="15"/>
      <c r="U1176" s="15"/>
      <c r="V1176" s="2"/>
      <c r="W1176" s="15"/>
      <c r="X1176" s="15"/>
      <c r="Y1176" s="15"/>
      <c r="Z1176" s="15"/>
      <c r="AA1176" s="1"/>
      <c r="AB1176" s="10">
        <v>48.0</v>
      </c>
      <c r="AC1176" s="14">
        <v>45566.0</v>
      </c>
      <c r="AD1176" s="14">
        <v>47026.0</v>
      </c>
      <c r="AE1176" s="10">
        <f t="shared" ref="AE1176:AE1181" si="92">AD1176-TODAY()</f>
        <v>935</v>
      </c>
      <c r="AF1176" s="2"/>
      <c r="AG1176" s="10" t="s">
        <v>1498</v>
      </c>
      <c r="AH1176" s="12" t="s">
        <v>46</v>
      </c>
      <c r="AI1176" s="10" t="s">
        <v>227</v>
      </c>
      <c r="AJ1176" s="10" t="s">
        <v>390</v>
      </c>
      <c r="AK1176" s="16" t="s">
        <v>45</v>
      </c>
      <c r="AL1176" s="10" t="s">
        <v>49</v>
      </c>
      <c r="AM1176" s="10" t="s">
        <v>508</v>
      </c>
      <c r="AN1176" s="10" t="s">
        <v>320</v>
      </c>
    </row>
    <row r="1177" ht="30.0" customHeight="1">
      <c r="A1177" s="9" t="str">
        <f t="shared" si="48"/>
        <v>N/I</v>
      </c>
      <c r="B1177" s="9" t="str">
        <f t="shared" si="49"/>
        <v>N/I</v>
      </c>
      <c r="C1177" s="9" t="str">
        <f t="shared" si="80"/>
        <v>Ativo</v>
      </c>
      <c r="D1177" s="10" t="s">
        <v>3571</v>
      </c>
      <c r="E1177" s="11" t="s">
        <v>3572</v>
      </c>
      <c r="F1177" s="11" t="s">
        <v>3653</v>
      </c>
      <c r="G1177" s="12" t="s">
        <v>3579</v>
      </c>
      <c r="H1177" s="13" t="s">
        <v>3654</v>
      </c>
      <c r="I1177" s="12" t="s">
        <v>3655</v>
      </c>
      <c r="J1177" s="10" t="s">
        <v>216</v>
      </c>
      <c r="K1177" s="10" t="s">
        <v>40</v>
      </c>
      <c r="L1177" s="10" t="s">
        <v>6</v>
      </c>
      <c r="M1177" s="22">
        <v>45532.0</v>
      </c>
      <c r="N1177" s="32" t="s">
        <v>3656</v>
      </c>
      <c r="O1177" s="10" t="s">
        <v>3657</v>
      </c>
      <c r="P1177" s="10" t="s">
        <v>3603</v>
      </c>
      <c r="Q1177" s="2"/>
      <c r="R1177" s="15"/>
      <c r="S1177" s="15"/>
      <c r="T1177" s="15"/>
      <c r="U1177" s="15"/>
      <c r="V1177" s="2"/>
      <c r="W1177" s="15"/>
      <c r="X1177" s="15"/>
      <c r="Y1177" s="15"/>
      <c r="Z1177" s="15"/>
      <c r="AA1177" s="1"/>
      <c r="AB1177" s="10">
        <v>48.0</v>
      </c>
      <c r="AC1177" s="14">
        <v>45566.0</v>
      </c>
      <c r="AD1177" s="14">
        <v>47026.0</v>
      </c>
      <c r="AE1177" s="10">
        <f t="shared" si="92"/>
        <v>935</v>
      </c>
      <c r="AF1177" s="2"/>
      <c r="AG1177" s="10" t="s">
        <v>1498</v>
      </c>
      <c r="AH1177" s="12" t="s">
        <v>46</v>
      </c>
      <c r="AI1177" s="10" t="s">
        <v>227</v>
      </c>
      <c r="AJ1177" s="10" t="s">
        <v>390</v>
      </c>
      <c r="AK1177" s="16" t="s">
        <v>45</v>
      </c>
      <c r="AL1177" s="10" t="s">
        <v>49</v>
      </c>
      <c r="AM1177" s="10" t="s">
        <v>508</v>
      </c>
      <c r="AN1177" s="10" t="s">
        <v>320</v>
      </c>
    </row>
    <row r="1178" ht="30.0" customHeight="1">
      <c r="A1178" s="9" t="str">
        <f t="shared" si="48"/>
        <v>N/I</v>
      </c>
      <c r="B1178" s="9" t="str">
        <f t="shared" si="49"/>
        <v>N/I</v>
      </c>
      <c r="C1178" s="9" t="str">
        <f t="shared" si="80"/>
        <v>Ativo</v>
      </c>
      <c r="D1178" s="10" t="s">
        <v>3571</v>
      </c>
      <c r="E1178" s="11" t="s">
        <v>3572</v>
      </c>
      <c r="F1178" s="11" t="s">
        <v>501</v>
      </c>
      <c r="G1178" s="12" t="s">
        <v>3579</v>
      </c>
      <c r="H1178" s="13" t="s">
        <v>3658</v>
      </c>
      <c r="I1178" s="12" t="s">
        <v>504</v>
      </c>
      <c r="J1178" s="10" t="s">
        <v>216</v>
      </c>
      <c r="K1178" s="10" t="s">
        <v>40</v>
      </c>
      <c r="L1178" s="10" t="s">
        <v>6</v>
      </c>
      <c r="M1178" s="22">
        <v>45526.0</v>
      </c>
      <c r="N1178" s="32" t="s">
        <v>3659</v>
      </c>
      <c r="O1178" s="10" t="s">
        <v>3660</v>
      </c>
      <c r="P1178" s="10" t="s">
        <v>3603</v>
      </c>
      <c r="Q1178" s="2"/>
      <c r="R1178" s="15"/>
      <c r="S1178" s="15"/>
      <c r="T1178" s="15"/>
      <c r="U1178" s="15"/>
      <c r="V1178" s="2"/>
      <c r="W1178" s="15"/>
      <c r="X1178" s="15"/>
      <c r="Y1178" s="15"/>
      <c r="Z1178" s="15"/>
      <c r="AA1178" s="1"/>
      <c r="AB1178" s="10">
        <v>48.0</v>
      </c>
      <c r="AC1178" s="14">
        <v>45566.0</v>
      </c>
      <c r="AD1178" s="14">
        <v>47026.0</v>
      </c>
      <c r="AE1178" s="10">
        <f t="shared" si="92"/>
        <v>935</v>
      </c>
      <c r="AF1178" s="2"/>
      <c r="AG1178" s="10" t="s">
        <v>1498</v>
      </c>
      <c r="AH1178" s="12" t="s">
        <v>46</v>
      </c>
      <c r="AI1178" s="10" t="s">
        <v>227</v>
      </c>
      <c r="AJ1178" s="10" t="s">
        <v>390</v>
      </c>
      <c r="AK1178" s="16" t="s">
        <v>45</v>
      </c>
      <c r="AL1178" s="10" t="s">
        <v>49</v>
      </c>
      <c r="AM1178" s="10" t="s">
        <v>508</v>
      </c>
      <c r="AN1178" s="10" t="s">
        <v>320</v>
      </c>
    </row>
    <row r="1179" ht="30.0" customHeight="1">
      <c r="A1179" s="9" t="str">
        <f t="shared" si="48"/>
        <v>N/I</v>
      </c>
      <c r="B1179" s="9" t="str">
        <f t="shared" si="49"/>
        <v>N/I</v>
      </c>
      <c r="C1179" s="9" t="str">
        <f t="shared" si="80"/>
        <v>Ativo</v>
      </c>
      <c r="D1179" s="10" t="s">
        <v>3571</v>
      </c>
      <c r="E1179" s="11" t="s">
        <v>3572</v>
      </c>
      <c r="F1179" s="11" t="s">
        <v>3661</v>
      </c>
      <c r="G1179" s="12" t="s">
        <v>1691</v>
      </c>
      <c r="H1179" s="34" t="s">
        <v>3662</v>
      </c>
      <c r="I1179" s="12" t="s">
        <v>3663</v>
      </c>
      <c r="J1179" s="10" t="s">
        <v>216</v>
      </c>
      <c r="K1179" s="10" t="s">
        <v>40</v>
      </c>
      <c r="L1179" s="10" t="s">
        <v>6</v>
      </c>
      <c r="M1179" s="22">
        <v>45268.0</v>
      </c>
      <c r="N1179" s="32" t="s">
        <v>3664</v>
      </c>
      <c r="O1179" s="10" t="s">
        <v>3665</v>
      </c>
      <c r="P1179" s="10" t="s">
        <v>3593</v>
      </c>
      <c r="Q1179" s="2"/>
      <c r="R1179" s="15"/>
      <c r="S1179" s="15"/>
      <c r="T1179" s="15"/>
      <c r="U1179" s="15"/>
      <c r="V1179" s="2"/>
      <c r="W1179" s="15"/>
      <c r="X1179" s="15"/>
      <c r="Y1179" s="15"/>
      <c r="Z1179" s="15"/>
      <c r="AA1179" s="1"/>
      <c r="AB1179" s="10">
        <v>48.0</v>
      </c>
      <c r="AC1179" s="14">
        <v>45169.0</v>
      </c>
      <c r="AD1179" s="14">
        <v>46630.0</v>
      </c>
      <c r="AE1179" s="10">
        <f t="shared" si="92"/>
        <v>539</v>
      </c>
      <c r="AF1179" s="2"/>
      <c r="AG1179" s="10" t="s">
        <v>1498</v>
      </c>
      <c r="AH1179" s="12" t="s">
        <v>46</v>
      </c>
      <c r="AI1179" s="10" t="s">
        <v>227</v>
      </c>
      <c r="AJ1179" s="10" t="s">
        <v>390</v>
      </c>
      <c r="AK1179" s="12" t="s">
        <v>3594</v>
      </c>
      <c r="AL1179" s="10" t="s">
        <v>49</v>
      </c>
      <c r="AM1179" s="10" t="s">
        <v>508</v>
      </c>
      <c r="AN1179" s="10" t="s">
        <v>320</v>
      </c>
    </row>
    <row r="1180" ht="30.0" customHeight="1">
      <c r="A1180" s="9" t="str">
        <f t="shared" si="48"/>
        <v>N/I</v>
      </c>
      <c r="B1180" s="9" t="str">
        <f t="shared" si="49"/>
        <v>N/I</v>
      </c>
      <c r="C1180" s="9" t="str">
        <f t="shared" si="80"/>
        <v>Ativo</v>
      </c>
      <c r="D1180" s="10" t="s">
        <v>3571</v>
      </c>
      <c r="E1180" s="11" t="s">
        <v>3572</v>
      </c>
      <c r="F1180" s="11" t="s">
        <v>3661</v>
      </c>
      <c r="G1180" s="12" t="s">
        <v>3579</v>
      </c>
      <c r="H1180" s="13" t="s">
        <v>3666</v>
      </c>
      <c r="I1180" s="12" t="s">
        <v>3663</v>
      </c>
      <c r="J1180" s="10" t="s">
        <v>216</v>
      </c>
      <c r="K1180" s="10" t="s">
        <v>40</v>
      </c>
      <c r="L1180" s="10" t="s">
        <v>6</v>
      </c>
      <c r="M1180" s="22">
        <v>45532.0</v>
      </c>
      <c r="N1180" s="32" t="s">
        <v>3667</v>
      </c>
      <c r="O1180" s="10" t="s">
        <v>3665</v>
      </c>
      <c r="P1180" s="10" t="s">
        <v>3603</v>
      </c>
      <c r="Q1180" s="2"/>
      <c r="R1180" s="15"/>
      <c r="S1180" s="15"/>
      <c r="T1180" s="15"/>
      <c r="U1180" s="15"/>
      <c r="V1180" s="2"/>
      <c r="W1180" s="15"/>
      <c r="X1180" s="15"/>
      <c r="Y1180" s="15"/>
      <c r="Z1180" s="15"/>
      <c r="AA1180" s="1"/>
      <c r="AB1180" s="10">
        <v>48.0</v>
      </c>
      <c r="AC1180" s="14">
        <v>45566.0</v>
      </c>
      <c r="AD1180" s="14">
        <v>47026.0</v>
      </c>
      <c r="AE1180" s="10">
        <f t="shared" si="92"/>
        <v>935</v>
      </c>
      <c r="AF1180" s="2"/>
      <c r="AG1180" s="10" t="s">
        <v>1498</v>
      </c>
      <c r="AH1180" s="12" t="s">
        <v>46</v>
      </c>
      <c r="AI1180" s="10" t="s">
        <v>227</v>
      </c>
      <c r="AJ1180" s="10" t="s">
        <v>390</v>
      </c>
      <c r="AK1180" s="16" t="s">
        <v>45</v>
      </c>
      <c r="AL1180" s="10" t="s">
        <v>49</v>
      </c>
      <c r="AM1180" s="10" t="s">
        <v>508</v>
      </c>
      <c r="AN1180" s="10" t="s">
        <v>320</v>
      </c>
    </row>
    <row r="1181" ht="30.0" customHeight="1">
      <c r="A1181" s="9" t="str">
        <f t="shared" si="48"/>
        <v>N/I</v>
      </c>
      <c r="B1181" s="9" t="str">
        <f t="shared" si="49"/>
        <v>N/I</v>
      </c>
      <c r="C1181" s="9" t="str">
        <f t="shared" si="80"/>
        <v>Ativo</v>
      </c>
      <c r="D1181" s="10" t="s">
        <v>3571</v>
      </c>
      <c r="E1181" s="11" t="s">
        <v>3572</v>
      </c>
      <c r="F1181" s="11" t="s">
        <v>3668</v>
      </c>
      <c r="G1181" s="12" t="s">
        <v>3579</v>
      </c>
      <c r="H1181" s="27" t="s">
        <v>3669</v>
      </c>
      <c r="I1181" s="12" t="s">
        <v>660</v>
      </c>
      <c r="J1181" s="10" t="s">
        <v>216</v>
      </c>
      <c r="K1181" s="10" t="s">
        <v>40</v>
      </c>
      <c r="L1181" s="10" t="s">
        <v>6</v>
      </c>
      <c r="M1181" s="22">
        <v>45833.0</v>
      </c>
      <c r="N1181" s="32" t="s">
        <v>3670</v>
      </c>
      <c r="O1181" s="10" t="s">
        <v>662</v>
      </c>
      <c r="P1181" s="10" t="s">
        <v>3603</v>
      </c>
      <c r="Q1181" s="2"/>
      <c r="R1181" s="15"/>
      <c r="S1181" s="15"/>
      <c r="T1181" s="15"/>
      <c r="U1181" s="15"/>
      <c r="V1181" s="2"/>
      <c r="W1181" s="15"/>
      <c r="X1181" s="15"/>
      <c r="Y1181" s="15"/>
      <c r="Z1181" s="15"/>
      <c r="AA1181" s="1"/>
      <c r="AB1181" s="10">
        <v>48.0</v>
      </c>
      <c r="AC1181" s="14">
        <v>45833.0</v>
      </c>
      <c r="AD1181" s="14">
        <v>47293.0</v>
      </c>
      <c r="AE1181" s="10">
        <f t="shared" si="92"/>
        <v>1202</v>
      </c>
      <c r="AF1181" s="2"/>
      <c r="AG1181" s="10" t="s">
        <v>1498</v>
      </c>
      <c r="AH1181" s="12" t="s">
        <v>46</v>
      </c>
      <c r="AI1181" s="10" t="s">
        <v>227</v>
      </c>
      <c r="AJ1181" s="10" t="s">
        <v>390</v>
      </c>
      <c r="AK1181" s="16" t="s">
        <v>45</v>
      </c>
      <c r="AL1181" s="10" t="s">
        <v>49</v>
      </c>
      <c r="AM1181" s="10" t="s">
        <v>508</v>
      </c>
      <c r="AN1181" s="10" t="s">
        <v>320</v>
      </c>
    </row>
    <row r="1182" ht="30.0" customHeight="1">
      <c r="A1182" s="9" t="str">
        <f t="shared" si="48"/>
        <v>N/I</v>
      </c>
      <c r="B1182" s="9" t="str">
        <f t="shared" si="49"/>
        <v>N/I</v>
      </c>
      <c r="C1182" s="9" t="str">
        <f t="shared" si="80"/>
        <v>N/I</v>
      </c>
      <c r="D1182" s="10" t="s">
        <v>3571</v>
      </c>
      <c r="E1182" s="11" t="s">
        <v>3572</v>
      </c>
      <c r="F1182" s="32" t="s">
        <v>3671</v>
      </c>
      <c r="G1182" s="12" t="s">
        <v>3579</v>
      </c>
      <c r="H1182" s="25" t="s">
        <v>187</v>
      </c>
      <c r="I1182" s="12" t="s">
        <v>196</v>
      </c>
      <c r="J1182" s="10" t="s">
        <v>216</v>
      </c>
      <c r="K1182" s="10" t="s">
        <v>40</v>
      </c>
      <c r="L1182" s="10" t="s">
        <v>6</v>
      </c>
      <c r="M1182" s="24" t="s">
        <v>193</v>
      </c>
      <c r="N1182" s="11" t="s">
        <v>3672</v>
      </c>
      <c r="O1182" s="10" t="s">
        <v>3673</v>
      </c>
      <c r="P1182" s="10" t="s">
        <v>3583</v>
      </c>
      <c r="Q1182" s="2"/>
      <c r="R1182" s="10">
        <v>60.0</v>
      </c>
      <c r="S1182" s="45" t="s">
        <v>187</v>
      </c>
      <c r="T1182" s="45" t="s">
        <v>187</v>
      </c>
      <c r="U1182" s="10"/>
      <c r="V1182" s="2"/>
      <c r="W1182" s="15"/>
      <c r="X1182" s="15"/>
      <c r="Y1182" s="15"/>
      <c r="Z1182" s="15"/>
      <c r="AA1182" s="1"/>
      <c r="AB1182" s="10">
        <v>48.0</v>
      </c>
      <c r="AC1182" s="49" t="s">
        <v>1489</v>
      </c>
      <c r="AD1182" s="49" t="s">
        <v>1489</v>
      </c>
      <c r="AE1182" s="10"/>
      <c r="AF1182" s="2"/>
      <c r="AG1182" s="10" t="s">
        <v>290</v>
      </c>
      <c r="AH1182" s="10" t="s">
        <v>318</v>
      </c>
      <c r="AI1182" s="10" t="s">
        <v>319</v>
      </c>
      <c r="AJ1182" s="10" t="s">
        <v>291</v>
      </c>
      <c r="AK1182" s="16" t="s">
        <v>45</v>
      </c>
      <c r="AL1182" s="10" t="s">
        <v>49</v>
      </c>
      <c r="AM1182" s="10" t="s">
        <v>508</v>
      </c>
      <c r="AN1182" s="10" t="s">
        <v>50</v>
      </c>
    </row>
    <row r="1183" ht="30.0" customHeight="1">
      <c r="A1183" s="9" t="str">
        <f t="shared" si="48"/>
        <v>N/I</v>
      </c>
      <c r="B1183" s="9" t="str">
        <f t="shared" si="49"/>
        <v>N/I</v>
      </c>
      <c r="C1183" s="9" t="str">
        <f t="shared" si="80"/>
        <v>Ativo</v>
      </c>
      <c r="D1183" s="10" t="s">
        <v>3571</v>
      </c>
      <c r="E1183" s="11" t="s">
        <v>3572</v>
      </c>
      <c r="F1183" s="11" t="s">
        <v>3674</v>
      </c>
      <c r="G1183" s="12" t="s">
        <v>3579</v>
      </c>
      <c r="H1183" s="27" t="s">
        <v>3675</v>
      </c>
      <c r="I1183" s="12" t="s">
        <v>3676</v>
      </c>
      <c r="J1183" s="10" t="s">
        <v>216</v>
      </c>
      <c r="K1183" s="10" t="s">
        <v>40</v>
      </c>
      <c r="L1183" s="10" t="s">
        <v>6</v>
      </c>
      <c r="M1183" s="22">
        <v>45833.0</v>
      </c>
      <c r="N1183" s="32" t="s">
        <v>3677</v>
      </c>
      <c r="O1183" s="10" t="s">
        <v>3678</v>
      </c>
      <c r="P1183" s="10" t="s">
        <v>3603</v>
      </c>
      <c r="Q1183" s="2"/>
      <c r="R1183" s="15"/>
      <c r="S1183" s="15"/>
      <c r="T1183" s="15"/>
      <c r="U1183" s="15"/>
      <c r="V1183" s="2"/>
      <c r="W1183" s="15"/>
      <c r="X1183" s="15"/>
      <c r="Y1183" s="15"/>
      <c r="Z1183" s="15"/>
      <c r="AA1183" s="1"/>
      <c r="AB1183" s="10">
        <v>48.0</v>
      </c>
      <c r="AC1183" s="14">
        <v>45833.0</v>
      </c>
      <c r="AD1183" s="14">
        <v>47293.0</v>
      </c>
      <c r="AE1183" s="10">
        <f>AD1183-TODAY()</f>
        <v>1202</v>
      </c>
      <c r="AF1183" s="2"/>
      <c r="AG1183" s="10" t="s">
        <v>1498</v>
      </c>
      <c r="AH1183" s="12" t="s">
        <v>46</v>
      </c>
      <c r="AI1183" s="10" t="s">
        <v>227</v>
      </c>
      <c r="AJ1183" s="10" t="s">
        <v>390</v>
      </c>
      <c r="AK1183" s="16" t="s">
        <v>45</v>
      </c>
      <c r="AL1183" s="10" t="s">
        <v>49</v>
      </c>
      <c r="AM1183" s="10" t="s">
        <v>508</v>
      </c>
      <c r="AN1183" s="10" t="s">
        <v>320</v>
      </c>
    </row>
    <row r="1184" ht="30.0" customHeight="1">
      <c r="A1184" s="9" t="str">
        <f t="shared" si="48"/>
        <v>N/I</v>
      </c>
      <c r="B1184" s="9" t="str">
        <f t="shared" si="49"/>
        <v>N/I</v>
      </c>
      <c r="C1184" s="9" t="str">
        <f t="shared" si="80"/>
        <v>N/I</v>
      </c>
      <c r="D1184" s="10" t="s">
        <v>3571</v>
      </c>
      <c r="E1184" s="11" t="s">
        <v>3572</v>
      </c>
      <c r="F1184" s="32" t="s">
        <v>3679</v>
      </c>
      <c r="G1184" s="12" t="s">
        <v>3579</v>
      </c>
      <c r="H1184" s="25" t="s">
        <v>187</v>
      </c>
      <c r="I1184" s="12" t="s">
        <v>3680</v>
      </c>
      <c r="J1184" s="10" t="s">
        <v>216</v>
      </c>
      <c r="K1184" s="10" t="s">
        <v>40</v>
      </c>
      <c r="L1184" s="10" t="s">
        <v>6</v>
      </c>
      <c r="M1184" s="24" t="s">
        <v>193</v>
      </c>
      <c r="N1184" s="11" t="s">
        <v>3681</v>
      </c>
      <c r="O1184" s="10" t="s">
        <v>3682</v>
      </c>
      <c r="P1184" s="10" t="s">
        <v>3583</v>
      </c>
      <c r="Q1184" s="2"/>
      <c r="R1184" s="15"/>
      <c r="S1184" s="15"/>
      <c r="T1184" s="15"/>
      <c r="U1184" s="15"/>
      <c r="V1184" s="2"/>
      <c r="W1184" s="15"/>
      <c r="X1184" s="15"/>
      <c r="Y1184" s="15"/>
      <c r="Z1184" s="15"/>
      <c r="AA1184" s="1"/>
      <c r="AB1184" s="10">
        <v>48.0</v>
      </c>
      <c r="AC1184" s="49" t="s">
        <v>1489</v>
      </c>
      <c r="AD1184" s="49" t="s">
        <v>1489</v>
      </c>
      <c r="AE1184" s="10"/>
      <c r="AF1184" s="2"/>
      <c r="AG1184" s="10" t="s">
        <v>1498</v>
      </c>
      <c r="AH1184" s="12" t="s">
        <v>46</v>
      </c>
      <c r="AI1184" s="10" t="s">
        <v>227</v>
      </c>
      <c r="AJ1184" s="10" t="s">
        <v>390</v>
      </c>
      <c r="AK1184" s="16" t="s">
        <v>45</v>
      </c>
      <c r="AL1184" s="10" t="s">
        <v>49</v>
      </c>
      <c r="AM1184" s="10" t="s">
        <v>508</v>
      </c>
      <c r="AN1184" s="16"/>
    </row>
    <row r="1185" ht="30.0" customHeight="1">
      <c r="A1185" s="9" t="str">
        <f t="shared" si="48"/>
        <v>N/I</v>
      </c>
      <c r="B1185" s="9" t="str">
        <f t="shared" si="49"/>
        <v>N/I</v>
      </c>
      <c r="C1185" s="9" t="str">
        <f t="shared" si="80"/>
        <v>Ativo</v>
      </c>
      <c r="D1185" s="10" t="s">
        <v>3571</v>
      </c>
      <c r="E1185" s="11" t="s">
        <v>3572</v>
      </c>
      <c r="F1185" s="11" t="s">
        <v>3683</v>
      </c>
      <c r="G1185" s="12" t="s">
        <v>1691</v>
      </c>
      <c r="H1185" s="34" t="s">
        <v>3684</v>
      </c>
      <c r="I1185" s="12" t="s">
        <v>2450</v>
      </c>
      <c r="J1185" s="10" t="s">
        <v>216</v>
      </c>
      <c r="K1185" s="10" t="s">
        <v>40</v>
      </c>
      <c r="L1185" s="10" t="s">
        <v>6</v>
      </c>
      <c r="M1185" s="22">
        <v>45329.0</v>
      </c>
      <c r="N1185" s="32" t="s">
        <v>3685</v>
      </c>
      <c r="O1185" s="10" t="s">
        <v>3686</v>
      </c>
      <c r="P1185" s="10" t="s">
        <v>3593</v>
      </c>
      <c r="Q1185" s="2"/>
      <c r="R1185" s="15"/>
      <c r="S1185" s="15"/>
      <c r="T1185" s="15"/>
      <c r="U1185" s="15"/>
      <c r="V1185" s="2"/>
      <c r="W1185" s="15"/>
      <c r="X1185" s="15"/>
      <c r="Y1185" s="15"/>
      <c r="Z1185" s="15"/>
      <c r="AA1185" s="2"/>
      <c r="AB1185" s="10">
        <v>48.0</v>
      </c>
      <c r="AC1185" s="14">
        <v>45169.0</v>
      </c>
      <c r="AD1185" s="14">
        <v>46630.0</v>
      </c>
      <c r="AE1185" s="10">
        <f t="shared" ref="AE1185:AE1198" si="93">AD1185-TODAY()</f>
        <v>539</v>
      </c>
      <c r="AF1185" s="2"/>
      <c r="AG1185" s="10" t="s">
        <v>1498</v>
      </c>
      <c r="AH1185" s="12" t="s">
        <v>46</v>
      </c>
      <c r="AI1185" s="10" t="s">
        <v>227</v>
      </c>
      <c r="AJ1185" s="10" t="s">
        <v>390</v>
      </c>
      <c r="AK1185" s="12" t="s">
        <v>3594</v>
      </c>
      <c r="AL1185" s="10" t="s">
        <v>49</v>
      </c>
      <c r="AM1185" s="10" t="s">
        <v>508</v>
      </c>
      <c r="AN1185" s="10" t="s">
        <v>320</v>
      </c>
    </row>
    <row r="1186" ht="30.0" customHeight="1">
      <c r="A1186" s="9" t="str">
        <f t="shared" si="48"/>
        <v>N/I</v>
      </c>
      <c r="B1186" s="9" t="str">
        <f t="shared" si="49"/>
        <v>N/I</v>
      </c>
      <c r="C1186" s="9" t="str">
        <f t="shared" si="80"/>
        <v>Ativo</v>
      </c>
      <c r="D1186" s="10" t="s">
        <v>3571</v>
      </c>
      <c r="E1186" s="11" t="s">
        <v>3572</v>
      </c>
      <c r="F1186" s="11" t="s">
        <v>3683</v>
      </c>
      <c r="G1186" s="12" t="s">
        <v>3579</v>
      </c>
      <c r="H1186" s="13" t="s">
        <v>3687</v>
      </c>
      <c r="I1186" s="12" t="s">
        <v>2450</v>
      </c>
      <c r="J1186" s="10" t="s">
        <v>216</v>
      </c>
      <c r="K1186" s="10" t="s">
        <v>40</v>
      </c>
      <c r="L1186" s="10" t="s">
        <v>6</v>
      </c>
      <c r="M1186" s="22">
        <v>45525.0</v>
      </c>
      <c r="N1186" s="32" t="s">
        <v>3685</v>
      </c>
      <c r="O1186" s="10" t="s">
        <v>3686</v>
      </c>
      <c r="P1186" s="10" t="s">
        <v>3603</v>
      </c>
      <c r="Q1186" s="2"/>
      <c r="R1186" s="15"/>
      <c r="S1186" s="15"/>
      <c r="T1186" s="15"/>
      <c r="U1186" s="15"/>
      <c r="V1186" s="2"/>
      <c r="W1186" s="15"/>
      <c r="X1186" s="15"/>
      <c r="Y1186" s="15"/>
      <c r="Z1186" s="15"/>
      <c r="AA1186" s="1"/>
      <c r="AB1186" s="10">
        <v>48.0</v>
      </c>
      <c r="AC1186" s="14">
        <v>45566.0</v>
      </c>
      <c r="AD1186" s="14">
        <v>47026.0</v>
      </c>
      <c r="AE1186" s="10">
        <f t="shared" si="93"/>
        <v>935</v>
      </c>
      <c r="AF1186" s="2"/>
      <c r="AG1186" s="10" t="s">
        <v>1498</v>
      </c>
      <c r="AH1186" s="12" t="s">
        <v>46</v>
      </c>
      <c r="AI1186" s="10" t="s">
        <v>227</v>
      </c>
      <c r="AJ1186" s="10" t="s">
        <v>390</v>
      </c>
      <c r="AK1186" s="16" t="s">
        <v>45</v>
      </c>
      <c r="AL1186" s="10" t="s">
        <v>49</v>
      </c>
      <c r="AM1186" s="10" t="s">
        <v>508</v>
      </c>
      <c r="AN1186" s="10" t="s">
        <v>320</v>
      </c>
    </row>
    <row r="1187" ht="30.0" customHeight="1">
      <c r="A1187" s="9" t="str">
        <f t="shared" si="48"/>
        <v>N/I</v>
      </c>
      <c r="B1187" s="9" t="str">
        <f t="shared" si="49"/>
        <v>N/I</v>
      </c>
      <c r="C1187" s="9" t="str">
        <f t="shared" si="80"/>
        <v>Ativo</v>
      </c>
      <c r="D1187" s="10" t="s">
        <v>3571</v>
      </c>
      <c r="E1187" s="11" t="s">
        <v>3572</v>
      </c>
      <c r="F1187" s="11" t="s">
        <v>3683</v>
      </c>
      <c r="G1187" s="12" t="s">
        <v>3579</v>
      </c>
      <c r="H1187" s="27" t="s">
        <v>3688</v>
      </c>
      <c r="I1187" s="12" t="s">
        <v>2450</v>
      </c>
      <c r="J1187" s="10" t="s">
        <v>216</v>
      </c>
      <c r="K1187" s="10" t="s">
        <v>40</v>
      </c>
      <c r="L1187" s="10" t="s">
        <v>6</v>
      </c>
      <c r="M1187" s="22">
        <v>45819.0</v>
      </c>
      <c r="N1187" s="32" t="s">
        <v>3685</v>
      </c>
      <c r="O1187" s="10" t="s">
        <v>3686</v>
      </c>
      <c r="P1187" s="10" t="s">
        <v>3603</v>
      </c>
      <c r="Q1187" s="2"/>
      <c r="R1187" s="15"/>
      <c r="S1187" s="15"/>
      <c r="T1187" s="15"/>
      <c r="U1187" s="15"/>
      <c r="V1187" s="2"/>
      <c r="W1187" s="15"/>
      <c r="X1187" s="15"/>
      <c r="Y1187" s="15"/>
      <c r="Z1187" s="15"/>
      <c r="AA1187" s="1"/>
      <c r="AB1187" s="10">
        <v>48.0</v>
      </c>
      <c r="AC1187" s="14">
        <v>45566.0</v>
      </c>
      <c r="AD1187" s="14">
        <v>47026.0</v>
      </c>
      <c r="AE1187" s="10">
        <f t="shared" si="93"/>
        <v>935</v>
      </c>
      <c r="AF1187" s="2"/>
      <c r="AG1187" s="10" t="s">
        <v>1498</v>
      </c>
      <c r="AH1187" s="12" t="s">
        <v>46</v>
      </c>
      <c r="AI1187" s="10" t="s">
        <v>227</v>
      </c>
      <c r="AJ1187" s="10" t="s">
        <v>390</v>
      </c>
      <c r="AK1187" s="16" t="s">
        <v>45</v>
      </c>
      <c r="AL1187" s="10" t="s">
        <v>49</v>
      </c>
      <c r="AM1187" s="10" t="s">
        <v>508</v>
      </c>
      <c r="AN1187" s="10" t="s">
        <v>320</v>
      </c>
    </row>
    <row r="1188" ht="30.0" customHeight="1">
      <c r="A1188" s="9" t="str">
        <f t="shared" si="48"/>
        <v>N/I</v>
      </c>
      <c r="B1188" s="9" t="str">
        <f t="shared" si="49"/>
        <v>N/I</v>
      </c>
      <c r="C1188" s="9" t="str">
        <f t="shared" si="80"/>
        <v>Ativo</v>
      </c>
      <c r="D1188" s="10" t="s">
        <v>3571</v>
      </c>
      <c r="E1188" s="11" t="s">
        <v>3572</v>
      </c>
      <c r="F1188" s="11" t="s">
        <v>3689</v>
      </c>
      <c r="G1188" s="12" t="s">
        <v>1691</v>
      </c>
      <c r="H1188" s="34" t="s">
        <v>3690</v>
      </c>
      <c r="I1188" s="12" t="s">
        <v>3691</v>
      </c>
      <c r="J1188" s="10" t="s">
        <v>216</v>
      </c>
      <c r="K1188" s="10" t="s">
        <v>40</v>
      </c>
      <c r="L1188" s="10" t="s">
        <v>6</v>
      </c>
      <c r="M1188" s="22">
        <v>45359.0</v>
      </c>
      <c r="N1188" s="32" t="s">
        <v>3692</v>
      </c>
      <c r="O1188" s="10" t="s">
        <v>3693</v>
      </c>
      <c r="P1188" s="10" t="s">
        <v>3593</v>
      </c>
      <c r="Q1188" s="2"/>
      <c r="R1188" s="15"/>
      <c r="S1188" s="15"/>
      <c r="T1188" s="15"/>
      <c r="U1188" s="15"/>
      <c r="V1188" s="2"/>
      <c r="W1188" s="15"/>
      <c r="X1188" s="15"/>
      <c r="Y1188" s="15"/>
      <c r="Z1188" s="15"/>
      <c r="AA1188" s="1"/>
      <c r="AB1188" s="10">
        <v>48.0</v>
      </c>
      <c r="AC1188" s="14">
        <v>45169.0</v>
      </c>
      <c r="AD1188" s="14">
        <v>46630.0</v>
      </c>
      <c r="AE1188" s="10">
        <f t="shared" si="93"/>
        <v>539</v>
      </c>
      <c r="AF1188" s="2"/>
      <c r="AG1188" s="10" t="s">
        <v>1498</v>
      </c>
      <c r="AH1188" s="12" t="s">
        <v>46</v>
      </c>
      <c r="AI1188" s="10" t="s">
        <v>227</v>
      </c>
      <c r="AJ1188" s="10" t="s">
        <v>390</v>
      </c>
      <c r="AK1188" s="12" t="s">
        <v>3594</v>
      </c>
      <c r="AL1188" s="10" t="s">
        <v>49</v>
      </c>
      <c r="AM1188" s="10" t="s">
        <v>508</v>
      </c>
      <c r="AN1188" s="10" t="s">
        <v>320</v>
      </c>
    </row>
    <row r="1189" ht="30.0" customHeight="1">
      <c r="A1189" s="9" t="str">
        <f t="shared" si="48"/>
        <v>N/I</v>
      </c>
      <c r="B1189" s="9" t="str">
        <f t="shared" si="49"/>
        <v>N/I</v>
      </c>
      <c r="C1189" s="9" t="str">
        <f t="shared" si="80"/>
        <v>Ativo</v>
      </c>
      <c r="D1189" s="10" t="s">
        <v>3571</v>
      </c>
      <c r="E1189" s="11" t="s">
        <v>3572</v>
      </c>
      <c r="F1189" s="11" t="s">
        <v>3689</v>
      </c>
      <c r="G1189" s="12" t="s">
        <v>3579</v>
      </c>
      <c r="H1189" s="13" t="s">
        <v>3694</v>
      </c>
      <c r="I1189" s="12" t="s">
        <v>3691</v>
      </c>
      <c r="J1189" s="10" t="s">
        <v>216</v>
      </c>
      <c r="K1189" s="10" t="s">
        <v>40</v>
      </c>
      <c r="L1189" s="10" t="s">
        <v>6</v>
      </c>
      <c r="M1189" s="22">
        <v>45527.0</v>
      </c>
      <c r="N1189" s="32" t="s">
        <v>3692</v>
      </c>
      <c r="O1189" s="10" t="s">
        <v>3693</v>
      </c>
      <c r="P1189" s="10" t="s">
        <v>3603</v>
      </c>
      <c r="Q1189" s="2"/>
      <c r="R1189" s="15"/>
      <c r="S1189" s="15"/>
      <c r="T1189" s="15"/>
      <c r="U1189" s="15"/>
      <c r="V1189" s="2"/>
      <c r="W1189" s="15"/>
      <c r="X1189" s="15"/>
      <c r="Y1189" s="15"/>
      <c r="Z1189" s="15"/>
      <c r="AA1189" s="1"/>
      <c r="AB1189" s="10">
        <v>48.0</v>
      </c>
      <c r="AC1189" s="14">
        <v>45566.0</v>
      </c>
      <c r="AD1189" s="14">
        <v>47026.0</v>
      </c>
      <c r="AE1189" s="10">
        <f t="shared" si="93"/>
        <v>935</v>
      </c>
      <c r="AF1189" s="2"/>
      <c r="AG1189" s="10" t="s">
        <v>1498</v>
      </c>
      <c r="AH1189" s="12" t="s">
        <v>46</v>
      </c>
      <c r="AI1189" s="10" t="s">
        <v>227</v>
      </c>
      <c r="AJ1189" s="10" t="s">
        <v>390</v>
      </c>
      <c r="AK1189" s="16" t="s">
        <v>45</v>
      </c>
      <c r="AL1189" s="10" t="s">
        <v>49</v>
      </c>
      <c r="AM1189" s="10" t="s">
        <v>508</v>
      </c>
      <c r="AN1189" s="10" t="s">
        <v>320</v>
      </c>
    </row>
    <row r="1190" ht="30.0" customHeight="1">
      <c r="A1190" s="9" t="str">
        <f t="shared" si="48"/>
        <v>N/I</v>
      </c>
      <c r="B1190" s="9" t="str">
        <f t="shared" si="49"/>
        <v>N/I</v>
      </c>
      <c r="C1190" s="9" t="str">
        <f t="shared" si="80"/>
        <v>Ativo</v>
      </c>
      <c r="D1190" s="10" t="s">
        <v>3571</v>
      </c>
      <c r="E1190" s="11" t="s">
        <v>3572</v>
      </c>
      <c r="F1190" s="11" t="s">
        <v>3695</v>
      </c>
      <c r="G1190" s="12" t="s">
        <v>3579</v>
      </c>
      <c r="H1190" s="13" t="s">
        <v>3696</v>
      </c>
      <c r="I1190" s="12" t="s">
        <v>3697</v>
      </c>
      <c r="J1190" s="10" t="s">
        <v>216</v>
      </c>
      <c r="K1190" s="10" t="s">
        <v>40</v>
      </c>
      <c r="L1190" s="10" t="s">
        <v>6</v>
      </c>
      <c r="M1190" s="22">
        <v>45526.0</v>
      </c>
      <c r="N1190" s="32" t="s">
        <v>3698</v>
      </c>
      <c r="O1190" s="10" t="s">
        <v>3699</v>
      </c>
      <c r="P1190" s="10" t="s">
        <v>3603</v>
      </c>
      <c r="Q1190" s="2"/>
      <c r="R1190" s="15"/>
      <c r="S1190" s="15"/>
      <c r="T1190" s="15"/>
      <c r="U1190" s="15"/>
      <c r="V1190" s="2"/>
      <c r="W1190" s="15"/>
      <c r="X1190" s="15"/>
      <c r="Y1190" s="15"/>
      <c r="Z1190" s="15"/>
      <c r="AA1190" s="1"/>
      <c r="AB1190" s="10">
        <v>48.0</v>
      </c>
      <c r="AC1190" s="14">
        <v>45566.0</v>
      </c>
      <c r="AD1190" s="14">
        <v>47026.0</v>
      </c>
      <c r="AE1190" s="10">
        <f t="shared" si="93"/>
        <v>935</v>
      </c>
      <c r="AF1190" s="2"/>
      <c r="AG1190" s="10" t="s">
        <v>1498</v>
      </c>
      <c r="AH1190" s="12" t="s">
        <v>46</v>
      </c>
      <c r="AI1190" s="10" t="s">
        <v>227</v>
      </c>
      <c r="AJ1190" s="10" t="s">
        <v>390</v>
      </c>
      <c r="AK1190" s="16" t="s">
        <v>45</v>
      </c>
      <c r="AL1190" s="10" t="s">
        <v>49</v>
      </c>
      <c r="AM1190" s="10" t="s">
        <v>508</v>
      </c>
      <c r="AN1190" s="10" t="s">
        <v>320</v>
      </c>
    </row>
    <row r="1191" ht="30.0" customHeight="1">
      <c r="A1191" s="9" t="str">
        <f t="shared" si="48"/>
        <v>N/I</v>
      </c>
      <c r="B1191" s="9" t="str">
        <f t="shared" si="49"/>
        <v>N/I</v>
      </c>
      <c r="C1191" s="9" t="str">
        <f t="shared" si="80"/>
        <v>Ativo</v>
      </c>
      <c r="D1191" s="10" t="s">
        <v>3571</v>
      </c>
      <c r="E1191" s="11" t="s">
        <v>3572</v>
      </c>
      <c r="F1191" s="11" t="s">
        <v>3700</v>
      </c>
      <c r="G1191" s="12" t="s">
        <v>1691</v>
      </c>
      <c r="H1191" s="34" t="s">
        <v>3701</v>
      </c>
      <c r="I1191" s="12" t="s">
        <v>3702</v>
      </c>
      <c r="J1191" s="10" t="s">
        <v>216</v>
      </c>
      <c r="K1191" s="10" t="s">
        <v>40</v>
      </c>
      <c r="L1191" s="10" t="s">
        <v>6</v>
      </c>
      <c r="M1191" s="22">
        <v>45330.0</v>
      </c>
      <c r="N1191" s="32" t="s">
        <v>3703</v>
      </c>
      <c r="O1191" s="10" t="s">
        <v>3704</v>
      </c>
      <c r="P1191" s="10" t="s">
        <v>3593</v>
      </c>
      <c r="Q1191" s="2"/>
      <c r="R1191" s="15"/>
      <c r="S1191" s="15"/>
      <c r="T1191" s="15"/>
      <c r="U1191" s="15"/>
      <c r="V1191" s="2"/>
      <c r="W1191" s="15"/>
      <c r="X1191" s="15"/>
      <c r="Y1191" s="15"/>
      <c r="Z1191" s="15"/>
      <c r="AA1191" s="2"/>
      <c r="AB1191" s="10">
        <v>48.0</v>
      </c>
      <c r="AC1191" s="14">
        <v>45169.0</v>
      </c>
      <c r="AD1191" s="14">
        <v>46630.0</v>
      </c>
      <c r="AE1191" s="10">
        <f t="shared" si="93"/>
        <v>539</v>
      </c>
      <c r="AF1191" s="2"/>
      <c r="AG1191" s="10" t="s">
        <v>1498</v>
      </c>
      <c r="AH1191" s="12" t="s">
        <v>46</v>
      </c>
      <c r="AI1191" s="10" t="s">
        <v>227</v>
      </c>
      <c r="AJ1191" s="10" t="s">
        <v>390</v>
      </c>
      <c r="AK1191" s="12" t="s">
        <v>3594</v>
      </c>
      <c r="AL1191" s="10" t="s">
        <v>49</v>
      </c>
      <c r="AM1191" s="10" t="s">
        <v>508</v>
      </c>
      <c r="AN1191" s="10" t="s">
        <v>320</v>
      </c>
    </row>
    <row r="1192" ht="30.0" customHeight="1">
      <c r="A1192" s="9" t="str">
        <f t="shared" si="48"/>
        <v>N/I</v>
      </c>
      <c r="B1192" s="9" t="str">
        <f t="shared" si="49"/>
        <v>N/I</v>
      </c>
      <c r="C1192" s="9" t="str">
        <f t="shared" si="80"/>
        <v>Ativo</v>
      </c>
      <c r="D1192" s="10" t="s">
        <v>3571</v>
      </c>
      <c r="E1192" s="11" t="s">
        <v>3572</v>
      </c>
      <c r="F1192" s="11" t="s">
        <v>3700</v>
      </c>
      <c r="G1192" s="12" t="s">
        <v>3579</v>
      </c>
      <c r="H1192" s="27" t="s">
        <v>3705</v>
      </c>
      <c r="I1192" s="12" t="s">
        <v>3702</v>
      </c>
      <c r="J1192" s="10" t="s">
        <v>216</v>
      </c>
      <c r="K1192" s="10" t="s">
        <v>40</v>
      </c>
      <c r="L1192" s="10" t="s">
        <v>6</v>
      </c>
      <c r="M1192" s="22">
        <v>45538.0</v>
      </c>
      <c r="N1192" s="32" t="s">
        <v>3706</v>
      </c>
      <c r="O1192" s="10" t="s">
        <v>3704</v>
      </c>
      <c r="P1192" s="10" t="s">
        <v>3603</v>
      </c>
      <c r="Q1192" s="2"/>
      <c r="R1192" s="15"/>
      <c r="S1192" s="15"/>
      <c r="T1192" s="15"/>
      <c r="U1192" s="15"/>
      <c r="V1192" s="2"/>
      <c r="W1192" s="15"/>
      <c r="X1192" s="15"/>
      <c r="Y1192" s="15"/>
      <c r="Z1192" s="15"/>
      <c r="AA1192" s="1"/>
      <c r="AB1192" s="10">
        <v>48.0</v>
      </c>
      <c r="AC1192" s="14">
        <v>45566.0</v>
      </c>
      <c r="AD1192" s="14">
        <v>47026.0</v>
      </c>
      <c r="AE1192" s="10">
        <f t="shared" si="93"/>
        <v>935</v>
      </c>
      <c r="AF1192" s="2"/>
      <c r="AG1192" s="10" t="s">
        <v>1498</v>
      </c>
      <c r="AH1192" s="12" t="s">
        <v>46</v>
      </c>
      <c r="AI1192" s="10" t="s">
        <v>227</v>
      </c>
      <c r="AJ1192" s="10" t="s">
        <v>390</v>
      </c>
      <c r="AK1192" s="16" t="s">
        <v>45</v>
      </c>
      <c r="AL1192" s="10" t="s">
        <v>49</v>
      </c>
      <c r="AM1192" s="10" t="s">
        <v>508</v>
      </c>
      <c r="AN1192" s="10" t="s">
        <v>320</v>
      </c>
    </row>
    <row r="1193" ht="30.0" customHeight="1">
      <c r="A1193" s="9" t="str">
        <f t="shared" si="48"/>
        <v>N/I</v>
      </c>
      <c r="B1193" s="9" t="str">
        <f t="shared" si="49"/>
        <v>N/I</v>
      </c>
      <c r="C1193" s="9" t="str">
        <f t="shared" si="80"/>
        <v>Ativo</v>
      </c>
      <c r="D1193" s="10" t="s">
        <v>3571</v>
      </c>
      <c r="E1193" s="11" t="s">
        <v>3572</v>
      </c>
      <c r="F1193" s="11" t="s">
        <v>3700</v>
      </c>
      <c r="G1193" s="12" t="s">
        <v>3579</v>
      </c>
      <c r="H1193" s="27" t="s">
        <v>3707</v>
      </c>
      <c r="I1193" s="12" t="s">
        <v>3702</v>
      </c>
      <c r="J1193" s="10" t="s">
        <v>216</v>
      </c>
      <c r="K1193" s="10" t="s">
        <v>40</v>
      </c>
      <c r="L1193" s="10" t="s">
        <v>6</v>
      </c>
      <c r="M1193" s="22">
        <v>45538.0</v>
      </c>
      <c r="N1193" s="32" t="s">
        <v>3706</v>
      </c>
      <c r="O1193" s="10" t="s">
        <v>3704</v>
      </c>
      <c r="P1193" s="10" t="s">
        <v>3603</v>
      </c>
      <c r="Q1193" s="2"/>
      <c r="R1193" s="15"/>
      <c r="S1193" s="15"/>
      <c r="T1193" s="15"/>
      <c r="U1193" s="15"/>
      <c r="V1193" s="2"/>
      <c r="W1193" s="15"/>
      <c r="X1193" s="15"/>
      <c r="Y1193" s="15"/>
      <c r="Z1193" s="15"/>
      <c r="AA1193" s="1"/>
      <c r="AB1193" s="10">
        <v>48.0</v>
      </c>
      <c r="AC1193" s="14">
        <v>45566.0</v>
      </c>
      <c r="AD1193" s="14">
        <v>47026.0</v>
      </c>
      <c r="AE1193" s="10">
        <f t="shared" si="93"/>
        <v>935</v>
      </c>
      <c r="AF1193" s="2"/>
      <c r="AG1193" s="10" t="s">
        <v>1498</v>
      </c>
      <c r="AH1193" s="12" t="s">
        <v>46</v>
      </c>
      <c r="AI1193" s="10" t="s">
        <v>227</v>
      </c>
      <c r="AJ1193" s="10" t="s">
        <v>390</v>
      </c>
      <c r="AK1193" s="16" t="s">
        <v>45</v>
      </c>
      <c r="AL1193" s="10" t="s">
        <v>49</v>
      </c>
      <c r="AM1193" s="10" t="s">
        <v>508</v>
      </c>
      <c r="AN1193" s="10" t="s">
        <v>320</v>
      </c>
    </row>
    <row r="1194" ht="30.0" customHeight="1">
      <c r="A1194" s="9" t="str">
        <f t="shared" si="48"/>
        <v>N/I</v>
      </c>
      <c r="B1194" s="9" t="str">
        <f t="shared" si="49"/>
        <v>N/I</v>
      </c>
      <c r="C1194" s="9" t="str">
        <f t="shared" si="80"/>
        <v>Ativo</v>
      </c>
      <c r="D1194" s="10" t="s">
        <v>3571</v>
      </c>
      <c r="E1194" s="11" t="s">
        <v>3572</v>
      </c>
      <c r="F1194" s="11" t="s">
        <v>3708</v>
      </c>
      <c r="G1194" s="12" t="s">
        <v>1691</v>
      </c>
      <c r="H1194" s="34" t="s">
        <v>3709</v>
      </c>
      <c r="I1194" s="12" t="s">
        <v>3710</v>
      </c>
      <c r="J1194" s="10" t="s">
        <v>216</v>
      </c>
      <c r="K1194" s="10" t="s">
        <v>40</v>
      </c>
      <c r="L1194" s="10" t="s">
        <v>6</v>
      </c>
      <c r="M1194" s="22">
        <v>45268.0</v>
      </c>
      <c r="N1194" s="32" t="s">
        <v>3711</v>
      </c>
      <c r="O1194" s="10" t="s">
        <v>3712</v>
      </c>
      <c r="P1194" s="10" t="s">
        <v>3593</v>
      </c>
      <c r="Q1194" s="2"/>
      <c r="R1194" s="15"/>
      <c r="S1194" s="15"/>
      <c r="T1194" s="15"/>
      <c r="U1194" s="15"/>
      <c r="V1194" s="2"/>
      <c r="W1194" s="15"/>
      <c r="X1194" s="15"/>
      <c r="Y1194" s="15"/>
      <c r="Z1194" s="15"/>
      <c r="AA1194" s="1"/>
      <c r="AB1194" s="10">
        <v>48.0</v>
      </c>
      <c r="AC1194" s="14">
        <v>45169.0</v>
      </c>
      <c r="AD1194" s="14">
        <v>46630.0</v>
      </c>
      <c r="AE1194" s="10">
        <f t="shared" si="93"/>
        <v>539</v>
      </c>
      <c r="AF1194" s="2"/>
      <c r="AG1194" s="10" t="s">
        <v>1498</v>
      </c>
      <c r="AH1194" s="12" t="s">
        <v>46</v>
      </c>
      <c r="AI1194" s="10" t="s">
        <v>227</v>
      </c>
      <c r="AJ1194" s="10" t="s">
        <v>390</v>
      </c>
      <c r="AK1194" s="12" t="s">
        <v>3594</v>
      </c>
      <c r="AL1194" s="10" t="s">
        <v>49</v>
      </c>
      <c r="AM1194" s="10" t="s">
        <v>508</v>
      </c>
      <c r="AN1194" s="10" t="s">
        <v>320</v>
      </c>
    </row>
    <row r="1195" ht="30.0" customHeight="1">
      <c r="A1195" s="9" t="str">
        <f t="shared" si="48"/>
        <v>N/I</v>
      </c>
      <c r="B1195" s="9" t="str">
        <f t="shared" si="49"/>
        <v>N/I</v>
      </c>
      <c r="C1195" s="9" t="str">
        <f t="shared" si="80"/>
        <v>Ativo</v>
      </c>
      <c r="D1195" s="10" t="s">
        <v>3571</v>
      </c>
      <c r="E1195" s="11" t="s">
        <v>3572</v>
      </c>
      <c r="F1195" s="11" t="s">
        <v>3713</v>
      </c>
      <c r="G1195" s="12" t="s">
        <v>3579</v>
      </c>
      <c r="H1195" s="27" t="s">
        <v>3714</v>
      </c>
      <c r="I1195" s="12" t="s">
        <v>3710</v>
      </c>
      <c r="J1195" s="10" t="s">
        <v>216</v>
      </c>
      <c r="K1195" s="10" t="s">
        <v>40</v>
      </c>
      <c r="L1195" s="10" t="s">
        <v>6</v>
      </c>
      <c r="M1195" s="22">
        <v>45835.0</v>
      </c>
      <c r="N1195" s="32" t="s">
        <v>3711</v>
      </c>
      <c r="O1195" s="10" t="s">
        <v>3712</v>
      </c>
      <c r="P1195" s="10" t="s">
        <v>3603</v>
      </c>
      <c r="Q1195" s="2"/>
      <c r="R1195" s="15"/>
      <c r="S1195" s="15"/>
      <c r="T1195" s="15"/>
      <c r="U1195" s="15"/>
      <c r="V1195" s="2"/>
      <c r="W1195" s="15"/>
      <c r="X1195" s="15"/>
      <c r="Y1195" s="15"/>
      <c r="Z1195" s="15"/>
      <c r="AA1195" s="1"/>
      <c r="AB1195" s="10">
        <v>48.0</v>
      </c>
      <c r="AC1195" s="14">
        <v>45835.0</v>
      </c>
      <c r="AD1195" s="14">
        <v>47295.0</v>
      </c>
      <c r="AE1195" s="10">
        <f t="shared" si="93"/>
        <v>1204</v>
      </c>
      <c r="AF1195" s="2"/>
      <c r="AG1195" s="10" t="s">
        <v>1498</v>
      </c>
      <c r="AH1195" s="12" t="s">
        <v>46</v>
      </c>
      <c r="AI1195" s="10" t="s">
        <v>227</v>
      </c>
      <c r="AJ1195" s="10" t="s">
        <v>390</v>
      </c>
      <c r="AK1195" s="16" t="s">
        <v>45</v>
      </c>
      <c r="AL1195" s="10" t="s">
        <v>49</v>
      </c>
      <c r="AM1195" s="10" t="s">
        <v>508</v>
      </c>
      <c r="AN1195" s="10" t="s">
        <v>320</v>
      </c>
    </row>
    <row r="1196" ht="30.0" customHeight="1">
      <c r="A1196" s="9" t="str">
        <f t="shared" si="48"/>
        <v>N/I</v>
      </c>
      <c r="B1196" s="9" t="str">
        <f t="shared" si="49"/>
        <v>N/I</v>
      </c>
      <c r="C1196" s="9" t="str">
        <f t="shared" si="80"/>
        <v>Ativo</v>
      </c>
      <c r="D1196" s="10" t="s">
        <v>3571</v>
      </c>
      <c r="E1196" s="11" t="s">
        <v>3572</v>
      </c>
      <c r="F1196" s="11" t="s">
        <v>3715</v>
      </c>
      <c r="G1196" s="12" t="s">
        <v>1691</v>
      </c>
      <c r="H1196" s="34" t="s">
        <v>3716</v>
      </c>
      <c r="I1196" s="12" t="s">
        <v>3717</v>
      </c>
      <c r="J1196" s="10" t="s">
        <v>216</v>
      </c>
      <c r="K1196" s="10" t="s">
        <v>40</v>
      </c>
      <c r="L1196" s="10" t="s">
        <v>6</v>
      </c>
      <c r="M1196" s="22">
        <v>45302.0</v>
      </c>
      <c r="N1196" s="32" t="s">
        <v>3718</v>
      </c>
      <c r="O1196" s="10" t="s">
        <v>3719</v>
      </c>
      <c r="P1196" s="10" t="s">
        <v>3593</v>
      </c>
      <c r="Q1196" s="2"/>
      <c r="R1196" s="15"/>
      <c r="S1196" s="15"/>
      <c r="T1196" s="15"/>
      <c r="U1196" s="15"/>
      <c r="V1196" s="2"/>
      <c r="W1196" s="15"/>
      <c r="X1196" s="15"/>
      <c r="Y1196" s="15"/>
      <c r="Z1196" s="15"/>
      <c r="AA1196" s="1"/>
      <c r="AB1196" s="10">
        <v>48.0</v>
      </c>
      <c r="AC1196" s="14">
        <v>45169.0</v>
      </c>
      <c r="AD1196" s="14">
        <v>46630.0</v>
      </c>
      <c r="AE1196" s="10">
        <f t="shared" si="93"/>
        <v>539</v>
      </c>
      <c r="AF1196" s="2"/>
      <c r="AG1196" s="10" t="s">
        <v>1498</v>
      </c>
      <c r="AH1196" s="12" t="s">
        <v>46</v>
      </c>
      <c r="AI1196" s="10" t="s">
        <v>227</v>
      </c>
      <c r="AJ1196" s="10" t="s">
        <v>390</v>
      </c>
      <c r="AK1196" s="12" t="s">
        <v>3594</v>
      </c>
      <c r="AL1196" s="10" t="s">
        <v>49</v>
      </c>
      <c r="AM1196" s="10" t="s">
        <v>508</v>
      </c>
      <c r="AN1196" s="10" t="s">
        <v>320</v>
      </c>
    </row>
    <row r="1197" ht="30.0" customHeight="1">
      <c r="A1197" s="9" t="str">
        <f t="shared" si="48"/>
        <v>N/I</v>
      </c>
      <c r="B1197" s="9" t="str">
        <f t="shared" si="49"/>
        <v>N/I</v>
      </c>
      <c r="C1197" s="9" t="str">
        <f t="shared" si="80"/>
        <v>Ativo</v>
      </c>
      <c r="D1197" s="10" t="s">
        <v>3571</v>
      </c>
      <c r="E1197" s="11" t="s">
        <v>3572</v>
      </c>
      <c r="F1197" s="11" t="s">
        <v>3715</v>
      </c>
      <c r="G1197" s="12" t="s">
        <v>3579</v>
      </c>
      <c r="H1197" s="13" t="s">
        <v>3720</v>
      </c>
      <c r="I1197" s="12" t="s">
        <v>3717</v>
      </c>
      <c r="J1197" s="10" t="s">
        <v>216</v>
      </c>
      <c r="K1197" s="10" t="s">
        <v>40</v>
      </c>
      <c r="L1197" s="10" t="s">
        <v>6</v>
      </c>
      <c r="M1197" s="22">
        <v>45531.0</v>
      </c>
      <c r="N1197" s="32" t="s">
        <v>3721</v>
      </c>
      <c r="O1197" s="10" t="s">
        <v>3719</v>
      </c>
      <c r="P1197" s="10" t="s">
        <v>3603</v>
      </c>
      <c r="Q1197" s="2"/>
      <c r="R1197" s="15"/>
      <c r="S1197" s="15"/>
      <c r="T1197" s="15"/>
      <c r="U1197" s="15"/>
      <c r="V1197" s="2"/>
      <c r="W1197" s="15"/>
      <c r="X1197" s="15"/>
      <c r="Y1197" s="15"/>
      <c r="Z1197" s="15"/>
      <c r="AA1197" s="1"/>
      <c r="AB1197" s="10">
        <v>48.0</v>
      </c>
      <c r="AC1197" s="14">
        <v>45566.0</v>
      </c>
      <c r="AD1197" s="14">
        <v>47026.0</v>
      </c>
      <c r="AE1197" s="10">
        <f t="shared" si="93"/>
        <v>935</v>
      </c>
      <c r="AF1197" s="2"/>
      <c r="AG1197" s="10" t="s">
        <v>1498</v>
      </c>
      <c r="AH1197" s="12" t="s">
        <v>46</v>
      </c>
      <c r="AI1197" s="10" t="s">
        <v>227</v>
      </c>
      <c r="AJ1197" s="10" t="s">
        <v>390</v>
      </c>
      <c r="AK1197" s="16" t="s">
        <v>45</v>
      </c>
      <c r="AL1197" s="10" t="s">
        <v>49</v>
      </c>
      <c r="AM1197" s="10" t="s">
        <v>508</v>
      </c>
      <c r="AN1197" s="10" t="s">
        <v>320</v>
      </c>
    </row>
    <row r="1198" ht="30.0" customHeight="1">
      <c r="A1198" s="9" t="str">
        <f t="shared" si="48"/>
        <v>N/I</v>
      </c>
      <c r="B1198" s="9" t="str">
        <f t="shared" si="49"/>
        <v>N/I</v>
      </c>
      <c r="C1198" s="9" t="str">
        <f t="shared" si="80"/>
        <v>Ativo</v>
      </c>
      <c r="D1198" s="10" t="s">
        <v>3571</v>
      </c>
      <c r="E1198" s="11" t="s">
        <v>3572</v>
      </c>
      <c r="F1198" s="11" t="s">
        <v>3722</v>
      </c>
      <c r="G1198" s="12" t="s">
        <v>1691</v>
      </c>
      <c r="H1198" s="34" t="s">
        <v>3723</v>
      </c>
      <c r="I1198" s="12" t="s">
        <v>1117</v>
      </c>
      <c r="J1198" s="10" t="s">
        <v>216</v>
      </c>
      <c r="K1198" s="10" t="s">
        <v>40</v>
      </c>
      <c r="L1198" s="10" t="s">
        <v>6</v>
      </c>
      <c r="M1198" s="22">
        <v>45266.0</v>
      </c>
      <c r="N1198" s="32" t="s">
        <v>3724</v>
      </c>
      <c r="O1198" s="10" t="s">
        <v>1119</v>
      </c>
      <c r="P1198" s="10" t="s">
        <v>3593</v>
      </c>
      <c r="Q1198" s="2"/>
      <c r="R1198" s="15"/>
      <c r="S1198" s="15"/>
      <c r="T1198" s="15"/>
      <c r="U1198" s="15"/>
      <c r="V1198" s="2"/>
      <c r="W1198" s="15"/>
      <c r="X1198" s="15"/>
      <c r="Y1198" s="15"/>
      <c r="Z1198" s="15"/>
      <c r="AA1198" s="1"/>
      <c r="AB1198" s="10">
        <v>48.0</v>
      </c>
      <c r="AC1198" s="14">
        <v>45169.0</v>
      </c>
      <c r="AD1198" s="14">
        <v>46630.0</v>
      </c>
      <c r="AE1198" s="10">
        <f t="shared" si="93"/>
        <v>539</v>
      </c>
      <c r="AF1198" s="2"/>
      <c r="AG1198" s="10" t="s">
        <v>1498</v>
      </c>
      <c r="AH1198" s="12" t="s">
        <v>46</v>
      </c>
      <c r="AI1198" s="10" t="s">
        <v>227</v>
      </c>
      <c r="AJ1198" s="10" t="s">
        <v>390</v>
      </c>
      <c r="AK1198" s="12" t="s">
        <v>3594</v>
      </c>
      <c r="AL1198" s="10" t="s">
        <v>49</v>
      </c>
      <c r="AM1198" s="10" t="s">
        <v>508</v>
      </c>
      <c r="AN1198" s="10" t="s">
        <v>320</v>
      </c>
    </row>
    <row r="1199" ht="30.0" customHeight="1">
      <c r="A1199" s="9" t="str">
        <f t="shared" si="48"/>
        <v>N/I</v>
      </c>
      <c r="B1199" s="9" t="str">
        <f t="shared" si="49"/>
        <v>N/I</v>
      </c>
      <c r="C1199" s="9" t="str">
        <f t="shared" si="80"/>
        <v>N/I</v>
      </c>
      <c r="D1199" s="10" t="s">
        <v>3571</v>
      </c>
      <c r="E1199" s="11" t="s">
        <v>3572</v>
      </c>
      <c r="F1199" s="32" t="s">
        <v>3722</v>
      </c>
      <c r="G1199" s="12" t="s">
        <v>3579</v>
      </c>
      <c r="H1199" s="25" t="s">
        <v>187</v>
      </c>
      <c r="I1199" s="12" t="s">
        <v>1117</v>
      </c>
      <c r="J1199" s="10" t="s">
        <v>216</v>
      </c>
      <c r="K1199" s="10" t="s">
        <v>40</v>
      </c>
      <c r="L1199" s="10" t="s">
        <v>6</v>
      </c>
      <c r="M1199" s="24" t="s">
        <v>193</v>
      </c>
      <c r="N1199" s="11" t="s">
        <v>3725</v>
      </c>
      <c r="O1199" s="10" t="s">
        <v>3726</v>
      </c>
      <c r="P1199" s="10" t="s">
        <v>3583</v>
      </c>
      <c r="Q1199" s="2"/>
      <c r="R1199" s="10">
        <v>60.0</v>
      </c>
      <c r="S1199" s="45" t="s">
        <v>187</v>
      </c>
      <c r="T1199" s="45" t="s">
        <v>187</v>
      </c>
      <c r="U1199" s="10"/>
      <c r="V1199" s="2"/>
      <c r="W1199" s="15"/>
      <c r="X1199" s="15"/>
      <c r="Y1199" s="15"/>
      <c r="Z1199" s="15"/>
      <c r="AA1199" s="1"/>
      <c r="AB1199" s="10">
        <v>48.0</v>
      </c>
      <c r="AC1199" s="49" t="s">
        <v>1489</v>
      </c>
      <c r="AD1199" s="49" t="s">
        <v>1489</v>
      </c>
      <c r="AE1199" s="10"/>
      <c r="AF1199" s="2"/>
      <c r="AG1199" s="10" t="s">
        <v>290</v>
      </c>
      <c r="AH1199" s="10" t="s">
        <v>318</v>
      </c>
      <c r="AI1199" s="10" t="s">
        <v>319</v>
      </c>
      <c r="AJ1199" s="10" t="s">
        <v>291</v>
      </c>
      <c r="AK1199" s="16" t="s">
        <v>45</v>
      </c>
      <c r="AL1199" s="10" t="s">
        <v>49</v>
      </c>
      <c r="AM1199" s="10" t="s">
        <v>508</v>
      </c>
      <c r="AN1199" s="10" t="s">
        <v>50</v>
      </c>
    </row>
    <row r="1200" ht="30.0" customHeight="1">
      <c r="A1200" s="9" t="str">
        <f t="shared" si="48"/>
        <v>N/I</v>
      </c>
      <c r="B1200" s="9" t="str">
        <f t="shared" si="49"/>
        <v>N/I</v>
      </c>
      <c r="C1200" s="9" t="str">
        <f t="shared" si="80"/>
        <v>N/I</v>
      </c>
      <c r="D1200" s="10" t="s">
        <v>3571</v>
      </c>
      <c r="E1200" s="11" t="s">
        <v>3572</v>
      </c>
      <c r="F1200" s="32" t="s">
        <v>3727</v>
      </c>
      <c r="G1200" s="12" t="s">
        <v>1691</v>
      </c>
      <c r="H1200" s="25" t="s">
        <v>187</v>
      </c>
      <c r="I1200" s="12" t="s">
        <v>3728</v>
      </c>
      <c r="J1200" s="10" t="s">
        <v>216</v>
      </c>
      <c r="K1200" s="10" t="s">
        <v>40</v>
      </c>
      <c r="L1200" s="10" t="s">
        <v>6</v>
      </c>
      <c r="M1200" s="24" t="s">
        <v>193</v>
      </c>
      <c r="N1200" s="11" t="s">
        <v>3729</v>
      </c>
      <c r="O1200" s="10" t="s">
        <v>3730</v>
      </c>
      <c r="P1200" s="10" t="s">
        <v>3577</v>
      </c>
      <c r="Q1200" s="2"/>
      <c r="R1200" s="10">
        <v>60.0</v>
      </c>
      <c r="S1200" s="45" t="s">
        <v>187</v>
      </c>
      <c r="T1200" s="45" t="s">
        <v>187</v>
      </c>
      <c r="U1200" s="10"/>
      <c r="V1200" s="2"/>
      <c r="W1200" s="15"/>
      <c r="X1200" s="15"/>
      <c r="Y1200" s="15"/>
      <c r="Z1200" s="15"/>
      <c r="AA1200" s="1"/>
      <c r="AB1200" s="10">
        <v>48.0</v>
      </c>
      <c r="AC1200" s="49" t="s">
        <v>1489</v>
      </c>
      <c r="AD1200" s="49" t="s">
        <v>1489</v>
      </c>
      <c r="AE1200" s="10"/>
      <c r="AF1200" s="2"/>
      <c r="AG1200" s="10" t="s">
        <v>290</v>
      </c>
      <c r="AH1200" s="10" t="s">
        <v>318</v>
      </c>
      <c r="AI1200" s="10" t="s">
        <v>319</v>
      </c>
      <c r="AJ1200" s="10" t="s">
        <v>291</v>
      </c>
      <c r="AK1200" s="16" t="s">
        <v>45</v>
      </c>
      <c r="AL1200" s="10" t="s">
        <v>49</v>
      </c>
      <c r="AM1200" s="10" t="s">
        <v>508</v>
      </c>
      <c r="AN1200" s="10" t="s">
        <v>50</v>
      </c>
    </row>
    <row r="1201" ht="30.0" customHeight="1">
      <c r="A1201" s="9" t="str">
        <f t="shared" si="48"/>
        <v>N/I</v>
      </c>
      <c r="B1201" s="9" t="str">
        <f t="shared" si="49"/>
        <v>N/I</v>
      </c>
      <c r="C1201" s="9" t="str">
        <f t="shared" si="80"/>
        <v>Ativo</v>
      </c>
      <c r="D1201" s="10" t="s">
        <v>3571</v>
      </c>
      <c r="E1201" s="11" t="s">
        <v>3572</v>
      </c>
      <c r="F1201" s="11" t="s">
        <v>3731</v>
      </c>
      <c r="G1201" s="12" t="s">
        <v>3579</v>
      </c>
      <c r="H1201" s="27" t="s">
        <v>3732</v>
      </c>
      <c r="I1201" s="12" t="s">
        <v>3733</v>
      </c>
      <c r="J1201" s="10" t="s">
        <v>216</v>
      </c>
      <c r="K1201" s="10" t="s">
        <v>40</v>
      </c>
      <c r="L1201" s="10" t="s">
        <v>6</v>
      </c>
      <c r="M1201" s="22">
        <v>45523.0</v>
      </c>
      <c r="N1201" s="32" t="s">
        <v>3734</v>
      </c>
      <c r="O1201" s="10" t="s">
        <v>3627</v>
      </c>
      <c r="P1201" s="10" t="s">
        <v>3603</v>
      </c>
      <c r="Q1201" s="2"/>
      <c r="R1201" s="15"/>
      <c r="S1201" s="15"/>
      <c r="T1201" s="15"/>
      <c r="U1201" s="15"/>
      <c r="V1201" s="2"/>
      <c r="W1201" s="15"/>
      <c r="X1201" s="15"/>
      <c r="Y1201" s="15"/>
      <c r="Z1201" s="15"/>
      <c r="AA1201" s="1"/>
      <c r="AB1201" s="10">
        <v>48.0</v>
      </c>
      <c r="AC1201" s="14">
        <v>45566.0</v>
      </c>
      <c r="AD1201" s="14">
        <v>47026.0</v>
      </c>
      <c r="AE1201" s="10">
        <f t="shared" ref="AE1201:AE1212" si="94">AD1201-TODAY()</f>
        <v>935</v>
      </c>
      <c r="AF1201" s="2"/>
      <c r="AG1201" s="10" t="s">
        <v>1498</v>
      </c>
      <c r="AH1201" s="12" t="s">
        <v>46</v>
      </c>
      <c r="AI1201" s="10" t="s">
        <v>227</v>
      </c>
      <c r="AJ1201" s="10" t="s">
        <v>390</v>
      </c>
      <c r="AK1201" s="16" t="s">
        <v>45</v>
      </c>
      <c r="AL1201" s="10" t="s">
        <v>49</v>
      </c>
      <c r="AM1201" s="10" t="s">
        <v>508</v>
      </c>
      <c r="AN1201" s="10" t="s">
        <v>320</v>
      </c>
    </row>
    <row r="1202" ht="30.0" customHeight="1">
      <c r="A1202" s="9" t="str">
        <f t="shared" si="48"/>
        <v>N/I</v>
      </c>
      <c r="B1202" s="9" t="str">
        <f t="shared" si="49"/>
        <v>N/I</v>
      </c>
      <c r="C1202" s="9" t="str">
        <f t="shared" si="80"/>
        <v>Ativo</v>
      </c>
      <c r="D1202" s="10" t="s">
        <v>3571</v>
      </c>
      <c r="E1202" s="11" t="s">
        <v>3572</v>
      </c>
      <c r="F1202" s="11" t="s">
        <v>3735</v>
      </c>
      <c r="G1202" s="12" t="s">
        <v>1691</v>
      </c>
      <c r="H1202" s="34" t="s">
        <v>3736</v>
      </c>
      <c r="I1202" s="12" t="s">
        <v>2456</v>
      </c>
      <c r="J1202" s="10" t="s">
        <v>216</v>
      </c>
      <c r="K1202" s="10" t="s">
        <v>40</v>
      </c>
      <c r="L1202" s="10" t="s">
        <v>6</v>
      </c>
      <c r="M1202" s="22">
        <v>45295.0</v>
      </c>
      <c r="N1202" s="32" t="s">
        <v>3737</v>
      </c>
      <c r="O1202" s="10" t="s">
        <v>3738</v>
      </c>
      <c r="P1202" s="10" t="s">
        <v>3593</v>
      </c>
      <c r="Q1202" s="2"/>
      <c r="R1202" s="15"/>
      <c r="S1202" s="15"/>
      <c r="T1202" s="15"/>
      <c r="U1202" s="15"/>
      <c r="V1202" s="2"/>
      <c r="W1202" s="15"/>
      <c r="X1202" s="15"/>
      <c r="Y1202" s="15"/>
      <c r="Z1202" s="15"/>
      <c r="AA1202" s="1"/>
      <c r="AB1202" s="10">
        <v>48.0</v>
      </c>
      <c r="AC1202" s="14">
        <v>45169.0</v>
      </c>
      <c r="AD1202" s="14">
        <v>46630.0</v>
      </c>
      <c r="AE1202" s="10">
        <f t="shared" si="94"/>
        <v>539</v>
      </c>
      <c r="AF1202" s="2"/>
      <c r="AG1202" s="10" t="s">
        <v>1498</v>
      </c>
      <c r="AH1202" s="12" t="s">
        <v>46</v>
      </c>
      <c r="AI1202" s="10" t="s">
        <v>227</v>
      </c>
      <c r="AJ1202" s="10" t="s">
        <v>390</v>
      </c>
      <c r="AK1202" s="12" t="s">
        <v>3594</v>
      </c>
      <c r="AL1202" s="10" t="s">
        <v>49</v>
      </c>
      <c r="AM1202" s="10" t="s">
        <v>508</v>
      </c>
      <c r="AN1202" s="10" t="s">
        <v>320</v>
      </c>
    </row>
    <row r="1203" ht="30.0" customHeight="1">
      <c r="A1203" s="9" t="str">
        <f t="shared" si="48"/>
        <v>N/I</v>
      </c>
      <c r="B1203" s="9" t="str">
        <f t="shared" si="49"/>
        <v>N/I</v>
      </c>
      <c r="C1203" s="9" t="str">
        <f t="shared" si="80"/>
        <v>Ativo</v>
      </c>
      <c r="D1203" s="10" t="s">
        <v>3571</v>
      </c>
      <c r="E1203" s="11" t="s">
        <v>3572</v>
      </c>
      <c r="F1203" s="11" t="s">
        <v>3739</v>
      </c>
      <c r="G1203" s="12" t="s">
        <v>1691</v>
      </c>
      <c r="H1203" s="34" t="s">
        <v>3740</v>
      </c>
      <c r="I1203" s="12" t="s">
        <v>2456</v>
      </c>
      <c r="J1203" s="10" t="s">
        <v>216</v>
      </c>
      <c r="K1203" s="10" t="s">
        <v>40</v>
      </c>
      <c r="L1203" s="10" t="s">
        <v>6</v>
      </c>
      <c r="M1203" s="22">
        <v>45296.0</v>
      </c>
      <c r="N1203" s="32" t="s">
        <v>3741</v>
      </c>
      <c r="O1203" s="10" t="s">
        <v>3742</v>
      </c>
      <c r="P1203" s="10" t="s">
        <v>3593</v>
      </c>
      <c r="Q1203" s="2"/>
      <c r="R1203" s="15"/>
      <c r="S1203" s="15"/>
      <c r="T1203" s="15"/>
      <c r="U1203" s="15"/>
      <c r="V1203" s="2"/>
      <c r="W1203" s="15"/>
      <c r="X1203" s="15"/>
      <c r="Y1203" s="15"/>
      <c r="Z1203" s="15"/>
      <c r="AA1203" s="1"/>
      <c r="AB1203" s="10">
        <v>48.0</v>
      </c>
      <c r="AC1203" s="14">
        <v>45169.0</v>
      </c>
      <c r="AD1203" s="14">
        <v>46630.0</v>
      </c>
      <c r="AE1203" s="10">
        <f t="shared" si="94"/>
        <v>539</v>
      </c>
      <c r="AF1203" s="2"/>
      <c r="AG1203" s="10" t="s">
        <v>1498</v>
      </c>
      <c r="AH1203" s="12" t="s">
        <v>46</v>
      </c>
      <c r="AI1203" s="10" t="s">
        <v>227</v>
      </c>
      <c r="AJ1203" s="10" t="s">
        <v>390</v>
      </c>
      <c r="AK1203" s="12" t="s">
        <v>3594</v>
      </c>
      <c r="AL1203" s="10" t="s">
        <v>49</v>
      </c>
      <c r="AM1203" s="10" t="s">
        <v>508</v>
      </c>
      <c r="AN1203" s="10" t="s">
        <v>320</v>
      </c>
    </row>
    <row r="1204" ht="30.0" customHeight="1">
      <c r="A1204" s="9" t="str">
        <f t="shared" si="48"/>
        <v>N/I</v>
      </c>
      <c r="B1204" s="9" t="str">
        <f t="shared" si="49"/>
        <v>N/I</v>
      </c>
      <c r="C1204" s="9" t="str">
        <f t="shared" si="80"/>
        <v>Ativo</v>
      </c>
      <c r="D1204" s="10" t="s">
        <v>3571</v>
      </c>
      <c r="E1204" s="11" t="s">
        <v>3572</v>
      </c>
      <c r="F1204" s="11" t="s">
        <v>3739</v>
      </c>
      <c r="G1204" s="12" t="s">
        <v>3579</v>
      </c>
      <c r="H1204" s="16" t="s">
        <v>3743</v>
      </c>
      <c r="I1204" s="12" t="s">
        <v>2456</v>
      </c>
      <c r="J1204" s="10" t="s">
        <v>216</v>
      </c>
      <c r="K1204" s="10" t="s">
        <v>40</v>
      </c>
      <c r="L1204" s="10" t="s">
        <v>6</v>
      </c>
      <c r="M1204" s="22">
        <v>45539.0</v>
      </c>
      <c r="N1204" s="32" t="s">
        <v>3741</v>
      </c>
      <c r="O1204" s="10" t="s">
        <v>3744</v>
      </c>
      <c r="P1204" s="10" t="s">
        <v>3603</v>
      </c>
      <c r="Q1204" s="2"/>
      <c r="R1204" s="15"/>
      <c r="S1204" s="15"/>
      <c r="T1204" s="15"/>
      <c r="U1204" s="15"/>
      <c r="V1204" s="2"/>
      <c r="W1204" s="15"/>
      <c r="X1204" s="15"/>
      <c r="Y1204" s="15"/>
      <c r="Z1204" s="15"/>
      <c r="AA1204" s="1"/>
      <c r="AB1204" s="10">
        <v>48.0</v>
      </c>
      <c r="AC1204" s="14">
        <v>45566.0</v>
      </c>
      <c r="AD1204" s="14">
        <v>47026.0</v>
      </c>
      <c r="AE1204" s="10">
        <f t="shared" si="94"/>
        <v>935</v>
      </c>
      <c r="AF1204" s="2"/>
      <c r="AG1204" s="10" t="s">
        <v>1498</v>
      </c>
      <c r="AH1204" s="12" t="s">
        <v>46</v>
      </c>
      <c r="AI1204" s="10" t="s">
        <v>227</v>
      </c>
      <c r="AJ1204" s="10" t="s">
        <v>390</v>
      </c>
      <c r="AK1204" s="16" t="s">
        <v>45</v>
      </c>
      <c r="AL1204" s="10" t="s">
        <v>49</v>
      </c>
      <c r="AM1204" s="10" t="s">
        <v>508</v>
      </c>
      <c r="AN1204" s="10" t="s">
        <v>320</v>
      </c>
    </row>
    <row r="1205" ht="30.0" customHeight="1">
      <c r="A1205" s="9" t="str">
        <f t="shared" si="48"/>
        <v>N/I</v>
      </c>
      <c r="B1205" s="9" t="str">
        <f t="shared" si="49"/>
        <v>N/I</v>
      </c>
      <c r="C1205" s="9" t="str">
        <f t="shared" si="80"/>
        <v>Ativo</v>
      </c>
      <c r="D1205" s="10" t="s">
        <v>3571</v>
      </c>
      <c r="E1205" s="11" t="s">
        <v>3572</v>
      </c>
      <c r="F1205" s="11" t="s">
        <v>3745</v>
      </c>
      <c r="G1205" s="12" t="s">
        <v>3579</v>
      </c>
      <c r="H1205" s="27" t="s">
        <v>3746</v>
      </c>
      <c r="I1205" s="12" t="s">
        <v>2456</v>
      </c>
      <c r="J1205" s="10" t="s">
        <v>216</v>
      </c>
      <c r="K1205" s="10" t="s">
        <v>40</v>
      </c>
      <c r="L1205" s="10" t="s">
        <v>6</v>
      </c>
      <c r="M1205" s="22">
        <v>45540.0</v>
      </c>
      <c r="N1205" s="32" t="s">
        <v>3747</v>
      </c>
      <c r="O1205" s="10" t="s">
        <v>3748</v>
      </c>
      <c r="P1205" s="10" t="s">
        <v>3603</v>
      </c>
      <c r="Q1205" s="2"/>
      <c r="R1205" s="15"/>
      <c r="S1205" s="15"/>
      <c r="T1205" s="15"/>
      <c r="U1205" s="15"/>
      <c r="V1205" s="2"/>
      <c r="W1205" s="15"/>
      <c r="X1205" s="15"/>
      <c r="Y1205" s="15"/>
      <c r="Z1205" s="15"/>
      <c r="AA1205" s="1"/>
      <c r="AB1205" s="10">
        <v>48.0</v>
      </c>
      <c r="AC1205" s="14">
        <v>45540.0</v>
      </c>
      <c r="AD1205" s="14">
        <v>47000.0</v>
      </c>
      <c r="AE1205" s="10">
        <f t="shared" si="94"/>
        <v>909</v>
      </c>
      <c r="AF1205" s="2"/>
      <c r="AG1205" s="10" t="s">
        <v>1498</v>
      </c>
      <c r="AH1205" s="12" t="s">
        <v>46</v>
      </c>
      <c r="AI1205" s="10" t="s">
        <v>227</v>
      </c>
      <c r="AJ1205" s="10" t="s">
        <v>390</v>
      </c>
      <c r="AK1205" s="16" t="s">
        <v>45</v>
      </c>
      <c r="AL1205" s="10" t="s">
        <v>49</v>
      </c>
      <c r="AM1205" s="10" t="s">
        <v>508</v>
      </c>
      <c r="AN1205" s="10" t="s">
        <v>320</v>
      </c>
    </row>
    <row r="1206" ht="30.0" customHeight="1">
      <c r="A1206" s="9" t="str">
        <f t="shared" si="48"/>
        <v>N/I</v>
      </c>
      <c r="B1206" s="9" t="str">
        <f t="shared" si="49"/>
        <v>N/I</v>
      </c>
      <c r="C1206" s="9" t="str">
        <f t="shared" si="80"/>
        <v>Ativo</v>
      </c>
      <c r="D1206" s="10" t="s">
        <v>3571</v>
      </c>
      <c r="E1206" s="11" t="s">
        <v>3572</v>
      </c>
      <c r="F1206" s="11" t="s">
        <v>3749</v>
      </c>
      <c r="G1206" s="12" t="s">
        <v>1691</v>
      </c>
      <c r="H1206" s="34" t="s">
        <v>3750</v>
      </c>
      <c r="I1206" s="12" t="s">
        <v>3655</v>
      </c>
      <c r="J1206" s="10" t="s">
        <v>216</v>
      </c>
      <c r="K1206" s="10" t="s">
        <v>40</v>
      </c>
      <c r="L1206" s="10" t="s">
        <v>6</v>
      </c>
      <c r="M1206" s="22">
        <v>45344.0</v>
      </c>
      <c r="N1206" s="32" t="s">
        <v>3751</v>
      </c>
      <c r="O1206" s="10" t="s">
        <v>3752</v>
      </c>
      <c r="P1206" s="10" t="s">
        <v>3593</v>
      </c>
      <c r="Q1206" s="2"/>
      <c r="R1206" s="15"/>
      <c r="S1206" s="15"/>
      <c r="T1206" s="15"/>
      <c r="U1206" s="15"/>
      <c r="V1206" s="2"/>
      <c r="W1206" s="15"/>
      <c r="X1206" s="15"/>
      <c r="Y1206" s="15"/>
      <c r="Z1206" s="15"/>
      <c r="AA1206" s="2"/>
      <c r="AB1206" s="10">
        <v>48.0</v>
      </c>
      <c r="AC1206" s="14">
        <v>45169.0</v>
      </c>
      <c r="AD1206" s="14">
        <v>46630.0</v>
      </c>
      <c r="AE1206" s="10">
        <f t="shared" si="94"/>
        <v>539</v>
      </c>
      <c r="AF1206" s="2"/>
      <c r="AG1206" s="10" t="s">
        <v>1498</v>
      </c>
      <c r="AH1206" s="12" t="s">
        <v>46</v>
      </c>
      <c r="AI1206" s="10" t="s">
        <v>227</v>
      </c>
      <c r="AJ1206" s="10" t="s">
        <v>390</v>
      </c>
      <c r="AK1206" s="12" t="s">
        <v>3594</v>
      </c>
      <c r="AL1206" s="10" t="s">
        <v>49</v>
      </c>
      <c r="AM1206" s="10" t="s">
        <v>508</v>
      </c>
      <c r="AN1206" s="10" t="s">
        <v>320</v>
      </c>
    </row>
    <row r="1207" ht="30.0" customHeight="1">
      <c r="A1207" s="9" t="str">
        <f t="shared" si="48"/>
        <v>N/I</v>
      </c>
      <c r="B1207" s="9" t="str">
        <f t="shared" si="49"/>
        <v>N/I</v>
      </c>
      <c r="C1207" s="9" t="str">
        <f t="shared" si="80"/>
        <v>Ativo</v>
      </c>
      <c r="D1207" s="10" t="s">
        <v>3571</v>
      </c>
      <c r="E1207" s="11" t="s">
        <v>3572</v>
      </c>
      <c r="F1207" s="11" t="s">
        <v>3753</v>
      </c>
      <c r="G1207" s="12" t="s">
        <v>1691</v>
      </c>
      <c r="H1207" s="34" t="s">
        <v>3754</v>
      </c>
      <c r="I1207" s="12" t="s">
        <v>3755</v>
      </c>
      <c r="J1207" s="10" t="s">
        <v>216</v>
      </c>
      <c r="K1207" s="10" t="s">
        <v>40</v>
      </c>
      <c r="L1207" s="10" t="s">
        <v>6</v>
      </c>
      <c r="M1207" s="22">
        <v>45299.0</v>
      </c>
      <c r="N1207" s="32" t="s">
        <v>3756</v>
      </c>
      <c r="O1207" s="10" t="s">
        <v>3757</v>
      </c>
      <c r="P1207" s="10" t="s">
        <v>3593</v>
      </c>
      <c r="Q1207" s="2"/>
      <c r="R1207" s="15"/>
      <c r="S1207" s="15"/>
      <c r="T1207" s="15"/>
      <c r="U1207" s="15"/>
      <c r="V1207" s="2"/>
      <c r="W1207" s="15"/>
      <c r="X1207" s="15"/>
      <c r="Y1207" s="15"/>
      <c r="Z1207" s="15"/>
      <c r="AA1207" s="1"/>
      <c r="AB1207" s="10">
        <v>48.0</v>
      </c>
      <c r="AC1207" s="14">
        <v>45169.0</v>
      </c>
      <c r="AD1207" s="14">
        <v>46630.0</v>
      </c>
      <c r="AE1207" s="10">
        <f t="shared" si="94"/>
        <v>539</v>
      </c>
      <c r="AF1207" s="2"/>
      <c r="AG1207" s="10" t="s">
        <v>1498</v>
      </c>
      <c r="AH1207" s="12" t="s">
        <v>46</v>
      </c>
      <c r="AI1207" s="10" t="s">
        <v>227</v>
      </c>
      <c r="AJ1207" s="10" t="s">
        <v>390</v>
      </c>
      <c r="AK1207" s="12" t="s">
        <v>3594</v>
      </c>
      <c r="AL1207" s="10" t="s">
        <v>49</v>
      </c>
      <c r="AM1207" s="10" t="s">
        <v>508</v>
      </c>
      <c r="AN1207" s="10" t="s">
        <v>320</v>
      </c>
    </row>
    <row r="1208" ht="30.0" customHeight="1">
      <c r="A1208" s="9" t="str">
        <f t="shared" si="48"/>
        <v>N/I</v>
      </c>
      <c r="B1208" s="9" t="str">
        <f t="shared" si="49"/>
        <v>N/I</v>
      </c>
      <c r="C1208" s="9" t="str">
        <f t="shared" si="80"/>
        <v>Ativo</v>
      </c>
      <c r="D1208" s="10" t="s">
        <v>3571</v>
      </c>
      <c r="E1208" s="11" t="s">
        <v>3572</v>
      </c>
      <c r="F1208" s="11" t="s">
        <v>3758</v>
      </c>
      <c r="G1208" s="12" t="s">
        <v>3579</v>
      </c>
      <c r="H1208" s="13" t="s">
        <v>3759</v>
      </c>
      <c r="I1208" s="12" t="s">
        <v>3755</v>
      </c>
      <c r="J1208" s="10" t="s">
        <v>216</v>
      </c>
      <c r="K1208" s="10" t="s">
        <v>40</v>
      </c>
      <c r="L1208" s="10" t="s">
        <v>6</v>
      </c>
      <c r="M1208" s="22">
        <v>45530.0</v>
      </c>
      <c r="N1208" s="32" t="s">
        <v>3756</v>
      </c>
      <c r="O1208" s="10" t="s">
        <v>3757</v>
      </c>
      <c r="P1208" s="10" t="s">
        <v>3603</v>
      </c>
      <c r="Q1208" s="2"/>
      <c r="R1208" s="15"/>
      <c r="S1208" s="15"/>
      <c r="T1208" s="15"/>
      <c r="U1208" s="15"/>
      <c r="V1208" s="2"/>
      <c r="W1208" s="15"/>
      <c r="X1208" s="15"/>
      <c r="Y1208" s="15"/>
      <c r="Z1208" s="15"/>
      <c r="AA1208" s="1"/>
      <c r="AB1208" s="10">
        <v>48.0</v>
      </c>
      <c r="AC1208" s="14">
        <v>45566.0</v>
      </c>
      <c r="AD1208" s="14">
        <v>47026.0</v>
      </c>
      <c r="AE1208" s="10">
        <f t="shared" si="94"/>
        <v>935</v>
      </c>
      <c r="AF1208" s="2"/>
      <c r="AG1208" s="10" t="s">
        <v>1498</v>
      </c>
      <c r="AH1208" s="12" t="s">
        <v>46</v>
      </c>
      <c r="AI1208" s="10" t="s">
        <v>227</v>
      </c>
      <c r="AJ1208" s="10" t="s">
        <v>390</v>
      </c>
      <c r="AK1208" s="16" t="s">
        <v>45</v>
      </c>
      <c r="AL1208" s="10" t="s">
        <v>49</v>
      </c>
      <c r="AM1208" s="10" t="s">
        <v>508</v>
      </c>
      <c r="AN1208" s="10" t="s">
        <v>320</v>
      </c>
    </row>
    <row r="1209" ht="30.0" customHeight="1">
      <c r="A1209" s="9" t="str">
        <f t="shared" si="48"/>
        <v>N/I</v>
      </c>
      <c r="B1209" s="9" t="str">
        <f t="shared" si="49"/>
        <v>N/I</v>
      </c>
      <c r="C1209" s="9" t="str">
        <f t="shared" si="80"/>
        <v>Ativo</v>
      </c>
      <c r="D1209" s="10" t="s">
        <v>3571</v>
      </c>
      <c r="E1209" s="11" t="s">
        <v>3572</v>
      </c>
      <c r="F1209" s="11" t="s">
        <v>3760</v>
      </c>
      <c r="G1209" s="12" t="s">
        <v>1691</v>
      </c>
      <c r="H1209" s="34" t="s">
        <v>3761</v>
      </c>
      <c r="I1209" s="12" t="s">
        <v>3762</v>
      </c>
      <c r="J1209" s="10" t="s">
        <v>216</v>
      </c>
      <c r="K1209" s="10" t="s">
        <v>40</v>
      </c>
      <c r="L1209" s="10" t="s">
        <v>6</v>
      </c>
      <c r="M1209" s="22">
        <v>45296.0</v>
      </c>
      <c r="N1209" s="32" t="s">
        <v>3763</v>
      </c>
      <c r="O1209" s="10" t="s">
        <v>3764</v>
      </c>
      <c r="P1209" s="10" t="s">
        <v>3593</v>
      </c>
      <c r="Q1209" s="2"/>
      <c r="R1209" s="15"/>
      <c r="S1209" s="15"/>
      <c r="T1209" s="15"/>
      <c r="U1209" s="15"/>
      <c r="V1209" s="2"/>
      <c r="W1209" s="15"/>
      <c r="X1209" s="15"/>
      <c r="Y1209" s="15"/>
      <c r="Z1209" s="15"/>
      <c r="AA1209" s="1"/>
      <c r="AB1209" s="10">
        <v>48.0</v>
      </c>
      <c r="AC1209" s="14">
        <v>45169.0</v>
      </c>
      <c r="AD1209" s="14">
        <v>46630.0</v>
      </c>
      <c r="AE1209" s="10">
        <f t="shared" si="94"/>
        <v>539</v>
      </c>
      <c r="AF1209" s="2"/>
      <c r="AG1209" s="10" t="s">
        <v>1498</v>
      </c>
      <c r="AH1209" s="12" t="s">
        <v>46</v>
      </c>
      <c r="AI1209" s="10" t="s">
        <v>227</v>
      </c>
      <c r="AJ1209" s="10" t="s">
        <v>390</v>
      </c>
      <c r="AK1209" s="12" t="s">
        <v>3594</v>
      </c>
      <c r="AL1209" s="10" t="s">
        <v>49</v>
      </c>
      <c r="AM1209" s="10" t="s">
        <v>508</v>
      </c>
      <c r="AN1209" s="10" t="s">
        <v>320</v>
      </c>
    </row>
    <row r="1210" ht="30.0" customHeight="1">
      <c r="A1210" s="9" t="str">
        <f t="shared" si="48"/>
        <v>N/I</v>
      </c>
      <c r="B1210" s="9" t="str">
        <f t="shared" si="49"/>
        <v>N/I</v>
      </c>
      <c r="C1210" s="9" t="str">
        <f t="shared" si="80"/>
        <v>Ativo</v>
      </c>
      <c r="D1210" s="10" t="s">
        <v>3571</v>
      </c>
      <c r="E1210" s="11" t="s">
        <v>3572</v>
      </c>
      <c r="F1210" s="11" t="s">
        <v>3765</v>
      </c>
      <c r="G1210" s="12" t="s">
        <v>3579</v>
      </c>
      <c r="H1210" s="13" t="s">
        <v>3766</v>
      </c>
      <c r="I1210" s="12" t="s">
        <v>3762</v>
      </c>
      <c r="J1210" s="10" t="s">
        <v>216</v>
      </c>
      <c r="K1210" s="10" t="s">
        <v>40</v>
      </c>
      <c r="L1210" s="10" t="s">
        <v>6</v>
      </c>
      <c r="M1210" s="22">
        <v>45531.0</v>
      </c>
      <c r="N1210" s="32" t="s">
        <v>3763</v>
      </c>
      <c r="O1210" s="10">
        <v>3.5160003E7</v>
      </c>
      <c r="P1210" s="10" t="s">
        <v>3603</v>
      </c>
      <c r="Q1210" s="2"/>
      <c r="R1210" s="15"/>
      <c r="S1210" s="15"/>
      <c r="T1210" s="15"/>
      <c r="U1210" s="15"/>
      <c r="V1210" s="2"/>
      <c r="W1210" s="15"/>
      <c r="X1210" s="15"/>
      <c r="Y1210" s="15"/>
      <c r="Z1210" s="15"/>
      <c r="AA1210" s="1"/>
      <c r="AB1210" s="10">
        <v>48.0</v>
      </c>
      <c r="AC1210" s="14">
        <v>45566.0</v>
      </c>
      <c r="AD1210" s="14">
        <v>47026.0</v>
      </c>
      <c r="AE1210" s="10">
        <f t="shared" si="94"/>
        <v>935</v>
      </c>
      <c r="AF1210" s="2"/>
      <c r="AG1210" s="10" t="s">
        <v>1498</v>
      </c>
      <c r="AH1210" s="12" t="s">
        <v>46</v>
      </c>
      <c r="AI1210" s="10" t="s">
        <v>227</v>
      </c>
      <c r="AJ1210" s="10" t="s">
        <v>390</v>
      </c>
      <c r="AK1210" s="16" t="s">
        <v>45</v>
      </c>
      <c r="AL1210" s="10" t="s">
        <v>49</v>
      </c>
      <c r="AM1210" s="10" t="s">
        <v>508</v>
      </c>
      <c r="AN1210" s="10" t="s">
        <v>320</v>
      </c>
    </row>
    <row r="1211" ht="30.0" customHeight="1">
      <c r="A1211" s="9" t="str">
        <f t="shared" si="48"/>
        <v>N/I</v>
      </c>
      <c r="B1211" s="9" t="str">
        <f t="shared" si="49"/>
        <v>N/I</v>
      </c>
      <c r="C1211" s="9" t="str">
        <f t="shared" si="80"/>
        <v>Ativo</v>
      </c>
      <c r="D1211" s="10" t="s">
        <v>3571</v>
      </c>
      <c r="E1211" s="11" t="s">
        <v>3572</v>
      </c>
      <c r="F1211" s="11" t="s">
        <v>3767</v>
      </c>
      <c r="G1211" s="12" t="s">
        <v>1691</v>
      </c>
      <c r="H1211" s="34" t="s">
        <v>3768</v>
      </c>
      <c r="I1211" s="12" t="s">
        <v>3769</v>
      </c>
      <c r="J1211" s="10" t="s">
        <v>216</v>
      </c>
      <c r="K1211" s="10" t="s">
        <v>40</v>
      </c>
      <c r="L1211" s="10" t="s">
        <v>6</v>
      </c>
      <c r="M1211" s="22">
        <v>45288.0</v>
      </c>
      <c r="N1211" s="32" t="s">
        <v>3770</v>
      </c>
      <c r="O1211" s="10" t="s">
        <v>3771</v>
      </c>
      <c r="P1211" s="10" t="s">
        <v>3593</v>
      </c>
      <c r="Q1211" s="2"/>
      <c r="R1211" s="15"/>
      <c r="S1211" s="15"/>
      <c r="T1211" s="15"/>
      <c r="U1211" s="15"/>
      <c r="V1211" s="2"/>
      <c r="W1211" s="15"/>
      <c r="X1211" s="15"/>
      <c r="Y1211" s="15"/>
      <c r="Z1211" s="15"/>
      <c r="AA1211" s="1"/>
      <c r="AB1211" s="10">
        <v>48.0</v>
      </c>
      <c r="AC1211" s="14">
        <v>45169.0</v>
      </c>
      <c r="AD1211" s="14">
        <v>46630.0</v>
      </c>
      <c r="AE1211" s="10">
        <f t="shared" si="94"/>
        <v>539</v>
      </c>
      <c r="AF1211" s="2"/>
      <c r="AG1211" s="10" t="s">
        <v>1498</v>
      </c>
      <c r="AH1211" s="12" t="s">
        <v>46</v>
      </c>
      <c r="AI1211" s="10" t="s">
        <v>227</v>
      </c>
      <c r="AJ1211" s="10" t="s">
        <v>390</v>
      </c>
      <c r="AK1211" s="12" t="s">
        <v>3594</v>
      </c>
      <c r="AL1211" s="10" t="s">
        <v>49</v>
      </c>
      <c r="AM1211" s="10" t="s">
        <v>508</v>
      </c>
      <c r="AN1211" s="10" t="s">
        <v>320</v>
      </c>
    </row>
    <row r="1212" ht="30.0" customHeight="1">
      <c r="A1212" s="9" t="str">
        <f t="shared" si="48"/>
        <v>N/I</v>
      </c>
      <c r="B1212" s="9" t="str">
        <f t="shared" si="49"/>
        <v>N/I</v>
      </c>
      <c r="C1212" s="9" t="str">
        <f t="shared" si="80"/>
        <v>Ativo</v>
      </c>
      <c r="D1212" s="10" t="s">
        <v>3571</v>
      </c>
      <c r="E1212" s="11" t="s">
        <v>3572</v>
      </c>
      <c r="F1212" s="11" t="s">
        <v>3767</v>
      </c>
      <c r="G1212" s="12" t="s">
        <v>3579</v>
      </c>
      <c r="H1212" s="13" t="s">
        <v>3772</v>
      </c>
      <c r="I1212" s="12" t="s">
        <v>3769</v>
      </c>
      <c r="J1212" s="10" t="s">
        <v>216</v>
      </c>
      <c r="K1212" s="10" t="s">
        <v>40</v>
      </c>
      <c r="L1212" s="10" t="s">
        <v>6</v>
      </c>
      <c r="M1212" s="22">
        <v>45517.0</v>
      </c>
      <c r="N1212" s="32" t="s">
        <v>3773</v>
      </c>
      <c r="O1212" s="10" t="s">
        <v>3774</v>
      </c>
      <c r="P1212" s="10" t="s">
        <v>3603</v>
      </c>
      <c r="Q1212" s="2"/>
      <c r="R1212" s="15"/>
      <c r="S1212" s="15"/>
      <c r="T1212" s="15"/>
      <c r="U1212" s="15"/>
      <c r="V1212" s="2"/>
      <c r="W1212" s="15"/>
      <c r="X1212" s="15"/>
      <c r="Y1212" s="15"/>
      <c r="Z1212" s="15"/>
      <c r="AA1212" s="1"/>
      <c r="AB1212" s="10">
        <v>48.0</v>
      </c>
      <c r="AC1212" s="14">
        <v>45566.0</v>
      </c>
      <c r="AD1212" s="14">
        <v>47026.0</v>
      </c>
      <c r="AE1212" s="10">
        <f t="shared" si="94"/>
        <v>935</v>
      </c>
      <c r="AF1212" s="2"/>
      <c r="AG1212" s="10" t="s">
        <v>1498</v>
      </c>
      <c r="AH1212" s="12" t="s">
        <v>46</v>
      </c>
      <c r="AI1212" s="10" t="s">
        <v>227</v>
      </c>
      <c r="AJ1212" s="10" t="s">
        <v>390</v>
      </c>
      <c r="AK1212" s="16" t="s">
        <v>45</v>
      </c>
      <c r="AL1212" s="10" t="s">
        <v>49</v>
      </c>
      <c r="AM1212" s="10" t="s">
        <v>508</v>
      </c>
      <c r="AN1212" s="10" t="s">
        <v>320</v>
      </c>
    </row>
    <row r="1213" ht="30.0" customHeight="1">
      <c r="A1213" s="9" t="str">
        <f t="shared" si="48"/>
        <v>N/I</v>
      </c>
      <c r="B1213" s="9" t="str">
        <f t="shared" si="49"/>
        <v>N/I</v>
      </c>
      <c r="C1213" s="9" t="str">
        <f t="shared" si="80"/>
        <v>N/I</v>
      </c>
      <c r="D1213" s="10" t="s">
        <v>3571</v>
      </c>
      <c r="E1213" s="11" t="s">
        <v>3572</v>
      </c>
      <c r="F1213" s="32" t="s">
        <v>3775</v>
      </c>
      <c r="G1213" s="12" t="s">
        <v>1691</v>
      </c>
      <c r="H1213" s="25" t="s">
        <v>187</v>
      </c>
      <c r="I1213" s="12" t="s">
        <v>3776</v>
      </c>
      <c r="J1213" s="10" t="s">
        <v>216</v>
      </c>
      <c r="K1213" s="10" t="s">
        <v>40</v>
      </c>
      <c r="L1213" s="10" t="s">
        <v>6</v>
      </c>
      <c r="M1213" s="24" t="s">
        <v>193</v>
      </c>
      <c r="N1213" s="11" t="s">
        <v>3777</v>
      </c>
      <c r="O1213" s="10" t="s">
        <v>3778</v>
      </c>
      <c r="P1213" s="10" t="s">
        <v>3577</v>
      </c>
      <c r="Q1213" s="2"/>
      <c r="R1213" s="15"/>
      <c r="S1213" s="15"/>
      <c r="T1213" s="15"/>
      <c r="U1213" s="15"/>
      <c r="V1213" s="2"/>
      <c r="W1213" s="15"/>
      <c r="X1213" s="15"/>
      <c r="Y1213" s="15"/>
      <c r="Z1213" s="15"/>
      <c r="AA1213" s="1"/>
      <c r="AB1213" s="10">
        <v>48.0</v>
      </c>
      <c r="AC1213" s="49" t="s">
        <v>1489</v>
      </c>
      <c r="AD1213" s="49" t="s">
        <v>1489</v>
      </c>
      <c r="AE1213" s="10"/>
      <c r="AF1213" s="2"/>
      <c r="AG1213" s="10" t="s">
        <v>290</v>
      </c>
      <c r="AH1213" s="12" t="s">
        <v>46</v>
      </c>
      <c r="AI1213" s="10" t="s">
        <v>291</v>
      </c>
      <c r="AJ1213" s="10" t="s">
        <v>292</v>
      </c>
      <c r="AK1213" s="16" t="s">
        <v>45</v>
      </c>
      <c r="AL1213" s="10" t="s">
        <v>49</v>
      </c>
      <c r="AM1213" s="16" t="s">
        <v>45</v>
      </c>
      <c r="AN1213" s="10" t="s">
        <v>50</v>
      </c>
    </row>
    <row r="1214" ht="30.0" customHeight="1">
      <c r="A1214" s="9" t="str">
        <f t="shared" si="48"/>
        <v>N/I</v>
      </c>
      <c r="B1214" s="9" t="str">
        <f t="shared" si="49"/>
        <v>N/I</v>
      </c>
      <c r="C1214" s="9" t="str">
        <f t="shared" si="80"/>
        <v>N/I</v>
      </c>
      <c r="D1214" s="10" t="s">
        <v>3571</v>
      </c>
      <c r="E1214" s="11" t="s">
        <v>3572</v>
      </c>
      <c r="F1214" s="32" t="s">
        <v>3779</v>
      </c>
      <c r="G1214" s="12" t="s">
        <v>1691</v>
      </c>
      <c r="H1214" s="25" t="s">
        <v>187</v>
      </c>
      <c r="I1214" s="12" t="s">
        <v>3780</v>
      </c>
      <c r="J1214" s="10" t="s">
        <v>216</v>
      </c>
      <c r="K1214" s="10" t="s">
        <v>40</v>
      </c>
      <c r="L1214" s="10" t="s">
        <v>6</v>
      </c>
      <c r="M1214" s="24" t="s">
        <v>193</v>
      </c>
      <c r="N1214" s="11" t="s">
        <v>3781</v>
      </c>
      <c r="O1214" s="10" t="s">
        <v>3782</v>
      </c>
      <c r="P1214" s="10" t="s">
        <v>3577</v>
      </c>
      <c r="Q1214" s="2"/>
      <c r="R1214" s="15"/>
      <c r="S1214" s="15"/>
      <c r="T1214" s="15"/>
      <c r="U1214" s="15"/>
      <c r="V1214" s="2"/>
      <c r="W1214" s="15"/>
      <c r="X1214" s="15"/>
      <c r="Y1214" s="15"/>
      <c r="Z1214" s="15"/>
      <c r="AA1214" s="1"/>
      <c r="AB1214" s="10">
        <v>48.0</v>
      </c>
      <c r="AC1214" s="49" t="s">
        <v>1489</v>
      </c>
      <c r="AD1214" s="49" t="s">
        <v>1489</v>
      </c>
      <c r="AE1214" s="10"/>
      <c r="AF1214" s="2"/>
      <c r="AG1214" s="10" t="s">
        <v>290</v>
      </c>
      <c r="AH1214" s="12" t="s">
        <v>46</v>
      </c>
      <c r="AI1214" s="10" t="s">
        <v>291</v>
      </c>
      <c r="AJ1214" s="10" t="s">
        <v>292</v>
      </c>
      <c r="AK1214" s="16" t="s">
        <v>45</v>
      </c>
      <c r="AL1214" s="10" t="s">
        <v>49</v>
      </c>
      <c r="AM1214" s="16" t="s">
        <v>45</v>
      </c>
      <c r="AN1214" s="10" t="s">
        <v>50</v>
      </c>
    </row>
    <row r="1215" ht="30.0" customHeight="1">
      <c r="A1215" s="9" t="str">
        <f t="shared" si="48"/>
        <v>N/I</v>
      </c>
      <c r="B1215" s="9" t="str">
        <f t="shared" si="49"/>
        <v>N/I</v>
      </c>
      <c r="C1215" s="9" t="str">
        <f t="shared" si="80"/>
        <v>Ativo</v>
      </c>
      <c r="D1215" s="10" t="s">
        <v>3571</v>
      </c>
      <c r="E1215" s="11" t="s">
        <v>3572</v>
      </c>
      <c r="F1215" s="11" t="s">
        <v>3779</v>
      </c>
      <c r="G1215" s="12" t="s">
        <v>3579</v>
      </c>
      <c r="H1215" s="27" t="s">
        <v>3783</v>
      </c>
      <c r="I1215" s="12" t="s">
        <v>3784</v>
      </c>
      <c r="J1215" s="10" t="s">
        <v>216</v>
      </c>
      <c r="K1215" s="10" t="s">
        <v>40</v>
      </c>
      <c r="L1215" s="10" t="s">
        <v>6</v>
      </c>
      <c r="M1215" s="22">
        <v>45825.0</v>
      </c>
      <c r="N1215" s="32" t="s">
        <v>3785</v>
      </c>
      <c r="O1215" s="10" t="s">
        <v>3782</v>
      </c>
      <c r="P1215" s="10" t="s">
        <v>3603</v>
      </c>
      <c r="Q1215" s="2"/>
      <c r="R1215" s="15"/>
      <c r="S1215" s="15"/>
      <c r="T1215" s="15"/>
      <c r="U1215" s="15"/>
      <c r="V1215" s="2"/>
      <c r="W1215" s="15"/>
      <c r="X1215" s="15"/>
      <c r="Y1215" s="15"/>
      <c r="Z1215" s="15"/>
      <c r="AA1215" s="1"/>
      <c r="AB1215" s="10">
        <v>48.0</v>
      </c>
      <c r="AC1215" s="14">
        <v>45825.0</v>
      </c>
      <c r="AD1215" s="14">
        <v>47285.0</v>
      </c>
      <c r="AE1215" s="10">
        <f t="shared" ref="AE1215:AE1216" si="95">AD1215-TODAY()</f>
        <v>1194</v>
      </c>
      <c r="AF1215" s="2"/>
      <c r="AG1215" s="10" t="s">
        <v>1498</v>
      </c>
      <c r="AH1215" s="12" t="s">
        <v>46</v>
      </c>
      <c r="AI1215" s="10" t="s">
        <v>227</v>
      </c>
      <c r="AJ1215" s="10" t="s">
        <v>390</v>
      </c>
      <c r="AK1215" s="16" t="s">
        <v>45</v>
      </c>
      <c r="AL1215" s="10" t="s">
        <v>49</v>
      </c>
      <c r="AM1215" s="10" t="s">
        <v>508</v>
      </c>
      <c r="AN1215" s="10" t="s">
        <v>320</v>
      </c>
    </row>
    <row r="1216" ht="30.0" customHeight="1">
      <c r="A1216" s="9" t="str">
        <f t="shared" si="48"/>
        <v>N/I</v>
      </c>
      <c r="B1216" s="9" t="str">
        <f t="shared" si="49"/>
        <v>N/I</v>
      </c>
      <c r="C1216" s="9" t="str">
        <f t="shared" si="80"/>
        <v>Ativo</v>
      </c>
      <c r="D1216" s="10" t="s">
        <v>3571</v>
      </c>
      <c r="E1216" s="11" t="s">
        <v>3572</v>
      </c>
      <c r="F1216" s="11" t="s">
        <v>3786</v>
      </c>
      <c r="G1216" s="12" t="s">
        <v>3579</v>
      </c>
      <c r="H1216" s="27" t="s">
        <v>3787</v>
      </c>
      <c r="I1216" s="12" t="s">
        <v>3788</v>
      </c>
      <c r="J1216" s="10" t="s">
        <v>216</v>
      </c>
      <c r="K1216" s="10" t="s">
        <v>40</v>
      </c>
      <c r="L1216" s="10" t="s">
        <v>6</v>
      </c>
      <c r="M1216" s="22">
        <v>45824.0</v>
      </c>
      <c r="N1216" s="32" t="s">
        <v>3789</v>
      </c>
      <c r="O1216" s="10" t="s">
        <v>3790</v>
      </c>
      <c r="P1216" s="10" t="s">
        <v>3603</v>
      </c>
      <c r="Q1216" s="2"/>
      <c r="R1216" s="15"/>
      <c r="S1216" s="15"/>
      <c r="T1216" s="15"/>
      <c r="U1216" s="15"/>
      <c r="V1216" s="2"/>
      <c r="W1216" s="15"/>
      <c r="X1216" s="15"/>
      <c r="Y1216" s="15"/>
      <c r="Z1216" s="15"/>
      <c r="AA1216" s="1"/>
      <c r="AB1216" s="10">
        <v>48.0</v>
      </c>
      <c r="AC1216" s="14">
        <v>45824.0</v>
      </c>
      <c r="AD1216" s="14">
        <v>47284.0</v>
      </c>
      <c r="AE1216" s="10">
        <f t="shared" si="95"/>
        <v>1193</v>
      </c>
      <c r="AF1216" s="2"/>
      <c r="AG1216" s="10" t="s">
        <v>1498</v>
      </c>
      <c r="AH1216" s="12" t="s">
        <v>46</v>
      </c>
      <c r="AI1216" s="10" t="s">
        <v>227</v>
      </c>
      <c r="AJ1216" s="10" t="s">
        <v>390</v>
      </c>
      <c r="AK1216" s="16" t="s">
        <v>45</v>
      </c>
      <c r="AL1216" s="10" t="s">
        <v>49</v>
      </c>
      <c r="AM1216" s="10" t="s">
        <v>508</v>
      </c>
      <c r="AN1216" s="10" t="s">
        <v>320</v>
      </c>
    </row>
    <row r="1217" ht="30.0" customHeight="1">
      <c r="A1217" s="9" t="str">
        <f t="shared" si="48"/>
        <v>N/I</v>
      </c>
      <c r="B1217" s="9" t="str">
        <f t="shared" si="49"/>
        <v>N/I</v>
      </c>
      <c r="C1217" s="9" t="str">
        <f t="shared" si="80"/>
        <v>N/I</v>
      </c>
      <c r="D1217" s="10" t="s">
        <v>3571</v>
      </c>
      <c r="E1217" s="11" t="s">
        <v>3572</v>
      </c>
      <c r="F1217" s="32" t="s">
        <v>3786</v>
      </c>
      <c r="G1217" s="12" t="s">
        <v>1691</v>
      </c>
      <c r="H1217" s="25" t="s">
        <v>187</v>
      </c>
      <c r="I1217" s="12" t="s">
        <v>3788</v>
      </c>
      <c r="J1217" s="10" t="s">
        <v>216</v>
      </c>
      <c r="K1217" s="10" t="s">
        <v>40</v>
      </c>
      <c r="L1217" s="10" t="s">
        <v>6</v>
      </c>
      <c r="M1217" s="24" t="s">
        <v>193</v>
      </c>
      <c r="N1217" s="11" t="s">
        <v>3791</v>
      </c>
      <c r="O1217" s="10" t="s">
        <v>3792</v>
      </c>
      <c r="P1217" s="10" t="s">
        <v>3577</v>
      </c>
      <c r="Q1217" s="2"/>
      <c r="R1217" s="15"/>
      <c r="S1217" s="15"/>
      <c r="T1217" s="15"/>
      <c r="U1217" s="15"/>
      <c r="V1217" s="2"/>
      <c r="W1217" s="15"/>
      <c r="X1217" s="15"/>
      <c r="Y1217" s="15"/>
      <c r="Z1217" s="15"/>
      <c r="AA1217" s="1"/>
      <c r="AB1217" s="10">
        <v>48.0</v>
      </c>
      <c r="AC1217" s="49" t="s">
        <v>1489</v>
      </c>
      <c r="AD1217" s="49" t="s">
        <v>1489</v>
      </c>
      <c r="AE1217" s="10"/>
      <c r="AF1217" s="2"/>
      <c r="AG1217" s="10" t="s">
        <v>290</v>
      </c>
      <c r="AH1217" s="12" t="s">
        <v>46</v>
      </c>
      <c r="AI1217" s="10" t="s">
        <v>291</v>
      </c>
      <c r="AJ1217" s="10" t="s">
        <v>292</v>
      </c>
      <c r="AK1217" s="16" t="s">
        <v>45</v>
      </c>
      <c r="AL1217" s="10" t="s">
        <v>49</v>
      </c>
      <c r="AM1217" s="16" t="s">
        <v>45</v>
      </c>
      <c r="AN1217" s="10" t="s">
        <v>50</v>
      </c>
    </row>
    <row r="1218" ht="30.0" customHeight="1">
      <c r="A1218" s="9" t="str">
        <f t="shared" si="48"/>
        <v>N/I</v>
      </c>
      <c r="B1218" s="9" t="str">
        <f t="shared" si="49"/>
        <v>N/I</v>
      </c>
      <c r="C1218" s="9" t="str">
        <f t="shared" si="80"/>
        <v>N/I</v>
      </c>
      <c r="D1218" s="10" t="s">
        <v>3571</v>
      </c>
      <c r="E1218" s="11" t="s">
        <v>3572</v>
      </c>
      <c r="F1218" s="32" t="s">
        <v>3793</v>
      </c>
      <c r="G1218" s="12" t="s">
        <v>3579</v>
      </c>
      <c r="H1218" s="25" t="s">
        <v>187</v>
      </c>
      <c r="I1218" s="12" t="s">
        <v>3794</v>
      </c>
      <c r="J1218" s="10" t="s">
        <v>216</v>
      </c>
      <c r="K1218" s="10" t="s">
        <v>40</v>
      </c>
      <c r="L1218" s="10" t="s">
        <v>6</v>
      </c>
      <c r="M1218" s="24" t="s">
        <v>193</v>
      </c>
      <c r="N1218" s="11" t="s">
        <v>3795</v>
      </c>
      <c r="O1218" s="10" t="s">
        <v>3796</v>
      </c>
      <c r="P1218" s="10" t="s">
        <v>3583</v>
      </c>
      <c r="Q1218" s="2"/>
      <c r="R1218" s="15"/>
      <c r="S1218" s="15"/>
      <c r="T1218" s="15"/>
      <c r="U1218" s="15"/>
      <c r="V1218" s="2"/>
      <c r="W1218" s="15"/>
      <c r="X1218" s="15"/>
      <c r="Y1218" s="15"/>
      <c r="Z1218" s="15"/>
      <c r="AA1218" s="1"/>
      <c r="AB1218" s="10">
        <v>48.0</v>
      </c>
      <c r="AC1218" s="49" t="s">
        <v>1489</v>
      </c>
      <c r="AD1218" s="49" t="s">
        <v>1489</v>
      </c>
      <c r="AE1218" s="10"/>
      <c r="AF1218" s="2"/>
      <c r="AG1218" s="10" t="s">
        <v>1498</v>
      </c>
      <c r="AH1218" s="12" t="s">
        <v>46</v>
      </c>
      <c r="AI1218" s="10" t="s">
        <v>227</v>
      </c>
      <c r="AJ1218" s="10" t="s">
        <v>390</v>
      </c>
      <c r="AK1218" s="16" t="s">
        <v>45</v>
      </c>
      <c r="AL1218" s="10" t="s">
        <v>49</v>
      </c>
      <c r="AM1218" s="10" t="s">
        <v>508</v>
      </c>
      <c r="AN1218" s="16"/>
    </row>
    <row r="1219" ht="30.0" customHeight="1">
      <c r="A1219" s="9" t="str">
        <f t="shared" si="48"/>
        <v>N/I</v>
      </c>
      <c r="B1219" s="9" t="str">
        <f t="shared" si="49"/>
        <v>N/I</v>
      </c>
      <c r="C1219" s="9" t="str">
        <f t="shared" si="80"/>
        <v>Ativo</v>
      </c>
      <c r="D1219" s="10" t="s">
        <v>3571</v>
      </c>
      <c r="E1219" s="11" t="s">
        <v>3572</v>
      </c>
      <c r="F1219" s="11" t="s">
        <v>3797</v>
      </c>
      <c r="G1219" s="12" t="s">
        <v>1691</v>
      </c>
      <c r="H1219" s="34" t="s">
        <v>3798</v>
      </c>
      <c r="I1219" s="12" t="s">
        <v>2461</v>
      </c>
      <c r="J1219" s="10" t="s">
        <v>216</v>
      </c>
      <c r="K1219" s="10" t="s">
        <v>40</v>
      </c>
      <c r="L1219" s="10" t="s">
        <v>6</v>
      </c>
      <c r="M1219" s="22">
        <v>45353.0</v>
      </c>
      <c r="N1219" s="32" t="s">
        <v>3799</v>
      </c>
      <c r="O1219" s="10" t="s">
        <v>3800</v>
      </c>
      <c r="P1219" s="10" t="s">
        <v>3593</v>
      </c>
      <c r="Q1219" s="2"/>
      <c r="R1219" s="15"/>
      <c r="S1219" s="15"/>
      <c r="T1219" s="15"/>
      <c r="U1219" s="15"/>
      <c r="V1219" s="2"/>
      <c r="W1219" s="15"/>
      <c r="X1219" s="15"/>
      <c r="Y1219" s="15"/>
      <c r="Z1219" s="15"/>
      <c r="AA1219" s="1"/>
      <c r="AB1219" s="10">
        <v>48.0</v>
      </c>
      <c r="AC1219" s="14">
        <v>45169.0</v>
      </c>
      <c r="AD1219" s="14">
        <v>46630.0</v>
      </c>
      <c r="AE1219" s="10">
        <f t="shared" ref="AE1219:AE1227" si="96">AD1219-TODAY()</f>
        <v>539</v>
      </c>
      <c r="AF1219" s="2"/>
      <c r="AG1219" s="10" t="s">
        <v>1498</v>
      </c>
      <c r="AH1219" s="12" t="s">
        <v>46</v>
      </c>
      <c r="AI1219" s="10" t="s">
        <v>227</v>
      </c>
      <c r="AJ1219" s="10" t="s">
        <v>390</v>
      </c>
      <c r="AK1219" s="12" t="s">
        <v>3594</v>
      </c>
      <c r="AL1219" s="10" t="s">
        <v>49</v>
      </c>
      <c r="AM1219" s="10" t="s">
        <v>508</v>
      </c>
      <c r="AN1219" s="10" t="s">
        <v>320</v>
      </c>
    </row>
    <row r="1220" ht="30.0" customHeight="1">
      <c r="A1220" s="9" t="str">
        <f t="shared" si="48"/>
        <v>N/I</v>
      </c>
      <c r="B1220" s="9" t="str">
        <f t="shared" si="49"/>
        <v>N/I</v>
      </c>
      <c r="C1220" s="9" t="str">
        <f t="shared" si="80"/>
        <v>Ativo</v>
      </c>
      <c r="D1220" s="10" t="s">
        <v>3571</v>
      </c>
      <c r="E1220" s="11" t="s">
        <v>3572</v>
      </c>
      <c r="F1220" s="11" t="s">
        <v>3801</v>
      </c>
      <c r="G1220" s="12" t="s">
        <v>1691</v>
      </c>
      <c r="H1220" s="34" t="s">
        <v>3802</v>
      </c>
      <c r="I1220" s="12" t="s">
        <v>2461</v>
      </c>
      <c r="J1220" s="10" t="s">
        <v>216</v>
      </c>
      <c r="K1220" s="10" t="s">
        <v>40</v>
      </c>
      <c r="L1220" s="10" t="s">
        <v>6</v>
      </c>
      <c r="M1220" s="22">
        <v>45353.0</v>
      </c>
      <c r="N1220" s="32" t="s">
        <v>3799</v>
      </c>
      <c r="O1220" s="10" t="s">
        <v>3800</v>
      </c>
      <c r="P1220" s="10" t="s">
        <v>3593</v>
      </c>
      <c r="Q1220" s="2"/>
      <c r="R1220" s="15"/>
      <c r="S1220" s="15"/>
      <c r="T1220" s="15"/>
      <c r="U1220" s="15"/>
      <c r="V1220" s="2"/>
      <c r="W1220" s="15"/>
      <c r="X1220" s="15"/>
      <c r="Y1220" s="15"/>
      <c r="Z1220" s="15"/>
      <c r="AA1220" s="1"/>
      <c r="AB1220" s="10">
        <v>48.0</v>
      </c>
      <c r="AC1220" s="14">
        <v>45169.0</v>
      </c>
      <c r="AD1220" s="14">
        <v>46630.0</v>
      </c>
      <c r="AE1220" s="10">
        <f t="shared" si="96"/>
        <v>539</v>
      </c>
      <c r="AF1220" s="2"/>
      <c r="AG1220" s="10" t="s">
        <v>1498</v>
      </c>
      <c r="AH1220" s="12" t="s">
        <v>46</v>
      </c>
      <c r="AI1220" s="10" t="s">
        <v>227</v>
      </c>
      <c r="AJ1220" s="10" t="s">
        <v>390</v>
      </c>
      <c r="AK1220" s="12" t="s">
        <v>3594</v>
      </c>
      <c r="AL1220" s="10" t="s">
        <v>49</v>
      </c>
      <c r="AM1220" s="10" t="s">
        <v>508</v>
      </c>
      <c r="AN1220" s="10" t="s">
        <v>320</v>
      </c>
    </row>
    <row r="1221" ht="30.0" customHeight="1">
      <c r="A1221" s="9" t="str">
        <f t="shared" si="48"/>
        <v>N/I</v>
      </c>
      <c r="B1221" s="9" t="str">
        <f t="shared" si="49"/>
        <v>N/I</v>
      </c>
      <c r="C1221" s="9" t="str">
        <f t="shared" si="80"/>
        <v>Ativo</v>
      </c>
      <c r="D1221" s="10" t="s">
        <v>3571</v>
      </c>
      <c r="E1221" s="11" t="s">
        <v>3572</v>
      </c>
      <c r="F1221" s="11" t="s">
        <v>3803</v>
      </c>
      <c r="G1221" s="12" t="s">
        <v>1691</v>
      </c>
      <c r="H1221" s="34" t="s">
        <v>3804</v>
      </c>
      <c r="I1221" s="12" t="s">
        <v>2461</v>
      </c>
      <c r="J1221" s="10" t="s">
        <v>216</v>
      </c>
      <c r="K1221" s="10" t="s">
        <v>40</v>
      </c>
      <c r="L1221" s="10" t="s">
        <v>6</v>
      </c>
      <c r="M1221" s="22">
        <v>45358.0</v>
      </c>
      <c r="N1221" s="32" t="s">
        <v>3805</v>
      </c>
      <c r="O1221" s="10" t="s">
        <v>3806</v>
      </c>
      <c r="P1221" s="10" t="s">
        <v>3593</v>
      </c>
      <c r="Q1221" s="2"/>
      <c r="R1221" s="15"/>
      <c r="S1221" s="15"/>
      <c r="T1221" s="15"/>
      <c r="U1221" s="15"/>
      <c r="V1221" s="2"/>
      <c r="W1221" s="15"/>
      <c r="X1221" s="15"/>
      <c r="Y1221" s="15"/>
      <c r="Z1221" s="15"/>
      <c r="AA1221" s="1"/>
      <c r="AB1221" s="10">
        <v>48.0</v>
      </c>
      <c r="AC1221" s="14">
        <v>45169.0</v>
      </c>
      <c r="AD1221" s="14">
        <v>46630.0</v>
      </c>
      <c r="AE1221" s="10">
        <f t="shared" si="96"/>
        <v>539</v>
      </c>
      <c r="AF1221" s="2"/>
      <c r="AG1221" s="10" t="s">
        <v>1498</v>
      </c>
      <c r="AH1221" s="12" t="s">
        <v>46</v>
      </c>
      <c r="AI1221" s="10" t="s">
        <v>227</v>
      </c>
      <c r="AJ1221" s="10" t="s">
        <v>390</v>
      </c>
      <c r="AK1221" s="12" t="s">
        <v>3594</v>
      </c>
      <c r="AL1221" s="10" t="s">
        <v>49</v>
      </c>
      <c r="AM1221" s="10" t="s">
        <v>508</v>
      </c>
      <c r="AN1221" s="10" t="s">
        <v>320</v>
      </c>
    </row>
    <row r="1222" ht="30.0" customHeight="1">
      <c r="A1222" s="9" t="str">
        <f t="shared" si="48"/>
        <v>N/I</v>
      </c>
      <c r="B1222" s="9" t="str">
        <f t="shared" si="49"/>
        <v>N/I</v>
      </c>
      <c r="C1222" s="9" t="str">
        <f t="shared" si="80"/>
        <v>Ativo</v>
      </c>
      <c r="D1222" s="10" t="s">
        <v>3571</v>
      </c>
      <c r="E1222" s="11" t="s">
        <v>3572</v>
      </c>
      <c r="F1222" s="11" t="s">
        <v>3807</v>
      </c>
      <c r="G1222" s="12" t="s">
        <v>1691</v>
      </c>
      <c r="H1222" s="16" t="s">
        <v>3808</v>
      </c>
      <c r="I1222" s="12" t="s">
        <v>2461</v>
      </c>
      <c r="J1222" s="10" t="s">
        <v>216</v>
      </c>
      <c r="K1222" s="10" t="s">
        <v>40</v>
      </c>
      <c r="L1222" s="10" t="s">
        <v>6</v>
      </c>
      <c r="M1222" s="22">
        <v>45607.0</v>
      </c>
      <c r="N1222" s="32" t="s">
        <v>3809</v>
      </c>
      <c r="O1222" s="10" t="s">
        <v>3810</v>
      </c>
      <c r="P1222" s="10" t="s">
        <v>3593</v>
      </c>
      <c r="Q1222" s="2"/>
      <c r="R1222" s="15"/>
      <c r="S1222" s="15"/>
      <c r="T1222" s="15"/>
      <c r="U1222" s="15"/>
      <c r="V1222" s="2"/>
      <c r="W1222" s="15"/>
      <c r="X1222" s="15"/>
      <c r="Y1222" s="15"/>
      <c r="Z1222" s="15"/>
      <c r="AA1222" s="1"/>
      <c r="AB1222" s="10">
        <v>48.0</v>
      </c>
      <c r="AC1222" s="14">
        <v>45169.0</v>
      </c>
      <c r="AD1222" s="14">
        <v>46630.0</v>
      </c>
      <c r="AE1222" s="10">
        <f t="shared" si="96"/>
        <v>539</v>
      </c>
      <c r="AF1222" s="2"/>
      <c r="AG1222" s="10" t="s">
        <v>1498</v>
      </c>
      <c r="AH1222" s="12" t="s">
        <v>46</v>
      </c>
      <c r="AI1222" s="10" t="s">
        <v>227</v>
      </c>
      <c r="AJ1222" s="10" t="s">
        <v>390</v>
      </c>
      <c r="AK1222" s="12" t="s">
        <v>3594</v>
      </c>
      <c r="AL1222" s="10" t="s">
        <v>49</v>
      </c>
      <c r="AM1222" s="10" t="s">
        <v>508</v>
      </c>
      <c r="AN1222" s="10" t="s">
        <v>320</v>
      </c>
    </row>
    <row r="1223" ht="30.0" customHeight="1">
      <c r="A1223" s="9" t="str">
        <f t="shared" si="48"/>
        <v>N/I</v>
      </c>
      <c r="B1223" s="9" t="str">
        <f t="shared" si="49"/>
        <v>N/I</v>
      </c>
      <c r="C1223" s="9" t="str">
        <f t="shared" si="80"/>
        <v>Ativo</v>
      </c>
      <c r="D1223" s="10" t="s">
        <v>3571</v>
      </c>
      <c r="E1223" s="11" t="s">
        <v>3572</v>
      </c>
      <c r="F1223" s="11" t="s">
        <v>3811</v>
      </c>
      <c r="G1223" s="12" t="s">
        <v>3579</v>
      </c>
      <c r="H1223" s="13" t="s">
        <v>3812</v>
      </c>
      <c r="I1223" s="12" t="s">
        <v>2461</v>
      </c>
      <c r="J1223" s="10" t="s">
        <v>216</v>
      </c>
      <c r="K1223" s="10" t="s">
        <v>40</v>
      </c>
      <c r="L1223" s="10" t="s">
        <v>6</v>
      </c>
      <c r="M1223" s="22">
        <v>45516.0</v>
      </c>
      <c r="N1223" s="32" t="s">
        <v>3813</v>
      </c>
      <c r="O1223" s="10" t="s">
        <v>3814</v>
      </c>
      <c r="P1223" s="10" t="s">
        <v>3603</v>
      </c>
      <c r="Q1223" s="2"/>
      <c r="R1223" s="15"/>
      <c r="S1223" s="15"/>
      <c r="T1223" s="15"/>
      <c r="U1223" s="15"/>
      <c r="V1223" s="2"/>
      <c r="W1223" s="15"/>
      <c r="X1223" s="15"/>
      <c r="Y1223" s="15"/>
      <c r="Z1223" s="15"/>
      <c r="AA1223" s="1"/>
      <c r="AB1223" s="10">
        <v>48.0</v>
      </c>
      <c r="AC1223" s="14">
        <v>45566.0</v>
      </c>
      <c r="AD1223" s="14">
        <v>47026.0</v>
      </c>
      <c r="AE1223" s="10">
        <f t="shared" si="96"/>
        <v>935</v>
      </c>
      <c r="AF1223" s="2"/>
      <c r="AG1223" s="10" t="s">
        <v>1498</v>
      </c>
      <c r="AH1223" s="12" t="s">
        <v>46</v>
      </c>
      <c r="AI1223" s="10" t="s">
        <v>227</v>
      </c>
      <c r="AJ1223" s="10" t="s">
        <v>390</v>
      </c>
      <c r="AK1223" s="16" t="s">
        <v>45</v>
      </c>
      <c r="AL1223" s="10" t="s">
        <v>49</v>
      </c>
      <c r="AM1223" s="10" t="s">
        <v>508</v>
      </c>
      <c r="AN1223" s="10" t="s">
        <v>320</v>
      </c>
    </row>
    <row r="1224" ht="30.0" customHeight="1">
      <c r="A1224" s="9" t="str">
        <f t="shared" si="48"/>
        <v>N/I</v>
      </c>
      <c r="B1224" s="9" t="str">
        <f t="shared" si="49"/>
        <v>N/I</v>
      </c>
      <c r="C1224" s="9" t="str">
        <f t="shared" si="80"/>
        <v>Ativo</v>
      </c>
      <c r="D1224" s="10" t="s">
        <v>3571</v>
      </c>
      <c r="E1224" s="11" t="s">
        <v>3572</v>
      </c>
      <c r="F1224" s="11" t="s">
        <v>3815</v>
      </c>
      <c r="G1224" s="12" t="s">
        <v>3579</v>
      </c>
      <c r="H1224" s="13" t="s">
        <v>3816</v>
      </c>
      <c r="I1224" s="12" t="s">
        <v>2461</v>
      </c>
      <c r="J1224" s="10" t="s">
        <v>216</v>
      </c>
      <c r="K1224" s="10" t="s">
        <v>40</v>
      </c>
      <c r="L1224" s="10" t="s">
        <v>6</v>
      </c>
      <c r="M1224" s="22">
        <v>45516.0</v>
      </c>
      <c r="N1224" s="32" t="s">
        <v>3817</v>
      </c>
      <c r="O1224" s="10" t="s">
        <v>3800</v>
      </c>
      <c r="P1224" s="10" t="s">
        <v>3603</v>
      </c>
      <c r="Q1224" s="2"/>
      <c r="R1224" s="15"/>
      <c r="S1224" s="15"/>
      <c r="T1224" s="15"/>
      <c r="U1224" s="15"/>
      <c r="V1224" s="2"/>
      <c r="W1224" s="15"/>
      <c r="X1224" s="15"/>
      <c r="Y1224" s="15"/>
      <c r="Z1224" s="15"/>
      <c r="AA1224" s="1"/>
      <c r="AB1224" s="10">
        <v>48.0</v>
      </c>
      <c r="AC1224" s="14">
        <v>45566.0</v>
      </c>
      <c r="AD1224" s="14">
        <v>47026.0</v>
      </c>
      <c r="AE1224" s="10">
        <f t="shared" si="96"/>
        <v>935</v>
      </c>
      <c r="AF1224" s="2"/>
      <c r="AG1224" s="10" t="s">
        <v>1498</v>
      </c>
      <c r="AH1224" s="12" t="s">
        <v>46</v>
      </c>
      <c r="AI1224" s="10" t="s">
        <v>227</v>
      </c>
      <c r="AJ1224" s="10" t="s">
        <v>390</v>
      </c>
      <c r="AK1224" s="16" t="s">
        <v>45</v>
      </c>
      <c r="AL1224" s="10" t="s">
        <v>49</v>
      </c>
      <c r="AM1224" s="10" t="s">
        <v>508</v>
      </c>
      <c r="AN1224" s="10" t="s">
        <v>320</v>
      </c>
    </row>
    <row r="1225" ht="30.0" customHeight="1">
      <c r="A1225" s="9" t="str">
        <f t="shared" si="48"/>
        <v>N/I</v>
      </c>
      <c r="B1225" s="9" t="str">
        <f t="shared" si="49"/>
        <v>N/I</v>
      </c>
      <c r="C1225" s="9" t="str">
        <f t="shared" si="80"/>
        <v>Ativo</v>
      </c>
      <c r="D1225" s="10" t="s">
        <v>3571</v>
      </c>
      <c r="E1225" s="11" t="s">
        <v>3572</v>
      </c>
      <c r="F1225" s="11" t="s">
        <v>3801</v>
      </c>
      <c r="G1225" s="12" t="s">
        <v>3579</v>
      </c>
      <c r="H1225" s="27" t="s">
        <v>3818</v>
      </c>
      <c r="I1225" s="12" t="s">
        <v>2461</v>
      </c>
      <c r="J1225" s="10" t="s">
        <v>216</v>
      </c>
      <c r="K1225" s="10" t="s">
        <v>40</v>
      </c>
      <c r="L1225" s="10" t="s">
        <v>6</v>
      </c>
      <c r="M1225" s="22">
        <v>45831.0</v>
      </c>
      <c r="N1225" s="32" t="s">
        <v>3799</v>
      </c>
      <c r="O1225" s="10" t="s">
        <v>3800</v>
      </c>
      <c r="P1225" s="10" t="s">
        <v>3603</v>
      </c>
      <c r="Q1225" s="2"/>
      <c r="R1225" s="15"/>
      <c r="S1225" s="15"/>
      <c r="T1225" s="15"/>
      <c r="U1225" s="15"/>
      <c r="V1225" s="2"/>
      <c r="W1225" s="15"/>
      <c r="X1225" s="15"/>
      <c r="Y1225" s="15"/>
      <c r="Z1225" s="15"/>
      <c r="AA1225" s="1"/>
      <c r="AB1225" s="10">
        <v>48.0</v>
      </c>
      <c r="AC1225" s="14">
        <v>45831.0</v>
      </c>
      <c r="AD1225" s="14">
        <v>47291.0</v>
      </c>
      <c r="AE1225" s="10">
        <f t="shared" si="96"/>
        <v>1200</v>
      </c>
      <c r="AF1225" s="2"/>
      <c r="AG1225" s="10" t="s">
        <v>1498</v>
      </c>
      <c r="AH1225" s="12" t="s">
        <v>46</v>
      </c>
      <c r="AI1225" s="10" t="s">
        <v>227</v>
      </c>
      <c r="AJ1225" s="10" t="s">
        <v>390</v>
      </c>
      <c r="AK1225" s="16" t="s">
        <v>45</v>
      </c>
      <c r="AL1225" s="10" t="s">
        <v>49</v>
      </c>
      <c r="AM1225" s="10" t="s">
        <v>508</v>
      </c>
      <c r="AN1225" s="10" t="s">
        <v>320</v>
      </c>
    </row>
    <row r="1226" ht="30.0" customHeight="1">
      <c r="A1226" s="9" t="str">
        <f t="shared" si="48"/>
        <v>N/I</v>
      </c>
      <c r="B1226" s="9" t="str">
        <f t="shared" si="49"/>
        <v>N/I</v>
      </c>
      <c r="C1226" s="9" t="str">
        <f t="shared" si="80"/>
        <v>Ativo</v>
      </c>
      <c r="D1226" s="10" t="s">
        <v>3571</v>
      </c>
      <c r="E1226" s="11" t="s">
        <v>3572</v>
      </c>
      <c r="F1226" s="11" t="s">
        <v>3819</v>
      </c>
      <c r="G1226" s="12" t="s">
        <v>3579</v>
      </c>
      <c r="H1226" s="27" t="s">
        <v>3820</v>
      </c>
      <c r="I1226" s="12" t="s">
        <v>3821</v>
      </c>
      <c r="J1226" s="10" t="s">
        <v>216</v>
      </c>
      <c r="K1226" s="10" t="s">
        <v>40</v>
      </c>
      <c r="L1226" s="10" t="s">
        <v>6</v>
      </c>
      <c r="M1226" s="22">
        <v>45533.0</v>
      </c>
      <c r="N1226" s="32" t="s">
        <v>3822</v>
      </c>
      <c r="O1226" s="10" t="s">
        <v>3823</v>
      </c>
      <c r="P1226" s="10" t="s">
        <v>3603</v>
      </c>
      <c r="Q1226" s="2"/>
      <c r="R1226" s="15"/>
      <c r="S1226" s="15"/>
      <c r="T1226" s="15"/>
      <c r="U1226" s="15"/>
      <c r="V1226" s="2"/>
      <c r="W1226" s="15"/>
      <c r="X1226" s="15"/>
      <c r="Y1226" s="15"/>
      <c r="Z1226" s="15"/>
      <c r="AA1226" s="1"/>
      <c r="AB1226" s="10">
        <v>48.0</v>
      </c>
      <c r="AC1226" s="14">
        <v>45566.0</v>
      </c>
      <c r="AD1226" s="14">
        <v>47026.0</v>
      </c>
      <c r="AE1226" s="10">
        <f t="shared" si="96"/>
        <v>935</v>
      </c>
      <c r="AF1226" s="2"/>
      <c r="AG1226" s="10" t="s">
        <v>1498</v>
      </c>
      <c r="AH1226" s="12" t="s">
        <v>46</v>
      </c>
      <c r="AI1226" s="10" t="s">
        <v>227</v>
      </c>
      <c r="AJ1226" s="10" t="s">
        <v>390</v>
      </c>
      <c r="AK1226" s="16" t="s">
        <v>45</v>
      </c>
      <c r="AL1226" s="10" t="s">
        <v>49</v>
      </c>
      <c r="AM1226" s="10" t="s">
        <v>508</v>
      </c>
      <c r="AN1226" s="10" t="s">
        <v>320</v>
      </c>
    </row>
    <row r="1227" ht="30.0" customHeight="1">
      <c r="A1227" s="9" t="str">
        <f t="shared" si="48"/>
        <v>N/I</v>
      </c>
      <c r="B1227" s="9" t="str">
        <f t="shared" si="49"/>
        <v>N/I</v>
      </c>
      <c r="C1227" s="9" t="str">
        <f t="shared" si="80"/>
        <v>Ativo</v>
      </c>
      <c r="D1227" s="10" t="s">
        <v>3571</v>
      </c>
      <c r="E1227" s="11" t="s">
        <v>3572</v>
      </c>
      <c r="F1227" s="11" t="s">
        <v>3824</v>
      </c>
      <c r="G1227" s="12" t="s">
        <v>3579</v>
      </c>
      <c r="H1227" s="13" t="s">
        <v>3825</v>
      </c>
      <c r="I1227" s="12" t="s">
        <v>3826</v>
      </c>
      <c r="J1227" s="10" t="s">
        <v>216</v>
      </c>
      <c r="K1227" s="10" t="s">
        <v>40</v>
      </c>
      <c r="L1227" s="10" t="s">
        <v>6</v>
      </c>
      <c r="M1227" s="22">
        <v>45525.0</v>
      </c>
      <c r="N1227" s="32" t="s">
        <v>3827</v>
      </c>
      <c r="O1227" s="10" t="s">
        <v>3828</v>
      </c>
      <c r="P1227" s="10" t="s">
        <v>3603</v>
      </c>
      <c r="Q1227" s="2"/>
      <c r="R1227" s="15"/>
      <c r="S1227" s="15"/>
      <c r="T1227" s="15"/>
      <c r="U1227" s="15"/>
      <c r="V1227" s="2"/>
      <c r="W1227" s="15"/>
      <c r="X1227" s="15"/>
      <c r="Y1227" s="15"/>
      <c r="Z1227" s="15"/>
      <c r="AA1227" s="1"/>
      <c r="AB1227" s="10">
        <v>48.0</v>
      </c>
      <c r="AC1227" s="14">
        <v>45566.0</v>
      </c>
      <c r="AD1227" s="14">
        <v>47026.0</v>
      </c>
      <c r="AE1227" s="10">
        <f t="shared" si="96"/>
        <v>935</v>
      </c>
      <c r="AF1227" s="2"/>
      <c r="AG1227" s="10" t="s">
        <v>1498</v>
      </c>
      <c r="AH1227" s="12" t="s">
        <v>46</v>
      </c>
      <c r="AI1227" s="10" t="s">
        <v>227</v>
      </c>
      <c r="AJ1227" s="10" t="s">
        <v>390</v>
      </c>
      <c r="AK1227" s="16" t="s">
        <v>45</v>
      </c>
      <c r="AL1227" s="10" t="s">
        <v>49</v>
      </c>
      <c r="AM1227" s="10" t="s">
        <v>508</v>
      </c>
      <c r="AN1227" s="10" t="s">
        <v>320</v>
      </c>
    </row>
    <row r="1228" ht="30.0" customHeight="1">
      <c r="A1228" s="9" t="str">
        <f t="shared" si="48"/>
        <v>N/I</v>
      </c>
      <c r="B1228" s="9" t="str">
        <f t="shared" si="49"/>
        <v>N/I</v>
      </c>
      <c r="C1228" s="9" t="str">
        <f t="shared" si="80"/>
        <v>N/I</v>
      </c>
      <c r="D1228" s="10" t="s">
        <v>3571</v>
      </c>
      <c r="E1228" s="11" t="s">
        <v>3572</v>
      </c>
      <c r="F1228" s="32" t="s">
        <v>3829</v>
      </c>
      <c r="G1228" s="12" t="s">
        <v>3579</v>
      </c>
      <c r="H1228" s="25" t="s">
        <v>187</v>
      </c>
      <c r="I1228" s="12" t="s">
        <v>3830</v>
      </c>
      <c r="J1228" s="10" t="s">
        <v>216</v>
      </c>
      <c r="K1228" s="10" t="s">
        <v>40</v>
      </c>
      <c r="L1228" s="10" t="s">
        <v>6</v>
      </c>
      <c r="M1228" s="24" t="s">
        <v>193</v>
      </c>
      <c r="N1228" s="11" t="s">
        <v>3831</v>
      </c>
      <c r="O1228" s="10" t="s">
        <v>3832</v>
      </c>
      <c r="P1228" s="10" t="s">
        <v>3583</v>
      </c>
      <c r="Q1228" s="2"/>
      <c r="R1228" s="10">
        <v>60.0</v>
      </c>
      <c r="S1228" s="45" t="s">
        <v>187</v>
      </c>
      <c r="T1228" s="45" t="s">
        <v>187</v>
      </c>
      <c r="U1228" s="10"/>
      <c r="V1228" s="2"/>
      <c r="W1228" s="15"/>
      <c r="X1228" s="15"/>
      <c r="Y1228" s="15"/>
      <c r="Z1228" s="15"/>
      <c r="AA1228" s="1"/>
      <c r="AB1228" s="10">
        <v>48.0</v>
      </c>
      <c r="AC1228" s="49" t="s">
        <v>1489</v>
      </c>
      <c r="AD1228" s="49" t="s">
        <v>1489</v>
      </c>
      <c r="AE1228" s="10"/>
      <c r="AF1228" s="2"/>
      <c r="AG1228" s="10" t="s">
        <v>290</v>
      </c>
      <c r="AH1228" s="10" t="s">
        <v>318</v>
      </c>
      <c r="AI1228" s="10" t="s">
        <v>319</v>
      </c>
      <c r="AJ1228" s="10" t="s">
        <v>291</v>
      </c>
      <c r="AK1228" s="16" t="s">
        <v>45</v>
      </c>
      <c r="AL1228" s="10" t="s">
        <v>49</v>
      </c>
      <c r="AM1228" s="10" t="s">
        <v>508</v>
      </c>
      <c r="AN1228" s="10" t="s">
        <v>50</v>
      </c>
    </row>
    <row r="1229" ht="30.0" customHeight="1">
      <c r="A1229" s="9" t="str">
        <f t="shared" si="48"/>
        <v>N/I</v>
      </c>
      <c r="B1229" s="9" t="str">
        <f t="shared" si="49"/>
        <v>N/I</v>
      </c>
      <c r="C1229" s="9" t="str">
        <f t="shared" si="80"/>
        <v>N/I</v>
      </c>
      <c r="D1229" s="10" t="s">
        <v>3571</v>
      </c>
      <c r="E1229" s="11" t="s">
        <v>3572</v>
      </c>
      <c r="F1229" s="32" t="s">
        <v>3833</v>
      </c>
      <c r="G1229" s="12" t="s">
        <v>1691</v>
      </c>
      <c r="H1229" s="25" t="s">
        <v>187</v>
      </c>
      <c r="I1229" s="12" t="s">
        <v>3834</v>
      </c>
      <c r="J1229" s="10" t="s">
        <v>216</v>
      </c>
      <c r="K1229" s="10" t="s">
        <v>40</v>
      </c>
      <c r="L1229" s="10" t="s">
        <v>6</v>
      </c>
      <c r="M1229" s="24">
        <v>45972.0</v>
      </c>
      <c r="N1229" s="11" t="s">
        <v>3835</v>
      </c>
      <c r="O1229" s="10" t="s">
        <v>3836</v>
      </c>
      <c r="P1229" s="10" t="s">
        <v>3577</v>
      </c>
      <c r="Q1229" s="2"/>
      <c r="R1229" s="15"/>
      <c r="S1229" s="15"/>
      <c r="T1229" s="15"/>
      <c r="U1229" s="15"/>
      <c r="V1229" s="2"/>
      <c r="W1229" s="15"/>
      <c r="X1229" s="15"/>
      <c r="Y1229" s="15"/>
      <c r="Z1229" s="15"/>
      <c r="AA1229" s="1"/>
      <c r="AB1229" s="10">
        <v>48.0</v>
      </c>
      <c r="AC1229" s="49" t="s">
        <v>1489</v>
      </c>
      <c r="AD1229" s="49" t="s">
        <v>1489</v>
      </c>
      <c r="AE1229" s="10"/>
      <c r="AF1229" s="2"/>
      <c r="AG1229" s="10" t="s">
        <v>290</v>
      </c>
      <c r="AH1229" s="12" t="s">
        <v>46</v>
      </c>
      <c r="AI1229" s="10" t="s">
        <v>291</v>
      </c>
      <c r="AJ1229" s="10" t="s">
        <v>292</v>
      </c>
      <c r="AK1229" s="16" t="s">
        <v>45</v>
      </c>
      <c r="AL1229" s="10" t="s">
        <v>49</v>
      </c>
      <c r="AM1229" s="16" t="s">
        <v>45</v>
      </c>
      <c r="AN1229" s="10" t="s">
        <v>50</v>
      </c>
    </row>
    <row r="1230" ht="30.0" customHeight="1">
      <c r="A1230" s="9" t="str">
        <f t="shared" si="48"/>
        <v>N/I</v>
      </c>
      <c r="B1230" s="9" t="str">
        <f t="shared" si="49"/>
        <v>N/I</v>
      </c>
      <c r="C1230" s="9" t="str">
        <f t="shared" si="80"/>
        <v>Ativo</v>
      </c>
      <c r="D1230" s="10" t="s">
        <v>3571</v>
      </c>
      <c r="E1230" s="11" t="s">
        <v>3572</v>
      </c>
      <c r="F1230" s="11" t="s">
        <v>3837</v>
      </c>
      <c r="G1230" s="12" t="s">
        <v>3579</v>
      </c>
      <c r="H1230" s="13" t="s">
        <v>3838</v>
      </c>
      <c r="I1230" s="12" t="s">
        <v>3839</v>
      </c>
      <c r="J1230" s="10" t="s">
        <v>216</v>
      </c>
      <c r="K1230" s="10" t="s">
        <v>40</v>
      </c>
      <c r="L1230" s="10" t="s">
        <v>6</v>
      </c>
      <c r="M1230" s="22">
        <v>45516.0</v>
      </c>
      <c r="N1230" s="32" t="s">
        <v>3840</v>
      </c>
      <c r="O1230" s="10" t="s">
        <v>3841</v>
      </c>
      <c r="P1230" s="10" t="s">
        <v>3603</v>
      </c>
      <c r="Q1230" s="2"/>
      <c r="R1230" s="15"/>
      <c r="S1230" s="15"/>
      <c r="T1230" s="15"/>
      <c r="U1230" s="15"/>
      <c r="V1230" s="2"/>
      <c r="W1230" s="15"/>
      <c r="X1230" s="15"/>
      <c r="Y1230" s="15"/>
      <c r="Z1230" s="15"/>
      <c r="AA1230" s="1"/>
      <c r="AB1230" s="10">
        <v>48.0</v>
      </c>
      <c r="AC1230" s="14">
        <v>45566.0</v>
      </c>
      <c r="AD1230" s="14">
        <v>47026.0</v>
      </c>
      <c r="AE1230" s="10">
        <f>AD1230-TODAY()</f>
        <v>935</v>
      </c>
      <c r="AF1230" s="2"/>
      <c r="AG1230" s="10" t="s">
        <v>1498</v>
      </c>
      <c r="AH1230" s="12" t="s">
        <v>46</v>
      </c>
      <c r="AI1230" s="10" t="s">
        <v>227</v>
      </c>
      <c r="AJ1230" s="10" t="s">
        <v>390</v>
      </c>
      <c r="AK1230" s="16" t="s">
        <v>45</v>
      </c>
      <c r="AL1230" s="10" t="s">
        <v>49</v>
      </c>
      <c r="AM1230" s="10" t="s">
        <v>508</v>
      </c>
      <c r="AN1230" s="10" t="s">
        <v>320</v>
      </c>
    </row>
    <row r="1231" ht="30.0" customHeight="1">
      <c r="A1231" s="9" t="str">
        <f t="shared" si="48"/>
        <v>N/I</v>
      </c>
      <c r="B1231" s="9" t="str">
        <f t="shared" si="49"/>
        <v>N/I</v>
      </c>
      <c r="C1231" s="9" t="str">
        <f t="shared" si="80"/>
        <v>N/I</v>
      </c>
      <c r="D1231" s="10" t="s">
        <v>3571</v>
      </c>
      <c r="E1231" s="11" t="s">
        <v>3572</v>
      </c>
      <c r="F1231" s="32" t="s">
        <v>3837</v>
      </c>
      <c r="G1231" s="12" t="s">
        <v>1691</v>
      </c>
      <c r="H1231" s="25" t="s">
        <v>187</v>
      </c>
      <c r="I1231" s="12" t="s">
        <v>3839</v>
      </c>
      <c r="J1231" s="10" t="s">
        <v>216</v>
      </c>
      <c r="K1231" s="10" t="s">
        <v>40</v>
      </c>
      <c r="L1231" s="10" t="s">
        <v>6</v>
      </c>
      <c r="M1231" s="24" t="s">
        <v>193</v>
      </c>
      <c r="N1231" s="11" t="s">
        <v>3842</v>
      </c>
      <c r="O1231" s="10" t="s">
        <v>3843</v>
      </c>
      <c r="P1231" s="10" t="s">
        <v>3577</v>
      </c>
      <c r="Q1231" s="2"/>
      <c r="R1231" s="15"/>
      <c r="S1231" s="15"/>
      <c r="T1231" s="15"/>
      <c r="U1231" s="15"/>
      <c r="V1231" s="2"/>
      <c r="W1231" s="15"/>
      <c r="X1231" s="15"/>
      <c r="Y1231" s="15"/>
      <c r="Z1231" s="15"/>
      <c r="AA1231" s="1"/>
      <c r="AB1231" s="10">
        <v>48.0</v>
      </c>
      <c r="AC1231" s="49" t="s">
        <v>1489</v>
      </c>
      <c r="AD1231" s="49" t="s">
        <v>1489</v>
      </c>
      <c r="AE1231" s="10"/>
      <c r="AF1231" s="2"/>
      <c r="AG1231" s="10" t="s">
        <v>290</v>
      </c>
      <c r="AH1231" s="12" t="s">
        <v>46</v>
      </c>
      <c r="AI1231" s="10" t="s">
        <v>291</v>
      </c>
      <c r="AJ1231" s="10" t="s">
        <v>292</v>
      </c>
      <c r="AK1231" s="16" t="s">
        <v>45</v>
      </c>
      <c r="AL1231" s="10" t="s">
        <v>49</v>
      </c>
      <c r="AM1231" s="16" t="s">
        <v>45</v>
      </c>
      <c r="AN1231" s="10" t="s">
        <v>50</v>
      </c>
    </row>
    <row r="1232" ht="30.0" customHeight="1">
      <c r="A1232" s="9" t="str">
        <f t="shared" si="48"/>
        <v>N/I</v>
      </c>
      <c r="B1232" s="9" t="str">
        <f t="shared" si="49"/>
        <v>N/I</v>
      </c>
      <c r="C1232" s="9" t="str">
        <f t="shared" si="80"/>
        <v>N/I</v>
      </c>
      <c r="D1232" s="10" t="s">
        <v>3571</v>
      </c>
      <c r="E1232" s="11" t="s">
        <v>3572</v>
      </c>
      <c r="F1232" s="32" t="s">
        <v>3844</v>
      </c>
      <c r="G1232" s="12" t="s">
        <v>3579</v>
      </c>
      <c r="H1232" s="25" t="s">
        <v>187</v>
      </c>
      <c r="I1232" s="12" t="s">
        <v>3845</v>
      </c>
      <c r="J1232" s="10" t="s">
        <v>216</v>
      </c>
      <c r="K1232" s="10" t="s">
        <v>40</v>
      </c>
      <c r="L1232" s="10" t="s">
        <v>6</v>
      </c>
      <c r="M1232" s="24" t="s">
        <v>193</v>
      </c>
      <c r="N1232" s="11" t="s">
        <v>3846</v>
      </c>
      <c r="O1232" s="10" t="s">
        <v>3847</v>
      </c>
      <c r="P1232" s="10" t="s">
        <v>3583</v>
      </c>
      <c r="Q1232" s="2"/>
      <c r="R1232" s="15"/>
      <c r="S1232" s="15"/>
      <c r="T1232" s="15"/>
      <c r="U1232" s="15"/>
      <c r="V1232" s="2"/>
      <c r="W1232" s="15"/>
      <c r="X1232" s="15"/>
      <c r="Y1232" s="15"/>
      <c r="Z1232" s="15"/>
      <c r="AA1232" s="1"/>
      <c r="AB1232" s="10">
        <v>48.0</v>
      </c>
      <c r="AC1232" s="49" t="s">
        <v>1489</v>
      </c>
      <c r="AD1232" s="49" t="s">
        <v>1489</v>
      </c>
      <c r="AE1232" s="10"/>
      <c r="AF1232" s="2"/>
      <c r="AG1232" s="10" t="s">
        <v>1498</v>
      </c>
      <c r="AH1232" s="12" t="s">
        <v>46</v>
      </c>
      <c r="AI1232" s="10" t="s">
        <v>227</v>
      </c>
      <c r="AJ1232" s="10" t="s">
        <v>390</v>
      </c>
      <c r="AK1232" s="16" t="s">
        <v>45</v>
      </c>
      <c r="AL1232" s="10" t="s">
        <v>49</v>
      </c>
      <c r="AM1232" s="10" t="s">
        <v>508</v>
      </c>
      <c r="AN1232" s="16"/>
    </row>
    <row r="1233" ht="30.0" customHeight="1">
      <c r="A1233" s="9" t="str">
        <f t="shared" si="48"/>
        <v>N/I</v>
      </c>
      <c r="B1233" s="9" t="str">
        <f t="shared" si="49"/>
        <v>N/I</v>
      </c>
      <c r="C1233" s="9" t="str">
        <f t="shared" si="80"/>
        <v>Ativo</v>
      </c>
      <c r="D1233" s="10" t="s">
        <v>3571</v>
      </c>
      <c r="E1233" s="11" t="s">
        <v>3572</v>
      </c>
      <c r="F1233" s="11" t="s">
        <v>3848</v>
      </c>
      <c r="G1233" s="12" t="s">
        <v>1691</v>
      </c>
      <c r="H1233" s="34" t="s">
        <v>3849</v>
      </c>
      <c r="I1233" s="12" t="s">
        <v>512</v>
      </c>
      <c r="J1233" s="10" t="s">
        <v>216</v>
      </c>
      <c r="K1233" s="10" t="s">
        <v>40</v>
      </c>
      <c r="L1233" s="10" t="s">
        <v>6</v>
      </c>
      <c r="M1233" s="22">
        <v>45268.0</v>
      </c>
      <c r="N1233" s="32" t="s">
        <v>3850</v>
      </c>
      <c r="O1233" s="10" t="s">
        <v>3851</v>
      </c>
      <c r="P1233" s="10" t="s">
        <v>3593</v>
      </c>
      <c r="Q1233" s="2"/>
      <c r="R1233" s="15"/>
      <c r="S1233" s="15"/>
      <c r="T1233" s="15"/>
      <c r="U1233" s="15"/>
      <c r="V1233" s="2"/>
      <c r="W1233" s="15"/>
      <c r="X1233" s="15"/>
      <c r="Y1233" s="15"/>
      <c r="Z1233" s="15"/>
      <c r="AA1233" s="1"/>
      <c r="AB1233" s="10">
        <v>48.0</v>
      </c>
      <c r="AC1233" s="14">
        <v>45169.0</v>
      </c>
      <c r="AD1233" s="14">
        <v>46630.0</v>
      </c>
      <c r="AE1233" s="10">
        <f t="shared" ref="AE1233:AE1234" si="97">AD1233-TODAY()</f>
        <v>539</v>
      </c>
      <c r="AF1233" s="2"/>
      <c r="AG1233" s="10" t="s">
        <v>1498</v>
      </c>
      <c r="AH1233" s="12" t="s">
        <v>46</v>
      </c>
      <c r="AI1233" s="10" t="s">
        <v>227</v>
      </c>
      <c r="AJ1233" s="10" t="s">
        <v>390</v>
      </c>
      <c r="AK1233" s="12" t="s">
        <v>3594</v>
      </c>
      <c r="AL1233" s="10" t="s">
        <v>49</v>
      </c>
      <c r="AM1233" s="10" t="s">
        <v>508</v>
      </c>
      <c r="AN1233" s="10" t="s">
        <v>320</v>
      </c>
    </row>
    <row r="1234" ht="30.0" customHeight="1">
      <c r="A1234" s="9" t="str">
        <f t="shared" si="48"/>
        <v>N/I</v>
      </c>
      <c r="B1234" s="9" t="str">
        <f t="shared" si="49"/>
        <v>N/I</v>
      </c>
      <c r="C1234" s="9" t="str">
        <f t="shared" si="80"/>
        <v>Ativo</v>
      </c>
      <c r="D1234" s="10" t="s">
        <v>3571</v>
      </c>
      <c r="E1234" s="11" t="s">
        <v>3572</v>
      </c>
      <c r="F1234" s="11" t="s">
        <v>3852</v>
      </c>
      <c r="G1234" s="12" t="s">
        <v>3579</v>
      </c>
      <c r="H1234" s="27" t="s">
        <v>3853</v>
      </c>
      <c r="I1234" s="12" t="s">
        <v>512</v>
      </c>
      <c r="J1234" s="10" t="s">
        <v>216</v>
      </c>
      <c r="K1234" s="10" t="s">
        <v>40</v>
      </c>
      <c r="L1234" s="10" t="s">
        <v>6</v>
      </c>
      <c r="M1234" s="22">
        <v>45840.0</v>
      </c>
      <c r="N1234" s="32" t="s">
        <v>3854</v>
      </c>
      <c r="O1234" s="10" t="s">
        <v>3855</v>
      </c>
      <c r="P1234" s="10" t="s">
        <v>3603</v>
      </c>
      <c r="Q1234" s="2"/>
      <c r="R1234" s="15"/>
      <c r="S1234" s="15"/>
      <c r="T1234" s="15"/>
      <c r="U1234" s="15"/>
      <c r="V1234" s="2"/>
      <c r="W1234" s="15"/>
      <c r="X1234" s="15"/>
      <c r="Y1234" s="15"/>
      <c r="Z1234" s="15"/>
      <c r="AA1234" s="1"/>
      <c r="AB1234" s="10">
        <v>48.0</v>
      </c>
      <c r="AC1234" s="14">
        <v>45840.0</v>
      </c>
      <c r="AD1234" s="14">
        <v>47300.0</v>
      </c>
      <c r="AE1234" s="10">
        <f t="shared" si="97"/>
        <v>1209</v>
      </c>
      <c r="AF1234" s="2"/>
      <c r="AG1234" s="10" t="s">
        <v>1498</v>
      </c>
      <c r="AH1234" s="12" t="s">
        <v>46</v>
      </c>
      <c r="AI1234" s="10" t="s">
        <v>227</v>
      </c>
      <c r="AJ1234" s="10" t="s">
        <v>390</v>
      </c>
      <c r="AK1234" s="16" t="s">
        <v>45</v>
      </c>
      <c r="AL1234" s="10" t="s">
        <v>49</v>
      </c>
      <c r="AM1234" s="10" t="s">
        <v>508</v>
      </c>
      <c r="AN1234" s="10" t="s">
        <v>320</v>
      </c>
    </row>
    <row r="1235" ht="30.0" customHeight="1">
      <c r="A1235" s="9" t="str">
        <f t="shared" si="48"/>
        <v>N/I</v>
      </c>
      <c r="B1235" s="9" t="str">
        <f t="shared" si="49"/>
        <v>N/I</v>
      </c>
      <c r="C1235" s="9" t="str">
        <f t="shared" si="80"/>
        <v>N/I</v>
      </c>
      <c r="D1235" s="10" t="s">
        <v>3571</v>
      </c>
      <c r="E1235" s="11" t="s">
        <v>3572</v>
      </c>
      <c r="F1235" s="32" t="s">
        <v>3856</v>
      </c>
      <c r="G1235" s="12" t="s">
        <v>3579</v>
      </c>
      <c r="H1235" s="25" t="s">
        <v>187</v>
      </c>
      <c r="I1235" s="12" t="s">
        <v>512</v>
      </c>
      <c r="J1235" s="10" t="s">
        <v>216</v>
      </c>
      <c r="K1235" s="10" t="s">
        <v>40</v>
      </c>
      <c r="L1235" s="10" t="s">
        <v>6</v>
      </c>
      <c r="M1235" s="24" t="s">
        <v>193</v>
      </c>
      <c r="N1235" s="11" t="s">
        <v>3850</v>
      </c>
      <c r="O1235" s="10" t="s">
        <v>3726</v>
      </c>
      <c r="P1235" s="10" t="s">
        <v>3583</v>
      </c>
      <c r="Q1235" s="2"/>
      <c r="R1235" s="10">
        <v>60.0</v>
      </c>
      <c r="S1235" s="45" t="s">
        <v>187</v>
      </c>
      <c r="T1235" s="45" t="s">
        <v>187</v>
      </c>
      <c r="U1235" s="10"/>
      <c r="V1235" s="2"/>
      <c r="W1235" s="15"/>
      <c r="X1235" s="15"/>
      <c r="Y1235" s="15"/>
      <c r="Z1235" s="15"/>
      <c r="AA1235" s="1"/>
      <c r="AB1235" s="10">
        <v>48.0</v>
      </c>
      <c r="AC1235" s="49" t="s">
        <v>1489</v>
      </c>
      <c r="AD1235" s="49" t="s">
        <v>1489</v>
      </c>
      <c r="AE1235" s="10"/>
      <c r="AF1235" s="2"/>
      <c r="AG1235" s="10" t="s">
        <v>290</v>
      </c>
      <c r="AH1235" s="10" t="s">
        <v>318</v>
      </c>
      <c r="AI1235" s="10" t="s">
        <v>319</v>
      </c>
      <c r="AJ1235" s="10" t="s">
        <v>291</v>
      </c>
      <c r="AK1235" s="16" t="s">
        <v>45</v>
      </c>
      <c r="AL1235" s="10" t="s">
        <v>49</v>
      </c>
      <c r="AM1235" s="10" t="s">
        <v>508</v>
      </c>
      <c r="AN1235" s="10" t="s">
        <v>50</v>
      </c>
    </row>
    <row r="1236" ht="30.0" customHeight="1">
      <c r="A1236" s="9" t="str">
        <f t="shared" si="48"/>
        <v>N/I</v>
      </c>
      <c r="B1236" s="9" t="str">
        <f t="shared" si="49"/>
        <v>N/I</v>
      </c>
      <c r="C1236" s="9" t="str">
        <f t="shared" si="80"/>
        <v>Ativo</v>
      </c>
      <c r="D1236" s="10" t="s">
        <v>3571</v>
      </c>
      <c r="E1236" s="11" t="s">
        <v>3572</v>
      </c>
      <c r="F1236" s="11" t="s">
        <v>3857</v>
      </c>
      <c r="G1236" s="12" t="s">
        <v>1691</v>
      </c>
      <c r="H1236" s="34" t="s">
        <v>3858</v>
      </c>
      <c r="I1236" s="12" t="s">
        <v>668</v>
      </c>
      <c r="J1236" s="10" t="s">
        <v>216</v>
      </c>
      <c r="K1236" s="10" t="s">
        <v>40</v>
      </c>
      <c r="L1236" s="10" t="s">
        <v>6</v>
      </c>
      <c r="M1236" s="22">
        <v>45432.0</v>
      </c>
      <c r="N1236" s="32" t="s">
        <v>3859</v>
      </c>
      <c r="O1236" s="10" t="s">
        <v>3860</v>
      </c>
      <c r="P1236" s="10" t="s">
        <v>3861</v>
      </c>
      <c r="Q1236" s="2"/>
      <c r="R1236" s="15"/>
      <c r="S1236" s="15"/>
      <c r="T1236" s="15"/>
      <c r="U1236" s="15"/>
      <c r="V1236" s="2"/>
      <c r="W1236" s="15"/>
      <c r="X1236" s="15"/>
      <c r="Y1236" s="15"/>
      <c r="Z1236" s="15"/>
      <c r="AA1236" s="1"/>
      <c r="AB1236" s="10">
        <v>48.0</v>
      </c>
      <c r="AC1236" s="14">
        <v>45169.0</v>
      </c>
      <c r="AD1236" s="14">
        <v>46629.0</v>
      </c>
      <c r="AE1236" s="10">
        <f t="shared" ref="AE1236:AE1238" si="98">AD1236-TODAY()</f>
        <v>538</v>
      </c>
      <c r="AF1236" s="2"/>
      <c r="AG1236" s="10" t="s">
        <v>1498</v>
      </c>
      <c r="AH1236" s="12" t="s">
        <v>46</v>
      </c>
      <c r="AI1236" s="10" t="s">
        <v>227</v>
      </c>
      <c r="AJ1236" s="10" t="s">
        <v>390</v>
      </c>
      <c r="AK1236" s="12" t="s">
        <v>3594</v>
      </c>
      <c r="AL1236" s="10" t="s">
        <v>49</v>
      </c>
      <c r="AM1236" s="10" t="s">
        <v>508</v>
      </c>
      <c r="AN1236" s="10" t="s">
        <v>320</v>
      </c>
    </row>
    <row r="1237" ht="30.0" customHeight="1">
      <c r="A1237" s="9" t="str">
        <f t="shared" si="48"/>
        <v>N/I</v>
      </c>
      <c r="B1237" s="9" t="str">
        <f t="shared" si="49"/>
        <v>N/I</v>
      </c>
      <c r="C1237" s="9" t="str">
        <f t="shared" si="80"/>
        <v>Ativo</v>
      </c>
      <c r="D1237" s="10" t="s">
        <v>3571</v>
      </c>
      <c r="E1237" s="11" t="s">
        <v>3572</v>
      </c>
      <c r="F1237" s="11" t="s">
        <v>3862</v>
      </c>
      <c r="G1237" s="12" t="s">
        <v>3579</v>
      </c>
      <c r="H1237" s="13" t="s">
        <v>3863</v>
      </c>
      <c r="I1237" s="12" t="s">
        <v>668</v>
      </c>
      <c r="J1237" s="10" t="s">
        <v>216</v>
      </c>
      <c r="K1237" s="10" t="s">
        <v>40</v>
      </c>
      <c r="L1237" s="10" t="s">
        <v>6</v>
      </c>
      <c r="M1237" s="22">
        <v>45519.0</v>
      </c>
      <c r="N1237" s="32" t="s">
        <v>3864</v>
      </c>
      <c r="O1237" s="10" t="s">
        <v>670</v>
      </c>
      <c r="P1237" s="10" t="s">
        <v>3603</v>
      </c>
      <c r="Q1237" s="2"/>
      <c r="R1237" s="15"/>
      <c r="S1237" s="15"/>
      <c r="T1237" s="15"/>
      <c r="U1237" s="15"/>
      <c r="V1237" s="2"/>
      <c r="W1237" s="15"/>
      <c r="X1237" s="15"/>
      <c r="Y1237" s="15"/>
      <c r="Z1237" s="15"/>
      <c r="AA1237" s="1"/>
      <c r="AB1237" s="10">
        <v>48.0</v>
      </c>
      <c r="AC1237" s="14">
        <v>45566.0</v>
      </c>
      <c r="AD1237" s="14">
        <v>47026.0</v>
      </c>
      <c r="AE1237" s="10">
        <f t="shared" si="98"/>
        <v>935</v>
      </c>
      <c r="AF1237" s="2"/>
      <c r="AG1237" s="10" t="s">
        <v>1498</v>
      </c>
      <c r="AH1237" s="12" t="s">
        <v>46</v>
      </c>
      <c r="AI1237" s="10" t="s">
        <v>227</v>
      </c>
      <c r="AJ1237" s="10" t="s">
        <v>390</v>
      </c>
      <c r="AK1237" s="16" t="s">
        <v>45</v>
      </c>
      <c r="AL1237" s="10" t="s">
        <v>49</v>
      </c>
      <c r="AM1237" s="10" t="s">
        <v>508</v>
      </c>
      <c r="AN1237" s="10" t="s">
        <v>320</v>
      </c>
    </row>
    <row r="1238" ht="30.0" customHeight="1">
      <c r="A1238" s="9" t="str">
        <f t="shared" si="48"/>
        <v>N/I</v>
      </c>
      <c r="B1238" s="9" t="str">
        <f t="shared" si="49"/>
        <v>N/I</v>
      </c>
      <c r="C1238" s="9" t="str">
        <f t="shared" si="80"/>
        <v>Ativo</v>
      </c>
      <c r="D1238" s="10" t="s">
        <v>3571</v>
      </c>
      <c r="E1238" s="11" t="s">
        <v>3572</v>
      </c>
      <c r="F1238" s="11" t="s">
        <v>3865</v>
      </c>
      <c r="G1238" s="12" t="s">
        <v>3579</v>
      </c>
      <c r="H1238" s="13" t="s">
        <v>3866</v>
      </c>
      <c r="I1238" s="12" t="s">
        <v>668</v>
      </c>
      <c r="J1238" s="10" t="s">
        <v>216</v>
      </c>
      <c r="K1238" s="10" t="s">
        <v>40</v>
      </c>
      <c r="L1238" s="10" t="s">
        <v>6</v>
      </c>
      <c r="M1238" s="22">
        <v>45520.0</v>
      </c>
      <c r="N1238" s="32" t="s">
        <v>3859</v>
      </c>
      <c r="O1238" s="10" t="s">
        <v>670</v>
      </c>
      <c r="P1238" s="10" t="s">
        <v>3603</v>
      </c>
      <c r="Q1238" s="2"/>
      <c r="R1238" s="15"/>
      <c r="S1238" s="15"/>
      <c r="T1238" s="15"/>
      <c r="U1238" s="15"/>
      <c r="V1238" s="2"/>
      <c r="W1238" s="15"/>
      <c r="X1238" s="15"/>
      <c r="Y1238" s="15"/>
      <c r="Z1238" s="15"/>
      <c r="AA1238" s="1"/>
      <c r="AB1238" s="10">
        <v>48.0</v>
      </c>
      <c r="AC1238" s="14">
        <v>45566.0</v>
      </c>
      <c r="AD1238" s="14">
        <v>47026.0</v>
      </c>
      <c r="AE1238" s="10">
        <f t="shared" si="98"/>
        <v>935</v>
      </c>
      <c r="AF1238" s="2"/>
      <c r="AG1238" s="10" t="s">
        <v>1498</v>
      </c>
      <c r="AH1238" s="12" t="s">
        <v>46</v>
      </c>
      <c r="AI1238" s="10" t="s">
        <v>227</v>
      </c>
      <c r="AJ1238" s="10" t="s">
        <v>390</v>
      </c>
      <c r="AK1238" s="16" t="s">
        <v>45</v>
      </c>
      <c r="AL1238" s="10" t="s">
        <v>49</v>
      </c>
      <c r="AM1238" s="10" t="s">
        <v>508</v>
      </c>
      <c r="AN1238" s="10" t="s">
        <v>320</v>
      </c>
    </row>
    <row r="1239" ht="30.0" customHeight="1">
      <c r="A1239" s="9" t="str">
        <f t="shared" si="48"/>
        <v>N/I</v>
      </c>
      <c r="B1239" s="9" t="str">
        <f t="shared" si="49"/>
        <v>N/I</v>
      </c>
      <c r="C1239" s="9" t="str">
        <f t="shared" si="80"/>
        <v>N/I</v>
      </c>
      <c r="D1239" s="10" t="s">
        <v>3571</v>
      </c>
      <c r="E1239" s="11" t="s">
        <v>3572</v>
      </c>
      <c r="F1239" s="32" t="s">
        <v>3862</v>
      </c>
      <c r="G1239" s="12" t="s">
        <v>1691</v>
      </c>
      <c r="H1239" s="27" t="s">
        <v>3867</v>
      </c>
      <c r="I1239" s="12" t="s">
        <v>668</v>
      </c>
      <c r="J1239" s="10" t="s">
        <v>216</v>
      </c>
      <c r="K1239" s="10" t="s">
        <v>40</v>
      </c>
      <c r="L1239" s="10" t="s">
        <v>6</v>
      </c>
      <c r="M1239" s="14">
        <v>45973.0</v>
      </c>
      <c r="N1239" s="11" t="s">
        <v>3868</v>
      </c>
      <c r="O1239" s="10" t="s">
        <v>3869</v>
      </c>
      <c r="P1239" s="10" t="s">
        <v>3577</v>
      </c>
      <c r="Q1239" s="2"/>
      <c r="R1239" s="15"/>
      <c r="S1239" s="15"/>
      <c r="T1239" s="15"/>
      <c r="U1239" s="15"/>
      <c r="V1239" s="2"/>
      <c r="W1239" s="15"/>
      <c r="X1239" s="15"/>
      <c r="Y1239" s="15"/>
      <c r="Z1239" s="15"/>
      <c r="AA1239" s="1"/>
      <c r="AB1239" s="10">
        <v>48.0</v>
      </c>
      <c r="AC1239" s="49" t="s">
        <v>1489</v>
      </c>
      <c r="AD1239" s="49" t="s">
        <v>1489</v>
      </c>
      <c r="AE1239" s="10"/>
      <c r="AF1239" s="2"/>
      <c r="AG1239" s="10" t="s">
        <v>290</v>
      </c>
      <c r="AH1239" s="12" t="s">
        <v>46</v>
      </c>
      <c r="AI1239" s="10" t="s">
        <v>291</v>
      </c>
      <c r="AJ1239" s="10" t="s">
        <v>292</v>
      </c>
      <c r="AK1239" s="16" t="s">
        <v>45</v>
      </c>
      <c r="AL1239" s="10" t="s">
        <v>49</v>
      </c>
      <c r="AM1239" s="16" t="s">
        <v>45</v>
      </c>
      <c r="AN1239" s="10" t="s">
        <v>320</v>
      </c>
    </row>
    <row r="1240" ht="30.0" customHeight="1">
      <c r="A1240" s="9" t="str">
        <f t="shared" si="48"/>
        <v>N/I</v>
      </c>
      <c r="B1240" s="9" t="str">
        <f t="shared" si="49"/>
        <v>N/I</v>
      </c>
      <c r="C1240" s="9" t="str">
        <f t="shared" si="80"/>
        <v>Ativo</v>
      </c>
      <c r="D1240" s="10" t="s">
        <v>3571</v>
      </c>
      <c r="E1240" s="11" t="s">
        <v>3572</v>
      </c>
      <c r="F1240" s="11" t="s">
        <v>3870</v>
      </c>
      <c r="G1240" s="12" t="s">
        <v>3579</v>
      </c>
      <c r="H1240" s="27" t="s">
        <v>3871</v>
      </c>
      <c r="I1240" s="12" t="s">
        <v>3872</v>
      </c>
      <c r="J1240" s="10" t="s">
        <v>216</v>
      </c>
      <c r="K1240" s="10" t="s">
        <v>40</v>
      </c>
      <c r="L1240" s="10" t="s">
        <v>6</v>
      </c>
      <c r="M1240" s="22">
        <v>45841.0</v>
      </c>
      <c r="N1240" s="32" t="s">
        <v>3873</v>
      </c>
      <c r="O1240" s="10" t="s">
        <v>3874</v>
      </c>
      <c r="P1240" s="10" t="s">
        <v>3603</v>
      </c>
      <c r="Q1240" s="2"/>
      <c r="R1240" s="15"/>
      <c r="S1240" s="15"/>
      <c r="T1240" s="15"/>
      <c r="U1240" s="15"/>
      <c r="V1240" s="2"/>
      <c r="W1240" s="15"/>
      <c r="X1240" s="15"/>
      <c r="Y1240" s="15"/>
      <c r="Z1240" s="15"/>
      <c r="AA1240" s="1"/>
      <c r="AB1240" s="10">
        <v>48.0</v>
      </c>
      <c r="AC1240" s="14">
        <v>45841.0</v>
      </c>
      <c r="AD1240" s="14">
        <v>47301.0</v>
      </c>
      <c r="AE1240" s="10">
        <f t="shared" ref="AE1240:AE1244" si="99">AD1240-TODAY()</f>
        <v>1210</v>
      </c>
      <c r="AF1240" s="2"/>
      <c r="AG1240" s="10" t="s">
        <v>1498</v>
      </c>
      <c r="AH1240" s="12" t="s">
        <v>46</v>
      </c>
      <c r="AI1240" s="10" t="s">
        <v>227</v>
      </c>
      <c r="AJ1240" s="10" t="s">
        <v>390</v>
      </c>
      <c r="AK1240" s="16" t="s">
        <v>45</v>
      </c>
      <c r="AL1240" s="10" t="s">
        <v>49</v>
      </c>
      <c r="AM1240" s="10" t="s">
        <v>508</v>
      </c>
      <c r="AN1240" s="10" t="s">
        <v>320</v>
      </c>
    </row>
    <row r="1241" ht="30.0" customHeight="1">
      <c r="A1241" s="9" t="str">
        <f t="shared" si="48"/>
        <v>N/I</v>
      </c>
      <c r="B1241" s="9" t="str">
        <f t="shared" si="49"/>
        <v>N/I</v>
      </c>
      <c r="C1241" s="9" t="str">
        <f t="shared" si="80"/>
        <v>Ativo</v>
      </c>
      <c r="D1241" s="10" t="s">
        <v>3571</v>
      </c>
      <c r="E1241" s="11" t="s">
        <v>3572</v>
      </c>
      <c r="F1241" s="11" t="s">
        <v>3875</v>
      </c>
      <c r="G1241" s="12" t="s">
        <v>1691</v>
      </c>
      <c r="H1241" s="34" t="s">
        <v>3876</v>
      </c>
      <c r="I1241" s="12" t="s">
        <v>3877</v>
      </c>
      <c r="J1241" s="10" t="s">
        <v>216</v>
      </c>
      <c r="K1241" s="10" t="s">
        <v>40</v>
      </c>
      <c r="L1241" s="10" t="s">
        <v>6</v>
      </c>
      <c r="M1241" s="22">
        <v>45259.0</v>
      </c>
      <c r="N1241" s="32" t="s">
        <v>3878</v>
      </c>
      <c r="O1241" s="10" t="s">
        <v>3686</v>
      </c>
      <c r="P1241" s="10" t="s">
        <v>3593</v>
      </c>
      <c r="Q1241" s="2"/>
      <c r="R1241" s="15"/>
      <c r="S1241" s="15"/>
      <c r="T1241" s="15"/>
      <c r="U1241" s="15"/>
      <c r="V1241" s="2"/>
      <c r="W1241" s="15"/>
      <c r="X1241" s="15"/>
      <c r="Y1241" s="15"/>
      <c r="Z1241" s="15"/>
      <c r="AA1241" s="1"/>
      <c r="AB1241" s="10">
        <v>48.0</v>
      </c>
      <c r="AC1241" s="14">
        <v>45169.0</v>
      </c>
      <c r="AD1241" s="14">
        <v>46630.0</v>
      </c>
      <c r="AE1241" s="10">
        <f t="shared" si="99"/>
        <v>539</v>
      </c>
      <c r="AF1241" s="2"/>
      <c r="AG1241" s="10" t="s">
        <v>1498</v>
      </c>
      <c r="AH1241" s="12" t="s">
        <v>46</v>
      </c>
      <c r="AI1241" s="10" t="s">
        <v>227</v>
      </c>
      <c r="AJ1241" s="10" t="s">
        <v>390</v>
      </c>
      <c r="AK1241" s="12" t="s">
        <v>3594</v>
      </c>
      <c r="AL1241" s="10" t="s">
        <v>49</v>
      </c>
      <c r="AM1241" s="10" t="s">
        <v>508</v>
      </c>
      <c r="AN1241" s="10" t="s">
        <v>320</v>
      </c>
    </row>
    <row r="1242" ht="30.0" customHeight="1">
      <c r="A1242" s="9" t="str">
        <f t="shared" si="48"/>
        <v>N/I</v>
      </c>
      <c r="B1242" s="9" t="str">
        <f t="shared" si="49"/>
        <v>N/I</v>
      </c>
      <c r="C1242" s="9" t="str">
        <f t="shared" si="80"/>
        <v>Ativo</v>
      </c>
      <c r="D1242" s="10" t="s">
        <v>3571</v>
      </c>
      <c r="E1242" s="11" t="s">
        <v>3572</v>
      </c>
      <c r="F1242" s="11" t="s">
        <v>3879</v>
      </c>
      <c r="G1242" s="12" t="s">
        <v>3579</v>
      </c>
      <c r="H1242" s="27" t="s">
        <v>3880</v>
      </c>
      <c r="I1242" s="12" t="s">
        <v>3881</v>
      </c>
      <c r="J1242" s="10" t="s">
        <v>216</v>
      </c>
      <c r="K1242" s="10" t="s">
        <v>40</v>
      </c>
      <c r="L1242" s="10" t="s">
        <v>6</v>
      </c>
      <c r="M1242" s="22">
        <v>45818.0</v>
      </c>
      <c r="N1242" s="32" t="s">
        <v>3882</v>
      </c>
      <c r="O1242" s="10" t="s">
        <v>3883</v>
      </c>
      <c r="P1242" s="10" t="s">
        <v>3603</v>
      </c>
      <c r="Q1242" s="2"/>
      <c r="R1242" s="15"/>
      <c r="S1242" s="15"/>
      <c r="T1242" s="15"/>
      <c r="U1242" s="15"/>
      <c r="V1242" s="2"/>
      <c r="W1242" s="15"/>
      <c r="X1242" s="15"/>
      <c r="Y1242" s="15"/>
      <c r="Z1242" s="15"/>
      <c r="AA1242" s="1"/>
      <c r="AB1242" s="10">
        <v>48.0</v>
      </c>
      <c r="AC1242" s="14">
        <v>45566.0</v>
      </c>
      <c r="AD1242" s="14">
        <v>47026.0</v>
      </c>
      <c r="AE1242" s="10">
        <f t="shared" si="99"/>
        <v>935</v>
      </c>
      <c r="AF1242" s="2"/>
      <c r="AG1242" s="10" t="s">
        <v>1498</v>
      </c>
      <c r="AH1242" s="12" t="s">
        <v>46</v>
      </c>
      <c r="AI1242" s="10" t="s">
        <v>227</v>
      </c>
      <c r="AJ1242" s="10" t="s">
        <v>390</v>
      </c>
      <c r="AK1242" s="16" t="s">
        <v>45</v>
      </c>
      <c r="AL1242" s="10" t="s">
        <v>49</v>
      </c>
      <c r="AM1242" s="10" t="s">
        <v>508</v>
      </c>
      <c r="AN1242" s="10" t="s">
        <v>320</v>
      </c>
    </row>
    <row r="1243" ht="30.0" customHeight="1">
      <c r="A1243" s="9" t="str">
        <f t="shared" si="48"/>
        <v>N/I</v>
      </c>
      <c r="B1243" s="9" t="str">
        <f t="shared" si="49"/>
        <v>N/I</v>
      </c>
      <c r="C1243" s="9" t="str">
        <f t="shared" si="80"/>
        <v>Ativo</v>
      </c>
      <c r="D1243" s="10" t="s">
        <v>3571</v>
      </c>
      <c r="E1243" s="11" t="s">
        <v>3572</v>
      </c>
      <c r="F1243" s="11" t="s">
        <v>3884</v>
      </c>
      <c r="G1243" s="12" t="s">
        <v>1691</v>
      </c>
      <c r="H1243" s="34" t="s">
        <v>3885</v>
      </c>
      <c r="I1243" s="12" t="s">
        <v>3886</v>
      </c>
      <c r="J1243" s="10" t="s">
        <v>216</v>
      </c>
      <c r="K1243" s="10" t="s">
        <v>40</v>
      </c>
      <c r="L1243" s="10" t="s">
        <v>6</v>
      </c>
      <c r="M1243" s="22">
        <v>45331.0</v>
      </c>
      <c r="N1243" s="32" t="s">
        <v>3887</v>
      </c>
      <c r="O1243" s="10" t="s">
        <v>3888</v>
      </c>
      <c r="P1243" s="10" t="s">
        <v>3593</v>
      </c>
      <c r="Q1243" s="2"/>
      <c r="R1243" s="15"/>
      <c r="S1243" s="15"/>
      <c r="T1243" s="15"/>
      <c r="U1243" s="15"/>
      <c r="V1243" s="2"/>
      <c r="W1243" s="15"/>
      <c r="X1243" s="15"/>
      <c r="Y1243" s="15"/>
      <c r="Z1243" s="15"/>
      <c r="AA1243" s="2"/>
      <c r="AB1243" s="10">
        <v>48.0</v>
      </c>
      <c r="AC1243" s="14">
        <v>45169.0</v>
      </c>
      <c r="AD1243" s="14">
        <v>46630.0</v>
      </c>
      <c r="AE1243" s="10">
        <f t="shared" si="99"/>
        <v>539</v>
      </c>
      <c r="AF1243" s="2"/>
      <c r="AG1243" s="10" t="s">
        <v>1498</v>
      </c>
      <c r="AH1243" s="12" t="s">
        <v>46</v>
      </c>
      <c r="AI1243" s="10" t="s">
        <v>227</v>
      </c>
      <c r="AJ1243" s="10" t="s">
        <v>390</v>
      </c>
      <c r="AK1243" s="12" t="s">
        <v>3594</v>
      </c>
      <c r="AL1243" s="10" t="s">
        <v>49</v>
      </c>
      <c r="AM1243" s="10" t="s">
        <v>508</v>
      </c>
      <c r="AN1243" s="10" t="s">
        <v>320</v>
      </c>
    </row>
    <row r="1244" ht="30.0" customHeight="1">
      <c r="A1244" s="9" t="str">
        <f t="shared" si="48"/>
        <v>N/I</v>
      </c>
      <c r="B1244" s="9" t="str">
        <f t="shared" si="49"/>
        <v>N/I</v>
      </c>
      <c r="C1244" s="9" t="str">
        <f t="shared" si="80"/>
        <v>Ativo</v>
      </c>
      <c r="D1244" s="10" t="s">
        <v>3571</v>
      </c>
      <c r="E1244" s="11" t="s">
        <v>3572</v>
      </c>
      <c r="F1244" s="11" t="s">
        <v>3884</v>
      </c>
      <c r="G1244" s="12" t="s">
        <v>3579</v>
      </c>
      <c r="H1244" s="27" t="s">
        <v>3889</v>
      </c>
      <c r="I1244" s="12" t="s">
        <v>3886</v>
      </c>
      <c r="J1244" s="10" t="s">
        <v>216</v>
      </c>
      <c r="K1244" s="10" t="s">
        <v>40</v>
      </c>
      <c r="L1244" s="10" t="s">
        <v>6</v>
      </c>
      <c r="M1244" s="22">
        <v>45534.0</v>
      </c>
      <c r="N1244" s="32" t="s">
        <v>3890</v>
      </c>
      <c r="O1244" s="10" t="s">
        <v>3888</v>
      </c>
      <c r="P1244" s="10" t="s">
        <v>3603</v>
      </c>
      <c r="Q1244" s="2"/>
      <c r="R1244" s="15"/>
      <c r="S1244" s="15"/>
      <c r="T1244" s="15"/>
      <c r="U1244" s="15"/>
      <c r="V1244" s="2"/>
      <c r="W1244" s="15"/>
      <c r="X1244" s="15"/>
      <c r="Y1244" s="15"/>
      <c r="Z1244" s="15"/>
      <c r="AA1244" s="1"/>
      <c r="AB1244" s="10">
        <v>48.0</v>
      </c>
      <c r="AC1244" s="14">
        <v>45566.0</v>
      </c>
      <c r="AD1244" s="14">
        <v>47026.0</v>
      </c>
      <c r="AE1244" s="10">
        <f t="shared" si="99"/>
        <v>935</v>
      </c>
      <c r="AF1244" s="2"/>
      <c r="AG1244" s="10" t="s">
        <v>1498</v>
      </c>
      <c r="AH1244" s="12" t="s">
        <v>46</v>
      </c>
      <c r="AI1244" s="10" t="s">
        <v>227</v>
      </c>
      <c r="AJ1244" s="10" t="s">
        <v>390</v>
      </c>
      <c r="AK1244" s="16" t="s">
        <v>45</v>
      </c>
      <c r="AL1244" s="10" t="s">
        <v>49</v>
      </c>
      <c r="AM1244" s="10" t="s">
        <v>508</v>
      </c>
      <c r="AN1244" s="10" t="s">
        <v>320</v>
      </c>
    </row>
    <row r="1245" ht="30.0" customHeight="1">
      <c r="A1245" s="9" t="str">
        <f t="shared" si="48"/>
        <v>N/I</v>
      </c>
      <c r="B1245" s="9" t="str">
        <f t="shared" si="49"/>
        <v>N/I</v>
      </c>
      <c r="C1245" s="9" t="str">
        <f t="shared" si="80"/>
        <v>N/I</v>
      </c>
      <c r="D1245" s="10" t="s">
        <v>3571</v>
      </c>
      <c r="E1245" s="11" t="s">
        <v>3572</v>
      </c>
      <c r="F1245" s="32" t="s">
        <v>3884</v>
      </c>
      <c r="G1245" s="12" t="s">
        <v>3579</v>
      </c>
      <c r="H1245" s="25" t="s">
        <v>187</v>
      </c>
      <c r="I1245" s="12" t="s">
        <v>3886</v>
      </c>
      <c r="J1245" s="10" t="s">
        <v>216</v>
      </c>
      <c r="K1245" s="10" t="s">
        <v>40</v>
      </c>
      <c r="L1245" s="10" t="s">
        <v>6</v>
      </c>
      <c r="M1245" s="24" t="s">
        <v>193</v>
      </c>
      <c r="N1245" s="11" t="s">
        <v>3891</v>
      </c>
      <c r="O1245" s="10" t="s">
        <v>3888</v>
      </c>
      <c r="P1245" s="10" t="s">
        <v>3583</v>
      </c>
      <c r="Q1245" s="2"/>
      <c r="R1245" s="15"/>
      <c r="S1245" s="15"/>
      <c r="T1245" s="15"/>
      <c r="U1245" s="15"/>
      <c r="V1245" s="2"/>
      <c r="W1245" s="15"/>
      <c r="X1245" s="15"/>
      <c r="Y1245" s="15"/>
      <c r="Z1245" s="15"/>
      <c r="AA1245" s="1"/>
      <c r="AB1245" s="10">
        <v>48.0</v>
      </c>
      <c r="AC1245" s="49" t="s">
        <v>1489</v>
      </c>
      <c r="AD1245" s="49" t="s">
        <v>1489</v>
      </c>
      <c r="AE1245" s="10"/>
      <c r="AF1245" s="2"/>
      <c r="AG1245" s="10" t="s">
        <v>1498</v>
      </c>
      <c r="AH1245" s="12" t="s">
        <v>46</v>
      </c>
      <c r="AI1245" s="10" t="s">
        <v>227</v>
      </c>
      <c r="AJ1245" s="10" t="s">
        <v>390</v>
      </c>
      <c r="AK1245" s="16" t="s">
        <v>45</v>
      </c>
      <c r="AL1245" s="10" t="s">
        <v>49</v>
      </c>
      <c r="AM1245" s="10" t="s">
        <v>508</v>
      </c>
      <c r="AN1245" s="16"/>
    </row>
    <row r="1246" ht="30.0" customHeight="1">
      <c r="A1246" s="9" t="str">
        <f t="shared" si="48"/>
        <v>N/I</v>
      </c>
      <c r="B1246" s="9" t="str">
        <f t="shared" si="49"/>
        <v>N/I</v>
      </c>
      <c r="C1246" s="9" t="str">
        <f t="shared" si="80"/>
        <v>Ativo</v>
      </c>
      <c r="D1246" s="10" t="s">
        <v>3571</v>
      </c>
      <c r="E1246" s="11" t="s">
        <v>3572</v>
      </c>
      <c r="F1246" s="11" t="s">
        <v>3892</v>
      </c>
      <c r="G1246" s="12" t="s">
        <v>3579</v>
      </c>
      <c r="H1246" s="16" t="s">
        <v>3893</v>
      </c>
      <c r="I1246" s="12" t="s">
        <v>3894</v>
      </c>
      <c r="J1246" s="10" t="s">
        <v>216</v>
      </c>
      <c r="K1246" s="10" t="s">
        <v>40</v>
      </c>
      <c r="L1246" s="10" t="s">
        <v>6</v>
      </c>
      <c r="M1246" s="22">
        <v>45539.0</v>
      </c>
      <c r="N1246" s="32" t="s">
        <v>3895</v>
      </c>
      <c r="O1246" s="10" t="s">
        <v>3896</v>
      </c>
      <c r="P1246" s="10" t="s">
        <v>3603</v>
      </c>
      <c r="Q1246" s="2"/>
      <c r="R1246" s="15"/>
      <c r="S1246" s="15"/>
      <c r="T1246" s="15"/>
      <c r="U1246" s="15"/>
      <c r="V1246" s="2"/>
      <c r="W1246" s="15"/>
      <c r="X1246" s="15"/>
      <c r="Y1246" s="15"/>
      <c r="Z1246" s="15"/>
      <c r="AA1246" s="1"/>
      <c r="AB1246" s="10">
        <v>48.0</v>
      </c>
      <c r="AC1246" s="14">
        <v>45566.0</v>
      </c>
      <c r="AD1246" s="14">
        <v>47026.0</v>
      </c>
      <c r="AE1246" s="10">
        <f t="shared" ref="AE1246:AE1247" si="100">AD1246-TODAY()</f>
        <v>935</v>
      </c>
      <c r="AF1246" s="2"/>
      <c r="AG1246" s="10" t="s">
        <v>1498</v>
      </c>
      <c r="AH1246" s="12" t="s">
        <v>46</v>
      </c>
      <c r="AI1246" s="10" t="s">
        <v>227</v>
      </c>
      <c r="AJ1246" s="10" t="s">
        <v>390</v>
      </c>
      <c r="AK1246" s="16" t="s">
        <v>45</v>
      </c>
      <c r="AL1246" s="10" t="s">
        <v>49</v>
      </c>
      <c r="AM1246" s="10" t="s">
        <v>508</v>
      </c>
      <c r="AN1246" s="10" t="s">
        <v>320</v>
      </c>
    </row>
    <row r="1247" ht="30.0" customHeight="1">
      <c r="A1247" s="9" t="str">
        <f t="shared" si="48"/>
        <v>N/I</v>
      </c>
      <c r="B1247" s="9" t="str">
        <f t="shared" si="49"/>
        <v>N/I</v>
      </c>
      <c r="C1247" s="9" t="str">
        <f t="shared" si="80"/>
        <v>Ativo</v>
      </c>
      <c r="D1247" s="10" t="s">
        <v>3571</v>
      </c>
      <c r="E1247" s="11" t="s">
        <v>3572</v>
      </c>
      <c r="F1247" s="11" t="s">
        <v>3892</v>
      </c>
      <c r="G1247" s="12" t="s">
        <v>1691</v>
      </c>
      <c r="H1247" s="34" t="s">
        <v>3897</v>
      </c>
      <c r="I1247" s="12" t="s">
        <v>3898</v>
      </c>
      <c r="J1247" s="10" t="s">
        <v>216</v>
      </c>
      <c r="K1247" s="10" t="s">
        <v>40</v>
      </c>
      <c r="L1247" s="10" t="s">
        <v>6</v>
      </c>
      <c r="M1247" s="22">
        <v>45329.0</v>
      </c>
      <c r="N1247" s="32" t="s">
        <v>3899</v>
      </c>
      <c r="O1247" s="10" t="s">
        <v>3896</v>
      </c>
      <c r="P1247" s="10" t="s">
        <v>3593</v>
      </c>
      <c r="Q1247" s="2"/>
      <c r="R1247" s="15"/>
      <c r="S1247" s="15"/>
      <c r="T1247" s="15"/>
      <c r="U1247" s="15"/>
      <c r="V1247" s="2"/>
      <c r="W1247" s="15"/>
      <c r="X1247" s="15"/>
      <c r="Y1247" s="15"/>
      <c r="Z1247" s="15"/>
      <c r="AA1247" s="2"/>
      <c r="AB1247" s="10">
        <v>48.0</v>
      </c>
      <c r="AC1247" s="14">
        <v>45169.0</v>
      </c>
      <c r="AD1247" s="14">
        <v>46630.0</v>
      </c>
      <c r="AE1247" s="10">
        <f t="shared" si="100"/>
        <v>539</v>
      </c>
      <c r="AF1247" s="2"/>
      <c r="AG1247" s="10" t="s">
        <v>1498</v>
      </c>
      <c r="AH1247" s="12" t="s">
        <v>46</v>
      </c>
      <c r="AI1247" s="10" t="s">
        <v>227</v>
      </c>
      <c r="AJ1247" s="10" t="s">
        <v>390</v>
      </c>
      <c r="AK1247" s="12" t="s">
        <v>3594</v>
      </c>
      <c r="AL1247" s="10" t="s">
        <v>49</v>
      </c>
      <c r="AM1247" s="10" t="s">
        <v>508</v>
      </c>
      <c r="AN1247" s="10" t="s">
        <v>320</v>
      </c>
    </row>
    <row r="1248" ht="30.0" customHeight="1">
      <c r="A1248" s="9" t="str">
        <f t="shared" si="48"/>
        <v>N/I</v>
      </c>
      <c r="B1248" s="9" t="str">
        <f t="shared" si="49"/>
        <v>N/I</v>
      </c>
      <c r="C1248" s="9" t="str">
        <f t="shared" si="80"/>
        <v>N/I</v>
      </c>
      <c r="D1248" s="10" t="s">
        <v>3571</v>
      </c>
      <c r="E1248" s="11" t="s">
        <v>3572</v>
      </c>
      <c r="F1248" s="32" t="s">
        <v>3900</v>
      </c>
      <c r="G1248" s="12" t="s">
        <v>3579</v>
      </c>
      <c r="H1248" s="25" t="s">
        <v>187</v>
      </c>
      <c r="I1248" s="12" t="s">
        <v>3901</v>
      </c>
      <c r="J1248" s="10" t="s">
        <v>216</v>
      </c>
      <c r="K1248" s="10" t="s">
        <v>40</v>
      </c>
      <c r="L1248" s="10" t="s">
        <v>6</v>
      </c>
      <c r="M1248" s="24" t="s">
        <v>193</v>
      </c>
      <c r="N1248" s="11" t="s">
        <v>3902</v>
      </c>
      <c r="O1248" s="10" t="s">
        <v>3903</v>
      </c>
      <c r="P1248" s="10" t="s">
        <v>3583</v>
      </c>
      <c r="Q1248" s="2"/>
      <c r="R1248" s="10">
        <v>60.0</v>
      </c>
      <c r="S1248" s="45" t="s">
        <v>187</v>
      </c>
      <c r="T1248" s="45" t="s">
        <v>187</v>
      </c>
      <c r="U1248" s="10"/>
      <c r="V1248" s="2"/>
      <c r="W1248" s="15"/>
      <c r="X1248" s="15"/>
      <c r="Y1248" s="15"/>
      <c r="Z1248" s="15"/>
      <c r="AA1248" s="1"/>
      <c r="AB1248" s="10">
        <v>48.0</v>
      </c>
      <c r="AC1248" s="49" t="s">
        <v>1489</v>
      </c>
      <c r="AD1248" s="49" t="s">
        <v>1489</v>
      </c>
      <c r="AE1248" s="10"/>
      <c r="AF1248" s="2"/>
      <c r="AG1248" s="10" t="s">
        <v>290</v>
      </c>
      <c r="AH1248" s="10" t="s">
        <v>318</v>
      </c>
      <c r="AI1248" s="10" t="s">
        <v>319</v>
      </c>
      <c r="AJ1248" s="10" t="s">
        <v>291</v>
      </c>
      <c r="AK1248" s="16" t="s">
        <v>45</v>
      </c>
      <c r="AL1248" s="10" t="s">
        <v>49</v>
      </c>
      <c r="AM1248" s="10" t="s">
        <v>508</v>
      </c>
      <c r="AN1248" s="10" t="s">
        <v>50</v>
      </c>
    </row>
    <row r="1249" ht="30.0" customHeight="1">
      <c r="A1249" s="9" t="str">
        <f t="shared" si="48"/>
        <v>N/I</v>
      </c>
      <c r="B1249" s="9" t="str">
        <f t="shared" si="49"/>
        <v>N/I</v>
      </c>
      <c r="C1249" s="9" t="str">
        <f t="shared" si="80"/>
        <v>N/I</v>
      </c>
      <c r="D1249" s="10" t="s">
        <v>3571</v>
      </c>
      <c r="E1249" s="11" t="s">
        <v>3572</v>
      </c>
      <c r="F1249" s="32" t="s">
        <v>3900</v>
      </c>
      <c r="G1249" s="12" t="s">
        <v>1691</v>
      </c>
      <c r="H1249" s="25" t="s">
        <v>187</v>
      </c>
      <c r="I1249" s="12" t="s">
        <v>3901</v>
      </c>
      <c r="J1249" s="10" t="s">
        <v>216</v>
      </c>
      <c r="K1249" s="10" t="s">
        <v>40</v>
      </c>
      <c r="L1249" s="10" t="s">
        <v>6</v>
      </c>
      <c r="M1249" s="24" t="s">
        <v>193</v>
      </c>
      <c r="N1249" s="11" t="s">
        <v>3902</v>
      </c>
      <c r="O1249" s="10" t="s">
        <v>3903</v>
      </c>
      <c r="P1249" s="10" t="s">
        <v>3577</v>
      </c>
      <c r="Q1249" s="2"/>
      <c r="R1249" s="15"/>
      <c r="S1249" s="15"/>
      <c r="T1249" s="15"/>
      <c r="U1249" s="15"/>
      <c r="V1249" s="2"/>
      <c r="W1249" s="15"/>
      <c r="X1249" s="15"/>
      <c r="Y1249" s="15"/>
      <c r="Z1249" s="15"/>
      <c r="AA1249" s="1"/>
      <c r="AB1249" s="10">
        <v>48.0</v>
      </c>
      <c r="AC1249" s="49" t="s">
        <v>1489</v>
      </c>
      <c r="AD1249" s="49" t="s">
        <v>1489</v>
      </c>
      <c r="AE1249" s="10"/>
      <c r="AF1249" s="2"/>
      <c r="AG1249" s="10" t="s">
        <v>290</v>
      </c>
      <c r="AH1249" s="12" t="s">
        <v>46</v>
      </c>
      <c r="AI1249" s="10" t="s">
        <v>291</v>
      </c>
      <c r="AJ1249" s="10" t="s">
        <v>292</v>
      </c>
      <c r="AK1249" s="16" t="s">
        <v>45</v>
      </c>
      <c r="AL1249" s="10" t="s">
        <v>49</v>
      </c>
      <c r="AM1249" s="16" t="s">
        <v>45</v>
      </c>
      <c r="AN1249" s="10" t="s">
        <v>50</v>
      </c>
    </row>
    <row r="1250" ht="30.0" customHeight="1">
      <c r="A1250" s="9" t="str">
        <f t="shared" si="48"/>
        <v>N/I</v>
      </c>
      <c r="B1250" s="9" t="str">
        <f t="shared" si="49"/>
        <v>N/I</v>
      </c>
      <c r="C1250" s="9" t="str">
        <f t="shared" si="80"/>
        <v>Ativo</v>
      </c>
      <c r="D1250" s="10" t="s">
        <v>3571</v>
      </c>
      <c r="E1250" s="11" t="s">
        <v>3572</v>
      </c>
      <c r="F1250" s="11" t="s">
        <v>3904</v>
      </c>
      <c r="G1250" s="12" t="s">
        <v>1691</v>
      </c>
      <c r="H1250" s="34" t="s">
        <v>3905</v>
      </c>
      <c r="I1250" s="12" t="s">
        <v>3906</v>
      </c>
      <c r="J1250" s="10" t="s">
        <v>216</v>
      </c>
      <c r="K1250" s="10" t="s">
        <v>40</v>
      </c>
      <c r="L1250" s="10" t="s">
        <v>6</v>
      </c>
      <c r="M1250" s="22">
        <v>45344.0</v>
      </c>
      <c r="N1250" s="32" t="s">
        <v>3907</v>
      </c>
      <c r="O1250" s="10" t="s">
        <v>3908</v>
      </c>
      <c r="P1250" s="10" t="s">
        <v>3593</v>
      </c>
      <c r="Q1250" s="2"/>
      <c r="R1250" s="15"/>
      <c r="S1250" s="15"/>
      <c r="T1250" s="15"/>
      <c r="U1250" s="15"/>
      <c r="V1250" s="2"/>
      <c r="W1250" s="15"/>
      <c r="X1250" s="15"/>
      <c r="Y1250" s="15"/>
      <c r="Z1250" s="15"/>
      <c r="AA1250" s="1"/>
      <c r="AB1250" s="10">
        <v>48.0</v>
      </c>
      <c r="AC1250" s="14">
        <v>45169.0</v>
      </c>
      <c r="AD1250" s="14">
        <v>46630.0</v>
      </c>
      <c r="AE1250" s="10">
        <f t="shared" ref="AE1250:AE1256" si="101">AD1250-TODAY()</f>
        <v>539</v>
      </c>
      <c r="AF1250" s="2"/>
      <c r="AG1250" s="10" t="s">
        <v>1498</v>
      </c>
      <c r="AH1250" s="12" t="s">
        <v>46</v>
      </c>
      <c r="AI1250" s="10" t="s">
        <v>227</v>
      </c>
      <c r="AJ1250" s="10" t="s">
        <v>390</v>
      </c>
      <c r="AK1250" s="12" t="s">
        <v>3594</v>
      </c>
      <c r="AL1250" s="10" t="s">
        <v>49</v>
      </c>
      <c r="AM1250" s="10" t="s">
        <v>508</v>
      </c>
      <c r="AN1250" s="10" t="s">
        <v>320</v>
      </c>
    </row>
    <row r="1251" ht="30.0" customHeight="1">
      <c r="A1251" s="9" t="str">
        <f t="shared" si="48"/>
        <v>N/I</v>
      </c>
      <c r="B1251" s="9" t="str">
        <f t="shared" si="49"/>
        <v>N/I</v>
      </c>
      <c r="C1251" s="9" t="str">
        <f t="shared" si="80"/>
        <v>Ativo</v>
      </c>
      <c r="D1251" s="10" t="s">
        <v>3571</v>
      </c>
      <c r="E1251" s="11" t="s">
        <v>3572</v>
      </c>
      <c r="F1251" s="11" t="s">
        <v>3904</v>
      </c>
      <c r="G1251" s="12" t="s">
        <v>3579</v>
      </c>
      <c r="H1251" s="27" t="s">
        <v>3909</v>
      </c>
      <c r="I1251" s="12" t="s">
        <v>3906</v>
      </c>
      <c r="J1251" s="10" t="s">
        <v>216</v>
      </c>
      <c r="K1251" s="10" t="s">
        <v>40</v>
      </c>
      <c r="L1251" s="10" t="s">
        <v>6</v>
      </c>
      <c r="M1251" s="22">
        <v>45818.0</v>
      </c>
      <c r="N1251" s="32" t="s">
        <v>3910</v>
      </c>
      <c r="O1251" s="12" t="s">
        <v>3908</v>
      </c>
      <c r="P1251" s="10" t="s">
        <v>3603</v>
      </c>
      <c r="Q1251" s="2"/>
      <c r="R1251" s="15"/>
      <c r="S1251" s="15"/>
      <c r="T1251" s="15"/>
      <c r="U1251" s="15"/>
      <c r="V1251" s="2"/>
      <c r="W1251" s="15"/>
      <c r="X1251" s="15"/>
      <c r="Y1251" s="15"/>
      <c r="Z1251" s="15"/>
      <c r="AA1251" s="1"/>
      <c r="AB1251" s="10">
        <v>48.0</v>
      </c>
      <c r="AC1251" s="14">
        <v>45566.0</v>
      </c>
      <c r="AD1251" s="14">
        <v>47026.0</v>
      </c>
      <c r="AE1251" s="10">
        <f t="shared" si="101"/>
        <v>935</v>
      </c>
      <c r="AF1251" s="2"/>
      <c r="AG1251" s="10" t="s">
        <v>1498</v>
      </c>
      <c r="AH1251" s="12" t="s">
        <v>46</v>
      </c>
      <c r="AI1251" s="10" t="s">
        <v>227</v>
      </c>
      <c r="AJ1251" s="10" t="s">
        <v>390</v>
      </c>
      <c r="AK1251" s="16" t="s">
        <v>45</v>
      </c>
      <c r="AL1251" s="10" t="s">
        <v>49</v>
      </c>
      <c r="AM1251" s="10" t="s">
        <v>508</v>
      </c>
      <c r="AN1251" s="10" t="s">
        <v>320</v>
      </c>
    </row>
    <row r="1252" ht="30.0" customHeight="1">
      <c r="A1252" s="9" t="str">
        <f t="shared" si="48"/>
        <v>N/I</v>
      </c>
      <c r="B1252" s="9" t="str">
        <f t="shared" si="49"/>
        <v>N/I</v>
      </c>
      <c r="C1252" s="9" t="str">
        <f t="shared" si="80"/>
        <v>Ativo</v>
      </c>
      <c r="D1252" s="10" t="s">
        <v>3571</v>
      </c>
      <c r="E1252" s="11" t="s">
        <v>3572</v>
      </c>
      <c r="F1252" s="11" t="s">
        <v>3911</v>
      </c>
      <c r="G1252" s="12" t="s">
        <v>1691</v>
      </c>
      <c r="H1252" s="34" t="s">
        <v>3912</v>
      </c>
      <c r="I1252" s="12" t="s">
        <v>3913</v>
      </c>
      <c r="J1252" s="10" t="s">
        <v>216</v>
      </c>
      <c r="K1252" s="10" t="s">
        <v>40</v>
      </c>
      <c r="L1252" s="10" t="s">
        <v>6</v>
      </c>
      <c r="M1252" s="22">
        <v>45345.0</v>
      </c>
      <c r="N1252" s="32" t="s">
        <v>3914</v>
      </c>
      <c r="O1252" s="10" t="s">
        <v>3915</v>
      </c>
      <c r="P1252" s="10" t="s">
        <v>3593</v>
      </c>
      <c r="Q1252" s="2"/>
      <c r="R1252" s="15"/>
      <c r="S1252" s="15"/>
      <c r="T1252" s="15"/>
      <c r="U1252" s="15"/>
      <c r="V1252" s="2"/>
      <c r="W1252" s="15"/>
      <c r="X1252" s="15"/>
      <c r="Y1252" s="15"/>
      <c r="Z1252" s="15"/>
      <c r="AA1252" s="1"/>
      <c r="AB1252" s="10">
        <v>48.0</v>
      </c>
      <c r="AC1252" s="14">
        <v>45169.0</v>
      </c>
      <c r="AD1252" s="14">
        <v>46630.0</v>
      </c>
      <c r="AE1252" s="10">
        <f t="shared" si="101"/>
        <v>539</v>
      </c>
      <c r="AF1252" s="2"/>
      <c r="AG1252" s="10" t="s">
        <v>1498</v>
      </c>
      <c r="AH1252" s="12" t="s">
        <v>46</v>
      </c>
      <c r="AI1252" s="10" t="s">
        <v>227</v>
      </c>
      <c r="AJ1252" s="10" t="s">
        <v>390</v>
      </c>
      <c r="AK1252" s="12" t="s">
        <v>3594</v>
      </c>
      <c r="AL1252" s="10" t="s">
        <v>49</v>
      </c>
      <c r="AM1252" s="10" t="s">
        <v>508</v>
      </c>
      <c r="AN1252" s="10" t="s">
        <v>320</v>
      </c>
    </row>
    <row r="1253" ht="30.0" customHeight="1">
      <c r="A1253" s="9" t="str">
        <f t="shared" si="48"/>
        <v>N/I</v>
      </c>
      <c r="B1253" s="9" t="str">
        <f t="shared" si="49"/>
        <v>N/I</v>
      </c>
      <c r="C1253" s="9" t="str">
        <f t="shared" si="80"/>
        <v>Ativo</v>
      </c>
      <c r="D1253" s="10" t="s">
        <v>3571</v>
      </c>
      <c r="E1253" s="11" t="s">
        <v>3572</v>
      </c>
      <c r="F1253" s="11" t="s">
        <v>3911</v>
      </c>
      <c r="G1253" s="12" t="s">
        <v>3579</v>
      </c>
      <c r="H1253" s="13" t="s">
        <v>3916</v>
      </c>
      <c r="I1253" s="12" t="s">
        <v>3913</v>
      </c>
      <c r="J1253" s="10" t="s">
        <v>216</v>
      </c>
      <c r="K1253" s="10" t="s">
        <v>40</v>
      </c>
      <c r="L1253" s="10" t="s">
        <v>6</v>
      </c>
      <c r="M1253" s="22">
        <v>45533.0</v>
      </c>
      <c r="N1253" s="32" t="s">
        <v>3917</v>
      </c>
      <c r="O1253" s="10" t="s">
        <v>3918</v>
      </c>
      <c r="P1253" s="10" t="s">
        <v>3603</v>
      </c>
      <c r="Q1253" s="2"/>
      <c r="R1253" s="15"/>
      <c r="S1253" s="15"/>
      <c r="T1253" s="15"/>
      <c r="U1253" s="15"/>
      <c r="V1253" s="2"/>
      <c r="W1253" s="15"/>
      <c r="X1253" s="15"/>
      <c r="Y1253" s="15"/>
      <c r="Z1253" s="15"/>
      <c r="AA1253" s="1"/>
      <c r="AB1253" s="10">
        <v>48.0</v>
      </c>
      <c r="AC1253" s="14">
        <v>45566.0</v>
      </c>
      <c r="AD1253" s="14">
        <v>47026.0</v>
      </c>
      <c r="AE1253" s="10">
        <f t="shared" si="101"/>
        <v>935</v>
      </c>
      <c r="AF1253" s="2"/>
      <c r="AG1253" s="10" t="s">
        <v>1498</v>
      </c>
      <c r="AH1253" s="12" t="s">
        <v>46</v>
      </c>
      <c r="AI1253" s="10" t="s">
        <v>227</v>
      </c>
      <c r="AJ1253" s="10" t="s">
        <v>390</v>
      </c>
      <c r="AK1253" s="16" t="s">
        <v>45</v>
      </c>
      <c r="AL1253" s="10" t="s">
        <v>49</v>
      </c>
      <c r="AM1253" s="10" t="s">
        <v>508</v>
      </c>
      <c r="AN1253" s="10" t="s">
        <v>320</v>
      </c>
    </row>
    <row r="1254" ht="30.0" customHeight="1">
      <c r="A1254" s="9" t="str">
        <f t="shared" si="48"/>
        <v>N/I</v>
      </c>
      <c r="B1254" s="9" t="str">
        <f t="shared" si="49"/>
        <v>N/I</v>
      </c>
      <c r="C1254" s="9" t="str">
        <f t="shared" si="80"/>
        <v>Ativo</v>
      </c>
      <c r="D1254" s="10" t="s">
        <v>3571</v>
      </c>
      <c r="E1254" s="11" t="s">
        <v>3572</v>
      </c>
      <c r="F1254" s="11" t="s">
        <v>3919</v>
      </c>
      <c r="G1254" s="12" t="s">
        <v>1691</v>
      </c>
      <c r="H1254" s="34" t="s">
        <v>3920</v>
      </c>
      <c r="I1254" s="12" t="s">
        <v>3921</v>
      </c>
      <c r="J1254" s="10" t="s">
        <v>216</v>
      </c>
      <c r="K1254" s="10" t="s">
        <v>40</v>
      </c>
      <c r="L1254" s="10" t="s">
        <v>6</v>
      </c>
      <c r="M1254" s="22">
        <v>45274.0</v>
      </c>
      <c r="N1254" s="32" t="s">
        <v>3922</v>
      </c>
      <c r="O1254" s="10" t="s">
        <v>3923</v>
      </c>
      <c r="P1254" s="10" t="s">
        <v>3593</v>
      </c>
      <c r="Q1254" s="2"/>
      <c r="R1254" s="15"/>
      <c r="S1254" s="15"/>
      <c r="T1254" s="15"/>
      <c r="U1254" s="15"/>
      <c r="V1254" s="2"/>
      <c r="W1254" s="15"/>
      <c r="X1254" s="15"/>
      <c r="Y1254" s="15"/>
      <c r="Z1254" s="15"/>
      <c r="AA1254" s="1"/>
      <c r="AB1254" s="10">
        <v>48.0</v>
      </c>
      <c r="AC1254" s="14">
        <v>45169.0</v>
      </c>
      <c r="AD1254" s="14">
        <v>46630.0</v>
      </c>
      <c r="AE1254" s="10">
        <f t="shared" si="101"/>
        <v>539</v>
      </c>
      <c r="AF1254" s="2"/>
      <c r="AG1254" s="10" t="s">
        <v>1498</v>
      </c>
      <c r="AH1254" s="12" t="s">
        <v>46</v>
      </c>
      <c r="AI1254" s="10" t="s">
        <v>227</v>
      </c>
      <c r="AJ1254" s="10" t="s">
        <v>390</v>
      </c>
      <c r="AK1254" s="12" t="s">
        <v>3594</v>
      </c>
      <c r="AL1254" s="10" t="s">
        <v>49</v>
      </c>
      <c r="AM1254" s="10" t="s">
        <v>508</v>
      </c>
      <c r="AN1254" s="10" t="s">
        <v>320</v>
      </c>
    </row>
    <row r="1255" ht="30.0" customHeight="1">
      <c r="A1255" s="9" t="str">
        <f t="shared" si="48"/>
        <v>N/I</v>
      </c>
      <c r="B1255" s="9" t="str">
        <f t="shared" si="49"/>
        <v>N/I</v>
      </c>
      <c r="C1255" s="9" t="str">
        <f t="shared" si="80"/>
        <v>Ativo</v>
      </c>
      <c r="D1255" s="10" t="s">
        <v>3571</v>
      </c>
      <c r="E1255" s="11" t="s">
        <v>3572</v>
      </c>
      <c r="F1255" s="11" t="s">
        <v>3924</v>
      </c>
      <c r="G1255" s="12" t="s">
        <v>3579</v>
      </c>
      <c r="H1255" s="13" t="s">
        <v>3925</v>
      </c>
      <c r="I1255" s="12" t="s">
        <v>3921</v>
      </c>
      <c r="J1255" s="10" t="s">
        <v>216</v>
      </c>
      <c r="K1255" s="10" t="s">
        <v>40</v>
      </c>
      <c r="L1255" s="10" t="s">
        <v>6</v>
      </c>
      <c r="M1255" s="22">
        <v>45531.0</v>
      </c>
      <c r="N1255" s="32" t="s">
        <v>3926</v>
      </c>
      <c r="O1255" s="10" t="s">
        <v>3923</v>
      </c>
      <c r="P1255" s="10" t="s">
        <v>3603</v>
      </c>
      <c r="Q1255" s="2"/>
      <c r="R1255" s="15"/>
      <c r="S1255" s="15"/>
      <c r="T1255" s="15"/>
      <c r="U1255" s="15"/>
      <c r="V1255" s="2"/>
      <c r="W1255" s="15"/>
      <c r="X1255" s="15"/>
      <c r="Y1255" s="15"/>
      <c r="Z1255" s="15"/>
      <c r="AA1255" s="1"/>
      <c r="AB1255" s="10">
        <v>48.0</v>
      </c>
      <c r="AC1255" s="14">
        <v>45566.0</v>
      </c>
      <c r="AD1255" s="14">
        <v>47026.0</v>
      </c>
      <c r="AE1255" s="10">
        <f t="shared" si="101"/>
        <v>935</v>
      </c>
      <c r="AF1255" s="2"/>
      <c r="AG1255" s="10" t="s">
        <v>1498</v>
      </c>
      <c r="AH1255" s="12" t="s">
        <v>46</v>
      </c>
      <c r="AI1255" s="10" t="s">
        <v>227</v>
      </c>
      <c r="AJ1255" s="10" t="s">
        <v>390</v>
      </c>
      <c r="AK1255" s="16" t="s">
        <v>45</v>
      </c>
      <c r="AL1255" s="10" t="s">
        <v>49</v>
      </c>
      <c r="AM1255" s="10" t="s">
        <v>508</v>
      </c>
      <c r="AN1255" s="10" t="s">
        <v>320</v>
      </c>
    </row>
    <row r="1256" ht="30.0" customHeight="1">
      <c r="A1256" s="9" t="str">
        <f t="shared" si="48"/>
        <v>N/I</v>
      </c>
      <c r="B1256" s="9" t="str">
        <f t="shared" si="49"/>
        <v>N/I</v>
      </c>
      <c r="C1256" s="9" t="str">
        <f t="shared" si="80"/>
        <v>Ativo</v>
      </c>
      <c r="D1256" s="10" t="s">
        <v>3571</v>
      </c>
      <c r="E1256" s="11" t="s">
        <v>3572</v>
      </c>
      <c r="F1256" s="11" t="s">
        <v>3927</v>
      </c>
      <c r="G1256" s="12" t="s">
        <v>3579</v>
      </c>
      <c r="H1256" s="27" t="s">
        <v>3928</v>
      </c>
      <c r="I1256" s="12" t="s">
        <v>3929</v>
      </c>
      <c r="J1256" s="10" t="s">
        <v>216</v>
      </c>
      <c r="K1256" s="10" t="s">
        <v>40</v>
      </c>
      <c r="L1256" s="10" t="s">
        <v>6</v>
      </c>
      <c r="M1256" s="22">
        <v>45838.0</v>
      </c>
      <c r="N1256" s="32" t="s">
        <v>3930</v>
      </c>
      <c r="O1256" s="10" t="s">
        <v>3931</v>
      </c>
      <c r="P1256" s="10" t="s">
        <v>3603</v>
      </c>
      <c r="Q1256" s="2"/>
      <c r="R1256" s="15"/>
      <c r="S1256" s="15"/>
      <c r="T1256" s="15"/>
      <c r="U1256" s="15"/>
      <c r="V1256" s="2"/>
      <c r="W1256" s="15"/>
      <c r="X1256" s="15"/>
      <c r="Y1256" s="15"/>
      <c r="Z1256" s="15"/>
      <c r="AA1256" s="1"/>
      <c r="AB1256" s="10">
        <v>48.0</v>
      </c>
      <c r="AC1256" s="14">
        <v>45838.0</v>
      </c>
      <c r="AD1256" s="14">
        <v>47298.0</v>
      </c>
      <c r="AE1256" s="10">
        <f t="shared" si="101"/>
        <v>1207</v>
      </c>
      <c r="AF1256" s="2"/>
      <c r="AG1256" s="10" t="s">
        <v>1498</v>
      </c>
      <c r="AH1256" s="12" t="s">
        <v>46</v>
      </c>
      <c r="AI1256" s="10" t="s">
        <v>227</v>
      </c>
      <c r="AJ1256" s="10" t="s">
        <v>390</v>
      </c>
      <c r="AK1256" s="16" t="s">
        <v>45</v>
      </c>
      <c r="AL1256" s="10" t="s">
        <v>49</v>
      </c>
      <c r="AM1256" s="10" t="s">
        <v>508</v>
      </c>
      <c r="AN1256" s="10" t="s">
        <v>320</v>
      </c>
    </row>
    <row r="1257" ht="30.0" customHeight="1">
      <c r="A1257" s="9" t="str">
        <f t="shared" si="48"/>
        <v>N/I</v>
      </c>
      <c r="B1257" s="9" t="str">
        <f t="shared" si="49"/>
        <v>N/I</v>
      </c>
      <c r="C1257" s="9" t="str">
        <f t="shared" si="80"/>
        <v>N/I</v>
      </c>
      <c r="D1257" s="10" t="s">
        <v>3571</v>
      </c>
      <c r="E1257" s="11" t="s">
        <v>3572</v>
      </c>
      <c r="F1257" s="32" t="s">
        <v>3932</v>
      </c>
      <c r="G1257" s="12" t="s">
        <v>3579</v>
      </c>
      <c r="H1257" s="25" t="s">
        <v>187</v>
      </c>
      <c r="I1257" s="12" t="s">
        <v>3933</v>
      </c>
      <c r="J1257" s="10" t="s">
        <v>216</v>
      </c>
      <c r="K1257" s="10" t="s">
        <v>40</v>
      </c>
      <c r="L1257" s="10" t="s">
        <v>6</v>
      </c>
      <c r="M1257" s="24" t="s">
        <v>193</v>
      </c>
      <c r="N1257" s="11" t="s">
        <v>3934</v>
      </c>
      <c r="O1257" s="10" t="s">
        <v>3935</v>
      </c>
      <c r="P1257" s="10" t="s">
        <v>3583</v>
      </c>
      <c r="Q1257" s="2"/>
      <c r="R1257" s="10">
        <v>60.0</v>
      </c>
      <c r="S1257" s="45" t="s">
        <v>187</v>
      </c>
      <c r="T1257" s="45" t="s">
        <v>187</v>
      </c>
      <c r="U1257" s="10"/>
      <c r="V1257" s="2"/>
      <c r="W1257" s="15"/>
      <c r="X1257" s="15"/>
      <c r="Y1257" s="15"/>
      <c r="Z1257" s="15"/>
      <c r="AA1257" s="1"/>
      <c r="AB1257" s="10">
        <v>48.0</v>
      </c>
      <c r="AC1257" s="49" t="s">
        <v>1489</v>
      </c>
      <c r="AD1257" s="49" t="s">
        <v>1489</v>
      </c>
      <c r="AE1257" s="10"/>
      <c r="AF1257" s="2"/>
      <c r="AG1257" s="10" t="s">
        <v>290</v>
      </c>
      <c r="AH1257" s="10" t="s">
        <v>318</v>
      </c>
      <c r="AI1257" s="10" t="s">
        <v>319</v>
      </c>
      <c r="AJ1257" s="10" t="s">
        <v>291</v>
      </c>
      <c r="AK1257" s="16" t="s">
        <v>45</v>
      </c>
      <c r="AL1257" s="10" t="s">
        <v>49</v>
      </c>
      <c r="AM1257" s="10" t="s">
        <v>508</v>
      </c>
      <c r="AN1257" s="10" t="s">
        <v>50</v>
      </c>
    </row>
    <row r="1258" ht="30.0" customHeight="1">
      <c r="A1258" s="9" t="str">
        <f t="shared" si="48"/>
        <v>N/I</v>
      </c>
      <c r="B1258" s="9" t="str">
        <f t="shared" si="49"/>
        <v>N/I</v>
      </c>
      <c r="C1258" s="9" t="str">
        <f t="shared" si="80"/>
        <v>Ativo</v>
      </c>
      <c r="D1258" s="10" t="s">
        <v>3571</v>
      </c>
      <c r="E1258" s="11" t="s">
        <v>3572</v>
      </c>
      <c r="F1258" s="11" t="s">
        <v>3936</v>
      </c>
      <c r="G1258" s="12" t="s">
        <v>3579</v>
      </c>
      <c r="H1258" s="27" t="s">
        <v>3937</v>
      </c>
      <c r="I1258" s="12" t="s">
        <v>3938</v>
      </c>
      <c r="J1258" s="10" t="s">
        <v>216</v>
      </c>
      <c r="K1258" s="10" t="s">
        <v>40</v>
      </c>
      <c r="L1258" s="10" t="s">
        <v>6</v>
      </c>
      <c r="M1258" s="22">
        <v>45819.0</v>
      </c>
      <c r="N1258" s="32" t="s">
        <v>3939</v>
      </c>
      <c r="O1258" s="10" t="s">
        <v>3940</v>
      </c>
      <c r="P1258" s="10" t="s">
        <v>3603</v>
      </c>
      <c r="Q1258" s="2"/>
      <c r="R1258" s="15"/>
      <c r="S1258" s="15"/>
      <c r="T1258" s="15"/>
      <c r="U1258" s="15"/>
      <c r="V1258" s="2"/>
      <c r="W1258" s="15"/>
      <c r="X1258" s="15"/>
      <c r="Y1258" s="15"/>
      <c r="Z1258" s="15"/>
      <c r="AA1258" s="1"/>
      <c r="AB1258" s="10">
        <v>48.0</v>
      </c>
      <c r="AC1258" s="14">
        <v>45566.0</v>
      </c>
      <c r="AD1258" s="14">
        <v>47026.0</v>
      </c>
      <c r="AE1258" s="10">
        <f t="shared" ref="AE1258:AE1266" si="102">AD1258-TODAY()</f>
        <v>935</v>
      </c>
      <c r="AF1258" s="2"/>
      <c r="AG1258" s="10" t="s">
        <v>1498</v>
      </c>
      <c r="AH1258" s="12" t="s">
        <v>46</v>
      </c>
      <c r="AI1258" s="10" t="s">
        <v>227</v>
      </c>
      <c r="AJ1258" s="10" t="s">
        <v>390</v>
      </c>
      <c r="AK1258" s="16" t="s">
        <v>45</v>
      </c>
      <c r="AL1258" s="10" t="s">
        <v>49</v>
      </c>
      <c r="AM1258" s="10" t="s">
        <v>508</v>
      </c>
      <c r="AN1258" s="10" t="s">
        <v>320</v>
      </c>
    </row>
    <row r="1259" ht="30.0" customHeight="1">
      <c r="A1259" s="9" t="str">
        <f t="shared" si="48"/>
        <v>N/I</v>
      </c>
      <c r="B1259" s="9" t="str">
        <f t="shared" si="49"/>
        <v>N/I</v>
      </c>
      <c r="C1259" s="9" t="str">
        <f t="shared" si="80"/>
        <v>Ativo</v>
      </c>
      <c r="D1259" s="10" t="s">
        <v>3571</v>
      </c>
      <c r="E1259" s="11" t="s">
        <v>3572</v>
      </c>
      <c r="F1259" s="11" t="s">
        <v>3941</v>
      </c>
      <c r="G1259" s="12" t="s">
        <v>1691</v>
      </c>
      <c r="H1259" s="34" t="s">
        <v>3942</v>
      </c>
      <c r="I1259" s="12" t="s">
        <v>3943</v>
      </c>
      <c r="J1259" s="10" t="s">
        <v>216</v>
      </c>
      <c r="K1259" s="10" t="s">
        <v>40</v>
      </c>
      <c r="L1259" s="10" t="s">
        <v>6</v>
      </c>
      <c r="M1259" s="22">
        <v>45279.0</v>
      </c>
      <c r="N1259" s="32" t="s">
        <v>3944</v>
      </c>
      <c r="O1259" s="10" t="s">
        <v>3945</v>
      </c>
      <c r="P1259" s="10" t="s">
        <v>3593</v>
      </c>
      <c r="Q1259" s="2"/>
      <c r="R1259" s="15"/>
      <c r="S1259" s="15"/>
      <c r="T1259" s="15"/>
      <c r="U1259" s="15"/>
      <c r="V1259" s="2"/>
      <c r="W1259" s="15"/>
      <c r="X1259" s="15"/>
      <c r="Y1259" s="15"/>
      <c r="Z1259" s="15"/>
      <c r="AA1259" s="1"/>
      <c r="AB1259" s="10">
        <v>48.0</v>
      </c>
      <c r="AC1259" s="14">
        <v>45169.0</v>
      </c>
      <c r="AD1259" s="14">
        <v>46630.0</v>
      </c>
      <c r="AE1259" s="10">
        <f t="shared" si="102"/>
        <v>539</v>
      </c>
      <c r="AF1259" s="2"/>
      <c r="AG1259" s="10" t="s">
        <v>1498</v>
      </c>
      <c r="AH1259" s="12" t="s">
        <v>46</v>
      </c>
      <c r="AI1259" s="10" t="s">
        <v>227</v>
      </c>
      <c r="AJ1259" s="10" t="s">
        <v>390</v>
      </c>
      <c r="AK1259" s="12" t="s">
        <v>3594</v>
      </c>
      <c r="AL1259" s="10" t="s">
        <v>49</v>
      </c>
      <c r="AM1259" s="10" t="s">
        <v>508</v>
      </c>
      <c r="AN1259" s="10" t="s">
        <v>320</v>
      </c>
    </row>
    <row r="1260" ht="30.0" customHeight="1">
      <c r="A1260" s="9" t="str">
        <f t="shared" si="48"/>
        <v>N/I</v>
      </c>
      <c r="B1260" s="9" t="str">
        <f t="shared" si="49"/>
        <v>N/I</v>
      </c>
      <c r="C1260" s="9" t="str">
        <f t="shared" si="80"/>
        <v>Ativo</v>
      </c>
      <c r="D1260" s="10" t="s">
        <v>3571</v>
      </c>
      <c r="E1260" s="11" t="s">
        <v>3572</v>
      </c>
      <c r="F1260" s="11" t="s">
        <v>3941</v>
      </c>
      <c r="G1260" s="12" t="s">
        <v>3579</v>
      </c>
      <c r="H1260" s="13" t="s">
        <v>3946</v>
      </c>
      <c r="I1260" s="12" t="s">
        <v>3943</v>
      </c>
      <c r="J1260" s="10" t="s">
        <v>216</v>
      </c>
      <c r="K1260" s="10" t="s">
        <v>40</v>
      </c>
      <c r="L1260" s="10" t="s">
        <v>6</v>
      </c>
      <c r="M1260" s="22">
        <v>45524.0</v>
      </c>
      <c r="N1260" s="32" t="s">
        <v>3944</v>
      </c>
      <c r="O1260" s="10" t="s">
        <v>3947</v>
      </c>
      <c r="P1260" s="10" t="s">
        <v>3603</v>
      </c>
      <c r="Q1260" s="2"/>
      <c r="R1260" s="15"/>
      <c r="S1260" s="15"/>
      <c r="T1260" s="15"/>
      <c r="U1260" s="15"/>
      <c r="V1260" s="2"/>
      <c r="W1260" s="15"/>
      <c r="X1260" s="15"/>
      <c r="Y1260" s="15"/>
      <c r="Z1260" s="15"/>
      <c r="AA1260" s="1"/>
      <c r="AB1260" s="10">
        <v>48.0</v>
      </c>
      <c r="AC1260" s="14">
        <v>45566.0</v>
      </c>
      <c r="AD1260" s="14">
        <v>47026.0</v>
      </c>
      <c r="AE1260" s="10">
        <f t="shared" si="102"/>
        <v>935</v>
      </c>
      <c r="AF1260" s="2"/>
      <c r="AG1260" s="10" t="s">
        <v>1498</v>
      </c>
      <c r="AH1260" s="12" t="s">
        <v>46</v>
      </c>
      <c r="AI1260" s="10" t="s">
        <v>227</v>
      </c>
      <c r="AJ1260" s="10" t="s">
        <v>390</v>
      </c>
      <c r="AK1260" s="16" t="s">
        <v>45</v>
      </c>
      <c r="AL1260" s="10" t="s">
        <v>49</v>
      </c>
      <c r="AM1260" s="10" t="s">
        <v>508</v>
      </c>
      <c r="AN1260" s="10" t="s">
        <v>320</v>
      </c>
    </row>
    <row r="1261" ht="30.0" customHeight="1">
      <c r="A1261" s="9" t="str">
        <f t="shared" si="48"/>
        <v>N/I</v>
      </c>
      <c r="B1261" s="9" t="str">
        <f t="shared" si="49"/>
        <v>N/I</v>
      </c>
      <c r="C1261" s="9" t="str">
        <f t="shared" si="80"/>
        <v>Ativo</v>
      </c>
      <c r="D1261" s="10" t="s">
        <v>3571</v>
      </c>
      <c r="E1261" s="11" t="s">
        <v>3572</v>
      </c>
      <c r="F1261" s="11" t="s">
        <v>3948</v>
      </c>
      <c r="G1261" s="12" t="s">
        <v>1691</v>
      </c>
      <c r="H1261" s="34" t="s">
        <v>3949</v>
      </c>
      <c r="I1261" s="12" t="s">
        <v>3950</v>
      </c>
      <c r="J1261" s="10" t="s">
        <v>216</v>
      </c>
      <c r="K1261" s="10" t="s">
        <v>40</v>
      </c>
      <c r="L1261" s="10" t="s">
        <v>6</v>
      </c>
      <c r="M1261" s="22">
        <v>45288.0</v>
      </c>
      <c r="N1261" s="32" t="s">
        <v>3951</v>
      </c>
      <c r="O1261" s="10" t="s">
        <v>3952</v>
      </c>
      <c r="P1261" s="10" t="s">
        <v>3593</v>
      </c>
      <c r="Q1261" s="2"/>
      <c r="R1261" s="15"/>
      <c r="S1261" s="15"/>
      <c r="T1261" s="15"/>
      <c r="U1261" s="15"/>
      <c r="V1261" s="2"/>
      <c r="W1261" s="15"/>
      <c r="X1261" s="15"/>
      <c r="Y1261" s="15"/>
      <c r="Z1261" s="15"/>
      <c r="AA1261" s="1"/>
      <c r="AB1261" s="10">
        <v>48.0</v>
      </c>
      <c r="AC1261" s="14">
        <v>45169.0</v>
      </c>
      <c r="AD1261" s="14">
        <v>46630.0</v>
      </c>
      <c r="AE1261" s="10">
        <f t="shared" si="102"/>
        <v>539</v>
      </c>
      <c r="AF1261" s="2"/>
      <c r="AG1261" s="10" t="s">
        <v>1498</v>
      </c>
      <c r="AH1261" s="12" t="s">
        <v>46</v>
      </c>
      <c r="AI1261" s="10" t="s">
        <v>227</v>
      </c>
      <c r="AJ1261" s="10" t="s">
        <v>390</v>
      </c>
      <c r="AK1261" s="12" t="s">
        <v>3594</v>
      </c>
      <c r="AL1261" s="10" t="s">
        <v>49</v>
      </c>
      <c r="AM1261" s="10" t="s">
        <v>508</v>
      </c>
      <c r="AN1261" s="10" t="s">
        <v>320</v>
      </c>
    </row>
    <row r="1262" ht="30.0" customHeight="1">
      <c r="A1262" s="9" t="str">
        <f t="shared" si="48"/>
        <v>N/I</v>
      </c>
      <c r="B1262" s="9" t="str">
        <f t="shared" si="49"/>
        <v>N/I</v>
      </c>
      <c r="C1262" s="9" t="str">
        <f t="shared" si="80"/>
        <v>Ativo</v>
      </c>
      <c r="D1262" s="10" t="s">
        <v>3571</v>
      </c>
      <c r="E1262" s="11" t="s">
        <v>3572</v>
      </c>
      <c r="F1262" s="11" t="s">
        <v>3953</v>
      </c>
      <c r="G1262" s="12" t="s">
        <v>3579</v>
      </c>
      <c r="H1262" s="13" t="s">
        <v>3954</v>
      </c>
      <c r="I1262" s="12" t="s">
        <v>3950</v>
      </c>
      <c r="J1262" s="10" t="s">
        <v>216</v>
      </c>
      <c r="K1262" s="10" t="s">
        <v>40</v>
      </c>
      <c r="L1262" s="10" t="s">
        <v>6</v>
      </c>
      <c r="M1262" s="22">
        <v>45520.0</v>
      </c>
      <c r="N1262" s="32" t="s">
        <v>3951</v>
      </c>
      <c r="O1262" s="10" t="s">
        <v>3955</v>
      </c>
      <c r="P1262" s="10" t="s">
        <v>3603</v>
      </c>
      <c r="Q1262" s="2"/>
      <c r="R1262" s="15"/>
      <c r="S1262" s="15"/>
      <c r="T1262" s="15"/>
      <c r="U1262" s="15"/>
      <c r="V1262" s="2"/>
      <c r="W1262" s="15"/>
      <c r="X1262" s="15"/>
      <c r="Y1262" s="15"/>
      <c r="Z1262" s="15"/>
      <c r="AA1262" s="1"/>
      <c r="AB1262" s="10">
        <v>48.0</v>
      </c>
      <c r="AC1262" s="14">
        <v>45566.0</v>
      </c>
      <c r="AD1262" s="14">
        <v>47026.0</v>
      </c>
      <c r="AE1262" s="10">
        <f t="shared" si="102"/>
        <v>935</v>
      </c>
      <c r="AF1262" s="2"/>
      <c r="AG1262" s="10" t="s">
        <v>1498</v>
      </c>
      <c r="AH1262" s="12" t="s">
        <v>46</v>
      </c>
      <c r="AI1262" s="10" t="s">
        <v>227</v>
      </c>
      <c r="AJ1262" s="10" t="s">
        <v>390</v>
      </c>
      <c r="AK1262" s="16" t="s">
        <v>45</v>
      </c>
      <c r="AL1262" s="10" t="s">
        <v>49</v>
      </c>
      <c r="AM1262" s="10" t="s">
        <v>508</v>
      </c>
      <c r="AN1262" s="10" t="s">
        <v>320</v>
      </c>
    </row>
    <row r="1263" ht="30.0" customHeight="1">
      <c r="A1263" s="9" t="str">
        <f t="shared" si="48"/>
        <v>N/I</v>
      </c>
      <c r="B1263" s="9" t="str">
        <f t="shared" si="49"/>
        <v>N/I</v>
      </c>
      <c r="C1263" s="9" t="str">
        <f t="shared" si="80"/>
        <v>Ativo</v>
      </c>
      <c r="D1263" s="10" t="s">
        <v>3571</v>
      </c>
      <c r="E1263" s="11" t="s">
        <v>3572</v>
      </c>
      <c r="F1263" s="11" t="s">
        <v>3956</v>
      </c>
      <c r="G1263" s="12" t="s">
        <v>1691</v>
      </c>
      <c r="H1263" s="34" t="s">
        <v>3957</v>
      </c>
      <c r="I1263" s="12" t="s">
        <v>1367</v>
      </c>
      <c r="J1263" s="10" t="s">
        <v>216</v>
      </c>
      <c r="K1263" s="10" t="s">
        <v>40</v>
      </c>
      <c r="L1263" s="10" t="s">
        <v>6</v>
      </c>
      <c r="M1263" s="22">
        <v>45264.0</v>
      </c>
      <c r="N1263" s="32" t="s">
        <v>3958</v>
      </c>
      <c r="O1263" s="10" t="s">
        <v>3959</v>
      </c>
      <c r="P1263" s="10" t="s">
        <v>3593</v>
      </c>
      <c r="Q1263" s="2"/>
      <c r="R1263" s="15"/>
      <c r="S1263" s="15"/>
      <c r="T1263" s="15"/>
      <c r="U1263" s="15"/>
      <c r="V1263" s="2"/>
      <c r="W1263" s="15"/>
      <c r="X1263" s="15"/>
      <c r="Y1263" s="15"/>
      <c r="Z1263" s="15"/>
      <c r="AA1263" s="1"/>
      <c r="AB1263" s="10">
        <v>48.0</v>
      </c>
      <c r="AC1263" s="14">
        <v>45169.0</v>
      </c>
      <c r="AD1263" s="14">
        <v>46630.0</v>
      </c>
      <c r="AE1263" s="10">
        <f t="shared" si="102"/>
        <v>539</v>
      </c>
      <c r="AF1263" s="2"/>
      <c r="AG1263" s="10" t="s">
        <v>1498</v>
      </c>
      <c r="AH1263" s="12" t="s">
        <v>46</v>
      </c>
      <c r="AI1263" s="10" t="s">
        <v>227</v>
      </c>
      <c r="AJ1263" s="10" t="s">
        <v>390</v>
      </c>
      <c r="AK1263" s="12" t="s">
        <v>3594</v>
      </c>
      <c r="AL1263" s="10" t="s">
        <v>49</v>
      </c>
      <c r="AM1263" s="10" t="s">
        <v>508</v>
      </c>
      <c r="AN1263" s="10" t="s">
        <v>320</v>
      </c>
    </row>
    <row r="1264" ht="30.0" customHeight="1">
      <c r="A1264" s="9" t="str">
        <f t="shared" si="48"/>
        <v>N/I</v>
      </c>
      <c r="B1264" s="9" t="str">
        <f t="shared" si="49"/>
        <v>N/I</v>
      </c>
      <c r="C1264" s="9" t="str">
        <f t="shared" si="80"/>
        <v>Ativo</v>
      </c>
      <c r="D1264" s="10" t="s">
        <v>3571</v>
      </c>
      <c r="E1264" s="11" t="s">
        <v>3572</v>
      </c>
      <c r="F1264" s="11" t="s">
        <v>3960</v>
      </c>
      <c r="G1264" s="12" t="s">
        <v>1691</v>
      </c>
      <c r="H1264" s="34" t="s">
        <v>3961</v>
      </c>
      <c r="I1264" s="12" t="s">
        <v>1367</v>
      </c>
      <c r="J1264" s="10" t="s">
        <v>216</v>
      </c>
      <c r="K1264" s="10" t="s">
        <v>40</v>
      </c>
      <c r="L1264" s="10" t="s">
        <v>6</v>
      </c>
      <c r="M1264" s="22">
        <v>45275.0</v>
      </c>
      <c r="N1264" s="32" t="s">
        <v>3962</v>
      </c>
      <c r="O1264" s="10" t="s">
        <v>3963</v>
      </c>
      <c r="P1264" s="10" t="s">
        <v>3593</v>
      </c>
      <c r="Q1264" s="2"/>
      <c r="R1264" s="15"/>
      <c r="S1264" s="15"/>
      <c r="T1264" s="15"/>
      <c r="U1264" s="15"/>
      <c r="V1264" s="2"/>
      <c r="W1264" s="15"/>
      <c r="X1264" s="15"/>
      <c r="Y1264" s="15"/>
      <c r="Z1264" s="15"/>
      <c r="AA1264" s="1"/>
      <c r="AB1264" s="10">
        <v>48.0</v>
      </c>
      <c r="AC1264" s="14">
        <v>45169.0</v>
      </c>
      <c r="AD1264" s="14">
        <v>46630.0</v>
      </c>
      <c r="AE1264" s="10">
        <f t="shared" si="102"/>
        <v>539</v>
      </c>
      <c r="AF1264" s="2"/>
      <c r="AG1264" s="10" t="s">
        <v>1498</v>
      </c>
      <c r="AH1264" s="12" t="s">
        <v>46</v>
      </c>
      <c r="AI1264" s="10" t="s">
        <v>227</v>
      </c>
      <c r="AJ1264" s="10" t="s">
        <v>390</v>
      </c>
      <c r="AK1264" s="12" t="s">
        <v>3594</v>
      </c>
      <c r="AL1264" s="10" t="s">
        <v>49</v>
      </c>
      <c r="AM1264" s="10" t="s">
        <v>508</v>
      </c>
      <c r="AN1264" s="10" t="s">
        <v>320</v>
      </c>
    </row>
    <row r="1265" ht="30.0" customHeight="1">
      <c r="A1265" s="9" t="str">
        <f t="shared" si="48"/>
        <v>N/I</v>
      </c>
      <c r="B1265" s="9" t="str">
        <f t="shared" si="49"/>
        <v>N/I</v>
      </c>
      <c r="C1265" s="9" t="str">
        <f t="shared" si="80"/>
        <v>Ativo</v>
      </c>
      <c r="D1265" s="10" t="s">
        <v>3571</v>
      </c>
      <c r="E1265" s="11" t="s">
        <v>3572</v>
      </c>
      <c r="F1265" s="11" t="s">
        <v>3956</v>
      </c>
      <c r="G1265" s="12" t="s">
        <v>1691</v>
      </c>
      <c r="H1265" s="13" t="s">
        <v>3964</v>
      </c>
      <c r="I1265" s="12" t="s">
        <v>1367</v>
      </c>
      <c r="J1265" s="10" t="s">
        <v>216</v>
      </c>
      <c r="K1265" s="10" t="s">
        <v>40</v>
      </c>
      <c r="L1265" s="10" t="s">
        <v>6</v>
      </c>
      <c r="M1265" s="22">
        <v>45461.0</v>
      </c>
      <c r="N1265" s="32" t="s">
        <v>3958</v>
      </c>
      <c r="O1265" s="10" t="s">
        <v>3959</v>
      </c>
      <c r="P1265" s="10" t="s">
        <v>3598</v>
      </c>
      <c r="Q1265" s="2"/>
      <c r="R1265" s="15"/>
      <c r="S1265" s="15"/>
      <c r="T1265" s="15"/>
      <c r="U1265" s="15"/>
      <c r="V1265" s="2"/>
      <c r="W1265" s="15"/>
      <c r="X1265" s="15"/>
      <c r="Y1265" s="15"/>
      <c r="Z1265" s="15"/>
      <c r="AA1265" s="1"/>
      <c r="AB1265" s="10">
        <v>48.0</v>
      </c>
      <c r="AC1265" s="14">
        <v>45169.0</v>
      </c>
      <c r="AD1265" s="14">
        <v>46629.0</v>
      </c>
      <c r="AE1265" s="10">
        <f t="shared" si="102"/>
        <v>538</v>
      </c>
      <c r="AF1265" s="2"/>
      <c r="AG1265" s="10" t="s">
        <v>1498</v>
      </c>
      <c r="AH1265" s="12" t="s">
        <v>46</v>
      </c>
      <c r="AI1265" s="10" t="s">
        <v>227</v>
      </c>
      <c r="AJ1265" s="10" t="s">
        <v>390</v>
      </c>
      <c r="AK1265" s="12" t="s">
        <v>3594</v>
      </c>
      <c r="AL1265" s="10" t="s">
        <v>49</v>
      </c>
      <c r="AM1265" s="10" t="s">
        <v>508</v>
      </c>
      <c r="AN1265" s="10" t="s">
        <v>320</v>
      </c>
    </row>
    <row r="1266" ht="30.0" customHeight="1">
      <c r="A1266" s="9" t="str">
        <f t="shared" si="48"/>
        <v>N/I</v>
      </c>
      <c r="B1266" s="9" t="str">
        <f t="shared" si="49"/>
        <v>N/I</v>
      </c>
      <c r="C1266" s="9" t="str">
        <f t="shared" si="80"/>
        <v>Ativo</v>
      </c>
      <c r="D1266" s="10" t="s">
        <v>3571</v>
      </c>
      <c r="E1266" s="11" t="s">
        <v>3572</v>
      </c>
      <c r="F1266" s="11" t="s">
        <v>3960</v>
      </c>
      <c r="G1266" s="12" t="s">
        <v>3579</v>
      </c>
      <c r="H1266" s="13" t="s">
        <v>3965</v>
      </c>
      <c r="I1266" s="12" t="s">
        <v>1367</v>
      </c>
      <c r="J1266" s="10" t="s">
        <v>216</v>
      </c>
      <c r="K1266" s="10" t="s">
        <v>40</v>
      </c>
      <c r="L1266" s="10" t="s">
        <v>6</v>
      </c>
      <c r="M1266" s="22">
        <v>45516.0</v>
      </c>
      <c r="N1266" s="32" t="s">
        <v>3966</v>
      </c>
      <c r="O1266" s="10" t="s">
        <v>3963</v>
      </c>
      <c r="P1266" s="10" t="s">
        <v>3603</v>
      </c>
      <c r="Q1266" s="2"/>
      <c r="R1266" s="15"/>
      <c r="S1266" s="15"/>
      <c r="T1266" s="15"/>
      <c r="U1266" s="15"/>
      <c r="V1266" s="2"/>
      <c r="W1266" s="15"/>
      <c r="X1266" s="15"/>
      <c r="Y1266" s="15"/>
      <c r="Z1266" s="15"/>
      <c r="AA1266" s="1"/>
      <c r="AB1266" s="10">
        <v>48.0</v>
      </c>
      <c r="AC1266" s="14">
        <v>45566.0</v>
      </c>
      <c r="AD1266" s="14">
        <v>47026.0</v>
      </c>
      <c r="AE1266" s="10">
        <f t="shared" si="102"/>
        <v>935</v>
      </c>
      <c r="AF1266" s="2"/>
      <c r="AG1266" s="10" t="s">
        <v>1498</v>
      </c>
      <c r="AH1266" s="12" t="s">
        <v>46</v>
      </c>
      <c r="AI1266" s="10" t="s">
        <v>227</v>
      </c>
      <c r="AJ1266" s="10" t="s">
        <v>390</v>
      </c>
      <c r="AK1266" s="16" t="s">
        <v>45</v>
      </c>
      <c r="AL1266" s="10" t="s">
        <v>49</v>
      </c>
      <c r="AM1266" s="10" t="s">
        <v>508</v>
      </c>
      <c r="AN1266" s="10" t="s">
        <v>320</v>
      </c>
    </row>
    <row r="1267" ht="30.0" customHeight="1">
      <c r="A1267" s="9" t="str">
        <f t="shared" si="48"/>
        <v>N/I</v>
      </c>
      <c r="B1267" s="9" t="str">
        <f t="shared" si="49"/>
        <v>N/I</v>
      </c>
      <c r="C1267" s="9" t="str">
        <f t="shared" si="80"/>
        <v>N/I</v>
      </c>
      <c r="D1267" s="10" t="s">
        <v>3571</v>
      </c>
      <c r="E1267" s="11" t="s">
        <v>3572</v>
      </c>
      <c r="F1267" s="11" t="s">
        <v>3960</v>
      </c>
      <c r="G1267" s="12" t="s">
        <v>3579</v>
      </c>
      <c r="H1267" s="27" t="s">
        <v>3967</v>
      </c>
      <c r="I1267" s="12" t="s">
        <v>1367</v>
      </c>
      <c r="J1267" s="10" t="s">
        <v>216</v>
      </c>
      <c r="K1267" s="10" t="s">
        <v>40</v>
      </c>
      <c r="L1267" s="10" t="s">
        <v>6</v>
      </c>
      <c r="M1267" s="26" t="s">
        <v>180</v>
      </c>
      <c r="N1267" s="32" t="s">
        <v>3966</v>
      </c>
      <c r="O1267" s="10" t="s">
        <v>3963</v>
      </c>
      <c r="P1267" s="10" t="s">
        <v>3603</v>
      </c>
      <c r="Q1267" s="2"/>
      <c r="R1267" s="15"/>
      <c r="S1267" s="15"/>
      <c r="T1267" s="15"/>
      <c r="U1267" s="15"/>
      <c r="V1267" s="2"/>
      <c r="W1267" s="15"/>
      <c r="X1267" s="15"/>
      <c r="Y1267" s="15"/>
      <c r="Z1267" s="15"/>
      <c r="AA1267" s="1"/>
      <c r="AB1267" s="10">
        <v>48.0</v>
      </c>
      <c r="AC1267" s="26" t="s">
        <v>180</v>
      </c>
      <c r="AD1267" s="24" t="s">
        <v>180</v>
      </c>
      <c r="AE1267" s="10"/>
      <c r="AF1267" s="2"/>
      <c r="AG1267" s="10" t="s">
        <v>1498</v>
      </c>
      <c r="AH1267" s="12" t="s">
        <v>46</v>
      </c>
      <c r="AI1267" s="10" t="s">
        <v>227</v>
      </c>
      <c r="AJ1267" s="10" t="s">
        <v>390</v>
      </c>
      <c r="AK1267" s="16" t="s">
        <v>45</v>
      </c>
      <c r="AL1267" s="10" t="s">
        <v>49</v>
      </c>
      <c r="AM1267" s="10" t="s">
        <v>508</v>
      </c>
      <c r="AN1267" s="10" t="s">
        <v>320</v>
      </c>
    </row>
    <row r="1268" ht="30.0" customHeight="1">
      <c r="A1268" s="9" t="str">
        <f t="shared" si="48"/>
        <v>N/I</v>
      </c>
      <c r="B1268" s="9" t="str">
        <f t="shared" si="49"/>
        <v>N/I</v>
      </c>
      <c r="C1268" s="9" t="str">
        <f t="shared" si="80"/>
        <v>Ativo</v>
      </c>
      <c r="D1268" s="10" t="s">
        <v>3571</v>
      </c>
      <c r="E1268" s="11" t="s">
        <v>3572</v>
      </c>
      <c r="F1268" s="11" t="s">
        <v>3968</v>
      </c>
      <c r="G1268" s="12" t="s">
        <v>3579</v>
      </c>
      <c r="H1268" s="13" t="s">
        <v>3969</v>
      </c>
      <c r="I1268" s="12" t="s">
        <v>3970</v>
      </c>
      <c r="J1268" s="10" t="s">
        <v>216</v>
      </c>
      <c r="K1268" s="10" t="s">
        <v>40</v>
      </c>
      <c r="L1268" s="10" t="s">
        <v>6</v>
      </c>
      <c r="M1268" s="22">
        <v>45517.0</v>
      </c>
      <c r="N1268" s="32" t="s">
        <v>3971</v>
      </c>
      <c r="O1268" s="10" t="s">
        <v>3959</v>
      </c>
      <c r="P1268" s="10" t="s">
        <v>3603</v>
      </c>
      <c r="Q1268" s="2"/>
      <c r="R1268" s="15"/>
      <c r="S1268" s="15"/>
      <c r="T1268" s="15"/>
      <c r="U1268" s="15"/>
      <c r="V1268" s="2"/>
      <c r="W1268" s="15"/>
      <c r="X1268" s="15"/>
      <c r="Y1268" s="15"/>
      <c r="Z1268" s="15"/>
      <c r="AA1268" s="1"/>
      <c r="AB1268" s="10">
        <v>48.0</v>
      </c>
      <c r="AC1268" s="14">
        <v>45566.0</v>
      </c>
      <c r="AD1268" s="14">
        <v>47026.0</v>
      </c>
      <c r="AE1268" s="10">
        <f t="shared" ref="AE1268:AE1269" si="103">AD1268-TODAY()</f>
        <v>935</v>
      </c>
      <c r="AF1268" s="2"/>
      <c r="AG1268" s="10" t="s">
        <v>1498</v>
      </c>
      <c r="AH1268" s="12" t="s">
        <v>46</v>
      </c>
      <c r="AI1268" s="10" t="s">
        <v>227</v>
      </c>
      <c r="AJ1268" s="10" t="s">
        <v>390</v>
      </c>
      <c r="AK1268" s="16" t="s">
        <v>45</v>
      </c>
      <c r="AL1268" s="10" t="s">
        <v>49</v>
      </c>
      <c r="AM1268" s="10" t="s">
        <v>508</v>
      </c>
      <c r="AN1268" s="10" t="s">
        <v>320</v>
      </c>
    </row>
    <row r="1269" ht="30.0" customHeight="1">
      <c r="A1269" s="9" t="str">
        <f t="shared" si="48"/>
        <v>N/I</v>
      </c>
      <c r="B1269" s="9" t="str">
        <f t="shared" si="49"/>
        <v>N/I</v>
      </c>
      <c r="C1269" s="9" t="str">
        <f t="shared" si="80"/>
        <v>Ativo</v>
      </c>
      <c r="D1269" s="10" t="s">
        <v>3571</v>
      </c>
      <c r="E1269" s="11" t="s">
        <v>3572</v>
      </c>
      <c r="F1269" s="11" t="s">
        <v>3972</v>
      </c>
      <c r="G1269" s="12" t="s">
        <v>1691</v>
      </c>
      <c r="H1269" s="34" t="s">
        <v>3973</v>
      </c>
      <c r="I1269" s="12" t="s">
        <v>3974</v>
      </c>
      <c r="J1269" s="10" t="s">
        <v>216</v>
      </c>
      <c r="K1269" s="10" t="s">
        <v>40</v>
      </c>
      <c r="L1269" s="10" t="s">
        <v>6</v>
      </c>
      <c r="M1269" s="22">
        <v>45261.0</v>
      </c>
      <c r="N1269" s="32" t="s">
        <v>3975</v>
      </c>
      <c r="O1269" s="10" t="s">
        <v>3976</v>
      </c>
      <c r="P1269" s="10" t="s">
        <v>3593</v>
      </c>
      <c r="Q1269" s="2"/>
      <c r="R1269" s="15"/>
      <c r="S1269" s="15"/>
      <c r="T1269" s="15"/>
      <c r="U1269" s="15"/>
      <c r="V1269" s="2"/>
      <c r="W1269" s="15"/>
      <c r="X1269" s="15"/>
      <c r="Y1269" s="15"/>
      <c r="Z1269" s="15"/>
      <c r="AA1269" s="1"/>
      <c r="AB1269" s="10">
        <v>48.0</v>
      </c>
      <c r="AC1269" s="14">
        <v>45169.0</v>
      </c>
      <c r="AD1269" s="14">
        <v>46630.0</v>
      </c>
      <c r="AE1269" s="10">
        <f t="shared" si="103"/>
        <v>539</v>
      </c>
      <c r="AF1269" s="2"/>
      <c r="AG1269" s="10" t="s">
        <v>1498</v>
      </c>
      <c r="AH1269" s="12" t="s">
        <v>46</v>
      </c>
      <c r="AI1269" s="10" t="s">
        <v>227</v>
      </c>
      <c r="AJ1269" s="10" t="s">
        <v>390</v>
      </c>
      <c r="AK1269" s="12" t="s">
        <v>3594</v>
      </c>
      <c r="AL1269" s="10" t="s">
        <v>49</v>
      </c>
      <c r="AM1269" s="10" t="s">
        <v>508</v>
      </c>
      <c r="AN1269" s="10" t="s">
        <v>320</v>
      </c>
    </row>
    <row r="1270" ht="30.0" customHeight="1">
      <c r="A1270" s="9" t="str">
        <f t="shared" si="48"/>
        <v>N/I</v>
      </c>
      <c r="B1270" s="9" t="str">
        <f t="shared" si="49"/>
        <v>N/I</v>
      </c>
      <c r="C1270" s="9" t="str">
        <f t="shared" si="80"/>
        <v>N/I</v>
      </c>
      <c r="D1270" s="10" t="s">
        <v>3571</v>
      </c>
      <c r="E1270" s="11" t="s">
        <v>3572</v>
      </c>
      <c r="F1270" s="32" t="s">
        <v>3977</v>
      </c>
      <c r="G1270" s="12" t="s">
        <v>3579</v>
      </c>
      <c r="H1270" s="25" t="s">
        <v>187</v>
      </c>
      <c r="I1270" s="12" t="s">
        <v>3978</v>
      </c>
      <c r="J1270" s="10" t="s">
        <v>216</v>
      </c>
      <c r="K1270" s="10" t="s">
        <v>40</v>
      </c>
      <c r="L1270" s="10" t="s">
        <v>6</v>
      </c>
      <c r="M1270" s="24" t="s">
        <v>193</v>
      </c>
      <c r="N1270" s="11" t="s">
        <v>3979</v>
      </c>
      <c r="O1270" s="10" t="s">
        <v>3980</v>
      </c>
      <c r="P1270" s="10" t="s">
        <v>3583</v>
      </c>
      <c r="Q1270" s="2"/>
      <c r="R1270" s="15"/>
      <c r="S1270" s="15"/>
      <c r="T1270" s="15"/>
      <c r="U1270" s="15"/>
      <c r="V1270" s="2"/>
      <c r="W1270" s="15"/>
      <c r="X1270" s="15"/>
      <c r="Y1270" s="15"/>
      <c r="Z1270" s="15"/>
      <c r="AA1270" s="1"/>
      <c r="AB1270" s="10">
        <v>48.0</v>
      </c>
      <c r="AC1270" s="49" t="s">
        <v>1489</v>
      </c>
      <c r="AD1270" s="49" t="s">
        <v>1489</v>
      </c>
      <c r="AE1270" s="10"/>
      <c r="AF1270" s="2"/>
      <c r="AG1270" s="10" t="s">
        <v>1498</v>
      </c>
      <c r="AH1270" s="12" t="s">
        <v>46</v>
      </c>
      <c r="AI1270" s="10" t="s">
        <v>227</v>
      </c>
      <c r="AJ1270" s="10" t="s">
        <v>390</v>
      </c>
      <c r="AK1270" s="16" t="s">
        <v>45</v>
      </c>
      <c r="AL1270" s="10" t="s">
        <v>49</v>
      </c>
      <c r="AM1270" s="10" t="s">
        <v>508</v>
      </c>
      <c r="AN1270" s="16"/>
    </row>
    <row r="1271" ht="30.0" customHeight="1">
      <c r="A1271" s="9" t="str">
        <f t="shared" si="48"/>
        <v>N/I</v>
      </c>
      <c r="B1271" s="9" t="str">
        <f t="shared" si="49"/>
        <v>N/I</v>
      </c>
      <c r="C1271" s="9" t="str">
        <f t="shared" si="80"/>
        <v>Ativo</v>
      </c>
      <c r="D1271" s="10" t="s">
        <v>3571</v>
      </c>
      <c r="E1271" s="11" t="s">
        <v>3572</v>
      </c>
      <c r="F1271" s="11" t="s">
        <v>3981</v>
      </c>
      <c r="G1271" s="12" t="s">
        <v>3579</v>
      </c>
      <c r="H1271" s="27" t="s">
        <v>3982</v>
      </c>
      <c r="I1271" s="12" t="s">
        <v>3983</v>
      </c>
      <c r="J1271" s="10" t="s">
        <v>216</v>
      </c>
      <c r="K1271" s="10" t="s">
        <v>40</v>
      </c>
      <c r="L1271" s="10" t="s">
        <v>6</v>
      </c>
      <c r="M1271" s="22">
        <v>45817.0</v>
      </c>
      <c r="N1271" s="32" t="s">
        <v>3984</v>
      </c>
      <c r="O1271" s="10" t="s">
        <v>3985</v>
      </c>
      <c r="P1271" s="10" t="s">
        <v>3603</v>
      </c>
      <c r="Q1271" s="2"/>
      <c r="R1271" s="15"/>
      <c r="S1271" s="15"/>
      <c r="T1271" s="15"/>
      <c r="U1271" s="15"/>
      <c r="V1271" s="2"/>
      <c r="W1271" s="15"/>
      <c r="X1271" s="15"/>
      <c r="Y1271" s="15"/>
      <c r="Z1271" s="15"/>
      <c r="AA1271" s="1"/>
      <c r="AB1271" s="10">
        <v>48.0</v>
      </c>
      <c r="AC1271" s="14">
        <v>45566.0</v>
      </c>
      <c r="AD1271" s="14">
        <v>47026.0</v>
      </c>
      <c r="AE1271" s="10">
        <f t="shared" ref="AE1271:AE1277" si="104">AD1271-TODAY()</f>
        <v>935</v>
      </c>
      <c r="AF1271" s="2"/>
      <c r="AG1271" s="10" t="s">
        <v>1498</v>
      </c>
      <c r="AH1271" s="12" t="s">
        <v>46</v>
      </c>
      <c r="AI1271" s="10" t="s">
        <v>227</v>
      </c>
      <c r="AJ1271" s="10" t="s">
        <v>390</v>
      </c>
      <c r="AK1271" s="16" t="s">
        <v>45</v>
      </c>
      <c r="AL1271" s="10" t="s">
        <v>49</v>
      </c>
      <c r="AM1271" s="10" t="s">
        <v>508</v>
      </c>
      <c r="AN1271" s="10" t="s">
        <v>320</v>
      </c>
    </row>
    <row r="1272" ht="30.0" customHeight="1">
      <c r="A1272" s="9" t="str">
        <f t="shared" si="48"/>
        <v>N/I</v>
      </c>
      <c r="B1272" s="9" t="str">
        <f t="shared" si="49"/>
        <v>N/I</v>
      </c>
      <c r="C1272" s="9" t="str">
        <f t="shared" si="80"/>
        <v>Ativo</v>
      </c>
      <c r="D1272" s="10" t="s">
        <v>3571</v>
      </c>
      <c r="E1272" s="11" t="s">
        <v>3572</v>
      </c>
      <c r="F1272" s="11" t="s">
        <v>3986</v>
      </c>
      <c r="G1272" s="12" t="s">
        <v>1691</v>
      </c>
      <c r="H1272" s="34" t="s">
        <v>3987</v>
      </c>
      <c r="I1272" s="12" t="s">
        <v>3988</v>
      </c>
      <c r="J1272" s="10" t="s">
        <v>216</v>
      </c>
      <c r="K1272" s="10" t="s">
        <v>40</v>
      </c>
      <c r="L1272" s="10" t="s">
        <v>6</v>
      </c>
      <c r="M1272" s="22">
        <v>45300.0</v>
      </c>
      <c r="N1272" s="32" t="s">
        <v>3989</v>
      </c>
      <c r="O1272" s="10" t="s">
        <v>3990</v>
      </c>
      <c r="P1272" s="10" t="s">
        <v>3593</v>
      </c>
      <c r="Q1272" s="2"/>
      <c r="R1272" s="15"/>
      <c r="S1272" s="15"/>
      <c r="T1272" s="15"/>
      <c r="U1272" s="15"/>
      <c r="V1272" s="2"/>
      <c r="W1272" s="15"/>
      <c r="X1272" s="15"/>
      <c r="Y1272" s="15"/>
      <c r="Z1272" s="15"/>
      <c r="AA1272" s="1"/>
      <c r="AB1272" s="10">
        <v>48.0</v>
      </c>
      <c r="AC1272" s="14">
        <v>45169.0</v>
      </c>
      <c r="AD1272" s="14">
        <v>46630.0</v>
      </c>
      <c r="AE1272" s="10">
        <f t="shared" si="104"/>
        <v>539</v>
      </c>
      <c r="AF1272" s="2"/>
      <c r="AG1272" s="10" t="s">
        <v>1498</v>
      </c>
      <c r="AH1272" s="12" t="s">
        <v>46</v>
      </c>
      <c r="AI1272" s="10" t="s">
        <v>227</v>
      </c>
      <c r="AJ1272" s="10" t="s">
        <v>390</v>
      </c>
      <c r="AK1272" s="12" t="s">
        <v>3594</v>
      </c>
      <c r="AL1272" s="10" t="s">
        <v>49</v>
      </c>
      <c r="AM1272" s="10" t="s">
        <v>508</v>
      </c>
      <c r="AN1272" s="10" t="s">
        <v>320</v>
      </c>
    </row>
    <row r="1273" ht="30.0" customHeight="1">
      <c r="A1273" s="9" t="str">
        <f t="shared" si="48"/>
        <v>N/I</v>
      </c>
      <c r="B1273" s="9" t="str">
        <f t="shared" si="49"/>
        <v>N/I</v>
      </c>
      <c r="C1273" s="9" t="str">
        <f t="shared" si="80"/>
        <v>Ativo</v>
      </c>
      <c r="D1273" s="10" t="s">
        <v>3571</v>
      </c>
      <c r="E1273" s="11" t="s">
        <v>3572</v>
      </c>
      <c r="F1273" s="11" t="s">
        <v>3986</v>
      </c>
      <c r="G1273" s="12" t="s">
        <v>3579</v>
      </c>
      <c r="H1273" s="13" t="s">
        <v>3991</v>
      </c>
      <c r="I1273" s="12" t="s">
        <v>3988</v>
      </c>
      <c r="J1273" s="10" t="s">
        <v>216</v>
      </c>
      <c r="K1273" s="10" t="s">
        <v>40</v>
      </c>
      <c r="L1273" s="10" t="s">
        <v>6</v>
      </c>
      <c r="M1273" s="22">
        <v>45517.0</v>
      </c>
      <c r="N1273" s="32" t="s">
        <v>3992</v>
      </c>
      <c r="O1273" s="10" t="s">
        <v>3990</v>
      </c>
      <c r="P1273" s="10" t="s">
        <v>3603</v>
      </c>
      <c r="Q1273" s="2"/>
      <c r="R1273" s="15"/>
      <c r="S1273" s="15"/>
      <c r="T1273" s="15"/>
      <c r="U1273" s="15"/>
      <c r="V1273" s="2"/>
      <c r="W1273" s="15"/>
      <c r="X1273" s="15"/>
      <c r="Y1273" s="15"/>
      <c r="Z1273" s="15"/>
      <c r="AA1273" s="1"/>
      <c r="AB1273" s="10">
        <v>48.0</v>
      </c>
      <c r="AC1273" s="14">
        <v>45566.0</v>
      </c>
      <c r="AD1273" s="14">
        <v>47026.0</v>
      </c>
      <c r="AE1273" s="10">
        <f t="shared" si="104"/>
        <v>935</v>
      </c>
      <c r="AF1273" s="2"/>
      <c r="AG1273" s="10" t="s">
        <v>1498</v>
      </c>
      <c r="AH1273" s="12" t="s">
        <v>46</v>
      </c>
      <c r="AI1273" s="10" t="s">
        <v>227</v>
      </c>
      <c r="AJ1273" s="10" t="s">
        <v>390</v>
      </c>
      <c r="AK1273" s="16" t="s">
        <v>45</v>
      </c>
      <c r="AL1273" s="10" t="s">
        <v>49</v>
      </c>
      <c r="AM1273" s="10" t="s">
        <v>508</v>
      </c>
      <c r="AN1273" s="10" t="s">
        <v>320</v>
      </c>
    </row>
    <row r="1274" ht="30.0" customHeight="1">
      <c r="A1274" s="9" t="str">
        <f t="shared" si="48"/>
        <v>N/I</v>
      </c>
      <c r="B1274" s="9" t="str">
        <f t="shared" si="49"/>
        <v>N/I</v>
      </c>
      <c r="C1274" s="9" t="str">
        <f t="shared" si="80"/>
        <v>Ativo</v>
      </c>
      <c r="D1274" s="10" t="s">
        <v>3571</v>
      </c>
      <c r="E1274" s="11" t="s">
        <v>3572</v>
      </c>
      <c r="F1274" s="11" t="s">
        <v>3993</v>
      </c>
      <c r="G1274" s="12" t="s">
        <v>1691</v>
      </c>
      <c r="H1274" s="34" t="s">
        <v>3994</v>
      </c>
      <c r="I1274" s="12" t="s">
        <v>3995</v>
      </c>
      <c r="J1274" s="10" t="s">
        <v>216</v>
      </c>
      <c r="K1274" s="10" t="s">
        <v>40</v>
      </c>
      <c r="L1274" s="10" t="s">
        <v>6</v>
      </c>
      <c r="M1274" s="22">
        <v>45266.0</v>
      </c>
      <c r="N1274" s="32" t="s">
        <v>3996</v>
      </c>
      <c r="O1274" s="10" t="s">
        <v>3997</v>
      </c>
      <c r="P1274" s="10" t="s">
        <v>3593</v>
      </c>
      <c r="Q1274" s="2"/>
      <c r="R1274" s="15"/>
      <c r="S1274" s="15"/>
      <c r="T1274" s="15"/>
      <c r="U1274" s="15"/>
      <c r="V1274" s="2"/>
      <c r="W1274" s="15"/>
      <c r="X1274" s="15"/>
      <c r="Y1274" s="15"/>
      <c r="Z1274" s="15"/>
      <c r="AA1274" s="1"/>
      <c r="AB1274" s="10">
        <v>48.0</v>
      </c>
      <c r="AC1274" s="14">
        <v>45169.0</v>
      </c>
      <c r="AD1274" s="14">
        <v>46630.0</v>
      </c>
      <c r="AE1274" s="10">
        <f t="shared" si="104"/>
        <v>539</v>
      </c>
      <c r="AF1274" s="2"/>
      <c r="AG1274" s="10" t="s">
        <v>1498</v>
      </c>
      <c r="AH1274" s="12" t="s">
        <v>46</v>
      </c>
      <c r="AI1274" s="10" t="s">
        <v>227</v>
      </c>
      <c r="AJ1274" s="10" t="s">
        <v>390</v>
      </c>
      <c r="AK1274" s="12" t="s">
        <v>3594</v>
      </c>
      <c r="AL1274" s="10" t="s">
        <v>49</v>
      </c>
      <c r="AM1274" s="10" t="s">
        <v>508</v>
      </c>
      <c r="AN1274" s="10" t="s">
        <v>320</v>
      </c>
    </row>
    <row r="1275" ht="30.0" customHeight="1">
      <c r="A1275" s="9" t="str">
        <f t="shared" si="48"/>
        <v>N/I</v>
      </c>
      <c r="B1275" s="9" t="str">
        <f t="shared" si="49"/>
        <v>N/I</v>
      </c>
      <c r="C1275" s="9" t="str">
        <f t="shared" si="80"/>
        <v>Ativo</v>
      </c>
      <c r="D1275" s="10" t="s">
        <v>3571</v>
      </c>
      <c r="E1275" s="11" t="s">
        <v>3572</v>
      </c>
      <c r="F1275" s="11" t="s">
        <v>3998</v>
      </c>
      <c r="G1275" s="12" t="s">
        <v>1691</v>
      </c>
      <c r="H1275" s="34" t="s">
        <v>3999</v>
      </c>
      <c r="I1275" s="12" t="s">
        <v>3995</v>
      </c>
      <c r="J1275" s="10" t="s">
        <v>216</v>
      </c>
      <c r="K1275" s="10" t="s">
        <v>40</v>
      </c>
      <c r="L1275" s="10" t="s">
        <v>6</v>
      </c>
      <c r="M1275" s="22">
        <v>45266.0</v>
      </c>
      <c r="N1275" s="32" t="s">
        <v>4000</v>
      </c>
      <c r="O1275" s="10" t="s">
        <v>3997</v>
      </c>
      <c r="P1275" s="10" t="s">
        <v>3593</v>
      </c>
      <c r="Q1275" s="2"/>
      <c r="R1275" s="15"/>
      <c r="S1275" s="15"/>
      <c r="T1275" s="15"/>
      <c r="U1275" s="15"/>
      <c r="V1275" s="2"/>
      <c r="W1275" s="15"/>
      <c r="X1275" s="15"/>
      <c r="Y1275" s="15"/>
      <c r="Z1275" s="15"/>
      <c r="AA1275" s="1"/>
      <c r="AB1275" s="10">
        <v>48.0</v>
      </c>
      <c r="AC1275" s="14">
        <v>45169.0</v>
      </c>
      <c r="AD1275" s="14">
        <v>46630.0</v>
      </c>
      <c r="AE1275" s="10">
        <f t="shared" si="104"/>
        <v>539</v>
      </c>
      <c r="AF1275" s="2"/>
      <c r="AG1275" s="10" t="s">
        <v>1498</v>
      </c>
      <c r="AH1275" s="12" t="s">
        <v>46</v>
      </c>
      <c r="AI1275" s="10" t="s">
        <v>227</v>
      </c>
      <c r="AJ1275" s="10" t="s">
        <v>390</v>
      </c>
      <c r="AK1275" s="12" t="s">
        <v>3594</v>
      </c>
      <c r="AL1275" s="10" t="s">
        <v>49</v>
      </c>
      <c r="AM1275" s="10" t="s">
        <v>508</v>
      </c>
      <c r="AN1275" s="10" t="s">
        <v>320</v>
      </c>
    </row>
    <row r="1276" ht="30.0" customHeight="1">
      <c r="A1276" s="9" t="str">
        <f t="shared" si="48"/>
        <v>N/I</v>
      </c>
      <c r="B1276" s="9" t="str">
        <f t="shared" si="49"/>
        <v>N/I</v>
      </c>
      <c r="C1276" s="9" t="str">
        <f t="shared" si="80"/>
        <v>Ativo</v>
      </c>
      <c r="D1276" s="10" t="s">
        <v>3571</v>
      </c>
      <c r="E1276" s="11" t="s">
        <v>3572</v>
      </c>
      <c r="F1276" s="11" t="s">
        <v>4001</v>
      </c>
      <c r="G1276" s="12" t="s">
        <v>3579</v>
      </c>
      <c r="H1276" s="13" t="s">
        <v>4002</v>
      </c>
      <c r="I1276" s="12" t="s">
        <v>3995</v>
      </c>
      <c r="J1276" s="10" t="s">
        <v>216</v>
      </c>
      <c r="K1276" s="10" t="s">
        <v>40</v>
      </c>
      <c r="L1276" s="10" t="s">
        <v>6</v>
      </c>
      <c r="M1276" s="22">
        <v>45519.0</v>
      </c>
      <c r="N1276" s="32" t="s">
        <v>4003</v>
      </c>
      <c r="O1276" s="10" t="s">
        <v>3997</v>
      </c>
      <c r="P1276" s="10" t="s">
        <v>3603</v>
      </c>
      <c r="Q1276" s="2"/>
      <c r="R1276" s="15"/>
      <c r="S1276" s="15"/>
      <c r="T1276" s="15"/>
      <c r="U1276" s="15"/>
      <c r="V1276" s="2"/>
      <c r="W1276" s="15"/>
      <c r="X1276" s="15"/>
      <c r="Y1276" s="15"/>
      <c r="Z1276" s="15"/>
      <c r="AA1276" s="1"/>
      <c r="AB1276" s="10">
        <v>48.0</v>
      </c>
      <c r="AC1276" s="14">
        <v>45566.0</v>
      </c>
      <c r="AD1276" s="14">
        <v>47026.0</v>
      </c>
      <c r="AE1276" s="10">
        <f t="shared" si="104"/>
        <v>935</v>
      </c>
      <c r="AF1276" s="2"/>
      <c r="AG1276" s="10" t="s">
        <v>1498</v>
      </c>
      <c r="AH1276" s="12" t="s">
        <v>46</v>
      </c>
      <c r="AI1276" s="10" t="s">
        <v>227</v>
      </c>
      <c r="AJ1276" s="10" t="s">
        <v>390</v>
      </c>
      <c r="AK1276" s="16" t="s">
        <v>45</v>
      </c>
      <c r="AL1276" s="10" t="s">
        <v>49</v>
      </c>
      <c r="AM1276" s="10" t="s">
        <v>508</v>
      </c>
      <c r="AN1276" s="10" t="s">
        <v>320</v>
      </c>
    </row>
    <row r="1277" ht="30.0" customHeight="1">
      <c r="A1277" s="9" t="str">
        <f t="shared" si="48"/>
        <v>N/I</v>
      </c>
      <c r="B1277" s="9" t="str">
        <f t="shared" si="49"/>
        <v>N/I</v>
      </c>
      <c r="C1277" s="9" t="str">
        <f t="shared" si="80"/>
        <v>Ativo</v>
      </c>
      <c r="D1277" s="10" t="s">
        <v>3571</v>
      </c>
      <c r="E1277" s="11" t="s">
        <v>3572</v>
      </c>
      <c r="F1277" s="11" t="s">
        <v>4004</v>
      </c>
      <c r="G1277" s="12" t="s">
        <v>3579</v>
      </c>
      <c r="H1277" s="13" t="s">
        <v>4005</v>
      </c>
      <c r="I1277" s="12" t="s">
        <v>3995</v>
      </c>
      <c r="J1277" s="10" t="s">
        <v>216</v>
      </c>
      <c r="K1277" s="10" t="s">
        <v>40</v>
      </c>
      <c r="L1277" s="10" t="s">
        <v>6</v>
      </c>
      <c r="M1277" s="22">
        <v>45520.0</v>
      </c>
      <c r="N1277" s="32" t="s">
        <v>4000</v>
      </c>
      <c r="O1277" s="10" t="s">
        <v>3997</v>
      </c>
      <c r="P1277" s="10" t="s">
        <v>3603</v>
      </c>
      <c r="Q1277" s="2"/>
      <c r="R1277" s="15"/>
      <c r="S1277" s="15"/>
      <c r="T1277" s="15"/>
      <c r="U1277" s="15"/>
      <c r="V1277" s="2"/>
      <c r="W1277" s="15"/>
      <c r="X1277" s="15"/>
      <c r="Y1277" s="15"/>
      <c r="Z1277" s="15"/>
      <c r="AA1277" s="1"/>
      <c r="AB1277" s="10">
        <v>48.0</v>
      </c>
      <c r="AC1277" s="14">
        <v>45566.0</v>
      </c>
      <c r="AD1277" s="14">
        <v>47026.0</v>
      </c>
      <c r="AE1277" s="10">
        <f t="shared" si="104"/>
        <v>935</v>
      </c>
      <c r="AF1277" s="2"/>
      <c r="AG1277" s="10" t="s">
        <v>1498</v>
      </c>
      <c r="AH1277" s="12" t="s">
        <v>46</v>
      </c>
      <c r="AI1277" s="10" t="s">
        <v>227</v>
      </c>
      <c r="AJ1277" s="10" t="s">
        <v>390</v>
      </c>
      <c r="AK1277" s="16" t="s">
        <v>45</v>
      </c>
      <c r="AL1277" s="10" t="s">
        <v>49</v>
      </c>
      <c r="AM1277" s="10" t="s">
        <v>508</v>
      </c>
      <c r="AN1277" s="10" t="s">
        <v>320</v>
      </c>
    </row>
    <row r="1278" ht="30.0" customHeight="1">
      <c r="A1278" s="9" t="str">
        <f t="shared" si="48"/>
        <v>N/I</v>
      </c>
      <c r="B1278" s="9" t="str">
        <f t="shared" si="49"/>
        <v>N/I</v>
      </c>
      <c r="C1278" s="9" t="str">
        <f t="shared" si="80"/>
        <v>N/I</v>
      </c>
      <c r="D1278" s="10" t="s">
        <v>3571</v>
      </c>
      <c r="E1278" s="11" t="s">
        <v>3572</v>
      </c>
      <c r="F1278" s="32" t="s">
        <v>4006</v>
      </c>
      <c r="G1278" s="12" t="s">
        <v>3579</v>
      </c>
      <c r="H1278" s="25" t="s">
        <v>187</v>
      </c>
      <c r="I1278" s="12" t="s">
        <v>3995</v>
      </c>
      <c r="J1278" s="10" t="s">
        <v>216</v>
      </c>
      <c r="K1278" s="10" t="s">
        <v>40</v>
      </c>
      <c r="L1278" s="10" t="s">
        <v>6</v>
      </c>
      <c r="M1278" s="24" t="s">
        <v>193</v>
      </c>
      <c r="N1278" s="32" t="s">
        <v>4007</v>
      </c>
      <c r="O1278" s="10" t="s">
        <v>3997</v>
      </c>
      <c r="P1278" s="10" t="s">
        <v>3583</v>
      </c>
      <c r="Q1278" s="2"/>
      <c r="R1278" s="15"/>
      <c r="S1278" s="15"/>
      <c r="T1278" s="15"/>
      <c r="U1278" s="15"/>
      <c r="V1278" s="2"/>
      <c r="W1278" s="15"/>
      <c r="X1278" s="15"/>
      <c r="Y1278" s="15"/>
      <c r="Z1278" s="15"/>
      <c r="AA1278" s="1"/>
      <c r="AB1278" s="10">
        <v>48.0</v>
      </c>
      <c r="AC1278" s="49" t="s">
        <v>1489</v>
      </c>
      <c r="AD1278" s="49" t="s">
        <v>1489</v>
      </c>
      <c r="AE1278" s="10"/>
      <c r="AF1278" s="2"/>
      <c r="AG1278" s="10" t="s">
        <v>1498</v>
      </c>
      <c r="AH1278" s="12" t="s">
        <v>46</v>
      </c>
      <c r="AI1278" s="10" t="s">
        <v>227</v>
      </c>
      <c r="AJ1278" s="10" t="s">
        <v>390</v>
      </c>
      <c r="AK1278" s="16" t="s">
        <v>45</v>
      </c>
      <c r="AL1278" s="10" t="s">
        <v>49</v>
      </c>
      <c r="AM1278" s="10" t="s">
        <v>508</v>
      </c>
      <c r="AN1278" s="16"/>
    </row>
    <row r="1279" ht="30.0" customHeight="1">
      <c r="A1279" s="9" t="str">
        <f t="shared" si="48"/>
        <v>N/I</v>
      </c>
      <c r="B1279" s="9" t="str">
        <f t="shared" si="49"/>
        <v>N/I</v>
      </c>
      <c r="C1279" s="9" t="str">
        <f t="shared" si="80"/>
        <v>Ativo</v>
      </c>
      <c r="D1279" s="10" t="s">
        <v>3571</v>
      </c>
      <c r="E1279" s="11" t="s">
        <v>3572</v>
      </c>
      <c r="F1279" s="11" t="s">
        <v>4008</v>
      </c>
      <c r="G1279" s="12" t="s">
        <v>1691</v>
      </c>
      <c r="H1279" s="34" t="s">
        <v>4009</v>
      </c>
      <c r="I1279" s="12" t="s">
        <v>4010</v>
      </c>
      <c r="J1279" s="10" t="s">
        <v>216</v>
      </c>
      <c r="K1279" s="10" t="s">
        <v>40</v>
      </c>
      <c r="L1279" s="10" t="s">
        <v>6</v>
      </c>
      <c r="M1279" s="22">
        <v>45264.0</v>
      </c>
      <c r="N1279" s="32" t="s">
        <v>4007</v>
      </c>
      <c r="O1279" s="10" t="s">
        <v>3997</v>
      </c>
      <c r="P1279" s="10" t="s">
        <v>3593</v>
      </c>
      <c r="Q1279" s="2"/>
      <c r="R1279" s="15"/>
      <c r="S1279" s="15"/>
      <c r="T1279" s="15"/>
      <c r="U1279" s="15"/>
      <c r="V1279" s="2"/>
      <c r="W1279" s="15"/>
      <c r="X1279" s="15"/>
      <c r="Y1279" s="15"/>
      <c r="Z1279" s="15"/>
      <c r="AA1279" s="1"/>
      <c r="AB1279" s="10">
        <v>48.0</v>
      </c>
      <c r="AC1279" s="14">
        <v>45169.0</v>
      </c>
      <c r="AD1279" s="14">
        <v>46630.0</v>
      </c>
      <c r="AE1279" s="10">
        <f t="shared" ref="AE1279:AE1281" si="105">AD1279-TODAY()</f>
        <v>539</v>
      </c>
      <c r="AF1279" s="2"/>
      <c r="AG1279" s="10" t="s">
        <v>1498</v>
      </c>
      <c r="AH1279" s="12" t="s">
        <v>46</v>
      </c>
      <c r="AI1279" s="10" t="s">
        <v>227</v>
      </c>
      <c r="AJ1279" s="10" t="s">
        <v>390</v>
      </c>
      <c r="AK1279" s="12" t="s">
        <v>3594</v>
      </c>
      <c r="AL1279" s="10" t="s">
        <v>49</v>
      </c>
      <c r="AM1279" s="10" t="s">
        <v>508</v>
      </c>
      <c r="AN1279" s="10" t="s">
        <v>320</v>
      </c>
    </row>
    <row r="1280" ht="30.0" customHeight="1">
      <c r="A1280" s="9" t="str">
        <f t="shared" si="48"/>
        <v>N/I</v>
      </c>
      <c r="B1280" s="9" t="str">
        <f t="shared" si="49"/>
        <v>N/I</v>
      </c>
      <c r="C1280" s="9" t="str">
        <f t="shared" si="80"/>
        <v>Ativo</v>
      </c>
      <c r="D1280" s="10" t="s">
        <v>3571</v>
      </c>
      <c r="E1280" s="11" t="s">
        <v>3572</v>
      </c>
      <c r="F1280" s="11" t="s">
        <v>4011</v>
      </c>
      <c r="G1280" s="12" t="s">
        <v>3579</v>
      </c>
      <c r="H1280" s="13" t="s">
        <v>4012</v>
      </c>
      <c r="I1280" s="12" t="s">
        <v>4013</v>
      </c>
      <c r="J1280" s="10" t="s">
        <v>216</v>
      </c>
      <c r="K1280" s="10" t="s">
        <v>40</v>
      </c>
      <c r="L1280" s="10" t="s">
        <v>6</v>
      </c>
      <c r="M1280" s="22">
        <v>45518.0</v>
      </c>
      <c r="N1280" s="32" t="s">
        <v>4014</v>
      </c>
      <c r="O1280" s="10" t="s">
        <v>4015</v>
      </c>
      <c r="P1280" s="10" t="s">
        <v>3603</v>
      </c>
      <c r="Q1280" s="2"/>
      <c r="R1280" s="15"/>
      <c r="S1280" s="15"/>
      <c r="T1280" s="15"/>
      <c r="U1280" s="15"/>
      <c r="V1280" s="2"/>
      <c r="W1280" s="15"/>
      <c r="X1280" s="15"/>
      <c r="Y1280" s="15"/>
      <c r="Z1280" s="15"/>
      <c r="AA1280" s="1"/>
      <c r="AB1280" s="10">
        <v>48.0</v>
      </c>
      <c r="AC1280" s="14">
        <v>45566.0</v>
      </c>
      <c r="AD1280" s="14">
        <v>47026.0</v>
      </c>
      <c r="AE1280" s="10">
        <f t="shared" si="105"/>
        <v>935</v>
      </c>
      <c r="AF1280" s="2"/>
      <c r="AG1280" s="10" t="s">
        <v>1498</v>
      </c>
      <c r="AH1280" s="12" t="s">
        <v>46</v>
      </c>
      <c r="AI1280" s="10" t="s">
        <v>227</v>
      </c>
      <c r="AJ1280" s="10" t="s">
        <v>390</v>
      </c>
      <c r="AK1280" s="16" t="s">
        <v>45</v>
      </c>
      <c r="AL1280" s="10" t="s">
        <v>49</v>
      </c>
      <c r="AM1280" s="10" t="s">
        <v>508</v>
      </c>
      <c r="AN1280" s="10" t="s">
        <v>320</v>
      </c>
    </row>
    <row r="1281" ht="30.0" customHeight="1">
      <c r="A1281" s="9" t="str">
        <f t="shared" si="48"/>
        <v>N/I</v>
      </c>
      <c r="B1281" s="9" t="str">
        <f t="shared" si="49"/>
        <v>N/I</v>
      </c>
      <c r="C1281" s="9" t="str">
        <f t="shared" si="80"/>
        <v>Ativo</v>
      </c>
      <c r="D1281" s="10" t="s">
        <v>3571</v>
      </c>
      <c r="E1281" s="11" t="s">
        <v>3572</v>
      </c>
      <c r="F1281" s="11" t="s">
        <v>4016</v>
      </c>
      <c r="G1281" s="12" t="s">
        <v>3579</v>
      </c>
      <c r="H1281" s="13" t="s">
        <v>4017</v>
      </c>
      <c r="I1281" s="12" t="s">
        <v>2470</v>
      </c>
      <c r="J1281" s="10" t="s">
        <v>216</v>
      </c>
      <c r="K1281" s="10" t="s">
        <v>40</v>
      </c>
      <c r="L1281" s="10" t="s">
        <v>6</v>
      </c>
      <c r="M1281" s="22">
        <v>45517.0</v>
      </c>
      <c r="N1281" s="32" t="s">
        <v>4018</v>
      </c>
      <c r="O1281" s="10" t="s">
        <v>2472</v>
      </c>
      <c r="P1281" s="10" t="s">
        <v>3603</v>
      </c>
      <c r="Q1281" s="2"/>
      <c r="R1281" s="15"/>
      <c r="S1281" s="15"/>
      <c r="T1281" s="15"/>
      <c r="U1281" s="15"/>
      <c r="V1281" s="2"/>
      <c r="W1281" s="15"/>
      <c r="X1281" s="15"/>
      <c r="Y1281" s="15"/>
      <c r="Z1281" s="15"/>
      <c r="AA1281" s="1"/>
      <c r="AB1281" s="10">
        <v>48.0</v>
      </c>
      <c r="AC1281" s="14">
        <v>45566.0</v>
      </c>
      <c r="AD1281" s="14">
        <v>47026.0</v>
      </c>
      <c r="AE1281" s="10">
        <f t="shared" si="105"/>
        <v>935</v>
      </c>
      <c r="AF1281" s="2"/>
      <c r="AG1281" s="10" t="s">
        <v>1498</v>
      </c>
      <c r="AH1281" s="12" t="s">
        <v>46</v>
      </c>
      <c r="AI1281" s="10" t="s">
        <v>227</v>
      </c>
      <c r="AJ1281" s="10" t="s">
        <v>390</v>
      </c>
      <c r="AK1281" s="16" t="s">
        <v>45</v>
      </c>
      <c r="AL1281" s="10" t="s">
        <v>49</v>
      </c>
      <c r="AM1281" s="10" t="s">
        <v>508</v>
      </c>
      <c r="AN1281" s="10" t="s">
        <v>320</v>
      </c>
    </row>
    <row r="1282" ht="30.0" customHeight="1">
      <c r="A1282" s="9" t="str">
        <f t="shared" si="48"/>
        <v>N/I</v>
      </c>
      <c r="B1282" s="9" t="str">
        <f t="shared" si="49"/>
        <v>N/I</v>
      </c>
      <c r="C1282" s="9" t="str">
        <f t="shared" si="80"/>
        <v>N/I</v>
      </c>
      <c r="D1282" s="10" t="s">
        <v>3571</v>
      </c>
      <c r="E1282" s="11" t="s">
        <v>3572</v>
      </c>
      <c r="F1282" s="32" t="s">
        <v>4019</v>
      </c>
      <c r="G1282" s="12" t="s">
        <v>1691</v>
      </c>
      <c r="H1282" s="25" t="s">
        <v>187</v>
      </c>
      <c r="I1282" s="12" t="s">
        <v>2470</v>
      </c>
      <c r="J1282" s="10" t="s">
        <v>216</v>
      </c>
      <c r="K1282" s="10" t="s">
        <v>40</v>
      </c>
      <c r="L1282" s="10" t="s">
        <v>6</v>
      </c>
      <c r="M1282" s="24" t="s">
        <v>193</v>
      </c>
      <c r="N1282" s="11" t="s">
        <v>4020</v>
      </c>
      <c r="O1282" s="10" t="s">
        <v>2472</v>
      </c>
      <c r="P1282" s="10" t="s">
        <v>3577</v>
      </c>
      <c r="Q1282" s="2"/>
      <c r="R1282" s="15"/>
      <c r="S1282" s="15"/>
      <c r="T1282" s="15"/>
      <c r="U1282" s="15"/>
      <c r="V1282" s="2"/>
      <c r="W1282" s="15"/>
      <c r="X1282" s="15"/>
      <c r="Y1282" s="15"/>
      <c r="Z1282" s="15"/>
      <c r="AA1282" s="1"/>
      <c r="AB1282" s="10">
        <v>48.0</v>
      </c>
      <c r="AC1282" s="49" t="s">
        <v>1489</v>
      </c>
      <c r="AD1282" s="49" t="s">
        <v>1489</v>
      </c>
      <c r="AE1282" s="10"/>
      <c r="AF1282" s="2"/>
      <c r="AG1282" s="10" t="s">
        <v>290</v>
      </c>
      <c r="AH1282" s="12" t="s">
        <v>46</v>
      </c>
      <c r="AI1282" s="10" t="s">
        <v>291</v>
      </c>
      <c r="AJ1282" s="10" t="s">
        <v>292</v>
      </c>
      <c r="AK1282" s="16" t="s">
        <v>45</v>
      </c>
      <c r="AL1282" s="10" t="s">
        <v>49</v>
      </c>
      <c r="AM1282" s="16" t="s">
        <v>45</v>
      </c>
      <c r="AN1282" s="10" t="s">
        <v>50</v>
      </c>
    </row>
    <row r="1283" ht="30.0" customHeight="1">
      <c r="A1283" s="9" t="str">
        <f t="shared" si="48"/>
        <v>N/I</v>
      </c>
      <c r="B1283" s="9" t="str">
        <f t="shared" si="49"/>
        <v>N/I</v>
      </c>
      <c r="C1283" s="9" t="str">
        <f t="shared" si="80"/>
        <v>Ativo</v>
      </c>
      <c r="D1283" s="10" t="s">
        <v>3571</v>
      </c>
      <c r="E1283" s="11" t="s">
        <v>3572</v>
      </c>
      <c r="F1283" s="11" t="s">
        <v>4021</v>
      </c>
      <c r="G1283" s="12" t="s">
        <v>3579</v>
      </c>
      <c r="H1283" s="13" t="s">
        <v>4022</v>
      </c>
      <c r="I1283" s="12" t="s">
        <v>4023</v>
      </c>
      <c r="J1283" s="10" t="s">
        <v>216</v>
      </c>
      <c r="K1283" s="10" t="s">
        <v>40</v>
      </c>
      <c r="L1283" s="10" t="s">
        <v>6</v>
      </c>
      <c r="M1283" s="22">
        <v>45525.0</v>
      </c>
      <c r="N1283" s="32" t="s">
        <v>4024</v>
      </c>
      <c r="O1283" s="10" t="s">
        <v>4025</v>
      </c>
      <c r="P1283" s="10" t="s">
        <v>3603</v>
      </c>
      <c r="Q1283" s="2"/>
      <c r="R1283" s="15"/>
      <c r="S1283" s="15"/>
      <c r="T1283" s="15"/>
      <c r="U1283" s="15"/>
      <c r="V1283" s="2"/>
      <c r="W1283" s="15"/>
      <c r="X1283" s="15"/>
      <c r="Y1283" s="15"/>
      <c r="Z1283" s="15"/>
      <c r="AA1283" s="1"/>
      <c r="AB1283" s="10">
        <v>48.0</v>
      </c>
      <c r="AC1283" s="14">
        <v>45566.0</v>
      </c>
      <c r="AD1283" s="14">
        <v>47026.0</v>
      </c>
      <c r="AE1283" s="10">
        <f t="shared" ref="AE1283:AE1288" si="106">AD1283-TODAY()</f>
        <v>935</v>
      </c>
      <c r="AF1283" s="2"/>
      <c r="AG1283" s="10" t="s">
        <v>1498</v>
      </c>
      <c r="AH1283" s="12" t="s">
        <v>46</v>
      </c>
      <c r="AI1283" s="10" t="s">
        <v>227</v>
      </c>
      <c r="AJ1283" s="10" t="s">
        <v>390</v>
      </c>
      <c r="AK1283" s="16" t="s">
        <v>45</v>
      </c>
      <c r="AL1283" s="10" t="s">
        <v>49</v>
      </c>
      <c r="AM1283" s="10" t="s">
        <v>508</v>
      </c>
      <c r="AN1283" s="10" t="s">
        <v>320</v>
      </c>
    </row>
    <row r="1284" ht="30.0" customHeight="1">
      <c r="A1284" s="9" t="str">
        <f t="shared" si="48"/>
        <v>N/I</v>
      </c>
      <c r="B1284" s="9" t="str">
        <f t="shared" si="49"/>
        <v>N/I</v>
      </c>
      <c r="C1284" s="9" t="str">
        <f t="shared" si="80"/>
        <v>Ativo</v>
      </c>
      <c r="D1284" s="10" t="s">
        <v>3571</v>
      </c>
      <c r="E1284" s="11" t="s">
        <v>3572</v>
      </c>
      <c r="F1284" s="11" t="s">
        <v>4026</v>
      </c>
      <c r="G1284" s="12" t="s">
        <v>1691</v>
      </c>
      <c r="H1284" s="34" t="s">
        <v>4027</v>
      </c>
      <c r="I1284" s="12" t="s">
        <v>4028</v>
      </c>
      <c r="J1284" s="10" t="s">
        <v>216</v>
      </c>
      <c r="K1284" s="10" t="s">
        <v>40</v>
      </c>
      <c r="L1284" s="10" t="s">
        <v>6</v>
      </c>
      <c r="M1284" s="22">
        <v>45266.0</v>
      </c>
      <c r="N1284" s="32" t="s">
        <v>4029</v>
      </c>
      <c r="O1284" s="10" t="s">
        <v>4030</v>
      </c>
      <c r="P1284" s="10" t="s">
        <v>3593</v>
      </c>
      <c r="Q1284" s="2"/>
      <c r="R1284" s="15"/>
      <c r="S1284" s="15"/>
      <c r="T1284" s="15"/>
      <c r="U1284" s="15"/>
      <c r="V1284" s="2"/>
      <c r="W1284" s="15"/>
      <c r="X1284" s="15"/>
      <c r="Y1284" s="15"/>
      <c r="Z1284" s="15"/>
      <c r="AA1284" s="1"/>
      <c r="AB1284" s="10">
        <v>48.0</v>
      </c>
      <c r="AC1284" s="14">
        <v>45169.0</v>
      </c>
      <c r="AD1284" s="14">
        <v>46630.0</v>
      </c>
      <c r="AE1284" s="10">
        <f t="shared" si="106"/>
        <v>539</v>
      </c>
      <c r="AF1284" s="2"/>
      <c r="AG1284" s="10" t="s">
        <v>1498</v>
      </c>
      <c r="AH1284" s="12" t="s">
        <v>46</v>
      </c>
      <c r="AI1284" s="10" t="s">
        <v>227</v>
      </c>
      <c r="AJ1284" s="10" t="s">
        <v>390</v>
      </c>
      <c r="AK1284" s="12" t="s">
        <v>3594</v>
      </c>
      <c r="AL1284" s="10" t="s">
        <v>49</v>
      </c>
      <c r="AM1284" s="10" t="s">
        <v>508</v>
      </c>
      <c r="AN1284" s="10" t="s">
        <v>320</v>
      </c>
    </row>
    <row r="1285" ht="30.0" customHeight="1">
      <c r="A1285" s="9" t="str">
        <f t="shared" si="48"/>
        <v>N/I</v>
      </c>
      <c r="B1285" s="9" t="str">
        <f t="shared" si="49"/>
        <v>N/I</v>
      </c>
      <c r="C1285" s="9" t="str">
        <f t="shared" si="80"/>
        <v>Ativo</v>
      </c>
      <c r="D1285" s="10" t="s">
        <v>3571</v>
      </c>
      <c r="E1285" s="11" t="s">
        <v>3572</v>
      </c>
      <c r="F1285" s="11" t="s">
        <v>4026</v>
      </c>
      <c r="G1285" s="12" t="s">
        <v>3579</v>
      </c>
      <c r="H1285" s="13" t="s">
        <v>4031</v>
      </c>
      <c r="I1285" s="12" t="s">
        <v>4028</v>
      </c>
      <c r="J1285" s="10" t="s">
        <v>216</v>
      </c>
      <c r="K1285" s="10" t="s">
        <v>40</v>
      </c>
      <c r="L1285" s="10" t="s">
        <v>6</v>
      </c>
      <c r="M1285" s="22">
        <v>45526.0</v>
      </c>
      <c r="N1285" s="32" t="s">
        <v>4032</v>
      </c>
      <c r="O1285" s="10" t="s">
        <v>4033</v>
      </c>
      <c r="P1285" s="10" t="s">
        <v>3603</v>
      </c>
      <c r="Q1285" s="2"/>
      <c r="R1285" s="15"/>
      <c r="S1285" s="15"/>
      <c r="T1285" s="15"/>
      <c r="U1285" s="15"/>
      <c r="V1285" s="2"/>
      <c r="W1285" s="15"/>
      <c r="X1285" s="15"/>
      <c r="Y1285" s="15"/>
      <c r="Z1285" s="15"/>
      <c r="AA1285" s="1"/>
      <c r="AB1285" s="10">
        <v>48.0</v>
      </c>
      <c r="AC1285" s="14">
        <v>45566.0</v>
      </c>
      <c r="AD1285" s="14">
        <v>47026.0</v>
      </c>
      <c r="AE1285" s="10">
        <f t="shared" si="106"/>
        <v>935</v>
      </c>
      <c r="AF1285" s="2"/>
      <c r="AG1285" s="10" t="s">
        <v>1498</v>
      </c>
      <c r="AH1285" s="12" t="s">
        <v>46</v>
      </c>
      <c r="AI1285" s="10" t="s">
        <v>227</v>
      </c>
      <c r="AJ1285" s="10" t="s">
        <v>390</v>
      </c>
      <c r="AK1285" s="16" t="s">
        <v>45</v>
      </c>
      <c r="AL1285" s="10" t="s">
        <v>49</v>
      </c>
      <c r="AM1285" s="10" t="s">
        <v>508</v>
      </c>
      <c r="AN1285" s="10" t="s">
        <v>320</v>
      </c>
    </row>
    <row r="1286" ht="30.0" customHeight="1">
      <c r="A1286" s="9" t="str">
        <f t="shared" si="48"/>
        <v>N/I</v>
      </c>
      <c r="B1286" s="9" t="str">
        <f t="shared" si="49"/>
        <v>N/I</v>
      </c>
      <c r="C1286" s="9" t="str">
        <f t="shared" si="80"/>
        <v>Ativo</v>
      </c>
      <c r="D1286" s="10" t="s">
        <v>3571</v>
      </c>
      <c r="E1286" s="11" t="s">
        <v>3572</v>
      </c>
      <c r="F1286" s="11" t="s">
        <v>4034</v>
      </c>
      <c r="G1286" s="12" t="s">
        <v>1691</v>
      </c>
      <c r="H1286" s="34" t="s">
        <v>4035</v>
      </c>
      <c r="I1286" s="12" t="s">
        <v>4036</v>
      </c>
      <c r="J1286" s="10" t="s">
        <v>216</v>
      </c>
      <c r="K1286" s="10" t="s">
        <v>40</v>
      </c>
      <c r="L1286" s="10" t="s">
        <v>6</v>
      </c>
      <c r="M1286" s="22">
        <v>45301.0</v>
      </c>
      <c r="N1286" s="32" t="s">
        <v>4037</v>
      </c>
      <c r="O1286" s="10" t="s">
        <v>4038</v>
      </c>
      <c r="P1286" s="10" t="s">
        <v>3593</v>
      </c>
      <c r="Q1286" s="2"/>
      <c r="R1286" s="15"/>
      <c r="S1286" s="15"/>
      <c r="T1286" s="15"/>
      <c r="U1286" s="15"/>
      <c r="V1286" s="2"/>
      <c r="W1286" s="15"/>
      <c r="X1286" s="15"/>
      <c r="Y1286" s="15"/>
      <c r="Z1286" s="15"/>
      <c r="AA1286" s="1"/>
      <c r="AB1286" s="10">
        <v>48.0</v>
      </c>
      <c r="AC1286" s="14">
        <v>45169.0</v>
      </c>
      <c r="AD1286" s="14">
        <v>46630.0</v>
      </c>
      <c r="AE1286" s="10">
        <f t="shared" si="106"/>
        <v>539</v>
      </c>
      <c r="AF1286" s="2"/>
      <c r="AG1286" s="10" t="s">
        <v>1498</v>
      </c>
      <c r="AH1286" s="12" t="s">
        <v>46</v>
      </c>
      <c r="AI1286" s="10" t="s">
        <v>227</v>
      </c>
      <c r="AJ1286" s="10" t="s">
        <v>390</v>
      </c>
      <c r="AK1286" s="12" t="s">
        <v>3594</v>
      </c>
      <c r="AL1286" s="10" t="s">
        <v>49</v>
      </c>
      <c r="AM1286" s="10" t="s">
        <v>508</v>
      </c>
      <c r="AN1286" s="10" t="s">
        <v>320</v>
      </c>
    </row>
    <row r="1287" ht="30.0" customHeight="1">
      <c r="A1287" s="9" t="str">
        <f t="shared" si="48"/>
        <v>N/I</v>
      </c>
      <c r="B1287" s="9" t="str">
        <f t="shared" si="49"/>
        <v>N/I</v>
      </c>
      <c r="C1287" s="9" t="str">
        <f t="shared" si="80"/>
        <v>Ativo</v>
      </c>
      <c r="D1287" s="10" t="s">
        <v>3571</v>
      </c>
      <c r="E1287" s="11" t="s">
        <v>3572</v>
      </c>
      <c r="F1287" s="11" t="s">
        <v>4034</v>
      </c>
      <c r="G1287" s="12" t="s">
        <v>3579</v>
      </c>
      <c r="H1287" s="27" t="s">
        <v>4039</v>
      </c>
      <c r="I1287" s="12" t="s">
        <v>4036</v>
      </c>
      <c r="J1287" s="10" t="s">
        <v>216</v>
      </c>
      <c r="K1287" s="10" t="s">
        <v>40</v>
      </c>
      <c r="L1287" s="10" t="s">
        <v>6</v>
      </c>
      <c r="M1287" s="22">
        <v>45538.0</v>
      </c>
      <c r="N1287" s="32" t="s">
        <v>4040</v>
      </c>
      <c r="O1287" s="10" t="s">
        <v>4041</v>
      </c>
      <c r="P1287" s="10" t="s">
        <v>3603</v>
      </c>
      <c r="Q1287" s="2"/>
      <c r="R1287" s="15"/>
      <c r="S1287" s="15"/>
      <c r="T1287" s="15"/>
      <c r="U1287" s="15"/>
      <c r="V1287" s="2"/>
      <c r="W1287" s="15"/>
      <c r="X1287" s="15"/>
      <c r="Y1287" s="15"/>
      <c r="Z1287" s="15"/>
      <c r="AA1287" s="1"/>
      <c r="AB1287" s="10">
        <v>48.0</v>
      </c>
      <c r="AC1287" s="14">
        <v>45566.0</v>
      </c>
      <c r="AD1287" s="14">
        <v>47026.0</v>
      </c>
      <c r="AE1287" s="10">
        <f t="shared" si="106"/>
        <v>935</v>
      </c>
      <c r="AF1287" s="2"/>
      <c r="AG1287" s="10" t="s">
        <v>1498</v>
      </c>
      <c r="AH1287" s="12" t="s">
        <v>46</v>
      </c>
      <c r="AI1287" s="10" t="s">
        <v>227</v>
      </c>
      <c r="AJ1287" s="10" t="s">
        <v>390</v>
      </c>
      <c r="AK1287" s="16" t="s">
        <v>45</v>
      </c>
      <c r="AL1287" s="10" t="s">
        <v>49</v>
      </c>
      <c r="AM1287" s="10" t="s">
        <v>508</v>
      </c>
      <c r="AN1287" s="10" t="s">
        <v>320</v>
      </c>
    </row>
    <row r="1288" ht="30.0" customHeight="1">
      <c r="A1288" s="9" t="str">
        <f t="shared" si="48"/>
        <v>N/I</v>
      </c>
      <c r="B1288" s="9" t="str">
        <f t="shared" si="49"/>
        <v>N/I</v>
      </c>
      <c r="C1288" s="9" t="str">
        <f t="shared" si="80"/>
        <v>Ativo</v>
      </c>
      <c r="D1288" s="10" t="s">
        <v>3571</v>
      </c>
      <c r="E1288" s="11" t="s">
        <v>3572</v>
      </c>
      <c r="F1288" s="11" t="s">
        <v>4042</v>
      </c>
      <c r="G1288" s="12" t="s">
        <v>3579</v>
      </c>
      <c r="H1288" s="27" t="s">
        <v>4043</v>
      </c>
      <c r="I1288" s="12" t="s">
        <v>4036</v>
      </c>
      <c r="J1288" s="10" t="s">
        <v>216</v>
      </c>
      <c r="K1288" s="10" t="s">
        <v>40</v>
      </c>
      <c r="L1288" s="10" t="s">
        <v>6</v>
      </c>
      <c r="M1288" s="22">
        <v>45840.0</v>
      </c>
      <c r="N1288" s="32" t="s">
        <v>4044</v>
      </c>
      <c r="O1288" s="10" t="s">
        <v>4041</v>
      </c>
      <c r="P1288" s="10" t="s">
        <v>3603</v>
      </c>
      <c r="Q1288" s="2"/>
      <c r="R1288" s="15"/>
      <c r="S1288" s="15"/>
      <c r="T1288" s="15"/>
      <c r="U1288" s="15"/>
      <c r="V1288" s="2"/>
      <c r="W1288" s="15"/>
      <c r="X1288" s="15"/>
      <c r="Y1288" s="15"/>
      <c r="Z1288" s="15"/>
      <c r="AA1288" s="1"/>
      <c r="AB1288" s="10">
        <v>48.0</v>
      </c>
      <c r="AC1288" s="14">
        <v>45840.0</v>
      </c>
      <c r="AD1288" s="14">
        <v>47300.0</v>
      </c>
      <c r="AE1288" s="10">
        <f t="shared" si="106"/>
        <v>1209</v>
      </c>
      <c r="AF1288" s="2"/>
      <c r="AG1288" s="10" t="s">
        <v>1498</v>
      </c>
      <c r="AH1288" s="12" t="s">
        <v>46</v>
      </c>
      <c r="AI1288" s="10" t="s">
        <v>227</v>
      </c>
      <c r="AJ1288" s="10" t="s">
        <v>390</v>
      </c>
      <c r="AK1288" s="16" t="s">
        <v>45</v>
      </c>
      <c r="AL1288" s="10" t="s">
        <v>49</v>
      </c>
      <c r="AM1288" s="10" t="s">
        <v>508</v>
      </c>
      <c r="AN1288" s="10" t="s">
        <v>320</v>
      </c>
    </row>
    <row r="1289" ht="30.0" customHeight="1">
      <c r="A1289" s="9" t="str">
        <f t="shared" si="48"/>
        <v>N/I</v>
      </c>
      <c r="B1289" s="9" t="str">
        <f t="shared" si="49"/>
        <v>N/I</v>
      </c>
      <c r="C1289" s="9" t="str">
        <f t="shared" si="80"/>
        <v>N/I</v>
      </c>
      <c r="D1289" s="10" t="s">
        <v>3571</v>
      </c>
      <c r="E1289" s="11" t="s">
        <v>3572</v>
      </c>
      <c r="F1289" s="32" t="s">
        <v>4045</v>
      </c>
      <c r="G1289" s="12" t="s">
        <v>3579</v>
      </c>
      <c r="H1289" s="25" t="s">
        <v>187</v>
      </c>
      <c r="I1289" s="12" t="s">
        <v>4046</v>
      </c>
      <c r="J1289" s="10" t="s">
        <v>216</v>
      </c>
      <c r="K1289" s="10" t="s">
        <v>40</v>
      </c>
      <c r="L1289" s="10" t="s">
        <v>6</v>
      </c>
      <c r="M1289" s="24" t="s">
        <v>193</v>
      </c>
      <c r="N1289" s="11" t="s">
        <v>4047</v>
      </c>
      <c r="O1289" s="10" t="s">
        <v>4048</v>
      </c>
      <c r="P1289" s="10" t="s">
        <v>3583</v>
      </c>
      <c r="Q1289" s="2"/>
      <c r="R1289" s="10">
        <v>60.0</v>
      </c>
      <c r="S1289" s="45" t="s">
        <v>187</v>
      </c>
      <c r="T1289" s="45" t="s">
        <v>187</v>
      </c>
      <c r="U1289" s="10"/>
      <c r="V1289" s="2"/>
      <c r="W1289" s="15"/>
      <c r="X1289" s="15"/>
      <c r="Y1289" s="15"/>
      <c r="Z1289" s="15"/>
      <c r="AA1289" s="1"/>
      <c r="AB1289" s="10">
        <v>48.0</v>
      </c>
      <c r="AC1289" s="49" t="s">
        <v>1489</v>
      </c>
      <c r="AD1289" s="49" t="s">
        <v>1489</v>
      </c>
      <c r="AE1289" s="10"/>
      <c r="AF1289" s="2"/>
      <c r="AG1289" s="10" t="s">
        <v>290</v>
      </c>
      <c r="AH1289" s="10" t="s">
        <v>318</v>
      </c>
      <c r="AI1289" s="10" t="s">
        <v>319</v>
      </c>
      <c r="AJ1289" s="10" t="s">
        <v>291</v>
      </c>
      <c r="AK1289" s="16" t="s">
        <v>45</v>
      </c>
      <c r="AL1289" s="10" t="s">
        <v>49</v>
      </c>
      <c r="AM1289" s="10" t="s">
        <v>508</v>
      </c>
      <c r="AN1289" s="10" t="s">
        <v>50</v>
      </c>
    </row>
    <row r="1290" ht="30.0" customHeight="1">
      <c r="A1290" s="9" t="str">
        <f t="shared" si="48"/>
        <v>N/I</v>
      </c>
      <c r="B1290" s="9" t="str">
        <f t="shared" si="49"/>
        <v>N/I</v>
      </c>
      <c r="C1290" s="9" t="str">
        <f t="shared" si="80"/>
        <v>Ativo</v>
      </c>
      <c r="D1290" s="10" t="s">
        <v>3571</v>
      </c>
      <c r="E1290" s="11" t="s">
        <v>3572</v>
      </c>
      <c r="F1290" s="11" t="s">
        <v>4049</v>
      </c>
      <c r="G1290" s="12" t="s">
        <v>1691</v>
      </c>
      <c r="H1290" s="34" t="s">
        <v>4050</v>
      </c>
      <c r="I1290" s="12" t="s">
        <v>4051</v>
      </c>
      <c r="J1290" s="10" t="s">
        <v>216</v>
      </c>
      <c r="K1290" s="10" t="s">
        <v>40</v>
      </c>
      <c r="L1290" s="10" t="s">
        <v>6</v>
      </c>
      <c r="M1290" s="22">
        <v>45287.0</v>
      </c>
      <c r="N1290" s="32" t="s">
        <v>4052</v>
      </c>
      <c r="O1290" s="10" t="s">
        <v>4053</v>
      </c>
      <c r="P1290" s="10" t="s">
        <v>3593</v>
      </c>
      <c r="Q1290" s="2"/>
      <c r="R1290" s="15"/>
      <c r="S1290" s="15"/>
      <c r="T1290" s="15"/>
      <c r="U1290" s="15"/>
      <c r="V1290" s="2"/>
      <c r="W1290" s="15"/>
      <c r="X1290" s="15"/>
      <c r="Y1290" s="15"/>
      <c r="Z1290" s="15"/>
      <c r="AA1290" s="1"/>
      <c r="AB1290" s="10">
        <v>48.0</v>
      </c>
      <c r="AC1290" s="14">
        <v>45169.0</v>
      </c>
      <c r="AD1290" s="14">
        <v>46630.0</v>
      </c>
      <c r="AE1290" s="10">
        <f t="shared" ref="AE1290:AE1293" si="107">AD1290-TODAY()</f>
        <v>539</v>
      </c>
      <c r="AF1290" s="2"/>
      <c r="AG1290" s="10" t="s">
        <v>1498</v>
      </c>
      <c r="AH1290" s="12" t="s">
        <v>46</v>
      </c>
      <c r="AI1290" s="10" t="s">
        <v>227</v>
      </c>
      <c r="AJ1290" s="10" t="s">
        <v>390</v>
      </c>
      <c r="AK1290" s="12" t="s">
        <v>3594</v>
      </c>
      <c r="AL1290" s="10" t="s">
        <v>49</v>
      </c>
      <c r="AM1290" s="10" t="s">
        <v>508</v>
      </c>
      <c r="AN1290" s="10" t="s">
        <v>320</v>
      </c>
    </row>
    <row r="1291" ht="30.0" customHeight="1">
      <c r="A1291" s="9" t="str">
        <f t="shared" si="48"/>
        <v>N/I</v>
      </c>
      <c r="B1291" s="9" t="str">
        <f t="shared" si="49"/>
        <v>N/I</v>
      </c>
      <c r="C1291" s="9" t="str">
        <f t="shared" si="80"/>
        <v>Ativo</v>
      </c>
      <c r="D1291" s="10" t="s">
        <v>3571</v>
      </c>
      <c r="E1291" s="11" t="s">
        <v>3572</v>
      </c>
      <c r="F1291" s="11" t="s">
        <v>4049</v>
      </c>
      <c r="G1291" s="12" t="s">
        <v>3579</v>
      </c>
      <c r="H1291" s="27" t="s">
        <v>4054</v>
      </c>
      <c r="I1291" s="12" t="s">
        <v>4051</v>
      </c>
      <c r="J1291" s="10" t="s">
        <v>216</v>
      </c>
      <c r="K1291" s="10" t="s">
        <v>40</v>
      </c>
      <c r="L1291" s="10" t="s">
        <v>6</v>
      </c>
      <c r="M1291" s="22">
        <v>45817.0</v>
      </c>
      <c r="N1291" s="32" t="s">
        <v>4055</v>
      </c>
      <c r="O1291" s="10" t="s">
        <v>4056</v>
      </c>
      <c r="P1291" s="10" t="s">
        <v>3603</v>
      </c>
      <c r="Q1291" s="2"/>
      <c r="R1291" s="15"/>
      <c r="S1291" s="15"/>
      <c r="T1291" s="15"/>
      <c r="U1291" s="15"/>
      <c r="V1291" s="2"/>
      <c r="W1291" s="15"/>
      <c r="X1291" s="15"/>
      <c r="Y1291" s="15"/>
      <c r="Z1291" s="15"/>
      <c r="AA1291" s="1"/>
      <c r="AB1291" s="10">
        <v>48.0</v>
      </c>
      <c r="AC1291" s="14">
        <v>45566.0</v>
      </c>
      <c r="AD1291" s="14">
        <v>47026.0</v>
      </c>
      <c r="AE1291" s="10">
        <f t="shared" si="107"/>
        <v>935</v>
      </c>
      <c r="AF1291" s="2"/>
      <c r="AG1291" s="10" t="s">
        <v>1498</v>
      </c>
      <c r="AH1291" s="12" t="s">
        <v>46</v>
      </c>
      <c r="AI1291" s="10" t="s">
        <v>227</v>
      </c>
      <c r="AJ1291" s="10" t="s">
        <v>390</v>
      </c>
      <c r="AK1291" s="16" t="s">
        <v>45</v>
      </c>
      <c r="AL1291" s="10" t="s">
        <v>49</v>
      </c>
      <c r="AM1291" s="10" t="s">
        <v>508</v>
      </c>
      <c r="AN1291" s="10" t="s">
        <v>320</v>
      </c>
    </row>
    <row r="1292" ht="30.0" customHeight="1">
      <c r="A1292" s="9" t="str">
        <f t="shared" si="48"/>
        <v>N/I</v>
      </c>
      <c r="B1292" s="9" t="str">
        <f t="shared" si="49"/>
        <v>N/I</v>
      </c>
      <c r="C1292" s="9" t="str">
        <f t="shared" si="80"/>
        <v>Ativo</v>
      </c>
      <c r="D1292" s="10" t="s">
        <v>3571</v>
      </c>
      <c r="E1292" s="11" t="s">
        <v>3572</v>
      </c>
      <c r="F1292" s="11" t="s">
        <v>4049</v>
      </c>
      <c r="G1292" s="12" t="s">
        <v>3579</v>
      </c>
      <c r="H1292" s="27" t="s">
        <v>4057</v>
      </c>
      <c r="I1292" s="12" t="s">
        <v>4051</v>
      </c>
      <c r="J1292" s="10" t="s">
        <v>216</v>
      </c>
      <c r="K1292" s="10" t="s">
        <v>40</v>
      </c>
      <c r="L1292" s="10" t="s">
        <v>6</v>
      </c>
      <c r="M1292" s="22">
        <v>45817.0</v>
      </c>
      <c r="N1292" s="32" t="s">
        <v>4055</v>
      </c>
      <c r="O1292" s="10" t="s">
        <v>4056</v>
      </c>
      <c r="P1292" s="10" t="s">
        <v>3603</v>
      </c>
      <c r="Q1292" s="2"/>
      <c r="R1292" s="15"/>
      <c r="S1292" s="15"/>
      <c r="T1292" s="15"/>
      <c r="U1292" s="15"/>
      <c r="V1292" s="2"/>
      <c r="W1292" s="15"/>
      <c r="X1292" s="15"/>
      <c r="Y1292" s="15"/>
      <c r="Z1292" s="15"/>
      <c r="AA1292" s="1"/>
      <c r="AB1292" s="10">
        <v>48.0</v>
      </c>
      <c r="AC1292" s="14">
        <v>45566.0</v>
      </c>
      <c r="AD1292" s="14">
        <v>47026.0</v>
      </c>
      <c r="AE1292" s="10">
        <f t="shared" si="107"/>
        <v>935</v>
      </c>
      <c r="AF1292" s="2"/>
      <c r="AG1292" s="10" t="s">
        <v>1498</v>
      </c>
      <c r="AH1292" s="12" t="s">
        <v>46</v>
      </c>
      <c r="AI1292" s="10" t="s">
        <v>227</v>
      </c>
      <c r="AJ1292" s="10" t="s">
        <v>390</v>
      </c>
      <c r="AK1292" s="16" t="s">
        <v>45</v>
      </c>
      <c r="AL1292" s="10" t="s">
        <v>49</v>
      </c>
      <c r="AM1292" s="10" t="s">
        <v>508</v>
      </c>
      <c r="AN1292" s="10" t="s">
        <v>320</v>
      </c>
    </row>
    <row r="1293" ht="30.0" customHeight="1">
      <c r="A1293" s="9" t="str">
        <f t="shared" si="48"/>
        <v>N/I</v>
      </c>
      <c r="B1293" s="9" t="str">
        <f t="shared" si="49"/>
        <v>N/I</v>
      </c>
      <c r="C1293" s="9" t="str">
        <f t="shared" si="80"/>
        <v>Ativo</v>
      </c>
      <c r="D1293" s="10" t="s">
        <v>3571</v>
      </c>
      <c r="E1293" s="11" t="s">
        <v>3572</v>
      </c>
      <c r="F1293" s="11" t="s">
        <v>4058</v>
      </c>
      <c r="G1293" s="12" t="s">
        <v>3579</v>
      </c>
      <c r="H1293" s="27" t="s">
        <v>4059</v>
      </c>
      <c r="I1293" s="12" t="s">
        <v>4060</v>
      </c>
      <c r="J1293" s="10" t="s">
        <v>216</v>
      </c>
      <c r="K1293" s="10" t="s">
        <v>40</v>
      </c>
      <c r="L1293" s="10" t="s">
        <v>6</v>
      </c>
      <c r="M1293" s="22">
        <v>45834.0</v>
      </c>
      <c r="N1293" s="32" t="s">
        <v>4061</v>
      </c>
      <c r="O1293" s="10" t="s">
        <v>4062</v>
      </c>
      <c r="P1293" s="10" t="s">
        <v>3603</v>
      </c>
      <c r="Q1293" s="2"/>
      <c r="R1293" s="15"/>
      <c r="S1293" s="15"/>
      <c r="T1293" s="15"/>
      <c r="U1293" s="15"/>
      <c r="V1293" s="2"/>
      <c r="W1293" s="15"/>
      <c r="X1293" s="15"/>
      <c r="Y1293" s="15"/>
      <c r="Z1293" s="15"/>
      <c r="AA1293" s="1"/>
      <c r="AB1293" s="10">
        <v>48.0</v>
      </c>
      <c r="AC1293" s="14">
        <v>45834.0</v>
      </c>
      <c r="AD1293" s="14">
        <v>47294.0</v>
      </c>
      <c r="AE1293" s="10">
        <f t="shared" si="107"/>
        <v>1203</v>
      </c>
      <c r="AF1293" s="2"/>
      <c r="AG1293" s="10" t="s">
        <v>1498</v>
      </c>
      <c r="AH1293" s="12" t="s">
        <v>46</v>
      </c>
      <c r="AI1293" s="10" t="s">
        <v>227</v>
      </c>
      <c r="AJ1293" s="10" t="s">
        <v>390</v>
      </c>
      <c r="AK1293" s="16" t="s">
        <v>45</v>
      </c>
      <c r="AL1293" s="10" t="s">
        <v>49</v>
      </c>
      <c r="AM1293" s="10" t="s">
        <v>508</v>
      </c>
      <c r="AN1293" s="10" t="s">
        <v>320</v>
      </c>
    </row>
    <row r="1294" ht="30.0" customHeight="1">
      <c r="A1294" s="9" t="str">
        <f t="shared" si="48"/>
        <v>N/I</v>
      </c>
      <c r="B1294" s="9" t="str">
        <f t="shared" si="49"/>
        <v>N/I</v>
      </c>
      <c r="C1294" s="9" t="str">
        <f t="shared" si="80"/>
        <v>N/I</v>
      </c>
      <c r="D1294" s="10" t="s">
        <v>3571</v>
      </c>
      <c r="E1294" s="11" t="s">
        <v>3572</v>
      </c>
      <c r="F1294" s="32" t="s">
        <v>4063</v>
      </c>
      <c r="G1294" s="12" t="s">
        <v>1691</v>
      </c>
      <c r="H1294" s="25" t="s">
        <v>187</v>
      </c>
      <c r="I1294" s="12" t="s">
        <v>4060</v>
      </c>
      <c r="J1294" s="10" t="s">
        <v>216</v>
      </c>
      <c r="K1294" s="10" t="s">
        <v>40</v>
      </c>
      <c r="L1294" s="10" t="s">
        <v>6</v>
      </c>
      <c r="M1294" s="24" t="s">
        <v>193</v>
      </c>
      <c r="N1294" s="11" t="s">
        <v>4064</v>
      </c>
      <c r="O1294" s="10" t="s">
        <v>4062</v>
      </c>
      <c r="P1294" s="10" t="s">
        <v>3577</v>
      </c>
      <c r="Q1294" s="2"/>
      <c r="R1294" s="15"/>
      <c r="S1294" s="15"/>
      <c r="T1294" s="15"/>
      <c r="U1294" s="15"/>
      <c r="V1294" s="2"/>
      <c r="W1294" s="15"/>
      <c r="X1294" s="15"/>
      <c r="Y1294" s="15"/>
      <c r="Z1294" s="15"/>
      <c r="AA1294" s="1"/>
      <c r="AB1294" s="10">
        <v>48.0</v>
      </c>
      <c r="AC1294" s="49" t="s">
        <v>1489</v>
      </c>
      <c r="AD1294" s="49" t="s">
        <v>1489</v>
      </c>
      <c r="AE1294" s="10"/>
      <c r="AF1294" s="2"/>
      <c r="AG1294" s="10" t="s">
        <v>290</v>
      </c>
      <c r="AH1294" s="12" t="s">
        <v>46</v>
      </c>
      <c r="AI1294" s="10" t="s">
        <v>291</v>
      </c>
      <c r="AJ1294" s="10" t="s">
        <v>292</v>
      </c>
      <c r="AK1294" s="16" t="s">
        <v>45</v>
      </c>
      <c r="AL1294" s="10" t="s">
        <v>49</v>
      </c>
      <c r="AM1294" s="16" t="s">
        <v>45</v>
      </c>
      <c r="AN1294" s="10" t="s">
        <v>50</v>
      </c>
    </row>
    <row r="1295" ht="30.0" customHeight="1">
      <c r="A1295" s="9" t="str">
        <f t="shared" si="48"/>
        <v>N/I</v>
      </c>
      <c r="B1295" s="9" t="str">
        <f t="shared" si="49"/>
        <v>N/I</v>
      </c>
      <c r="C1295" s="9" t="str">
        <f t="shared" si="80"/>
        <v>Ativo</v>
      </c>
      <c r="D1295" s="10" t="s">
        <v>3571</v>
      </c>
      <c r="E1295" s="11" t="s">
        <v>3572</v>
      </c>
      <c r="F1295" s="11" t="s">
        <v>4065</v>
      </c>
      <c r="G1295" s="12" t="s">
        <v>1691</v>
      </c>
      <c r="H1295" s="34" t="s">
        <v>4066</v>
      </c>
      <c r="I1295" s="12" t="s">
        <v>2475</v>
      </c>
      <c r="J1295" s="10" t="s">
        <v>216</v>
      </c>
      <c r="K1295" s="10" t="s">
        <v>40</v>
      </c>
      <c r="L1295" s="10" t="s">
        <v>6</v>
      </c>
      <c r="M1295" s="22">
        <v>45303.0</v>
      </c>
      <c r="N1295" s="32" t="s">
        <v>4067</v>
      </c>
      <c r="O1295" s="12" t="s">
        <v>4068</v>
      </c>
      <c r="P1295" s="10" t="s">
        <v>3593</v>
      </c>
      <c r="Q1295" s="2"/>
      <c r="R1295" s="15"/>
      <c r="S1295" s="15"/>
      <c r="T1295" s="15"/>
      <c r="U1295" s="15"/>
      <c r="V1295" s="2"/>
      <c r="W1295" s="15"/>
      <c r="X1295" s="15"/>
      <c r="Y1295" s="15"/>
      <c r="Z1295" s="15"/>
      <c r="AA1295" s="1"/>
      <c r="AB1295" s="10">
        <v>48.0</v>
      </c>
      <c r="AC1295" s="14">
        <v>45169.0</v>
      </c>
      <c r="AD1295" s="14">
        <v>46630.0</v>
      </c>
      <c r="AE1295" s="10">
        <f t="shared" ref="AE1295:AE1300" si="108">AD1295-TODAY()</f>
        <v>539</v>
      </c>
      <c r="AF1295" s="2"/>
      <c r="AG1295" s="10" t="s">
        <v>1498</v>
      </c>
      <c r="AH1295" s="12" t="s">
        <v>46</v>
      </c>
      <c r="AI1295" s="10" t="s">
        <v>227</v>
      </c>
      <c r="AJ1295" s="10" t="s">
        <v>390</v>
      </c>
      <c r="AK1295" s="12" t="s">
        <v>3594</v>
      </c>
      <c r="AL1295" s="10" t="s">
        <v>49</v>
      </c>
      <c r="AM1295" s="10" t="s">
        <v>508</v>
      </c>
      <c r="AN1295" s="10" t="s">
        <v>320</v>
      </c>
    </row>
    <row r="1296" ht="30.0" customHeight="1">
      <c r="A1296" s="9" t="str">
        <f t="shared" si="48"/>
        <v>N/I</v>
      </c>
      <c r="B1296" s="9" t="str">
        <f t="shared" si="49"/>
        <v>N/I</v>
      </c>
      <c r="C1296" s="9" t="str">
        <f t="shared" si="80"/>
        <v>Ativo</v>
      </c>
      <c r="D1296" s="10" t="s">
        <v>3571</v>
      </c>
      <c r="E1296" s="11" t="s">
        <v>3572</v>
      </c>
      <c r="F1296" s="11" t="s">
        <v>4069</v>
      </c>
      <c r="G1296" s="12" t="s">
        <v>3579</v>
      </c>
      <c r="H1296" s="13" t="s">
        <v>4070</v>
      </c>
      <c r="I1296" s="12" t="s">
        <v>2475</v>
      </c>
      <c r="J1296" s="10" t="s">
        <v>216</v>
      </c>
      <c r="K1296" s="10" t="s">
        <v>40</v>
      </c>
      <c r="L1296" s="10" t="s">
        <v>6</v>
      </c>
      <c r="M1296" s="22">
        <v>45526.0</v>
      </c>
      <c r="N1296" s="32" t="s">
        <v>4067</v>
      </c>
      <c r="O1296" s="10" t="s">
        <v>4071</v>
      </c>
      <c r="P1296" s="10" t="s">
        <v>3603</v>
      </c>
      <c r="Q1296" s="2"/>
      <c r="R1296" s="15"/>
      <c r="S1296" s="15"/>
      <c r="T1296" s="15"/>
      <c r="U1296" s="15"/>
      <c r="V1296" s="2"/>
      <c r="W1296" s="15"/>
      <c r="X1296" s="15"/>
      <c r="Y1296" s="15"/>
      <c r="Z1296" s="15"/>
      <c r="AA1296" s="1"/>
      <c r="AB1296" s="10">
        <v>48.0</v>
      </c>
      <c r="AC1296" s="14">
        <v>45566.0</v>
      </c>
      <c r="AD1296" s="14">
        <v>47026.0</v>
      </c>
      <c r="AE1296" s="10">
        <f t="shared" si="108"/>
        <v>935</v>
      </c>
      <c r="AF1296" s="2"/>
      <c r="AG1296" s="10" t="s">
        <v>1498</v>
      </c>
      <c r="AH1296" s="12" t="s">
        <v>46</v>
      </c>
      <c r="AI1296" s="10" t="s">
        <v>227</v>
      </c>
      <c r="AJ1296" s="10" t="s">
        <v>390</v>
      </c>
      <c r="AK1296" s="16" t="s">
        <v>45</v>
      </c>
      <c r="AL1296" s="10" t="s">
        <v>49</v>
      </c>
      <c r="AM1296" s="10" t="s">
        <v>508</v>
      </c>
      <c r="AN1296" s="10" t="s">
        <v>320</v>
      </c>
    </row>
    <row r="1297" ht="30.0" customHeight="1">
      <c r="A1297" s="9" t="str">
        <f t="shared" si="48"/>
        <v>N/I</v>
      </c>
      <c r="B1297" s="9" t="str">
        <f t="shared" si="49"/>
        <v>N/I</v>
      </c>
      <c r="C1297" s="9" t="str">
        <f t="shared" si="80"/>
        <v>Ativo</v>
      </c>
      <c r="D1297" s="10" t="s">
        <v>3571</v>
      </c>
      <c r="E1297" s="11" t="s">
        <v>3572</v>
      </c>
      <c r="F1297" s="11" t="s">
        <v>4072</v>
      </c>
      <c r="G1297" s="12" t="s">
        <v>1691</v>
      </c>
      <c r="H1297" s="34" t="s">
        <v>4073</v>
      </c>
      <c r="I1297" s="12" t="s">
        <v>215</v>
      </c>
      <c r="J1297" s="10" t="s">
        <v>216</v>
      </c>
      <c r="K1297" s="10" t="s">
        <v>40</v>
      </c>
      <c r="L1297" s="10" t="s">
        <v>6</v>
      </c>
      <c r="M1297" s="22">
        <v>45308.0</v>
      </c>
      <c r="N1297" s="32" t="s">
        <v>4074</v>
      </c>
      <c r="O1297" s="10" t="s">
        <v>4075</v>
      </c>
      <c r="P1297" s="10" t="s">
        <v>3593</v>
      </c>
      <c r="Q1297" s="2"/>
      <c r="R1297" s="15"/>
      <c r="S1297" s="15"/>
      <c r="T1297" s="15"/>
      <c r="U1297" s="15"/>
      <c r="V1297" s="2"/>
      <c r="W1297" s="15"/>
      <c r="X1297" s="15"/>
      <c r="Y1297" s="15"/>
      <c r="Z1297" s="15"/>
      <c r="AA1297" s="1"/>
      <c r="AB1297" s="10">
        <v>48.0</v>
      </c>
      <c r="AC1297" s="14">
        <v>45169.0</v>
      </c>
      <c r="AD1297" s="14">
        <v>46630.0</v>
      </c>
      <c r="AE1297" s="10">
        <f t="shared" si="108"/>
        <v>539</v>
      </c>
      <c r="AF1297" s="2"/>
      <c r="AG1297" s="10" t="s">
        <v>1498</v>
      </c>
      <c r="AH1297" s="12" t="s">
        <v>46</v>
      </c>
      <c r="AI1297" s="10" t="s">
        <v>227</v>
      </c>
      <c r="AJ1297" s="10" t="s">
        <v>390</v>
      </c>
      <c r="AK1297" s="12" t="s">
        <v>3594</v>
      </c>
      <c r="AL1297" s="10" t="s">
        <v>49</v>
      </c>
      <c r="AM1297" s="10" t="s">
        <v>508</v>
      </c>
      <c r="AN1297" s="10" t="s">
        <v>320</v>
      </c>
    </row>
    <row r="1298" ht="30.0" customHeight="1">
      <c r="A1298" s="9" t="str">
        <f t="shared" si="48"/>
        <v>N/I</v>
      </c>
      <c r="B1298" s="9" t="str">
        <f t="shared" si="49"/>
        <v>N/I</v>
      </c>
      <c r="C1298" s="9" t="str">
        <f t="shared" si="80"/>
        <v>Ativo</v>
      </c>
      <c r="D1298" s="10" t="s">
        <v>3571</v>
      </c>
      <c r="E1298" s="11" t="s">
        <v>3572</v>
      </c>
      <c r="F1298" s="11" t="s">
        <v>4076</v>
      </c>
      <c r="G1298" s="12" t="s">
        <v>1691</v>
      </c>
      <c r="H1298" s="34" t="s">
        <v>4077</v>
      </c>
      <c r="I1298" s="12" t="s">
        <v>215</v>
      </c>
      <c r="J1298" s="10" t="s">
        <v>216</v>
      </c>
      <c r="K1298" s="10" t="s">
        <v>40</v>
      </c>
      <c r="L1298" s="10" t="s">
        <v>6</v>
      </c>
      <c r="M1298" s="22">
        <v>45309.0</v>
      </c>
      <c r="N1298" s="32" t="s">
        <v>4078</v>
      </c>
      <c r="O1298" s="10" t="s">
        <v>4079</v>
      </c>
      <c r="P1298" s="10" t="s">
        <v>3593</v>
      </c>
      <c r="Q1298" s="2"/>
      <c r="R1298" s="15"/>
      <c r="S1298" s="15"/>
      <c r="T1298" s="15"/>
      <c r="U1298" s="15"/>
      <c r="V1298" s="2"/>
      <c r="W1298" s="15"/>
      <c r="X1298" s="15"/>
      <c r="Y1298" s="15"/>
      <c r="Z1298" s="15"/>
      <c r="AA1298" s="2"/>
      <c r="AB1298" s="10">
        <v>48.0</v>
      </c>
      <c r="AC1298" s="14">
        <v>45169.0</v>
      </c>
      <c r="AD1298" s="14">
        <v>46630.0</v>
      </c>
      <c r="AE1298" s="10">
        <f t="shared" si="108"/>
        <v>539</v>
      </c>
      <c r="AF1298" s="2"/>
      <c r="AG1298" s="10" t="s">
        <v>1498</v>
      </c>
      <c r="AH1298" s="12" t="s">
        <v>46</v>
      </c>
      <c r="AI1298" s="10" t="s">
        <v>227</v>
      </c>
      <c r="AJ1298" s="10" t="s">
        <v>390</v>
      </c>
      <c r="AK1298" s="12" t="s">
        <v>3594</v>
      </c>
      <c r="AL1298" s="10" t="s">
        <v>49</v>
      </c>
      <c r="AM1298" s="10" t="s">
        <v>508</v>
      </c>
      <c r="AN1298" s="10" t="s">
        <v>320</v>
      </c>
    </row>
    <row r="1299" ht="30.0" customHeight="1">
      <c r="A1299" s="9" t="str">
        <f t="shared" si="48"/>
        <v>N/I</v>
      </c>
      <c r="B1299" s="9" t="str">
        <f t="shared" si="49"/>
        <v>N/I</v>
      </c>
      <c r="C1299" s="9" t="str">
        <f t="shared" si="80"/>
        <v>Ativo</v>
      </c>
      <c r="D1299" s="10" t="s">
        <v>3571</v>
      </c>
      <c r="E1299" s="11" t="s">
        <v>3572</v>
      </c>
      <c r="F1299" s="11" t="s">
        <v>4080</v>
      </c>
      <c r="G1299" s="12" t="s">
        <v>1691</v>
      </c>
      <c r="H1299" s="16" t="s">
        <v>4081</v>
      </c>
      <c r="I1299" s="12" t="s">
        <v>215</v>
      </c>
      <c r="J1299" s="10" t="s">
        <v>216</v>
      </c>
      <c r="K1299" s="10" t="s">
        <v>40</v>
      </c>
      <c r="L1299" s="10" t="s">
        <v>6</v>
      </c>
      <c r="M1299" s="22">
        <v>45608.0</v>
      </c>
      <c r="N1299" s="32" t="s">
        <v>4082</v>
      </c>
      <c r="O1299" s="10" t="s">
        <v>4083</v>
      </c>
      <c r="P1299" s="10" t="s">
        <v>3593</v>
      </c>
      <c r="Q1299" s="2"/>
      <c r="R1299" s="15"/>
      <c r="S1299" s="15"/>
      <c r="T1299" s="15"/>
      <c r="U1299" s="15"/>
      <c r="V1299" s="2"/>
      <c r="W1299" s="15"/>
      <c r="X1299" s="15"/>
      <c r="Y1299" s="15"/>
      <c r="Z1299" s="15"/>
      <c r="AA1299" s="1"/>
      <c r="AB1299" s="10">
        <v>48.0</v>
      </c>
      <c r="AC1299" s="14">
        <v>45169.0</v>
      </c>
      <c r="AD1299" s="14">
        <v>46630.0</v>
      </c>
      <c r="AE1299" s="10">
        <f t="shared" si="108"/>
        <v>539</v>
      </c>
      <c r="AF1299" s="2"/>
      <c r="AG1299" s="10" t="s">
        <v>1498</v>
      </c>
      <c r="AH1299" s="12" t="s">
        <v>46</v>
      </c>
      <c r="AI1299" s="10" t="s">
        <v>227</v>
      </c>
      <c r="AJ1299" s="10" t="s">
        <v>390</v>
      </c>
      <c r="AK1299" s="12" t="s">
        <v>3594</v>
      </c>
      <c r="AL1299" s="10" t="s">
        <v>49</v>
      </c>
      <c r="AM1299" s="10" t="s">
        <v>508</v>
      </c>
      <c r="AN1299" s="10" t="s">
        <v>320</v>
      </c>
    </row>
    <row r="1300" ht="30.0" customHeight="1">
      <c r="A1300" s="9" t="str">
        <f t="shared" si="48"/>
        <v>N/I</v>
      </c>
      <c r="B1300" s="9" t="str">
        <f t="shared" si="49"/>
        <v>N/I</v>
      </c>
      <c r="C1300" s="9" t="str">
        <f t="shared" si="80"/>
        <v>Ativo</v>
      </c>
      <c r="D1300" s="10" t="s">
        <v>3571</v>
      </c>
      <c r="E1300" s="11" t="s">
        <v>3572</v>
      </c>
      <c r="F1300" s="11" t="s">
        <v>4084</v>
      </c>
      <c r="G1300" s="12" t="s">
        <v>3579</v>
      </c>
      <c r="H1300" s="27" t="s">
        <v>4085</v>
      </c>
      <c r="I1300" s="12" t="s">
        <v>215</v>
      </c>
      <c r="J1300" s="10" t="s">
        <v>216</v>
      </c>
      <c r="K1300" s="10" t="s">
        <v>40</v>
      </c>
      <c r="L1300" s="10" t="s">
        <v>6</v>
      </c>
      <c r="M1300" s="22">
        <v>45523.0</v>
      </c>
      <c r="N1300" s="32" t="s">
        <v>4078</v>
      </c>
      <c r="O1300" s="10" t="s">
        <v>4079</v>
      </c>
      <c r="P1300" s="10" t="s">
        <v>3603</v>
      </c>
      <c r="Q1300" s="2"/>
      <c r="R1300" s="15"/>
      <c r="S1300" s="15"/>
      <c r="T1300" s="15"/>
      <c r="U1300" s="15"/>
      <c r="V1300" s="2"/>
      <c r="W1300" s="15"/>
      <c r="X1300" s="15"/>
      <c r="Y1300" s="15"/>
      <c r="Z1300" s="15"/>
      <c r="AA1300" s="1"/>
      <c r="AB1300" s="10">
        <v>48.0</v>
      </c>
      <c r="AC1300" s="14">
        <v>45566.0</v>
      </c>
      <c r="AD1300" s="14">
        <v>47026.0</v>
      </c>
      <c r="AE1300" s="10">
        <f t="shared" si="108"/>
        <v>935</v>
      </c>
      <c r="AF1300" s="2"/>
      <c r="AG1300" s="10" t="s">
        <v>1498</v>
      </c>
      <c r="AH1300" s="12" t="s">
        <v>46</v>
      </c>
      <c r="AI1300" s="10" t="s">
        <v>227</v>
      </c>
      <c r="AJ1300" s="10" t="s">
        <v>390</v>
      </c>
      <c r="AK1300" s="16" t="s">
        <v>45</v>
      </c>
      <c r="AL1300" s="10" t="s">
        <v>49</v>
      </c>
      <c r="AM1300" s="10" t="s">
        <v>508</v>
      </c>
      <c r="AN1300" s="10" t="s">
        <v>320</v>
      </c>
    </row>
    <row r="1301" ht="30.0" customHeight="1">
      <c r="A1301" s="9" t="str">
        <f t="shared" si="48"/>
        <v>N/I</v>
      </c>
      <c r="B1301" s="9" t="str">
        <f t="shared" si="49"/>
        <v>N/I</v>
      </c>
      <c r="C1301" s="9" t="str">
        <f t="shared" si="80"/>
        <v>N/I</v>
      </c>
      <c r="D1301" s="10" t="s">
        <v>3571</v>
      </c>
      <c r="E1301" s="11" t="s">
        <v>3572</v>
      </c>
      <c r="F1301" s="32" t="s">
        <v>4084</v>
      </c>
      <c r="G1301" s="12" t="s">
        <v>3579</v>
      </c>
      <c r="H1301" s="25" t="s">
        <v>187</v>
      </c>
      <c r="I1301" s="12" t="s">
        <v>215</v>
      </c>
      <c r="J1301" s="10" t="s">
        <v>216</v>
      </c>
      <c r="K1301" s="10" t="s">
        <v>40</v>
      </c>
      <c r="L1301" s="10" t="s">
        <v>6</v>
      </c>
      <c r="M1301" s="24" t="s">
        <v>193</v>
      </c>
      <c r="N1301" s="11" t="s">
        <v>4078</v>
      </c>
      <c r="O1301" s="10" t="s">
        <v>4079</v>
      </c>
      <c r="P1301" s="10" t="s">
        <v>3583</v>
      </c>
      <c r="Q1301" s="2"/>
      <c r="R1301" s="15"/>
      <c r="S1301" s="15"/>
      <c r="T1301" s="15"/>
      <c r="U1301" s="15"/>
      <c r="V1301" s="2"/>
      <c r="W1301" s="15"/>
      <c r="X1301" s="15"/>
      <c r="Y1301" s="15"/>
      <c r="Z1301" s="15"/>
      <c r="AA1301" s="1"/>
      <c r="AB1301" s="10">
        <v>48.0</v>
      </c>
      <c r="AC1301" s="49" t="s">
        <v>1489</v>
      </c>
      <c r="AD1301" s="49" t="s">
        <v>1489</v>
      </c>
      <c r="AE1301" s="10"/>
      <c r="AF1301" s="2"/>
      <c r="AG1301" s="10" t="s">
        <v>1498</v>
      </c>
      <c r="AH1301" s="12" t="s">
        <v>46</v>
      </c>
      <c r="AI1301" s="10" t="s">
        <v>227</v>
      </c>
      <c r="AJ1301" s="10" t="s">
        <v>390</v>
      </c>
      <c r="AK1301" s="16" t="s">
        <v>45</v>
      </c>
      <c r="AL1301" s="10" t="s">
        <v>49</v>
      </c>
      <c r="AM1301" s="10" t="s">
        <v>508</v>
      </c>
      <c r="AN1301" s="16"/>
    </row>
    <row r="1302" ht="30.0" customHeight="1">
      <c r="A1302" s="9" t="str">
        <f t="shared" si="48"/>
        <v>N/I</v>
      </c>
      <c r="B1302" s="9" t="str">
        <f t="shared" si="49"/>
        <v>N/I</v>
      </c>
      <c r="C1302" s="9" t="str">
        <f t="shared" si="80"/>
        <v>Ativo</v>
      </c>
      <c r="D1302" s="10" t="s">
        <v>3571</v>
      </c>
      <c r="E1302" s="11" t="s">
        <v>3572</v>
      </c>
      <c r="F1302" s="32" t="s">
        <v>4084</v>
      </c>
      <c r="G1302" s="12" t="s">
        <v>1691</v>
      </c>
      <c r="H1302" s="27" t="s">
        <v>4086</v>
      </c>
      <c r="I1302" s="12" t="s">
        <v>215</v>
      </c>
      <c r="J1302" s="10" t="s">
        <v>216</v>
      </c>
      <c r="K1302" s="10" t="s">
        <v>40</v>
      </c>
      <c r="L1302" s="10" t="s">
        <v>6</v>
      </c>
      <c r="M1302" s="14">
        <v>45975.0</v>
      </c>
      <c r="N1302" s="11" t="s">
        <v>4078</v>
      </c>
      <c r="O1302" s="10" t="s">
        <v>4079</v>
      </c>
      <c r="P1302" s="10" t="s">
        <v>3577</v>
      </c>
      <c r="Q1302" s="2"/>
      <c r="R1302" s="15"/>
      <c r="S1302" s="15"/>
      <c r="T1302" s="15"/>
      <c r="U1302" s="15"/>
      <c r="V1302" s="2"/>
      <c r="W1302" s="15"/>
      <c r="X1302" s="15"/>
      <c r="Y1302" s="15"/>
      <c r="Z1302" s="15"/>
      <c r="AA1302" s="1"/>
      <c r="AB1302" s="10">
        <v>48.0</v>
      </c>
      <c r="AC1302" s="58">
        <v>45975.0</v>
      </c>
      <c r="AD1302" s="14">
        <v>47434.0</v>
      </c>
      <c r="AE1302" s="10">
        <f t="shared" ref="AE1302:AE1308" si="109">AD1302-TODAY()</f>
        <v>1343</v>
      </c>
      <c r="AF1302" s="2"/>
      <c r="AG1302" s="10" t="s">
        <v>290</v>
      </c>
      <c r="AH1302" s="12" t="s">
        <v>46</v>
      </c>
      <c r="AI1302" s="10" t="s">
        <v>291</v>
      </c>
      <c r="AJ1302" s="10" t="s">
        <v>292</v>
      </c>
      <c r="AK1302" s="16" t="s">
        <v>45</v>
      </c>
      <c r="AL1302" s="10" t="s">
        <v>49</v>
      </c>
      <c r="AM1302" s="16" t="s">
        <v>45</v>
      </c>
      <c r="AN1302" s="10" t="s">
        <v>50</v>
      </c>
    </row>
    <row r="1303" ht="30.0" customHeight="1">
      <c r="A1303" s="9" t="str">
        <f t="shared" si="48"/>
        <v>N/I</v>
      </c>
      <c r="B1303" s="9" t="str">
        <f t="shared" si="49"/>
        <v>N/I</v>
      </c>
      <c r="C1303" s="9" t="str">
        <f t="shared" si="80"/>
        <v>Ativo</v>
      </c>
      <c r="D1303" s="10" t="s">
        <v>3571</v>
      </c>
      <c r="E1303" s="11" t="s">
        <v>3572</v>
      </c>
      <c r="F1303" s="11" t="s">
        <v>4087</v>
      </c>
      <c r="G1303" s="12" t="s">
        <v>1691</v>
      </c>
      <c r="H1303" s="34" t="s">
        <v>4088</v>
      </c>
      <c r="I1303" s="12" t="s">
        <v>4089</v>
      </c>
      <c r="J1303" s="10" t="s">
        <v>216</v>
      </c>
      <c r="K1303" s="10" t="s">
        <v>40</v>
      </c>
      <c r="L1303" s="10" t="s">
        <v>6</v>
      </c>
      <c r="M1303" s="22">
        <v>45358.0</v>
      </c>
      <c r="N1303" s="32" t="s">
        <v>4090</v>
      </c>
      <c r="O1303" s="10" t="s">
        <v>4091</v>
      </c>
      <c r="P1303" s="10" t="s">
        <v>3593</v>
      </c>
      <c r="Q1303" s="2"/>
      <c r="R1303" s="15"/>
      <c r="S1303" s="15"/>
      <c r="T1303" s="15"/>
      <c r="U1303" s="15"/>
      <c r="V1303" s="2"/>
      <c r="W1303" s="15"/>
      <c r="X1303" s="15"/>
      <c r="Y1303" s="15"/>
      <c r="Z1303" s="15"/>
      <c r="AA1303" s="1"/>
      <c r="AB1303" s="10">
        <v>48.0</v>
      </c>
      <c r="AC1303" s="14">
        <v>45169.0</v>
      </c>
      <c r="AD1303" s="14">
        <v>46630.0</v>
      </c>
      <c r="AE1303" s="10">
        <f t="shared" si="109"/>
        <v>539</v>
      </c>
      <c r="AF1303" s="2"/>
      <c r="AG1303" s="10" t="s">
        <v>1498</v>
      </c>
      <c r="AH1303" s="12" t="s">
        <v>46</v>
      </c>
      <c r="AI1303" s="10" t="s">
        <v>227</v>
      </c>
      <c r="AJ1303" s="10" t="s">
        <v>390</v>
      </c>
      <c r="AK1303" s="12" t="s">
        <v>3594</v>
      </c>
      <c r="AL1303" s="10" t="s">
        <v>49</v>
      </c>
      <c r="AM1303" s="10" t="s">
        <v>508</v>
      </c>
      <c r="AN1303" s="10" t="s">
        <v>320</v>
      </c>
    </row>
    <row r="1304" ht="30.0" customHeight="1">
      <c r="A1304" s="9" t="str">
        <f t="shared" si="48"/>
        <v>N/I</v>
      </c>
      <c r="B1304" s="9" t="str">
        <f t="shared" si="49"/>
        <v>N/I</v>
      </c>
      <c r="C1304" s="9" t="str">
        <f t="shared" si="80"/>
        <v>Ativo</v>
      </c>
      <c r="D1304" s="10" t="s">
        <v>3571</v>
      </c>
      <c r="E1304" s="11" t="s">
        <v>3572</v>
      </c>
      <c r="F1304" s="11" t="s">
        <v>4092</v>
      </c>
      <c r="G1304" s="12" t="s">
        <v>3579</v>
      </c>
      <c r="H1304" s="13" t="s">
        <v>4093</v>
      </c>
      <c r="I1304" s="12" t="s">
        <v>4094</v>
      </c>
      <c r="J1304" s="10" t="s">
        <v>216</v>
      </c>
      <c r="K1304" s="10" t="s">
        <v>40</v>
      </c>
      <c r="L1304" s="10" t="s">
        <v>6</v>
      </c>
      <c r="M1304" s="22">
        <v>45538.0</v>
      </c>
      <c r="N1304" s="32" t="s">
        <v>4090</v>
      </c>
      <c r="O1304" s="10" t="s">
        <v>4091</v>
      </c>
      <c r="P1304" s="10" t="s">
        <v>3603</v>
      </c>
      <c r="Q1304" s="2"/>
      <c r="R1304" s="15"/>
      <c r="S1304" s="15"/>
      <c r="T1304" s="15"/>
      <c r="U1304" s="15"/>
      <c r="V1304" s="2"/>
      <c r="W1304" s="15"/>
      <c r="X1304" s="15"/>
      <c r="Y1304" s="15"/>
      <c r="Z1304" s="15"/>
      <c r="AA1304" s="1"/>
      <c r="AB1304" s="10">
        <v>48.0</v>
      </c>
      <c r="AC1304" s="14">
        <v>45566.0</v>
      </c>
      <c r="AD1304" s="14">
        <v>47026.0</v>
      </c>
      <c r="AE1304" s="10">
        <f t="shared" si="109"/>
        <v>935</v>
      </c>
      <c r="AF1304" s="2"/>
      <c r="AG1304" s="10" t="s">
        <v>1498</v>
      </c>
      <c r="AH1304" s="12" t="s">
        <v>46</v>
      </c>
      <c r="AI1304" s="10" t="s">
        <v>227</v>
      </c>
      <c r="AJ1304" s="10" t="s">
        <v>390</v>
      </c>
      <c r="AK1304" s="16" t="s">
        <v>45</v>
      </c>
      <c r="AL1304" s="10" t="s">
        <v>49</v>
      </c>
      <c r="AM1304" s="10" t="s">
        <v>508</v>
      </c>
      <c r="AN1304" s="10" t="s">
        <v>320</v>
      </c>
    </row>
    <row r="1305" ht="30.0" customHeight="1">
      <c r="A1305" s="9" t="str">
        <f t="shared" si="48"/>
        <v>N/I</v>
      </c>
      <c r="B1305" s="9" t="str">
        <f t="shared" si="49"/>
        <v>N/I</v>
      </c>
      <c r="C1305" s="9" t="str">
        <f t="shared" si="80"/>
        <v>Ativo</v>
      </c>
      <c r="D1305" s="10" t="s">
        <v>3571</v>
      </c>
      <c r="E1305" s="11" t="s">
        <v>3572</v>
      </c>
      <c r="F1305" s="11" t="s">
        <v>4095</v>
      </c>
      <c r="G1305" s="12" t="s">
        <v>1691</v>
      </c>
      <c r="H1305" s="34" t="s">
        <v>4096</v>
      </c>
      <c r="I1305" s="12" t="s">
        <v>4097</v>
      </c>
      <c r="J1305" s="10" t="s">
        <v>216</v>
      </c>
      <c r="K1305" s="10" t="s">
        <v>40</v>
      </c>
      <c r="L1305" s="10" t="s">
        <v>6</v>
      </c>
      <c r="M1305" s="22">
        <v>45351.0</v>
      </c>
      <c r="N1305" s="32" t="s">
        <v>4098</v>
      </c>
      <c r="O1305" s="10" t="s">
        <v>4099</v>
      </c>
      <c r="P1305" s="10" t="s">
        <v>3593</v>
      </c>
      <c r="Q1305" s="2"/>
      <c r="R1305" s="15"/>
      <c r="S1305" s="15"/>
      <c r="T1305" s="15"/>
      <c r="U1305" s="15"/>
      <c r="V1305" s="2"/>
      <c r="W1305" s="15"/>
      <c r="X1305" s="15"/>
      <c r="Y1305" s="15"/>
      <c r="Z1305" s="15"/>
      <c r="AA1305" s="1"/>
      <c r="AB1305" s="10">
        <v>48.0</v>
      </c>
      <c r="AC1305" s="14">
        <v>45169.0</v>
      </c>
      <c r="AD1305" s="14">
        <v>46630.0</v>
      </c>
      <c r="AE1305" s="10">
        <f t="shared" si="109"/>
        <v>539</v>
      </c>
      <c r="AF1305" s="2"/>
      <c r="AG1305" s="10" t="s">
        <v>1498</v>
      </c>
      <c r="AH1305" s="12" t="s">
        <v>46</v>
      </c>
      <c r="AI1305" s="10" t="s">
        <v>227</v>
      </c>
      <c r="AJ1305" s="10" t="s">
        <v>390</v>
      </c>
      <c r="AK1305" s="12" t="s">
        <v>3594</v>
      </c>
      <c r="AL1305" s="10" t="s">
        <v>49</v>
      </c>
      <c r="AM1305" s="10" t="s">
        <v>508</v>
      </c>
      <c r="AN1305" s="10" t="s">
        <v>320</v>
      </c>
    </row>
    <row r="1306" ht="30.0" customHeight="1">
      <c r="A1306" s="9" t="str">
        <f t="shared" si="48"/>
        <v>N/I</v>
      </c>
      <c r="B1306" s="9" t="str">
        <f t="shared" si="49"/>
        <v>N/I</v>
      </c>
      <c r="C1306" s="9" t="str">
        <f t="shared" si="80"/>
        <v>Ativo</v>
      </c>
      <c r="D1306" s="10" t="s">
        <v>3571</v>
      </c>
      <c r="E1306" s="11" t="s">
        <v>3572</v>
      </c>
      <c r="F1306" s="11" t="s">
        <v>4095</v>
      </c>
      <c r="G1306" s="12" t="s">
        <v>3579</v>
      </c>
      <c r="H1306" s="13" t="s">
        <v>4100</v>
      </c>
      <c r="I1306" s="12" t="s">
        <v>4097</v>
      </c>
      <c r="J1306" s="10" t="s">
        <v>216</v>
      </c>
      <c r="K1306" s="10" t="s">
        <v>40</v>
      </c>
      <c r="L1306" s="10" t="s">
        <v>6</v>
      </c>
      <c r="M1306" s="22">
        <v>45519.0</v>
      </c>
      <c r="N1306" s="32" t="s">
        <v>4101</v>
      </c>
      <c r="O1306" s="10" t="s">
        <v>4102</v>
      </c>
      <c r="P1306" s="10" t="s">
        <v>3603</v>
      </c>
      <c r="Q1306" s="2"/>
      <c r="R1306" s="15"/>
      <c r="S1306" s="15"/>
      <c r="T1306" s="15"/>
      <c r="U1306" s="15"/>
      <c r="V1306" s="2"/>
      <c r="W1306" s="15"/>
      <c r="X1306" s="15"/>
      <c r="Y1306" s="15"/>
      <c r="Z1306" s="15"/>
      <c r="AA1306" s="1"/>
      <c r="AB1306" s="10">
        <v>48.0</v>
      </c>
      <c r="AC1306" s="14">
        <v>45566.0</v>
      </c>
      <c r="AD1306" s="14">
        <v>47026.0</v>
      </c>
      <c r="AE1306" s="10">
        <f t="shared" si="109"/>
        <v>935</v>
      </c>
      <c r="AF1306" s="2"/>
      <c r="AG1306" s="10" t="s">
        <v>1498</v>
      </c>
      <c r="AH1306" s="12" t="s">
        <v>46</v>
      </c>
      <c r="AI1306" s="10" t="s">
        <v>227</v>
      </c>
      <c r="AJ1306" s="10" t="s">
        <v>390</v>
      </c>
      <c r="AK1306" s="16" t="s">
        <v>45</v>
      </c>
      <c r="AL1306" s="10" t="s">
        <v>49</v>
      </c>
      <c r="AM1306" s="10" t="s">
        <v>508</v>
      </c>
      <c r="AN1306" s="10" t="s">
        <v>320</v>
      </c>
    </row>
    <row r="1307" ht="30.0" customHeight="1">
      <c r="A1307" s="9" t="str">
        <f t="shared" si="48"/>
        <v>N/I</v>
      </c>
      <c r="B1307" s="9" t="str">
        <f t="shared" si="49"/>
        <v>N/I</v>
      </c>
      <c r="C1307" s="9" t="str">
        <f t="shared" si="80"/>
        <v>Ativo</v>
      </c>
      <c r="D1307" s="10" t="s">
        <v>3571</v>
      </c>
      <c r="E1307" s="11" t="s">
        <v>3572</v>
      </c>
      <c r="F1307" s="11" t="s">
        <v>4103</v>
      </c>
      <c r="G1307" s="12" t="s">
        <v>1691</v>
      </c>
      <c r="H1307" s="34" t="s">
        <v>4104</v>
      </c>
      <c r="I1307" s="12" t="s">
        <v>4105</v>
      </c>
      <c r="J1307" s="10" t="s">
        <v>216</v>
      </c>
      <c r="K1307" s="10" t="s">
        <v>40</v>
      </c>
      <c r="L1307" s="10" t="s">
        <v>6</v>
      </c>
      <c r="M1307" s="22">
        <v>45275.0</v>
      </c>
      <c r="N1307" s="32" t="s">
        <v>4106</v>
      </c>
      <c r="O1307" s="10" t="s">
        <v>4107</v>
      </c>
      <c r="P1307" s="10" t="s">
        <v>3593</v>
      </c>
      <c r="Q1307" s="2"/>
      <c r="R1307" s="15"/>
      <c r="S1307" s="15"/>
      <c r="T1307" s="15"/>
      <c r="U1307" s="15"/>
      <c r="V1307" s="2"/>
      <c r="W1307" s="15"/>
      <c r="X1307" s="15"/>
      <c r="Y1307" s="15"/>
      <c r="Z1307" s="15"/>
      <c r="AA1307" s="1"/>
      <c r="AB1307" s="10">
        <v>48.0</v>
      </c>
      <c r="AC1307" s="14">
        <v>45169.0</v>
      </c>
      <c r="AD1307" s="14">
        <v>46630.0</v>
      </c>
      <c r="AE1307" s="10">
        <f t="shared" si="109"/>
        <v>539</v>
      </c>
      <c r="AF1307" s="2"/>
      <c r="AG1307" s="10" t="s">
        <v>1498</v>
      </c>
      <c r="AH1307" s="12" t="s">
        <v>46</v>
      </c>
      <c r="AI1307" s="10" t="s">
        <v>227</v>
      </c>
      <c r="AJ1307" s="10" t="s">
        <v>390</v>
      </c>
      <c r="AK1307" s="12" t="s">
        <v>3594</v>
      </c>
      <c r="AL1307" s="10" t="s">
        <v>49</v>
      </c>
      <c r="AM1307" s="10" t="s">
        <v>508</v>
      </c>
      <c r="AN1307" s="10" t="s">
        <v>320</v>
      </c>
    </row>
    <row r="1308" ht="30.0" customHeight="1">
      <c r="A1308" s="9" t="str">
        <f t="shared" si="48"/>
        <v>N/I</v>
      </c>
      <c r="B1308" s="9" t="str">
        <f t="shared" si="49"/>
        <v>N/I</v>
      </c>
      <c r="C1308" s="9" t="str">
        <f t="shared" si="80"/>
        <v>Ativo</v>
      </c>
      <c r="D1308" s="10" t="s">
        <v>3571</v>
      </c>
      <c r="E1308" s="11" t="s">
        <v>3572</v>
      </c>
      <c r="F1308" s="11" t="s">
        <v>4103</v>
      </c>
      <c r="G1308" s="12" t="s">
        <v>3579</v>
      </c>
      <c r="H1308" s="13" t="s">
        <v>4108</v>
      </c>
      <c r="I1308" s="12" t="s">
        <v>4105</v>
      </c>
      <c r="J1308" s="10" t="s">
        <v>216</v>
      </c>
      <c r="K1308" s="10" t="s">
        <v>40</v>
      </c>
      <c r="L1308" s="10" t="s">
        <v>6</v>
      </c>
      <c r="M1308" s="22">
        <v>45518.0</v>
      </c>
      <c r="N1308" s="32" t="s">
        <v>4106</v>
      </c>
      <c r="O1308" s="10" t="s">
        <v>4109</v>
      </c>
      <c r="P1308" s="10" t="s">
        <v>3603</v>
      </c>
      <c r="Q1308" s="2"/>
      <c r="R1308" s="15"/>
      <c r="S1308" s="15"/>
      <c r="T1308" s="15"/>
      <c r="U1308" s="15"/>
      <c r="V1308" s="2"/>
      <c r="W1308" s="15"/>
      <c r="X1308" s="15"/>
      <c r="Y1308" s="15"/>
      <c r="Z1308" s="15"/>
      <c r="AA1308" s="1"/>
      <c r="AB1308" s="10">
        <v>48.0</v>
      </c>
      <c r="AC1308" s="14">
        <v>45566.0</v>
      </c>
      <c r="AD1308" s="14">
        <v>47026.0</v>
      </c>
      <c r="AE1308" s="10">
        <f t="shared" si="109"/>
        <v>935</v>
      </c>
      <c r="AF1308" s="2"/>
      <c r="AG1308" s="10" t="s">
        <v>1498</v>
      </c>
      <c r="AH1308" s="12" t="s">
        <v>46</v>
      </c>
      <c r="AI1308" s="10" t="s">
        <v>227</v>
      </c>
      <c r="AJ1308" s="10" t="s">
        <v>390</v>
      </c>
      <c r="AK1308" s="16" t="s">
        <v>45</v>
      </c>
      <c r="AL1308" s="10" t="s">
        <v>49</v>
      </c>
      <c r="AM1308" s="10" t="s">
        <v>508</v>
      </c>
      <c r="AN1308" s="10" t="s">
        <v>320</v>
      </c>
    </row>
    <row r="1309" ht="30.0" customHeight="1">
      <c r="A1309" s="9" t="str">
        <f t="shared" si="48"/>
        <v>N/I</v>
      </c>
      <c r="B1309" s="9" t="str">
        <f t="shared" si="49"/>
        <v>N/I</v>
      </c>
      <c r="C1309" s="9" t="str">
        <f t="shared" si="80"/>
        <v>N/I</v>
      </c>
      <c r="D1309" s="10" t="s">
        <v>3571</v>
      </c>
      <c r="E1309" s="11" t="s">
        <v>3572</v>
      </c>
      <c r="F1309" s="11"/>
      <c r="G1309" s="12" t="s">
        <v>1691</v>
      </c>
      <c r="H1309" s="57" t="s">
        <v>187</v>
      </c>
      <c r="I1309" s="12"/>
      <c r="J1309" s="10" t="s">
        <v>216</v>
      </c>
      <c r="K1309" s="10" t="s">
        <v>40</v>
      </c>
      <c r="L1309" s="10" t="s">
        <v>6</v>
      </c>
      <c r="M1309" s="24" t="s">
        <v>193</v>
      </c>
      <c r="N1309" s="32"/>
      <c r="O1309" s="10"/>
      <c r="P1309" s="10" t="s">
        <v>3593</v>
      </c>
      <c r="Q1309" s="2"/>
      <c r="R1309" s="15"/>
      <c r="S1309" s="15"/>
      <c r="T1309" s="15"/>
      <c r="U1309" s="15"/>
      <c r="V1309" s="2"/>
      <c r="W1309" s="15"/>
      <c r="X1309" s="15"/>
      <c r="Y1309" s="15"/>
      <c r="Z1309" s="15"/>
      <c r="AA1309" s="1"/>
      <c r="AB1309" s="10">
        <v>48.0</v>
      </c>
      <c r="AC1309" s="24" t="s">
        <v>1489</v>
      </c>
      <c r="AD1309" s="24" t="s">
        <v>1489</v>
      </c>
      <c r="AE1309" s="10"/>
      <c r="AF1309" s="2"/>
      <c r="AG1309" s="10" t="s">
        <v>1498</v>
      </c>
      <c r="AH1309" s="12" t="s">
        <v>46</v>
      </c>
      <c r="AI1309" s="10" t="s">
        <v>227</v>
      </c>
      <c r="AJ1309" s="10" t="s">
        <v>390</v>
      </c>
      <c r="AK1309" s="12" t="s">
        <v>3594</v>
      </c>
      <c r="AL1309" s="10" t="s">
        <v>49</v>
      </c>
      <c r="AM1309" s="10" t="s">
        <v>508</v>
      </c>
      <c r="AN1309" s="10" t="s">
        <v>320</v>
      </c>
    </row>
    <row r="1310" ht="30.0" customHeight="1">
      <c r="A1310" s="9" t="str">
        <f t="shared" si="48"/>
        <v>N/I</v>
      </c>
      <c r="B1310" s="9" t="str">
        <f t="shared" si="49"/>
        <v>N/I</v>
      </c>
      <c r="C1310" s="9" t="str">
        <f t="shared" si="80"/>
        <v>Ativo</v>
      </c>
      <c r="D1310" s="10" t="s">
        <v>3571</v>
      </c>
      <c r="E1310" s="11" t="s">
        <v>3572</v>
      </c>
      <c r="F1310" s="11" t="s">
        <v>4072</v>
      </c>
      <c r="G1310" s="12" t="s">
        <v>3579</v>
      </c>
      <c r="H1310" s="34" t="s">
        <v>4110</v>
      </c>
      <c r="I1310" s="12" t="s">
        <v>215</v>
      </c>
      <c r="J1310" s="10" t="s">
        <v>216</v>
      </c>
      <c r="K1310" s="10" t="s">
        <v>40</v>
      </c>
      <c r="L1310" s="10" t="s">
        <v>6</v>
      </c>
      <c r="M1310" s="22">
        <v>45826.0</v>
      </c>
      <c r="N1310" s="32" t="s">
        <v>4074</v>
      </c>
      <c r="O1310" s="10" t="s">
        <v>4075</v>
      </c>
      <c r="P1310" s="10" t="s">
        <v>3603</v>
      </c>
      <c r="Q1310" s="2"/>
      <c r="R1310" s="15"/>
      <c r="S1310" s="15"/>
      <c r="T1310" s="15"/>
      <c r="U1310" s="15"/>
      <c r="V1310" s="2"/>
      <c r="W1310" s="15"/>
      <c r="X1310" s="15"/>
      <c r="Y1310" s="15"/>
      <c r="Z1310" s="15"/>
      <c r="AA1310" s="1"/>
      <c r="AB1310" s="10">
        <v>48.0</v>
      </c>
      <c r="AC1310" s="14">
        <v>45566.0</v>
      </c>
      <c r="AD1310" s="14">
        <v>47026.0</v>
      </c>
      <c r="AE1310" s="10">
        <f>AD1310-TODAY()</f>
        <v>935</v>
      </c>
      <c r="AF1310" s="2"/>
      <c r="AG1310" s="10" t="s">
        <v>1498</v>
      </c>
      <c r="AH1310" s="12" t="s">
        <v>46</v>
      </c>
      <c r="AI1310" s="10" t="s">
        <v>227</v>
      </c>
      <c r="AJ1310" s="10" t="s">
        <v>390</v>
      </c>
      <c r="AK1310" s="16" t="s">
        <v>45</v>
      </c>
      <c r="AL1310" s="10" t="s">
        <v>49</v>
      </c>
      <c r="AM1310" s="10" t="s">
        <v>508</v>
      </c>
      <c r="AN1310" s="10" t="s">
        <v>320</v>
      </c>
    </row>
    <row r="1311" ht="30.0" customHeight="1">
      <c r="A1311" s="9" t="str">
        <f t="shared" si="48"/>
        <v>Inativo</v>
      </c>
      <c r="B1311" s="9" t="str">
        <f t="shared" si="49"/>
        <v>N/I</v>
      </c>
      <c r="C1311" s="9" t="str">
        <f t="shared" si="80"/>
        <v>N/I</v>
      </c>
      <c r="D1311" s="10" t="s">
        <v>4111</v>
      </c>
      <c r="E1311" s="11" t="s">
        <v>4112</v>
      </c>
      <c r="F1311" s="11" t="s">
        <v>4113</v>
      </c>
      <c r="G1311" s="12" t="s">
        <v>94</v>
      </c>
      <c r="H1311" s="42" t="s">
        <v>4114</v>
      </c>
      <c r="I1311" s="12" t="s">
        <v>4115</v>
      </c>
      <c r="J1311" s="10" t="s">
        <v>521</v>
      </c>
      <c r="K1311" s="10" t="s">
        <v>263</v>
      </c>
      <c r="L1311" s="10" t="s">
        <v>4</v>
      </c>
      <c r="M1311" s="14">
        <v>45518.0</v>
      </c>
      <c r="N1311" s="11" t="s">
        <v>4116</v>
      </c>
      <c r="O1311" s="10" t="s">
        <v>4117</v>
      </c>
      <c r="P1311" s="10" t="s">
        <v>4118</v>
      </c>
      <c r="Q1311" s="2"/>
      <c r="R1311" s="10">
        <v>12.0</v>
      </c>
      <c r="S1311" s="14">
        <v>45475.0</v>
      </c>
      <c r="T1311" s="14">
        <v>45840.0</v>
      </c>
      <c r="U1311" s="10">
        <f t="shared" ref="U1311:U1321" si="110">T1311-TODAY()</f>
        <v>-251</v>
      </c>
      <c r="V1311" s="2"/>
      <c r="W1311" s="15"/>
      <c r="X1311" s="15"/>
      <c r="Y1311" s="15"/>
      <c r="Z1311" s="15"/>
      <c r="AA1311" s="1"/>
      <c r="AB1311" s="15"/>
      <c r="AC1311" s="15"/>
      <c r="AD1311" s="15"/>
      <c r="AE1311" s="15"/>
      <c r="AF1311" s="2"/>
      <c r="AG1311" s="16" t="s">
        <v>45</v>
      </c>
      <c r="AH1311" s="16" t="s">
        <v>45</v>
      </c>
      <c r="AI1311" s="16" t="s">
        <v>45</v>
      </c>
      <c r="AJ1311" s="16" t="s">
        <v>45</v>
      </c>
      <c r="AK1311" s="16" t="s">
        <v>45</v>
      </c>
      <c r="AL1311" s="10" t="s">
        <v>49</v>
      </c>
      <c r="AM1311" s="16" t="s">
        <v>45</v>
      </c>
      <c r="AN1311" s="10" t="s">
        <v>320</v>
      </c>
    </row>
    <row r="1312" ht="30.0" customHeight="1">
      <c r="A1312" s="9" t="str">
        <f t="shared" si="48"/>
        <v>Ativo</v>
      </c>
      <c r="B1312" s="9" t="str">
        <f t="shared" si="49"/>
        <v>N/I</v>
      </c>
      <c r="C1312" s="9" t="str">
        <f t="shared" si="80"/>
        <v>N/I</v>
      </c>
      <c r="D1312" s="10" t="s">
        <v>4119</v>
      </c>
      <c r="E1312" s="11" t="s">
        <v>4120</v>
      </c>
      <c r="F1312" s="32" t="s">
        <v>4121</v>
      </c>
      <c r="G1312" s="12" t="s">
        <v>55</v>
      </c>
      <c r="H1312" s="42" t="s">
        <v>4122</v>
      </c>
      <c r="I1312" s="12" t="s">
        <v>246</v>
      </c>
      <c r="J1312" s="10" t="s">
        <v>247</v>
      </c>
      <c r="K1312" s="10" t="s">
        <v>190</v>
      </c>
      <c r="L1312" s="10" t="s">
        <v>4</v>
      </c>
      <c r="M1312" s="22">
        <v>45565.0</v>
      </c>
      <c r="N1312" s="11" t="s">
        <v>4123</v>
      </c>
      <c r="O1312" s="10" t="s">
        <v>1018</v>
      </c>
      <c r="P1312" s="10" t="s">
        <v>4124</v>
      </c>
      <c r="Q1312" s="2"/>
      <c r="R1312" s="10">
        <v>36.0</v>
      </c>
      <c r="S1312" s="14">
        <v>45588.0</v>
      </c>
      <c r="T1312" s="14">
        <v>46682.0</v>
      </c>
      <c r="U1312" s="10">
        <f t="shared" si="110"/>
        <v>591</v>
      </c>
      <c r="V1312" s="2"/>
      <c r="W1312" s="15"/>
      <c r="X1312" s="15"/>
      <c r="Y1312" s="15"/>
      <c r="Z1312" s="15"/>
      <c r="AA1312" s="1"/>
      <c r="AB1312" s="15"/>
      <c r="AC1312" s="15"/>
      <c r="AD1312" s="15"/>
      <c r="AE1312" s="15"/>
      <c r="AF1312" s="2"/>
      <c r="AG1312" s="10" t="s">
        <v>354</v>
      </c>
      <c r="AH1312" s="12" t="s">
        <v>46</v>
      </c>
      <c r="AI1312" s="10" t="s">
        <v>226</v>
      </c>
      <c r="AJ1312" s="12" t="s">
        <v>4125</v>
      </c>
      <c r="AK1312" s="10" t="s">
        <v>4126</v>
      </c>
      <c r="AL1312" s="10" t="s">
        <v>49</v>
      </c>
      <c r="AM1312" s="16" t="s">
        <v>45</v>
      </c>
      <c r="AN1312" s="10" t="s">
        <v>320</v>
      </c>
    </row>
    <row r="1313" ht="30.0" customHeight="1">
      <c r="A1313" s="9" t="str">
        <f t="shared" si="48"/>
        <v>Ativo</v>
      </c>
      <c r="B1313" s="9" t="str">
        <f t="shared" si="49"/>
        <v>N/I</v>
      </c>
      <c r="C1313" s="9" t="str">
        <f t="shared" si="80"/>
        <v>N/I</v>
      </c>
      <c r="D1313" s="10" t="s">
        <v>4119</v>
      </c>
      <c r="E1313" s="11" t="s">
        <v>4120</v>
      </c>
      <c r="F1313" s="32" t="s">
        <v>4127</v>
      </c>
      <c r="G1313" s="12" t="s">
        <v>55</v>
      </c>
      <c r="H1313" s="42" t="s">
        <v>4128</v>
      </c>
      <c r="I1313" s="12" t="s">
        <v>188</v>
      </c>
      <c r="J1313" s="10" t="s">
        <v>189</v>
      </c>
      <c r="K1313" s="10" t="s">
        <v>190</v>
      </c>
      <c r="L1313" s="10" t="s">
        <v>4</v>
      </c>
      <c r="M1313" s="22">
        <v>45559.0</v>
      </c>
      <c r="N1313" s="32" t="s">
        <v>1058</v>
      </c>
      <c r="O1313" s="10" t="s">
        <v>1059</v>
      </c>
      <c r="P1313" s="10" t="s">
        <v>4124</v>
      </c>
      <c r="Q1313" s="2"/>
      <c r="R1313" s="10">
        <v>36.0</v>
      </c>
      <c r="S1313" s="14">
        <v>45603.0</v>
      </c>
      <c r="T1313" s="14">
        <v>46697.0</v>
      </c>
      <c r="U1313" s="10">
        <f t="shared" si="110"/>
        <v>606</v>
      </c>
      <c r="V1313" s="2"/>
      <c r="W1313" s="15"/>
      <c r="X1313" s="15"/>
      <c r="Y1313" s="15"/>
      <c r="Z1313" s="15"/>
      <c r="AA1313" s="1"/>
      <c r="AB1313" s="15"/>
      <c r="AC1313" s="15"/>
      <c r="AD1313" s="15"/>
      <c r="AE1313" s="15"/>
      <c r="AF1313" s="2"/>
      <c r="AG1313" s="10" t="s">
        <v>354</v>
      </c>
      <c r="AH1313" s="12" t="s">
        <v>46</v>
      </c>
      <c r="AI1313" s="10" t="s">
        <v>226</v>
      </c>
      <c r="AJ1313" s="12" t="s">
        <v>4125</v>
      </c>
      <c r="AK1313" s="10" t="s">
        <v>4126</v>
      </c>
      <c r="AL1313" s="10" t="s">
        <v>49</v>
      </c>
      <c r="AM1313" s="16" t="s">
        <v>45</v>
      </c>
      <c r="AN1313" s="10" t="s">
        <v>320</v>
      </c>
    </row>
    <row r="1314" ht="30.0" customHeight="1">
      <c r="A1314" s="9" t="str">
        <f t="shared" si="48"/>
        <v>Ativo</v>
      </c>
      <c r="B1314" s="9" t="str">
        <f t="shared" si="49"/>
        <v>N/I</v>
      </c>
      <c r="C1314" s="9" t="str">
        <f t="shared" si="80"/>
        <v>N/I</v>
      </c>
      <c r="D1314" s="10" t="s">
        <v>4119</v>
      </c>
      <c r="E1314" s="11" t="s">
        <v>4120</v>
      </c>
      <c r="F1314" s="32" t="s">
        <v>4129</v>
      </c>
      <c r="G1314" s="12" t="s">
        <v>55</v>
      </c>
      <c r="H1314" s="42" t="s">
        <v>4130</v>
      </c>
      <c r="I1314" s="12" t="s">
        <v>1514</v>
      </c>
      <c r="J1314" s="10" t="s">
        <v>283</v>
      </c>
      <c r="K1314" s="10" t="s">
        <v>263</v>
      </c>
      <c r="L1314" s="10" t="s">
        <v>4</v>
      </c>
      <c r="M1314" s="22">
        <v>45565.0</v>
      </c>
      <c r="N1314" s="11" t="s">
        <v>4131</v>
      </c>
      <c r="O1314" s="10" t="s">
        <v>4132</v>
      </c>
      <c r="P1314" s="10" t="s">
        <v>4124</v>
      </c>
      <c r="Q1314" s="2"/>
      <c r="R1314" s="10">
        <v>36.0</v>
      </c>
      <c r="S1314" s="14">
        <v>45580.0</v>
      </c>
      <c r="T1314" s="14">
        <v>46674.0</v>
      </c>
      <c r="U1314" s="10">
        <f t="shared" si="110"/>
        <v>583</v>
      </c>
      <c r="V1314" s="2"/>
      <c r="W1314" s="15"/>
      <c r="X1314" s="15"/>
      <c r="Y1314" s="15"/>
      <c r="Z1314" s="15"/>
      <c r="AA1314" s="1"/>
      <c r="AB1314" s="15"/>
      <c r="AC1314" s="15"/>
      <c r="AD1314" s="15"/>
      <c r="AE1314" s="15"/>
      <c r="AF1314" s="2"/>
      <c r="AG1314" s="10" t="s">
        <v>354</v>
      </c>
      <c r="AH1314" s="12" t="s">
        <v>46</v>
      </c>
      <c r="AI1314" s="10" t="s">
        <v>226</v>
      </c>
      <c r="AJ1314" s="12" t="s">
        <v>4125</v>
      </c>
      <c r="AK1314" s="10" t="s">
        <v>4126</v>
      </c>
      <c r="AL1314" s="10" t="s">
        <v>49</v>
      </c>
      <c r="AM1314" s="16" t="s">
        <v>45</v>
      </c>
      <c r="AN1314" s="10" t="s">
        <v>320</v>
      </c>
    </row>
    <row r="1315" ht="30.0" customHeight="1">
      <c r="A1315" s="9" t="str">
        <f t="shared" si="48"/>
        <v>Ativo</v>
      </c>
      <c r="B1315" s="9" t="str">
        <f t="shared" si="49"/>
        <v>N/I</v>
      </c>
      <c r="C1315" s="9" t="str">
        <f t="shared" si="80"/>
        <v>N/I</v>
      </c>
      <c r="D1315" s="10" t="s">
        <v>4119</v>
      </c>
      <c r="E1315" s="11" t="s">
        <v>4120</v>
      </c>
      <c r="F1315" s="32" t="s">
        <v>4129</v>
      </c>
      <c r="G1315" s="12" t="s">
        <v>55</v>
      </c>
      <c r="H1315" s="42" t="s">
        <v>4133</v>
      </c>
      <c r="I1315" s="12" t="s">
        <v>1514</v>
      </c>
      <c r="J1315" s="10" t="s">
        <v>283</v>
      </c>
      <c r="K1315" s="10" t="s">
        <v>263</v>
      </c>
      <c r="L1315" s="10" t="s">
        <v>4</v>
      </c>
      <c r="M1315" s="22">
        <v>45566.0</v>
      </c>
      <c r="N1315" s="11" t="s">
        <v>4131</v>
      </c>
      <c r="O1315" s="10" t="s">
        <v>4132</v>
      </c>
      <c r="P1315" s="10" t="s">
        <v>4124</v>
      </c>
      <c r="Q1315" s="2"/>
      <c r="R1315" s="10">
        <v>36.0</v>
      </c>
      <c r="S1315" s="14">
        <v>45580.0</v>
      </c>
      <c r="T1315" s="14">
        <v>46674.0</v>
      </c>
      <c r="U1315" s="10">
        <f t="shared" si="110"/>
        <v>583</v>
      </c>
      <c r="V1315" s="2"/>
      <c r="W1315" s="15"/>
      <c r="X1315" s="15"/>
      <c r="Y1315" s="15"/>
      <c r="Z1315" s="15"/>
      <c r="AA1315" s="1"/>
      <c r="AB1315" s="15"/>
      <c r="AC1315" s="15"/>
      <c r="AD1315" s="15"/>
      <c r="AE1315" s="15"/>
      <c r="AF1315" s="2"/>
      <c r="AG1315" s="10" t="s">
        <v>354</v>
      </c>
      <c r="AH1315" s="12" t="s">
        <v>46</v>
      </c>
      <c r="AI1315" s="10" t="s">
        <v>226</v>
      </c>
      <c r="AJ1315" s="12" t="s">
        <v>4125</v>
      </c>
      <c r="AK1315" s="10" t="s">
        <v>4126</v>
      </c>
      <c r="AL1315" s="10" t="s">
        <v>49</v>
      </c>
      <c r="AM1315" s="16" t="s">
        <v>45</v>
      </c>
      <c r="AN1315" s="10" t="s">
        <v>320</v>
      </c>
    </row>
    <row r="1316" ht="30.0" customHeight="1">
      <c r="A1316" s="9" t="str">
        <f t="shared" si="48"/>
        <v>Ativo</v>
      </c>
      <c r="B1316" s="9" t="str">
        <f t="shared" si="49"/>
        <v>N/I</v>
      </c>
      <c r="C1316" s="9" t="str">
        <f t="shared" si="80"/>
        <v>N/I</v>
      </c>
      <c r="D1316" s="10" t="s">
        <v>4119</v>
      </c>
      <c r="E1316" s="11" t="s">
        <v>4120</v>
      </c>
      <c r="F1316" s="32" t="s">
        <v>4134</v>
      </c>
      <c r="G1316" s="12" t="s">
        <v>55</v>
      </c>
      <c r="H1316" s="42" t="s">
        <v>4135</v>
      </c>
      <c r="I1316" s="12" t="s">
        <v>1268</v>
      </c>
      <c r="J1316" s="10" t="s">
        <v>858</v>
      </c>
      <c r="K1316" s="10" t="s">
        <v>209</v>
      </c>
      <c r="L1316" s="10" t="s">
        <v>4</v>
      </c>
      <c r="M1316" s="22">
        <v>45566.0</v>
      </c>
      <c r="N1316" s="11" t="s">
        <v>1269</v>
      </c>
      <c r="O1316" s="10" t="s">
        <v>1270</v>
      </c>
      <c r="P1316" s="10" t="s">
        <v>4124</v>
      </c>
      <c r="Q1316" s="2"/>
      <c r="R1316" s="10">
        <v>36.0</v>
      </c>
      <c r="S1316" s="14">
        <v>45580.0</v>
      </c>
      <c r="T1316" s="14">
        <v>46674.0</v>
      </c>
      <c r="U1316" s="10">
        <f t="shared" si="110"/>
        <v>583</v>
      </c>
      <c r="V1316" s="2"/>
      <c r="W1316" s="15"/>
      <c r="X1316" s="15"/>
      <c r="Y1316" s="15"/>
      <c r="Z1316" s="15"/>
      <c r="AA1316" s="1"/>
      <c r="AB1316" s="15"/>
      <c r="AC1316" s="15"/>
      <c r="AD1316" s="15"/>
      <c r="AE1316" s="15"/>
      <c r="AF1316" s="2"/>
      <c r="AG1316" s="10" t="s">
        <v>354</v>
      </c>
      <c r="AH1316" s="12" t="s">
        <v>46</v>
      </c>
      <c r="AI1316" s="10" t="s">
        <v>226</v>
      </c>
      <c r="AJ1316" s="12" t="s">
        <v>4125</v>
      </c>
      <c r="AK1316" s="10" t="s">
        <v>4126</v>
      </c>
      <c r="AL1316" s="10" t="s">
        <v>49</v>
      </c>
      <c r="AM1316" s="16" t="s">
        <v>45</v>
      </c>
      <c r="AN1316" s="10" t="s">
        <v>320</v>
      </c>
    </row>
    <row r="1317" ht="30.0" customHeight="1">
      <c r="A1317" s="9" t="str">
        <f t="shared" si="48"/>
        <v>Ativo</v>
      </c>
      <c r="B1317" s="9" t="str">
        <f t="shared" si="49"/>
        <v>N/I</v>
      </c>
      <c r="C1317" s="9" t="str">
        <f t="shared" si="80"/>
        <v>N/I</v>
      </c>
      <c r="D1317" s="10" t="s">
        <v>4119</v>
      </c>
      <c r="E1317" s="11" t="s">
        <v>4120</v>
      </c>
      <c r="F1317" s="32" t="s">
        <v>4134</v>
      </c>
      <c r="G1317" s="12" t="s">
        <v>55</v>
      </c>
      <c r="H1317" s="42" t="s">
        <v>4136</v>
      </c>
      <c r="I1317" s="12" t="s">
        <v>1268</v>
      </c>
      <c r="J1317" s="10" t="s">
        <v>858</v>
      </c>
      <c r="K1317" s="10" t="s">
        <v>209</v>
      </c>
      <c r="L1317" s="10" t="s">
        <v>4</v>
      </c>
      <c r="M1317" s="22">
        <v>45566.0</v>
      </c>
      <c r="N1317" s="11" t="s">
        <v>1269</v>
      </c>
      <c r="O1317" s="10" t="s">
        <v>1270</v>
      </c>
      <c r="P1317" s="10" t="s">
        <v>4124</v>
      </c>
      <c r="Q1317" s="2"/>
      <c r="R1317" s="10">
        <v>36.0</v>
      </c>
      <c r="S1317" s="14">
        <v>45580.0</v>
      </c>
      <c r="T1317" s="14">
        <v>46674.0</v>
      </c>
      <c r="U1317" s="10">
        <f t="shared" si="110"/>
        <v>583</v>
      </c>
      <c r="V1317" s="2"/>
      <c r="W1317" s="15"/>
      <c r="X1317" s="15"/>
      <c r="Y1317" s="15"/>
      <c r="Z1317" s="15"/>
      <c r="AA1317" s="1"/>
      <c r="AB1317" s="15"/>
      <c r="AC1317" s="15"/>
      <c r="AD1317" s="15"/>
      <c r="AE1317" s="15"/>
      <c r="AF1317" s="2"/>
      <c r="AG1317" s="10" t="s">
        <v>354</v>
      </c>
      <c r="AH1317" s="12" t="s">
        <v>46</v>
      </c>
      <c r="AI1317" s="10" t="s">
        <v>226</v>
      </c>
      <c r="AJ1317" s="12" t="s">
        <v>4125</v>
      </c>
      <c r="AK1317" s="10" t="s">
        <v>4126</v>
      </c>
      <c r="AL1317" s="10" t="s">
        <v>49</v>
      </c>
      <c r="AM1317" s="16" t="s">
        <v>45</v>
      </c>
      <c r="AN1317" s="10" t="s">
        <v>320</v>
      </c>
    </row>
    <row r="1318" ht="30.0" customHeight="1">
      <c r="A1318" s="9" t="str">
        <f t="shared" si="48"/>
        <v>Ativo</v>
      </c>
      <c r="B1318" s="9" t="str">
        <f t="shared" si="49"/>
        <v>N/I</v>
      </c>
      <c r="C1318" s="9" t="str">
        <f t="shared" si="80"/>
        <v>N/I</v>
      </c>
      <c r="D1318" s="10" t="s">
        <v>4119</v>
      </c>
      <c r="E1318" s="11" t="s">
        <v>4120</v>
      </c>
      <c r="F1318" s="32" t="s">
        <v>4137</v>
      </c>
      <c r="G1318" s="12" t="s">
        <v>55</v>
      </c>
      <c r="H1318" s="42" t="s">
        <v>4138</v>
      </c>
      <c r="I1318" s="12" t="s">
        <v>869</v>
      </c>
      <c r="J1318" s="10" t="s">
        <v>870</v>
      </c>
      <c r="K1318" s="10" t="s">
        <v>209</v>
      </c>
      <c r="L1318" s="10" t="s">
        <v>4</v>
      </c>
      <c r="M1318" s="22">
        <v>45566.0</v>
      </c>
      <c r="N1318" s="11" t="s">
        <v>4139</v>
      </c>
      <c r="O1318" s="10" t="s">
        <v>1352</v>
      </c>
      <c r="P1318" s="10" t="s">
        <v>4124</v>
      </c>
      <c r="Q1318" s="2"/>
      <c r="R1318" s="10">
        <v>36.0</v>
      </c>
      <c r="S1318" s="14">
        <v>45587.0</v>
      </c>
      <c r="T1318" s="14">
        <v>46681.0</v>
      </c>
      <c r="U1318" s="10">
        <f t="shared" si="110"/>
        <v>590</v>
      </c>
      <c r="V1318" s="2"/>
      <c r="W1318" s="15"/>
      <c r="X1318" s="15"/>
      <c r="Y1318" s="15"/>
      <c r="Z1318" s="15"/>
      <c r="AA1318" s="1"/>
      <c r="AB1318" s="15"/>
      <c r="AC1318" s="15"/>
      <c r="AD1318" s="15"/>
      <c r="AE1318" s="15"/>
      <c r="AF1318" s="2"/>
      <c r="AG1318" s="10" t="s">
        <v>354</v>
      </c>
      <c r="AH1318" s="12" t="s">
        <v>46</v>
      </c>
      <c r="AI1318" s="10" t="s">
        <v>226</v>
      </c>
      <c r="AJ1318" s="12" t="s">
        <v>4125</v>
      </c>
      <c r="AK1318" s="10" t="s">
        <v>4126</v>
      </c>
      <c r="AL1318" s="10" t="s">
        <v>49</v>
      </c>
      <c r="AM1318" s="16" t="s">
        <v>45</v>
      </c>
      <c r="AN1318" s="10" t="s">
        <v>320</v>
      </c>
    </row>
    <row r="1319" ht="30.0" customHeight="1">
      <c r="A1319" s="9" t="str">
        <f t="shared" si="48"/>
        <v>Ativo</v>
      </c>
      <c r="B1319" s="9" t="str">
        <f t="shared" si="49"/>
        <v>N/I</v>
      </c>
      <c r="C1319" s="9" t="str">
        <f t="shared" si="80"/>
        <v>N/I</v>
      </c>
      <c r="D1319" s="10" t="s">
        <v>4119</v>
      </c>
      <c r="E1319" s="11" t="s">
        <v>4120</v>
      </c>
      <c r="F1319" s="32" t="s">
        <v>4137</v>
      </c>
      <c r="G1319" s="12" t="s">
        <v>55</v>
      </c>
      <c r="H1319" s="42" t="s">
        <v>4140</v>
      </c>
      <c r="I1319" s="12" t="s">
        <v>869</v>
      </c>
      <c r="J1319" s="10" t="s">
        <v>870</v>
      </c>
      <c r="K1319" s="10" t="s">
        <v>209</v>
      </c>
      <c r="L1319" s="10" t="s">
        <v>4</v>
      </c>
      <c r="M1319" s="22">
        <v>45566.0</v>
      </c>
      <c r="N1319" s="11" t="s">
        <v>4139</v>
      </c>
      <c r="O1319" s="10" t="s">
        <v>1352</v>
      </c>
      <c r="P1319" s="10" t="s">
        <v>4124</v>
      </c>
      <c r="Q1319" s="2"/>
      <c r="R1319" s="10">
        <v>36.0</v>
      </c>
      <c r="S1319" s="14">
        <v>45587.0</v>
      </c>
      <c r="T1319" s="14">
        <v>46681.0</v>
      </c>
      <c r="U1319" s="10">
        <f t="shared" si="110"/>
        <v>590</v>
      </c>
      <c r="V1319" s="2"/>
      <c r="W1319" s="15"/>
      <c r="X1319" s="15"/>
      <c r="Y1319" s="15"/>
      <c r="Z1319" s="15"/>
      <c r="AA1319" s="1"/>
      <c r="AB1319" s="15"/>
      <c r="AC1319" s="15"/>
      <c r="AD1319" s="15"/>
      <c r="AE1319" s="15"/>
      <c r="AF1319" s="2"/>
      <c r="AG1319" s="10" t="s">
        <v>354</v>
      </c>
      <c r="AH1319" s="12" t="s">
        <v>46</v>
      </c>
      <c r="AI1319" s="10" t="s">
        <v>226</v>
      </c>
      <c r="AJ1319" s="12" t="s">
        <v>4125</v>
      </c>
      <c r="AK1319" s="10" t="s">
        <v>4126</v>
      </c>
      <c r="AL1319" s="10" t="s">
        <v>49</v>
      </c>
      <c r="AM1319" s="16" t="s">
        <v>45</v>
      </c>
      <c r="AN1319" s="10" t="s">
        <v>320</v>
      </c>
    </row>
    <row r="1320" ht="30.0" customHeight="1">
      <c r="A1320" s="9" t="str">
        <f t="shared" si="48"/>
        <v>Inativo</v>
      </c>
      <c r="B1320" s="9" t="str">
        <f t="shared" si="49"/>
        <v>N/I</v>
      </c>
      <c r="C1320" s="9" t="str">
        <f t="shared" si="80"/>
        <v>N/I</v>
      </c>
      <c r="D1320" s="10" t="s">
        <v>4141</v>
      </c>
      <c r="E1320" s="11" t="s">
        <v>4142</v>
      </c>
      <c r="F1320" s="32"/>
      <c r="G1320" s="12" t="s">
        <v>94</v>
      </c>
      <c r="H1320" s="20" t="s">
        <v>4143</v>
      </c>
      <c r="I1320" s="12" t="s">
        <v>463</v>
      </c>
      <c r="J1320" s="10" t="s">
        <v>222</v>
      </c>
      <c r="K1320" s="10" t="s">
        <v>40</v>
      </c>
      <c r="L1320" s="10" t="s">
        <v>4</v>
      </c>
      <c r="M1320" s="14">
        <v>44833.0</v>
      </c>
      <c r="N1320" s="11" t="s">
        <v>4144</v>
      </c>
      <c r="O1320" s="10" t="s">
        <v>4145</v>
      </c>
      <c r="P1320" s="10" t="s">
        <v>4146</v>
      </c>
      <c r="Q1320" s="2"/>
      <c r="R1320" s="10">
        <v>12.0</v>
      </c>
      <c r="S1320" s="14">
        <v>44833.0</v>
      </c>
      <c r="T1320" s="14">
        <v>45198.0</v>
      </c>
      <c r="U1320" s="10">
        <f t="shared" si="110"/>
        <v>-893</v>
      </c>
      <c r="V1320" s="2"/>
      <c r="W1320" s="15"/>
      <c r="X1320" s="15"/>
      <c r="Y1320" s="15"/>
      <c r="Z1320" s="15"/>
      <c r="AA1320" s="1"/>
      <c r="AB1320" s="15"/>
      <c r="AC1320" s="15"/>
      <c r="AD1320" s="15"/>
      <c r="AE1320" s="15"/>
      <c r="AF1320" s="2"/>
      <c r="AG1320" s="16" t="s">
        <v>45</v>
      </c>
      <c r="AH1320" s="16" t="s">
        <v>45</v>
      </c>
      <c r="AI1320" s="16" t="s">
        <v>45</v>
      </c>
      <c r="AJ1320" s="16" t="s">
        <v>45</v>
      </c>
      <c r="AK1320" s="16" t="s">
        <v>45</v>
      </c>
      <c r="AL1320" s="10" t="s">
        <v>49</v>
      </c>
      <c r="AM1320" s="16" t="s">
        <v>45</v>
      </c>
      <c r="AN1320" s="10" t="s">
        <v>50</v>
      </c>
    </row>
    <row r="1321" ht="30.0" customHeight="1">
      <c r="A1321" s="9" t="str">
        <f t="shared" si="48"/>
        <v>Inativo</v>
      </c>
      <c r="B1321" s="9" t="str">
        <f t="shared" si="49"/>
        <v>N/I</v>
      </c>
      <c r="C1321" s="9" t="str">
        <f t="shared" si="80"/>
        <v>N/I</v>
      </c>
      <c r="D1321" s="10" t="s">
        <v>4141</v>
      </c>
      <c r="E1321" s="11" t="s">
        <v>4142</v>
      </c>
      <c r="F1321" s="32"/>
      <c r="G1321" s="12" t="s">
        <v>94</v>
      </c>
      <c r="H1321" s="20" t="s">
        <v>4147</v>
      </c>
      <c r="I1321" s="12" t="s">
        <v>463</v>
      </c>
      <c r="J1321" s="10" t="s">
        <v>222</v>
      </c>
      <c r="K1321" s="10" t="s">
        <v>40</v>
      </c>
      <c r="L1321" s="10" t="s">
        <v>4</v>
      </c>
      <c r="M1321" s="14">
        <v>44833.0</v>
      </c>
      <c r="N1321" s="11" t="s">
        <v>4144</v>
      </c>
      <c r="O1321" s="10" t="s">
        <v>4145</v>
      </c>
      <c r="P1321" s="10" t="s">
        <v>4146</v>
      </c>
      <c r="Q1321" s="2"/>
      <c r="R1321" s="10">
        <v>12.0</v>
      </c>
      <c r="S1321" s="14">
        <v>44833.0</v>
      </c>
      <c r="T1321" s="14">
        <v>45198.0</v>
      </c>
      <c r="U1321" s="10">
        <f t="shared" si="110"/>
        <v>-893</v>
      </c>
      <c r="V1321" s="2"/>
      <c r="W1321" s="15"/>
      <c r="X1321" s="15"/>
      <c r="Y1321" s="15"/>
      <c r="Z1321" s="15"/>
      <c r="AA1321" s="1"/>
      <c r="AB1321" s="15"/>
      <c r="AC1321" s="15"/>
      <c r="AD1321" s="15"/>
      <c r="AE1321" s="15"/>
      <c r="AF1321" s="2"/>
      <c r="AG1321" s="16" t="s">
        <v>45</v>
      </c>
      <c r="AH1321" s="16" t="s">
        <v>45</v>
      </c>
      <c r="AI1321" s="16" t="s">
        <v>45</v>
      </c>
      <c r="AJ1321" s="16" t="s">
        <v>45</v>
      </c>
      <c r="AK1321" s="16" t="s">
        <v>45</v>
      </c>
      <c r="AL1321" s="10" t="s">
        <v>49</v>
      </c>
      <c r="AM1321" s="16" t="s">
        <v>45</v>
      </c>
      <c r="AN1321" s="10" t="s">
        <v>50</v>
      </c>
    </row>
    <row r="1322" ht="30.0" customHeight="1">
      <c r="A1322" s="9" t="str">
        <f t="shared" si="48"/>
        <v>N/I</v>
      </c>
      <c r="B1322" s="9" t="str">
        <f t="shared" si="49"/>
        <v>N/I</v>
      </c>
      <c r="C1322" s="9" t="str">
        <f t="shared" si="80"/>
        <v>Ativo</v>
      </c>
      <c r="D1322" s="10" t="s">
        <v>4148</v>
      </c>
      <c r="E1322" s="11" t="s">
        <v>4149</v>
      </c>
      <c r="F1322" s="32" t="s">
        <v>4150</v>
      </c>
      <c r="G1322" s="12" t="s">
        <v>502</v>
      </c>
      <c r="H1322" s="16" t="s">
        <v>4151</v>
      </c>
      <c r="I1322" s="12" t="s">
        <v>246</v>
      </c>
      <c r="J1322" s="10" t="s">
        <v>247</v>
      </c>
      <c r="K1322" s="10" t="s">
        <v>190</v>
      </c>
      <c r="L1322" s="10" t="s">
        <v>6</v>
      </c>
      <c r="M1322" s="22">
        <v>43749.0</v>
      </c>
      <c r="N1322" s="11" t="s">
        <v>1017</v>
      </c>
      <c r="O1322" s="10" t="s">
        <v>1018</v>
      </c>
      <c r="P1322" s="10" t="s">
        <v>4152</v>
      </c>
      <c r="Q1322" s="2"/>
      <c r="R1322" s="15"/>
      <c r="S1322" s="15"/>
      <c r="T1322" s="15"/>
      <c r="U1322" s="15"/>
      <c r="V1322" s="2"/>
      <c r="W1322" s="15"/>
      <c r="X1322" s="15"/>
      <c r="Y1322" s="15"/>
      <c r="Z1322" s="15"/>
      <c r="AA1322" s="1"/>
      <c r="AB1322" s="10">
        <v>12.0</v>
      </c>
      <c r="AC1322" s="14">
        <v>45893.0</v>
      </c>
      <c r="AD1322" s="14">
        <v>46258.0</v>
      </c>
      <c r="AE1322" s="10">
        <f t="shared" ref="AE1322:AE1333" si="111">AD1322-TODAY()</f>
        <v>167</v>
      </c>
      <c r="AF1322" s="2"/>
      <c r="AG1322" s="10" t="s">
        <v>680</v>
      </c>
      <c r="AH1322" s="12" t="s">
        <v>46</v>
      </c>
      <c r="AI1322" s="10" t="s">
        <v>4153</v>
      </c>
      <c r="AJ1322" s="10" t="s">
        <v>227</v>
      </c>
      <c r="AK1322" s="16" t="s">
        <v>45</v>
      </c>
      <c r="AL1322" s="10" t="s">
        <v>49</v>
      </c>
      <c r="AM1322" s="10" t="s">
        <v>291</v>
      </c>
      <c r="AN1322" s="10" t="s">
        <v>50</v>
      </c>
    </row>
    <row r="1323" ht="30.0" customHeight="1">
      <c r="A1323" s="9" t="str">
        <f t="shared" si="48"/>
        <v>N/I</v>
      </c>
      <c r="B1323" s="9" t="str">
        <f t="shared" si="49"/>
        <v>N/I</v>
      </c>
      <c r="C1323" s="9" t="str">
        <f t="shared" si="80"/>
        <v>Ativo</v>
      </c>
      <c r="D1323" s="10" t="s">
        <v>4148</v>
      </c>
      <c r="E1323" s="11" t="s">
        <v>4149</v>
      </c>
      <c r="F1323" s="32" t="s">
        <v>4150</v>
      </c>
      <c r="G1323" s="12" t="s">
        <v>502</v>
      </c>
      <c r="H1323" s="16" t="s">
        <v>4154</v>
      </c>
      <c r="I1323" s="12" t="s">
        <v>246</v>
      </c>
      <c r="J1323" s="10" t="s">
        <v>247</v>
      </c>
      <c r="K1323" s="10" t="s">
        <v>190</v>
      </c>
      <c r="L1323" s="10" t="s">
        <v>6</v>
      </c>
      <c r="M1323" s="22">
        <v>43749.0</v>
      </c>
      <c r="N1323" s="11" t="s">
        <v>1017</v>
      </c>
      <c r="O1323" s="10" t="s">
        <v>1018</v>
      </c>
      <c r="P1323" s="10" t="s">
        <v>4152</v>
      </c>
      <c r="Q1323" s="2"/>
      <c r="R1323" s="15"/>
      <c r="S1323" s="15"/>
      <c r="T1323" s="15"/>
      <c r="U1323" s="15"/>
      <c r="V1323" s="2"/>
      <c r="W1323" s="15"/>
      <c r="X1323" s="15"/>
      <c r="Y1323" s="15"/>
      <c r="Z1323" s="15"/>
      <c r="AA1323" s="1"/>
      <c r="AB1323" s="10">
        <v>12.0</v>
      </c>
      <c r="AC1323" s="14">
        <v>45893.0</v>
      </c>
      <c r="AD1323" s="14">
        <v>46258.0</v>
      </c>
      <c r="AE1323" s="10">
        <f t="shared" si="111"/>
        <v>167</v>
      </c>
      <c r="AF1323" s="2"/>
      <c r="AG1323" s="10" t="s">
        <v>680</v>
      </c>
      <c r="AH1323" s="12" t="s">
        <v>46</v>
      </c>
      <c r="AI1323" s="10" t="s">
        <v>4153</v>
      </c>
      <c r="AJ1323" s="10" t="s">
        <v>227</v>
      </c>
      <c r="AK1323" s="16" t="s">
        <v>45</v>
      </c>
      <c r="AL1323" s="10" t="s">
        <v>49</v>
      </c>
      <c r="AM1323" s="10" t="s">
        <v>291</v>
      </c>
      <c r="AN1323" s="10" t="s">
        <v>50</v>
      </c>
    </row>
    <row r="1324" ht="30.0" customHeight="1">
      <c r="A1324" s="9" t="str">
        <f t="shared" si="48"/>
        <v>N/I</v>
      </c>
      <c r="B1324" s="9" t="str">
        <f t="shared" si="49"/>
        <v>N/I</v>
      </c>
      <c r="C1324" s="9" t="str">
        <f t="shared" si="80"/>
        <v>Inativo</v>
      </c>
      <c r="D1324" s="10" t="s">
        <v>4148</v>
      </c>
      <c r="E1324" s="11" t="s">
        <v>4149</v>
      </c>
      <c r="F1324" s="32" t="s">
        <v>4150</v>
      </c>
      <c r="G1324" s="12" t="s">
        <v>502</v>
      </c>
      <c r="H1324" s="16" t="s">
        <v>4155</v>
      </c>
      <c r="I1324" s="12" t="s">
        <v>246</v>
      </c>
      <c r="J1324" s="10" t="s">
        <v>247</v>
      </c>
      <c r="K1324" s="10" t="s">
        <v>190</v>
      </c>
      <c r="L1324" s="10" t="s">
        <v>6</v>
      </c>
      <c r="M1324" s="22">
        <v>43749.0</v>
      </c>
      <c r="N1324" s="11" t="s">
        <v>1017</v>
      </c>
      <c r="O1324" s="10" t="s">
        <v>1018</v>
      </c>
      <c r="P1324" s="10" t="s">
        <v>4156</v>
      </c>
      <c r="Q1324" s="2"/>
      <c r="R1324" s="15"/>
      <c r="S1324" s="15"/>
      <c r="T1324" s="15"/>
      <c r="U1324" s="15"/>
      <c r="V1324" s="2"/>
      <c r="W1324" s="15"/>
      <c r="X1324" s="15"/>
      <c r="Y1324" s="15"/>
      <c r="Z1324" s="15"/>
      <c r="AA1324" s="1"/>
      <c r="AB1324" s="10">
        <v>12.0</v>
      </c>
      <c r="AC1324" s="14">
        <v>45527.0</v>
      </c>
      <c r="AD1324" s="14">
        <v>45892.0</v>
      </c>
      <c r="AE1324" s="10">
        <f t="shared" si="111"/>
        <v>-199</v>
      </c>
      <c r="AF1324" s="2"/>
      <c r="AG1324" s="10" t="s">
        <v>680</v>
      </c>
      <c r="AH1324" s="12" t="s">
        <v>46</v>
      </c>
      <c r="AI1324" s="10" t="s">
        <v>4153</v>
      </c>
      <c r="AJ1324" s="10" t="s">
        <v>227</v>
      </c>
      <c r="AK1324" s="16" t="s">
        <v>45</v>
      </c>
      <c r="AL1324" s="10" t="s">
        <v>49</v>
      </c>
      <c r="AM1324" s="10" t="s">
        <v>291</v>
      </c>
      <c r="AN1324" s="10" t="s">
        <v>50</v>
      </c>
    </row>
    <row r="1325" ht="30.0" customHeight="1">
      <c r="A1325" s="9" t="str">
        <f t="shared" si="48"/>
        <v>N/I</v>
      </c>
      <c r="B1325" s="9" t="str">
        <f t="shared" si="49"/>
        <v>N/I</v>
      </c>
      <c r="C1325" s="9" t="str">
        <f t="shared" si="80"/>
        <v>Ativo</v>
      </c>
      <c r="D1325" s="10" t="s">
        <v>4148</v>
      </c>
      <c r="E1325" s="11" t="s">
        <v>4149</v>
      </c>
      <c r="F1325" s="32" t="s">
        <v>4157</v>
      </c>
      <c r="G1325" s="12" t="s">
        <v>502</v>
      </c>
      <c r="H1325" s="16" t="s">
        <v>4158</v>
      </c>
      <c r="I1325" s="12" t="s">
        <v>246</v>
      </c>
      <c r="J1325" s="10" t="s">
        <v>247</v>
      </c>
      <c r="K1325" s="10" t="s">
        <v>190</v>
      </c>
      <c r="L1325" s="10" t="s">
        <v>6</v>
      </c>
      <c r="M1325" s="22">
        <v>43750.0</v>
      </c>
      <c r="N1325" s="11" t="s">
        <v>4159</v>
      </c>
      <c r="O1325" s="10" t="s">
        <v>4160</v>
      </c>
      <c r="P1325" s="10" t="s">
        <v>4156</v>
      </c>
      <c r="Q1325" s="2"/>
      <c r="R1325" s="15"/>
      <c r="S1325" s="15"/>
      <c r="T1325" s="15"/>
      <c r="U1325" s="15"/>
      <c r="V1325" s="2"/>
      <c r="W1325" s="15"/>
      <c r="X1325" s="15"/>
      <c r="Y1325" s="15"/>
      <c r="Z1325" s="15"/>
      <c r="AA1325" s="1"/>
      <c r="AB1325" s="10">
        <v>12.0</v>
      </c>
      <c r="AC1325" s="14">
        <v>45893.0</v>
      </c>
      <c r="AD1325" s="14">
        <v>46258.0</v>
      </c>
      <c r="AE1325" s="10">
        <f t="shared" si="111"/>
        <v>167</v>
      </c>
      <c r="AF1325" s="2"/>
      <c r="AG1325" s="10" t="s">
        <v>680</v>
      </c>
      <c r="AH1325" s="12" t="s">
        <v>46</v>
      </c>
      <c r="AI1325" s="10" t="s">
        <v>4153</v>
      </c>
      <c r="AJ1325" s="10" t="s">
        <v>227</v>
      </c>
      <c r="AK1325" s="16" t="s">
        <v>45</v>
      </c>
      <c r="AL1325" s="10" t="s">
        <v>49</v>
      </c>
      <c r="AM1325" s="10" t="s">
        <v>291</v>
      </c>
      <c r="AN1325" s="10" t="s">
        <v>50</v>
      </c>
    </row>
    <row r="1326" ht="30.0" customHeight="1">
      <c r="A1326" s="9" t="str">
        <f t="shared" si="48"/>
        <v>N/I</v>
      </c>
      <c r="B1326" s="9" t="str">
        <f t="shared" si="49"/>
        <v>N/I</v>
      </c>
      <c r="C1326" s="9" t="str">
        <f t="shared" si="80"/>
        <v>Inativo</v>
      </c>
      <c r="D1326" s="10" t="s">
        <v>4148</v>
      </c>
      <c r="E1326" s="11" t="s">
        <v>4149</v>
      </c>
      <c r="F1326" s="32" t="s">
        <v>4157</v>
      </c>
      <c r="G1326" s="12" t="s">
        <v>502</v>
      </c>
      <c r="H1326" s="16" t="s">
        <v>4161</v>
      </c>
      <c r="I1326" s="12" t="s">
        <v>246</v>
      </c>
      <c r="J1326" s="10" t="s">
        <v>247</v>
      </c>
      <c r="K1326" s="10" t="s">
        <v>190</v>
      </c>
      <c r="L1326" s="10" t="s">
        <v>6</v>
      </c>
      <c r="M1326" s="22">
        <v>43750.0</v>
      </c>
      <c r="N1326" s="11" t="s">
        <v>4159</v>
      </c>
      <c r="O1326" s="10" t="s">
        <v>4160</v>
      </c>
      <c r="P1326" s="10" t="s">
        <v>4156</v>
      </c>
      <c r="Q1326" s="2"/>
      <c r="R1326" s="15"/>
      <c r="S1326" s="15"/>
      <c r="T1326" s="15"/>
      <c r="U1326" s="15"/>
      <c r="V1326" s="2"/>
      <c r="W1326" s="15"/>
      <c r="X1326" s="15"/>
      <c r="Y1326" s="15"/>
      <c r="Z1326" s="15"/>
      <c r="AA1326" s="1"/>
      <c r="AB1326" s="10">
        <v>12.0</v>
      </c>
      <c r="AC1326" s="14">
        <v>45527.0</v>
      </c>
      <c r="AD1326" s="14">
        <v>45892.0</v>
      </c>
      <c r="AE1326" s="10">
        <f t="shared" si="111"/>
        <v>-199</v>
      </c>
      <c r="AF1326" s="2"/>
      <c r="AG1326" s="10" t="s">
        <v>680</v>
      </c>
      <c r="AH1326" s="12" t="s">
        <v>46</v>
      </c>
      <c r="AI1326" s="10" t="s">
        <v>4153</v>
      </c>
      <c r="AJ1326" s="10" t="s">
        <v>227</v>
      </c>
      <c r="AK1326" s="16" t="s">
        <v>45</v>
      </c>
      <c r="AL1326" s="10" t="s">
        <v>49</v>
      </c>
      <c r="AM1326" s="10" t="s">
        <v>291</v>
      </c>
      <c r="AN1326" s="10" t="s">
        <v>50</v>
      </c>
    </row>
    <row r="1327" ht="30.0" customHeight="1">
      <c r="A1327" s="9" t="str">
        <f t="shared" si="48"/>
        <v>N/I</v>
      </c>
      <c r="B1327" s="9" t="str">
        <f t="shared" si="49"/>
        <v>N/I</v>
      </c>
      <c r="C1327" s="9" t="str">
        <f t="shared" si="80"/>
        <v>Ativo</v>
      </c>
      <c r="D1327" s="10" t="s">
        <v>4148</v>
      </c>
      <c r="E1327" s="11" t="s">
        <v>4149</v>
      </c>
      <c r="F1327" s="32" t="s">
        <v>4157</v>
      </c>
      <c r="G1327" s="12" t="s">
        <v>502</v>
      </c>
      <c r="H1327" s="16" t="s">
        <v>4162</v>
      </c>
      <c r="I1327" s="12" t="s">
        <v>246</v>
      </c>
      <c r="J1327" s="10" t="s">
        <v>247</v>
      </c>
      <c r="K1327" s="10" t="s">
        <v>190</v>
      </c>
      <c r="L1327" s="10" t="s">
        <v>6</v>
      </c>
      <c r="M1327" s="22">
        <v>43756.0</v>
      </c>
      <c r="N1327" s="11" t="s">
        <v>4159</v>
      </c>
      <c r="O1327" s="10" t="s">
        <v>4160</v>
      </c>
      <c r="P1327" s="10" t="s">
        <v>4156</v>
      </c>
      <c r="Q1327" s="2"/>
      <c r="R1327" s="15"/>
      <c r="S1327" s="15"/>
      <c r="T1327" s="15"/>
      <c r="U1327" s="15"/>
      <c r="V1327" s="2"/>
      <c r="W1327" s="15"/>
      <c r="X1327" s="15"/>
      <c r="Y1327" s="15"/>
      <c r="Z1327" s="15"/>
      <c r="AA1327" s="1"/>
      <c r="AB1327" s="10">
        <v>12.0</v>
      </c>
      <c r="AC1327" s="14">
        <v>45893.0</v>
      </c>
      <c r="AD1327" s="14">
        <v>46258.0</v>
      </c>
      <c r="AE1327" s="10">
        <f t="shared" si="111"/>
        <v>167</v>
      </c>
      <c r="AF1327" s="2"/>
      <c r="AG1327" s="10" t="s">
        <v>680</v>
      </c>
      <c r="AH1327" s="12" t="s">
        <v>46</v>
      </c>
      <c r="AI1327" s="10" t="s">
        <v>4153</v>
      </c>
      <c r="AJ1327" s="10" t="s">
        <v>227</v>
      </c>
      <c r="AK1327" s="16" t="s">
        <v>45</v>
      </c>
      <c r="AL1327" s="10" t="s">
        <v>49</v>
      </c>
      <c r="AM1327" s="10" t="s">
        <v>291</v>
      </c>
      <c r="AN1327" s="10" t="s">
        <v>50</v>
      </c>
    </row>
    <row r="1328" ht="30.0" customHeight="1">
      <c r="A1328" s="9" t="str">
        <f t="shared" si="48"/>
        <v>N/I</v>
      </c>
      <c r="B1328" s="9" t="str">
        <f t="shared" si="49"/>
        <v>N/I</v>
      </c>
      <c r="C1328" s="9" t="str">
        <f t="shared" si="80"/>
        <v>Ativo</v>
      </c>
      <c r="D1328" s="10" t="s">
        <v>4148</v>
      </c>
      <c r="E1328" s="11" t="s">
        <v>4149</v>
      </c>
      <c r="F1328" s="32" t="s">
        <v>4157</v>
      </c>
      <c r="G1328" s="12" t="s">
        <v>502</v>
      </c>
      <c r="H1328" s="16" t="s">
        <v>4163</v>
      </c>
      <c r="I1328" s="12" t="s">
        <v>246</v>
      </c>
      <c r="J1328" s="10" t="s">
        <v>247</v>
      </c>
      <c r="K1328" s="10" t="s">
        <v>190</v>
      </c>
      <c r="L1328" s="10" t="s">
        <v>6</v>
      </c>
      <c r="M1328" s="22">
        <v>43759.0</v>
      </c>
      <c r="N1328" s="11" t="s">
        <v>4159</v>
      </c>
      <c r="O1328" s="10" t="s">
        <v>4160</v>
      </c>
      <c r="P1328" s="10" t="s">
        <v>4156</v>
      </c>
      <c r="Q1328" s="2"/>
      <c r="R1328" s="15"/>
      <c r="S1328" s="15"/>
      <c r="T1328" s="15"/>
      <c r="U1328" s="15"/>
      <c r="V1328" s="2"/>
      <c r="W1328" s="15"/>
      <c r="X1328" s="15"/>
      <c r="Y1328" s="15"/>
      <c r="Z1328" s="15"/>
      <c r="AA1328" s="1"/>
      <c r="AB1328" s="10">
        <v>12.0</v>
      </c>
      <c r="AC1328" s="14">
        <v>45893.0</v>
      </c>
      <c r="AD1328" s="14">
        <v>46258.0</v>
      </c>
      <c r="AE1328" s="10">
        <f t="shared" si="111"/>
        <v>167</v>
      </c>
      <c r="AF1328" s="2"/>
      <c r="AG1328" s="10" t="s">
        <v>680</v>
      </c>
      <c r="AH1328" s="12" t="s">
        <v>46</v>
      </c>
      <c r="AI1328" s="10" t="s">
        <v>4153</v>
      </c>
      <c r="AJ1328" s="10" t="s">
        <v>227</v>
      </c>
      <c r="AK1328" s="16" t="s">
        <v>45</v>
      </c>
      <c r="AL1328" s="10" t="s">
        <v>49</v>
      </c>
      <c r="AM1328" s="10" t="s">
        <v>291</v>
      </c>
      <c r="AN1328" s="10" t="s">
        <v>50</v>
      </c>
    </row>
    <row r="1329" ht="30.0" customHeight="1">
      <c r="A1329" s="9" t="str">
        <f t="shared" si="48"/>
        <v>N/I</v>
      </c>
      <c r="B1329" s="9" t="str">
        <f t="shared" si="49"/>
        <v>N/I</v>
      </c>
      <c r="C1329" s="9" t="str">
        <f t="shared" si="80"/>
        <v>Ativo</v>
      </c>
      <c r="D1329" s="10" t="s">
        <v>4148</v>
      </c>
      <c r="E1329" s="11" t="s">
        <v>4149</v>
      </c>
      <c r="F1329" s="32" t="s">
        <v>4164</v>
      </c>
      <c r="G1329" s="12" t="s">
        <v>502</v>
      </c>
      <c r="H1329" s="16" t="s">
        <v>4165</v>
      </c>
      <c r="I1329" s="12" t="s">
        <v>246</v>
      </c>
      <c r="J1329" s="10" t="s">
        <v>247</v>
      </c>
      <c r="K1329" s="10" t="s">
        <v>190</v>
      </c>
      <c r="L1329" s="10" t="s">
        <v>6</v>
      </c>
      <c r="M1329" s="22">
        <v>43759.0</v>
      </c>
      <c r="N1329" s="11" t="s">
        <v>1017</v>
      </c>
      <c r="O1329" s="10" t="s">
        <v>1018</v>
      </c>
      <c r="P1329" s="10" t="s">
        <v>4156</v>
      </c>
      <c r="Q1329" s="2"/>
      <c r="R1329" s="15"/>
      <c r="S1329" s="15"/>
      <c r="T1329" s="15"/>
      <c r="U1329" s="15"/>
      <c r="V1329" s="2"/>
      <c r="W1329" s="15"/>
      <c r="X1329" s="15"/>
      <c r="Y1329" s="15"/>
      <c r="Z1329" s="15"/>
      <c r="AA1329" s="1"/>
      <c r="AB1329" s="10">
        <v>12.0</v>
      </c>
      <c r="AC1329" s="14">
        <v>45893.0</v>
      </c>
      <c r="AD1329" s="14">
        <v>46258.0</v>
      </c>
      <c r="AE1329" s="10">
        <f t="shared" si="111"/>
        <v>167</v>
      </c>
      <c r="AF1329" s="2"/>
      <c r="AG1329" s="10" t="s">
        <v>680</v>
      </c>
      <c r="AH1329" s="12" t="s">
        <v>46</v>
      </c>
      <c r="AI1329" s="10" t="s">
        <v>4153</v>
      </c>
      <c r="AJ1329" s="10" t="s">
        <v>227</v>
      </c>
      <c r="AK1329" s="16" t="s">
        <v>45</v>
      </c>
      <c r="AL1329" s="10" t="s">
        <v>49</v>
      </c>
      <c r="AM1329" s="10" t="s">
        <v>291</v>
      </c>
      <c r="AN1329" s="10" t="s">
        <v>50</v>
      </c>
    </row>
    <row r="1330" ht="30.0" customHeight="1">
      <c r="A1330" s="9" t="str">
        <f t="shared" si="48"/>
        <v>N/I</v>
      </c>
      <c r="B1330" s="9" t="str">
        <f t="shared" si="49"/>
        <v>N/I</v>
      </c>
      <c r="C1330" s="9" t="str">
        <f t="shared" si="80"/>
        <v>Ativo</v>
      </c>
      <c r="D1330" s="10" t="s">
        <v>4148</v>
      </c>
      <c r="E1330" s="11" t="s">
        <v>4149</v>
      </c>
      <c r="F1330" s="32" t="s">
        <v>4157</v>
      </c>
      <c r="G1330" s="12" t="s">
        <v>502</v>
      </c>
      <c r="H1330" s="16" t="s">
        <v>4166</v>
      </c>
      <c r="I1330" s="12" t="s">
        <v>246</v>
      </c>
      <c r="J1330" s="10" t="s">
        <v>247</v>
      </c>
      <c r="K1330" s="10" t="s">
        <v>190</v>
      </c>
      <c r="L1330" s="10" t="s">
        <v>6</v>
      </c>
      <c r="M1330" s="22">
        <v>43767.0</v>
      </c>
      <c r="N1330" s="11" t="s">
        <v>4159</v>
      </c>
      <c r="O1330" s="10" t="s">
        <v>4160</v>
      </c>
      <c r="P1330" s="10" t="s">
        <v>4156</v>
      </c>
      <c r="Q1330" s="2"/>
      <c r="R1330" s="15"/>
      <c r="S1330" s="15"/>
      <c r="T1330" s="15"/>
      <c r="U1330" s="15"/>
      <c r="V1330" s="2"/>
      <c r="W1330" s="15"/>
      <c r="X1330" s="15"/>
      <c r="Y1330" s="15"/>
      <c r="Z1330" s="15"/>
      <c r="AA1330" s="1"/>
      <c r="AB1330" s="10">
        <v>12.0</v>
      </c>
      <c r="AC1330" s="14">
        <v>45893.0</v>
      </c>
      <c r="AD1330" s="14">
        <v>46258.0</v>
      </c>
      <c r="AE1330" s="10">
        <f t="shared" si="111"/>
        <v>167</v>
      </c>
      <c r="AF1330" s="2"/>
      <c r="AG1330" s="10" t="s">
        <v>680</v>
      </c>
      <c r="AH1330" s="12" t="s">
        <v>46</v>
      </c>
      <c r="AI1330" s="10" t="s">
        <v>4153</v>
      </c>
      <c r="AJ1330" s="10" t="s">
        <v>227</v>
      </c>
      <c r="AK1330" s="16" t="s">
        <v>45</v>
      </c>
      <c r="AL1330" s="10" t="s">
        <v>49</v>
      </c>
      <c r="AM1330" s="10" t="s">
        <v>291</v>
      </c>
      <c r="AN1330" s="10" t="s">
        <v>50</v>
      </c>
    </row>
    <row r="1331" ht="30.0" customHeight="1">
      <c r="A1331" s="9" t="str">
        <f t="shared" si="48"/>
        <v>N/I</v>
      </c>
      <c r="B1331" s="9" t="str">
        <f t="shared" si="49"/>
        <v>N/I</v>
      </c>
      <c r="C1331" s="9" t="str">
        <f t="shared" si="80"/>
        <v>Ativo</v>
      </c>
      <c r="D1331" s="10" t="s">
        <v>4148</v>
      </c>
      <c r="E1331" s="11" t="s">
        <v>4149</v>
      </c>
      <c r="F1331" s="32" t="s">
        <v>4164</v>
      </c>
      <c r="G1331" s="12" t="s">
        <v>502</v>
      </c>
      <c r="H1331" s="16" t="s">
        <v>4167</v>
      </c>
      <c r="I1331" s="12" t="s">
        <v>246</v>
      </c>
      <c r="J1331" s="10" t="s">
        <v>247</v>
      </c>
      <c r="K1331" s="10" t="s">
        <v>190</v>
      </c>
      <c r="L1331" s="10" t="s">
        <v>6</v>
      </c>
      <c r="M1331" s="22">
        <v>43769.0</v>
      </c>
      <c r="N1331" s="11" t="s">
        <v>1017</v>
      </c>
      <c r="O1331" s="10" t="s">
        <v>1018</v>
      </c>
      <c r="P1331" s="10" t="s">
        <v>4156</v>
      </c>
      <c r="Q1331" s="2"/>
      <c r="R1331" s="15"/>
      <c r="S1331" s="15"/>
      <c r="T1331" s="15"/>
      <c r="U1331" s="15"/>
      <c r="V1331" s="2"/>
      <c r="W1331" s="15"/>
      <c r="X1331" s="15"/>
      <c r="Y1331" s="15"/>
      <c r="Z1331" s="15"/>
      <c r="AA1331" s="1"/>
      <c r="AB1331" s="10">
        <v>12.0</v>
      </c>
      <c r="AC1331" s="14">
        <v>45893.0</v>
      </c>
      <c r="AD1331" s="14">
        <v>46258.0</v>
      </c>
      <c r="AE1331" s="10">
        <f t="shared" si="111"/>
        <v>167</v>
      </c>
      <c r="AF1331" s="2"/>
      <c r="AG1331" s="10" t="s">
        <v>680</v>
      </c>
      <c r="AH1331" s="12" t="s">
        <v>46</v>
      </c>
      <c r="AI1331" s="10" t="s">
        <v>4153</v>
      </c>
      <c r="AJ1331" s="10" t="s">
        <v>227</v>
      </c>
      <c r="AK1331" s="16" t="s">
        <v>45</v>
      </c>
      <c r="AL1331" s="10" t="s">
        <v>49</v>
      </c>
      <c r="AM1331" s="10" t="s">
        <v>291</v>
      </c>
      <c r="AN1331" s="10" t="s">
        <v>50</v>
      </c>
    </row>
    <row r="1332" ht="30.0" customHeight="1">
      <c r="A1332" s="9" t="str">
        <f t="shared" si="48"/>
        <v>N/I</v>
      </c>
      <c r="B1332" s="9" t="str">
        <f t="shared" si="49"/>
        <v>N/I</v>
      </c>
      <c r="C1332" s="9" t="str">
        <f t="shared" si="80"/>
        <v>Ativo</v>
      </c>
      <c r="D1332" s="10" t="s">
        <v>4148</v>
      </c>
      <c r="E1332" s="11" t="s">
        <v>4149</v>
      </c>
      <c r="F1332" s="32" t="s">
        <v>4150</v>
      </c>
      <c r="G1332" s="12" t="s">
        <v>502</v>
      </c>
      <c r="H1332" s="20" t="s">
        <v>4168</v>
      </c>
      <c r="I1332" s="12" t="s">
        <v>246</v>
      </c>
      <c r="J1332" s="10" t="s">
        <v>247</v>
      </c>
      <c r="K1332" s="10" t="s">
        <v>190</v>
      </c>
      <c r="L1332" s="10" t="s">
        <v>6</v>
      </c>
      <c r="M1332" s="22">
        <v>44788.0</v>
      </c>
      <c r="N1332" s="11" t="s">
        <v>4169</v>
      </c>
      <c r="O1332" s="10" t="s">
        <v>4170</v>
      </c>
      <c r="P1332" s="10" t="s">
        <v>4156</v>
      </c>
      <c r="Q1332" s="2"/>
      <c r="R1332" s="15"/>
      <c r="S1332" s="15"/>
      <c r="T1332" s="15"/>
      <c r="U1332" s="15"/>
      <c r="V1332" s="2"/>
      <c r="W1332" s="15"/>
      <c r="X1332" s="15"/>
      <c r="Y1332" s="15"/>
      <c r="Z1332" s="15"/>
      <c r="AA1332" s="1"/>
      <c r="AB1332" s="10">
        <v>12.0</v>
      </c>
      <c r="AC1332" s="14">
        <v>45893.0</v>
      </c>
      <c r="AD1332" s="14">
        <v>46258.0</v>
      </c>
      <c r="AE1332" s="10">
        <f t="shared" si="111"/>
        <v>167</v>
      </c>
      <c r="AF1332" s="2"/>
      <c r="AG1332" s="10" t="s">
        <v>680</v>
      </c>
      <c r="AH1332" s="12" t="s">
        <v>46</v>
      </c>
      <c r="AI1332" s="10" t="s">
        <v>4153</v>
      </c>
      <c r="AJ1332" s="10" t="s">
        <v>227</v>
      </c>
      <c r="AK1332" s="16" t="s">
        <v>45</v>
      </c>
      <c r="AL1332" s="10" t="s">
        <v>49</v>
      </c>
      <c r="AM1332" s="10" t="s">
        <v>291</v>
      </c>
      <c r="AN1332" s="10" t="s">
        <v>50</v>
      </c>
    </row>
    <row r="1333" ht="30.0" customHeight="1">
      <c r="A1333" s="9" t="str">
        <f t="shared" si="48"/>
        <v>N/I</v>
      </c>
      <c r="B1333" s="9" t="str">
        <f t="shared" si="49"/>
        <v>N/I</v>
      </c>
      <c r="C1333" s="9" t="str">
        <f t="shared" si="80"/>
        <v>Ativo</v>
      </c>
      <c r="D1333" s="10" t="s">
        <v>4148</v>
      </c>
      <c r="E1333" s="11" t="s">
        <v>4149</v>
      </c>
      <c r="F1333" s="32" t="s">
        <v>4150</v>
      </c>
      <c r="G1333" s="12" t="s">
        <v>502</v>
      </c>
      <c r="H1333" s="20" t="s">
        <v>4171</v>
      </c>
      <c r="I1333" s="12" t="s">
        <v>246</v>
      </c>
      <c r="J1333" s="10" t="s">
        <v>247</v>
      </c>
      <c r="K1333" s="10" t="s">
        <v>190</v>
      </c>
      <c r="L1333" s="10" t="s">
        <v>6</v>
      </c>
      <c r="M1333" s="22">
        <v>44789.0</v>
      </c>
      <c r="N1333" s="11" t="s">
        <v>1017</v>
      </c>
      <c r="O1333" s="10" t="s">
        <v>1018</v>
      </c>
      <c r="P1333" s="10" t="s">
        <v>4156</v>
      </c>
      <c r="Q1333" s="2"/>
      <c r="R1333" s="15"/>
      <c r="S1333" s="15"/>
      <c r="T1333" s="15"/>
      <c r="U1333" s="15"/>
      <c r="V1333" s="2"/>
      <c r="W1333" s="15"/>
      <c r="X1333" s="15"/>
      <c r="Y1333" s="15"/>
      <c r="Z1333" s="15"/>
      <c r="AA1333" s="1"/>
      <c r="AB1333" s="10">
        <v>12.0</v>
      </c>
      <c r="AC1333" s="14">
        <v>45893.0</v>
      </c>
      <c r="AD1333" s="14">
        <v>46258.0</v>
      </c>
      <c r="AE1333" s="10">
        <f t="shared" si="111"/>
        <v>167</v>
      </c>
      <c r="AF1333" s="2"/>
      <c r="AG1333" s="10" t="s">
        <v>680</v>
      </c>
      <c r="AH1333" s="12" t="s">
        <v>46</v>
      </c>
      <c r="AI1333" s="10" t="s">
        <v>4153</v>
      </c>
      <c r="AJ1333" s="10" t="s">
        <v>227</v>
      </c>
      <c r="AK1333" s="16" t="s">
        <v>45</v>
      </c>
      <c r="AL1333" s="10" t="s">
        <v>49</v>
      </c>
      <c r="AM1333" s="10" t="s">
        <v>291</v>
      </c>
      <c r="AN1333" s="10" t="s">
        <v>50</v>
      </c>
    </row>
    <row r="1334" ht="30.0" customHeight="1">
      <c r="A1334" s="9" t="str">
        <f t="shared" si="48"/>
        <v>Inativo</v>
      </c>
      <c r="B1334" s="9" t="str">
        <f t="shared" si="49"/>
        <v>N/I</v>
      </c>
      <c r="C1334" s="9" t="str">
        <f t="shared" si="80"/>
        <v>N/I</v>
      </c>
      <c r="D1334" s="10" t="s">
        <v>4172</v>
      </c>
      <c r="E1334" s="11" t="s">
        <v>4173</v>
      </c>
      <c r="F1334" s="32" t="s">
        <v>4174</v>
      </c>
      <c r="G1334" s="12" t="s">
        <v>52</v>
      </c>
      <c r="H1334" s="19" t="s">
        <v>4175</v>
      </c>
      <c r="I1334" s="12" t="s">
        <v>324</v>
      </c>
      <c r="J1334" s="10" t="s">
        <v>197</v>
      </c>
      <c r="K1334" s="10" t="s">
        <v>40</v>
      </c>
      <c r="L1334" s="10" t="s">
        <v>4</v>
      </c>
      <c r="M1334" s="22">
        <v>45450.0</v>
      </c>
      <c r="N1334" s="11" t="s">
        <v>4176</v>
      </c>
      <c r="O1334" s="10" t="s">
        <v>2282</v>
      </c>
      <c r="P1334" s="10" t="s">
        <v>4177</v>
      </c>
      <c r="Q1334" s="2"/>
      <c r="R1334" s="10">
        <v>12.0</v>
      </c>
      <c r="S1334" s="14">
        <v>45450.0</v>
      </c>
      <c r="T1334" s="14">
        <v>45815.0</v>
      </c>
      <c r="U1334" s="10">
        <f t="shared" ref="U1334:U1339" si="112">T1334-TODAY()</f>
        <v>-276</v>
      </c>
      <c r="V1334" s="2"/>
      <c r="W1334" s="15"/>
      <c r="X1334" s="15"/>
      <c r="Y1334" s="15"/>
      <c r="Z1334" s="15"/>
      <c r="AA1334" s="1"/>
      <c r="AB1334" s="15"/>
      <c r="AC1334" s="15"/>
      <c r="AD1334" s="15"/>
      <c r="AE1334" s="15"/>
      <c r="AF1334" s="2"/>
      <c r="AG1334" s="10" t="s">
        <v>354</v>
      </c>
      <c r="AH1334" s="10" t="s">
        <v>318</v>
      </c>
      <c r="AI1334" s="10" t="s">
        <v>319</v>
      </c>
      <c r="AJ1334" s="10" t="s">
        <v>227</v>
      </c>
      <c r="AK1334" s="16" t="s">
        <v>45</v>
      </c>
      <c r="AL1334" s="16" t="s">
        <v>45</v>
      </c>
      <c r="AM1334" s="16" t="s">
        <v>45</v>
      </c>
      <c r="AN1334" s="10" t="s">
        <v>320</v>
      </c>
    </row>
    <row r="1335" ht="30.0" customHeight="1">
      <c r="A1335" s="9" t="str">
        <f t="shared" si="48"/>
        <v>Inativo</v>
      </c>
      <c r="B1335" s="9" t="str">
        <f t="shared" si="49"/>
        <v>N/I</v>
      </c>
      <c r="C1335" s="9" t="str">
        <f t="shared" si="80"/>
        <v>N/I</v>
      </c>
      <c r="D1335" s="10" t="s">
        <v>4172</v>
      </c>
      <c r="E1335" s="11" t="s">
        <v>4173</v>
      </c>
      <c r="F1335" s="32" t="s">
        <v>4174</v>
      </c>
      <c r="G1335" s="12" t="s">
        <v>52</v>
      </c>
      <c r="H1335" s="19" t="s">
        <v>4178</v>
      </c>
      <c r="I1335" s="12" t="s">
        <v>324</v>
      </c>
      <c r="J1335" s="10" t="s">
        <v>197</v>
      </c>
      <c r="K1335" s="10" t="s">
        <v>40</v>
      </c>
      <c r="L1335" s="10" t="s">
        <v>4</v>
      </c>
      <c r="M1335" s="22">
        <v>45450.0</v>
      </c>
      <c r="N1335" s="11" t="s">
        <v>4176</v>
      </c>
      <c r="O1335" s="10" t="s">
        <v>2282</v>
      </c>
      <c r="P1335" s="10" t="s">
        <v>4177</v>
      </c>
      <c r="Q1335" s="2"/>
      <c r="R1335" s="10">
        <v>12.0</v>
      </c>
      <c r="S1335" s="14">
        <v>45450.0</v>
      </c>
      <c r="T1335" s="14">
        <v>45815.0</v>
      </c>
      <c r="U1335" s="10">
        <f t="shared" si="112"/>
        <v>-276</v>
      </c>
      <c r="V1335" s="2"/>
      <c r="W1335" s="15"/>
      <c r="X1335" s="15"/>
      <c r="Y1335" s="15"/>
      <c r="Z1335" s="15"/>
      <c r="AA1335" s="1"/>
      <c r="AB1335" s="15"/>
      <c r="AC1335" s="15"/>
      <c r="AD1335" s="15"/>
      <c r="AE1335" s="15"/>
      <c r="AF1335" s="2"/>
      <c r="AG1335" s="10" t="s">
        <v>354</v>
      </c>
      <c r="AH1335" s="10" t="s">
        <v>318</v>
      </c>
      <c r="AI1335" s="10" t="s">
        <v>319</v>
      </c>
      <c r="AJ1335" s="10" t="s">
        <v>227</v>
      </c>
      <c r="AK1335" s="16" t="s">
        <v>45</v>
      </c>
      <c r="AL1335" s="16" t="s">
        <v>45</v>
      </c>
      <c r="AM1335" s="16" t="s">
        <v>45</v>
      </c>
      <c r="AN1335" s="10" t="s">
        <v>320</v>
      </c>
    </row>
    <row r="1336" ht="30.0" customHeight="1">
      <c r="A1336" s="9" t="str">
        <f t="shared" si="48"/>
        <v>Inativo</v>
      </c>
      <c r="B1336" s="9" t="str">
        <f t="shared" si="49"/>
        <v>N/I</v>
      </c>
      <c r="C1336" s="9" t="str">
        <f t="shared" si="80"/>
        <v>N/I</v>
      </c>
      <c r="D1336" s="10" t="s">
        <v>4172</v>
      </c>
      <c r="E1336" s="11" t="s">
        <v>4173</v>
      </c>
      <c r="F1336" s="32" t="s">
        <v>4174</v>
      </c>
      <c r="G1336" s="12" t="s">
        <v>52</v>
      </c>
      <c r="H1336" s="19" t="s">
        <v>4179</v>
      </c>
      <c r="I1336" s="12" t="s">
        <v>324</v>
      </c>
      <c r="J1336" s="10" t="s">
        <v>197</v>
      </c>
      <c r="K1336" s="10" t="s">
        <v>40</v>
      </c>
      <c r="L1336" s="10" t="s">
        <v>4</v>
      </c>
      <c r="M1336" s="22">
        <v>45483.0</v>
      </c>
      <c r="N1336" s="11" t="s">
        <v>4176</v>
      </c>
      <c r="O1336" s="10" t="s">
        <v>2282</v>
      </c>
      <c r="P1336" s="10" t="s">
        <v>4177</v>
      </c>
      <c r="Q1336" s="2"/>
      <c r="R1336" s="10">
        <v>12.0</v>
      </c>
      <c r="S1336" s="14">
        <v>45483.0</v>
      </c>
      <c r="T1336" s="14">
        <v>45848.0</v>
      </c>
      <c r="U1336" s="10">
        <f t="shared" si="112"/>
        <v>-243</v>
      </c>
      <c r="V1336" s="2"/>
      <c r="W1336" s="15"/>
      <c r="X1336" s="15"/>
      <c r="Y1336" s="15"/>
      <c r="Z1336" s="15"/>
      <c r="AA1336" s="1"/>
      <c r="AB1336" s="15"/>
      <c r="AC1336" s="15"/>
      <c r="AD1336" s="15"/>
      <c r="AE1336" s="15"/>
      <c r="AF1336" s="2"/>
      <c r="AG1336" s="10" t="s">
        <v>354</v>
      </c>
      <c r="AH1336" s="10" t="s">
        <v>318</v>
      </c>
      <c r="AI1336" s="10" t="s">
        <v>319</v>
      </c>
      <c r="AJ1336" s="10" t="s">
        <v>227</v>
      </c>
      <c r="AK1336" s="16" t="s">
        <v>45</v>
      </c>
      <c r="AL1336" s="16" t="s">
        <v>45</v>
      </c>
      <c r="AM1336" s="16" t="s">
        <v>45</v>
      </c>
      <c r="AN1336" s="10" t="s">
        <v>320</v>
      </c>
    </row>
    <row r="1337" ht="30.0" customHeight="1">
      <c r="A1337" s="9" t="str">
        <f t="shared" si="48"/>
        <v>Inativo</v>
      </c>
      <c r="B1337" s="9" t="str">
        <f t="shared" si="49"/>
        <v>N/I</v>
      </c>
      <c r="C1337" s="9" t="str">
        <f t="shared" si="80"/>
        <v>N/I</v>
      </c>
      <c r="D1337" s="10" t="s">
        <v>4172</v>
      </c>
      <c r="E1337" s="11" t="s">
        <v>4173</v>
      </c>
      <c r="F1337" s="32" t="s">
        <v>4174</v>
      </c>
      <c r="G1337" s="12" t="s">
        <v>52</v>
      </c>
      <c r="H1337" s="19" t="s">
        <v>4180</v>
      </c>
      <c r="I1337" s="12" t="s">
        <v>324</v>
      </c>
      <c r="J1337" s="10" t="s">
        <v>197</v>
      </c>
      <c r="K1337" s="10" t="s">
        <v>40</v>
      </c>
      <c r="L1337" s="10" t="s">
        <v>4</v>
      </c>
      <c r="M1337" s="22">
        <v>45484.0</v>
      </c>
      <c r="N1337" s="11" t="s">
        <v>4176</v>
      </c>
      <c r="O1337" s="10" t="s">
        <v>2282</v>
      </c>
      <c r="P1337" s="10" t="s">
        <v>4177</v>
      </c>
      <c r="Q1337" s="2"/>
      <c r="R1337" s="10">
        <v>12.0</v>
      </c>
      <c r="S1337" s="14">
        <v>45484.0</v>
      </c>
      <c r="T1337" s="14">
        <v>45849.0</v>
      </c>
      <c r="U1337" s="10">
        <f t="shared" si="112"/>
        <v>-242</v>
      </c>
      <c r="V1337" s="2"/>
      <c r="W1337" s="15"/>
      <c r="X1337" s="15"/>
      <c r="Y1337" s="15"/>
      <c r="Z1337" s="15"/>
      <c r="AA1337" s="1"/>
      <c r="AB1337" s="15"/>
      <c r="AC1337" s="15"/>
      <c r="AD1337" s="15"/>
      <c r="AE1337" s="15"/>
      <c r="AF1337" s="2"/>
      <c r="AG1337" s="10" t="s">
        <v>354</v>
      </c>
      <c r="AH1337" s="10" t="s">
        <v>318</v>
      </c>
      <c r="AI1337" s="10" t="s">
        <v>319</v>
      </c>
      <c r="AJ1337" s="10" t="s">
        <v>227</v>
      </c>
      <c r="AK1337" s="16" t="s">
        <v>45</v>
      </c>
      <c r="AL1337" s="16" t="s">
        <v>45</v>
      </c>
      <c r="AM1337" s="16" t="s">
        <v>45</v>
      </c>
      <c r="AN1337" s="10" t="s">
        <v>320</v>
      </c>
    </row>
    <row r="1338" ht="30.0" customHeight="1">
      <c r="A1338" s="9" t="str">
        <f t="shared" si="48"/>
        <v>Inativo</v>
      </c>
      <c r="B1338" s="9" t="str">
        <f t="shared" si="49"/>
        <v>N/I</v>
      </c>
      <c r="C1338" s="9" t="str">
        <f t="shared" si="80"/>
        <v>N/I</v>
      </c>
      <c r="D1338" s="10" t="s">
        <v>4172</v>
      </c>
      <c r="E1338" s="11" t="s">
        <v>4173</v>
      </c>
      <c r="F1338" s="32" t="s">
        <v>4174</v>
      </c>
      <c r="G1338" s="12" t="s">
        <v>52</v>
      </c>
      <c r="H1338" s="19" t="s">
        <v>4181</v>
      </c>
      <c r="I1338" s="12" t="s">
        <v>324</v>
      </c>
      <c r="J1338" s="10" t="s">
        <v>197</v>
      </c>
      <c r="K1338" s="10" t="s">
        <v>40</v>
      </c>
      <c r="L1338" s="10" t="s">
        <v>4</v>
      </c>
      <c r="M1338" s="22">
        <v>45485.0</v>
      </c>
      <c r="N1338" s="11" t="s">
        <v>4176</v>
      </c>
      <c r="O1338" s="10" t="s">
        <v>2282</v>
      </c>
      <c r="P1338" s="10" t="s">
        <v>4177</v>
      </c>
      <c r="Q1338" s="2"/>
      <c r="R1338" s="10">
        <v>12.0</v>
      </c>
      <c r="S1338" s="14">
        <v>45485.0</v>
      </c>
      <c r="T1338" s="14">
        <v>45850.0</v>
      </c>
      <c r="U1338" s="10">
        <f t="shared" si="112"/>
        <v>-241</v>
      </c>
      <c r="V1338" s="2"/>
      <c r="W1338" s="15"/>
      <c r="X1338" s="15"/>
      <c r="Y1338" s="15"/>
      <c r="Z1338" s="15"/>
      <c r="AA1338" s="1"/>
      <c r="AB1338" s="15"/>
      <c r="AC1338" s="15"/>
      <c r="AD1338" s="15"/>
      <c r="AE1338" s="15"/>
      <c r="AF1338" s="2"/>
      <c r="AG1338" s="10" t="s">
        <v>354</v>
      </c>
      <c r="AH1338" s="10" t="s">
        <v>318</v>
      </c>
      <c r="AI1338" s="10" t="s">
        <v>319</v>
      </c>
      <c r="AJ1338" s="10" t="s">
        <v>227</v>
      </c>
      <c r="AK1338" s="16" t="s">
        <v>45</v>
      </c>
      <c r="AL1338" s="16" t="s">
        <v>45</v>
      </c>
      <c r="AM1338" s="16" t="s">
        <v>45</v>
      </c>
      <c r="AN1338" s="10" t="s">
        <v>320</v>
      </c>
    </row>
    <row r="1339" ht="30.0" customHeight="1">
      <c r="A1339" s="9" t="str">
        <f t="shared" si="48"/>
        <v>Inativo</v>
      </c>
      <c r="B1339" s="9" t="str">
        <f t="shared" si="49"/>
        <v>N/I</v>
      </c>
      <c r="C1339" s="9" t="str">
        <f t="shared" si="80"/>
        <v>N/I</v>
      </c>
      <c r="D1339" s="10" t="s">
        <v>4172</v>
      </c>
      <c r="E1339" s="11" t="s">
        <v>4173</v>
      </c>
      <c r="F1339" s="32" t="s">
        <v>4174</v>
      </c>
      <c r="G1339" s="12" t="s">
        <v>448</v>
      </c>
      <c r="H1339" s="19" t="s">
        <v>4182</v>
      </c>
      <c r="I1339" s="12" t="s">
        <v>324</v>
      </c>
      <c r="J1339" s="10" t="s">
        <v>197</v>
      </c>
      <c r="K1339" s="10" t="s">
        <v>40</v>
      </c>
      <c r="L1339" s="10" t="s">
        <v>4</v>
      </c>
      <c r="M1339" s="22">
        <v>45485.0</v>
      </c>
      <c r="N1339" s="11" t="s">
        <v>4176</v>
      </c>
      <c r="O1339" s="10" t="s">
        <v>2282</v>
      </c>
      <c r="P1339" s="10" t="s">
        <v>4177</v>
      </c>
      <c r="Q1339" s="2"/>
      <c r="R1339" s="10">
        <v>12.0</v>
      </c>
      <c r="S1339" s="14">
        <v>45485.0</v>
      </c>
      <c r="T1339" s="14">
        <v>45850.0</v>
      </c>
      <c r="U1339" s="10">
        <f t="shared" si="112"/>
        <v>-241</v>
      </c>
      <c r="V1339" s="2"/>
      <c r="W1339" s="15"/>
      <c r="X1339" s="15"/>
      <c r="Y1339" s="15"/>
      <c r="Z1339" s="15"/>
      <c r="AA1339" s="1"/>
      <c r="AB1339" s="15"/>
      <c r="AC1339" s="15"/>
      <c r="AD1339" s="15"/>
      <c r="AE1339" s="15"/>
      <c r="AF1339" s="2"/>
      <c r="AG1339" s="10" t="s">
        <v>354</v>
      </c>
      <c r="AH1339" s="10" t="s">
        <v>318</v>
      </c>
      <c r="AI1339" s="10" t="s">
        <v>319</v>
      </c>
      <c r="AJ1339" s="10" t="s">
        <v>227</v>
      </c>
      <c r="AK1339" s="16" t="s">
        <v>45</v>
      </c>
      <c r="AL1339" s="16" t="s">
        <v>45</v>
      </c>
      <c r="AM1339" s="16" t="s">
        <v>45</v>
      </c>
      <c r="AN1339" s="10" t="s">
        <v>320</v>
      </c>
    </row>
    <row r="1340" ht="30.0" customHeight="1">
      <c r="A1340" s="9" t="str">
        <f t="shared" si="48"/>
        <v>N/I</v>
      </c>
      <c r="B1340" s="9" t="str">
        <f t="shared" si="49"/>
        <v>N/I</v>
      </c>
      <c r="C1340" s="9" t="str">
        <f t="shared" si="80"/>
        <v>Inativo</v>
      </c>
      <c r="D1340" s="10" t="s">
        <v>4183</v>
      </c>
      <c r="E1340" s="11" t="s">
        <v>4183</v>
      </c>
      <c r="F1340" s="32"/>
      <c r="G1340" s="12" t="s">
        <v>448</v>
      </c>
      <c r="H1340" s="20" t="s">
        <v>4184</v>
      </c>
      <c r="I1340" s="12" t="s">
        <v>332</v>
      </c>
      <c r="J1340" s="10" t="s">
        <v>197</v>
      </c>
      <c r="K1340" s="10" t="s">
        <v>40</v>
      </c>
      <c r="L1340" s="10" t="s">
        <v>6</v>
      </c>
      <c r="M1340" s="22">
        <v>44679.0</v>
      </c>
      <c r="N1340" s="32" t="s">
        <v>4185</v>
      </c>
      <c r="O1340" s="10" t="s">
        <v>4186</v>
      </c>
      <c r="P1340" s="10" t="s">
        <v>4187</v>
      </c>
      <c r="Q1340" s="2"/>
      <c r="R1340" s="15"/>
      <c r="S1340" s="15"/>
      <c r="T1340" s="15"/>
      <c r="U1340" s="15"/>
      <c r="V1340" s="2"/>
      <c r="W1340" s="15"/>
      <c r="X1340" s="15"/>
      <c r="Y1340" s="15"/>
      <c r="Z1340" s="15"/>
      <c r="AA1340" s="1"/>
      <c r="AB1340" s="10">
        <v>36.0</v>
      </c>
      <c r="AC1340" s="14">
        <v>44679.0</v>
      </c>
      <c r="AD1340" s="14">
        <v>45769.0</v>
      </c>
      <c r="AE1340" s="10">
        <f>AD1340-TODAY()</f>
        <v>-322</v>
      </c>
      <c r="AF1340" s="2"/>
      <c r="AG1340" s="16" t="s">
        <v>45</v>
      </c>
      <c r="AH1340" s="16" t="s">
        <v>45</v>
      </c>
      <c r="AI1340" s="16" t="s">
        <v>45</v>
      </c>
      <c r="AJ1340" s="16" t="s">
        <v>45</v>
      </c>
      <c r="AK1340" s="16" t="s">
        <v>45</v>
      </c>
      <c r="AL1340" s="10" t="s">
        <v>49</v>
      </c>
      <c r="AM1340" s="16" t="s">
        <v>45</v>
      </c>
      <c r="AN1340" s="16" t="s">
        <v>45</v>
      </c>
    </row>
    <row r="1341" ht="30.0" customHeight="1">
      <c r="A1341" s="9" t="str">
        <f t="shared" si="48"/>
        <v>Inativo</v>
      </c>
      <c r="B1341" s="9" t="str">
        <f t="shared" si="49"/>
        <v>N/I</v>
      </c>
      <c r="C1341" s="9" t="str">
        <f t="shared" si="80"/>
        <v>N/I</v>
      </c>
      <c r="D1341" s="10" t="s">
        <v>4183</v>
      </c>
      <c r="E1341" s="11" t="s">
        <v>4183</v>
      </c>
      <c r="F1341" s="32"/>
      <c r="G1341" s="12" t="s">
        <v>448</v>
      </c>
      <c r="H1341" s="20" t="s">
        <v>4188</v>
      </c>
      <c r="I1341" s="12" t="s">
        <v>131</v>
      </c>
      <c r="J1341" s="10" t="s">
        <v>132</v>
      </c>
      <c r="K1341" s="10" t="s">
        <v>41</v>
      </c>
      <c r="L1341" s="10" t="s">
        <v>4</v>
      </c>
      <c r="M1341" s="14">
        <v>44396.0</v>
      </c>
      <c r="N1341" s="32" t="s">
        <v>4189</v>
      </c>
      <c r="O1341" s="10" t="s">
        <v>4190</v>
      </c>
      <c r="P1341" s="10" t="s">
        <v>4191</v>
      </c>
      <c r="Q1341" s="2"/>
      <c r="R1341" s="10">
        <v>36.0</v>
      </c>
      <c r="S1341" s="14">
        <v>44396.0</v>
      </c>
      <c r="T1341" s="14">
        <v>45492.0</v>
      </c>
      <c r="U1341" s="10">
        <f t="shared" ref="U1341:U1345" si="113">T1341-TODAY()</f>
        <v>-599</v>
      </c>
      <c r="V1341" s="2"/>
      <c r="W1341" s="15"/>
      <c r="X1341" s="15"/>
      <c r="Y1341" s="15"/>
      <c r="Z1341" s="15"/>
      <c r="AA1341" s="1"/>
      <c r="AB1341" s="15"/>
      <c r="AC1341" s="15"/>
      <c r="AD1341" s="15"/>
      <c r="AE1341" s="15"/>
      <c r="AF1341" s="2"/>
      <c r="AG1341" s="10" t="s">
        <v>680</v>
      </c>
      <c r="AH1341" s="10" t="s">
        <v>318</v>
      </c>
      <c r="AI1341" s="10" t="s">
        <v>319</v>
      </c>
      <c r="AJ1341" s="10" t="s">
        <v>227</v>
      </c>
      <c r="AK1341" s="16" t="s">
        <v>45</v>
      </c>
      <c r="AL1341" s="10" t="s">
        <v>49</v>
      </c>
      <c r="AM1341" s="16" t="s">
        <v>45</v>
      </c>
      <c r="AN1341" s="10" t="s">
        <v>50</v>
      </c>
    </row>
    <row r="1342" ht="30.0" customHeight="1">
      <c r="A1342" s="9" t="str">
        <f t="shared" si="48"/>
        <v>Inativo</v>
      </c>
      <c r="B1342" s="9" t="str">
        <f t="shared" si="49"/>
        <v>N/I</v>
      </c>
      <c r="C1342" s="9" t="str">
        <f t="shared" si="80"/>
        <v>N/I</v>
      </c>
      <c r="D1342" s="10" t="s">
        <v>4192</v>
      </c>
      <c r="E1342" s="11" t="s">
        <v>4193</v>
      </c>
      <c r="F1342" s="32" t="s">
        <v>4194</v>
      </c>
      <c r="G1342" s="12" t="s">
        <v>94</v>
      </c>
      <c r="H1342" s="27" t="s">
        <v>4195</v>
      </c>
      <c r="I1342" s="12" t="s">
        <v>3477</v>
      </c>
      <c r="J1342" s="10" t="s">
        <v>89</v>
      </c>
      <c r="K1342" s="10" t="s">
        <v>41</v>
      </c>
      <c r="L1342" s="10" t="s">
        <v>4</v>
      </c>
      <c r="M1342" s="22">
        <v>44648.0</v>
      </c>
      <c r="N1342" s="32" t="s">
        <v>4196</v>
      </c>
      <c r="O1342" s="10" t="s">
        <v>4197</v>
      </c>
      <c r="P1342" s="10" t="s">
        <v>4198</v>
      </c>
      <c r="Q1342" s="2"/>
      <c r="R1342" s="10">
        <v>12.0</v>
      </c>
      <c r="S1342" s="14">
        <v>44648.0</v>
      </c>
      <c r="T1342" s="14">
        <v>45013.0</v>
      </c>
      <c r="U1342" s="10">
        <f t="shared" si="113"/>
        <v>-1078</v>
      </c>
      <c r="V1342" s="2"/>
      <c r="W1342" s="15"/>
      <c r="X1342" s="15"/>
      <c r="Y1342" s="15"/>
      <c r="Z1342" s="15"/>
      <c r="AA1342" s="1"/>
      <c r="AB1342" s="15"/>
      <c r="AC1342" s="15"/>
      <c r="AD1342" s="15"/>
      <c r="AE1342" s="15"/>
      <c r="AF1342" s="2"/>
      <c r="AG1342" s="16" t="s">
        <v>45</v>
      </c>
      <c r="AH1342" s="16" t="s">
        <v>45</v>
      </c>
      <c r="AI1342" s="16" t="s">
        <v>45</v>
      </c>
      <c r="AJ1342" s="16" t="s">
        <v>45</v>
      </c>
      <c r="AK1342" s="16" t="s">
        <v>45</v>
      </c>
      <c r="AL1342" s="16" t="s">
        <v>45</v>
      </c>
      <c r="AM1342" s="16" t="s">
        <v>45</v>
      </c>
      <c r="AN1342" s="16" t="s">
        <v>45</v>
      </c>
    </row>
    <row r="1343" ht="30.0" customHeight="1">
      <c r="A1343" s="9" t="str">
        <f t="shared" si="48"/>
        <v>Inativo</v>
      </c>
      <c r="B1343" s="9" t="str">
        <f t="shared" si="49"/>
        <v>N/I</v>
      </c>
      <c r="C1343" s="9" t="str">
        <f t="shared" si="80"/>
        <v>N/I</v>
      </c>
      <c r="D1343" s="10" t="s">
        <v>4192</v>
      </c>
      <c r="E1343" s="11" t="s">
        <v>4193</v>
      </c>
      <c r="F1343" s="32" t="s">
        <v>4194</v>
      </c>
      <c r="G1343" s="12" t="s">
        <v>94</v>
      </c>
      <c r="H1343" s="27" t="s">
        <v>4199</v>
      </c>
      <c r="I1343" s="12" t="s">
        <v>3477</v>
      </c>
      <c r="J1343" s="10" t="s">
        <v>89</v>
      </c>
      <c r="K1343" s="10" t="s">
        <v>41</v>
      </c>
      <c r="L1343" s="10" t="s">
        <v>4</v>
      </c>
      <c r="M1343" s="22">
        <v>44649.0</v>
      </c>
      <c r="N1343" s="32" t="s">
        <v>4196</v>
      </c>
      <c r="O1343" s="10" t="s">
        <v>4197</v>
      </c>
      <c r="P1343" s="10" t="s">
        <v>4198</v>
      </c>
      <c r="Q1343" s="2"/>
      <c r="R1343" s="10">
        <v>12.0</v>
      </c>
      <c r="S1343" s="14">
        <v>44649.0</v>
      </c>
      <c r="T1343" s="14">
        <v>45014.0</v>
      </c>
      <c r="U1343" s="10">
        <f t="shared" si="113"/>
        <v>-1077</v>
      </c>
      <c r="V1343" s="2"/>
      <c r="W1343" s="15"/>
      <c r="X1343" s="15"/>
      <c r="Y1343" s="15"/>
      <c r="Z1343" s="15"/>
      <c r="AA1343" s="1"/>
      <c r="AB1343" s="15"/>
      <c r="AC1343" s="15"/>
      <c r="AD1343" s="15"/>
      <c r="AE1343" s="15"/>
      <c r="AF1343" s="2"/>
      <c r="AG1343" s="16" t="s">
        <v>45</v>
      </c>
      <c r="AH1343" s="16" t="s">
        <v>45</v>
      </c>
      <c r="AI1343" s="16" t="s">
        <v>45</v>
      </c>
      <c r="AJ1343" s="16" t="s">
        <v>45</v>
      </c>
      <c r="AK1343" s="16" t="s">
        <v>45</v>
      </c>
      <c r="AL1343" s="16" t="s">
        <v>45</v>
      </c>
      <c r="AM1343" s="16" t="s">
        <v>45</v>
      </c>
      <c r="AN1343" s="16" t="s">
        <v>45</v>
      </c>
    </row>
    <row r="1344" ht="30.0" customHeight="1">
      <c r="A1344" s="9" t="str">
        <f t="shared" si="48"/>
        <v>Inativo</v>
      </c>
      <c r="B1344" s="9" t="str">
        <f t="shared" si="49"/>
        <v>N/I</v>
      </c>
      <c r="C1344" s="9" t="str">
        <f t="shared" si="80"/>
        <v>N/I</v>
      </c>
      <c r="D1344" s="10" t="s">
        <v>4192</v>
      </c>
      <c r="E1344" s="11" t="s">
        <v>4193</v>
      </c>
      <c r="F1344" s="32" t="s">
        <v>4194</v>
      </c>
      <c r="G1344" s="12" t="s">
        <v>37</v>
      </c>
      <c r="H1344" s="27" t="s">
        <v>4200</v>
      </c>
      <c r="I1344" s="12" t="s">
        <v>3477</v>
      </c>
      <c r="J1344" s="10" t="s">
        <v>89</v>
      </c>
      <c r="K1344" s="10" t="s">
        <v>41</v>
      </c>
      <c r="L1344" s="10" t="s">
        <v>4</v>
      </c>
      <c r="M1344" s="22">
        <v>44649.0</v>
      </c>
      <c r="N1344" s="32" t="s">
        <v>4196</v>
      </c>
      <c r="O1344" s="10" t="s">
        <v>4197</v>
      </c>
      <c r="P1344" s="10" t="s">
        <v>4198</v>
      </c>
      <c r="Q1344" s="2"/>
      <c r="R1344" s="10">
        <v>12.0</v>
      </c>
      <c r="S1344" s="14">
        <v>44649.0</v>
      </c>
      <c r="T1344" s="14">
        <v>45014.0</v>
      </c>
      <c r="U1344" s="10">
        <f t="shared" si="113"/>
        <v>-1077</v>
      </c>
      <c r="V1344" s="2"/>
      <c r="W1344" s="15"/>
      <c r="X1344" s="15"/>
      <c r="Y1344" s="15"/>
      <c r="Z1344" s="15"/>
      <c r="AA1344" s="1"/>
      <c r="AB1344" s="15"/>
      <c r="AC1344" s="15"/>
      <c r="AD1344" s="15"/>
      <c r="AE1344" s="15"/>
      <c r="AF1344" s="2"/>
      <c r="AG1344" s="16" t="s">
        <v>45</v>
      </c>
      <c r="AH1344" s="16" t="s">
        <v>45</v>
      </c>
      <c r="AI1344" s="16" t="s">
        <v>45</v>
      </c>
      <c r="AJ1344" s="16" t="s">
        <v>45</v>
      </c>
      <c r="AK1344" s="16" t="s">
        <v>45</v>
      </c>
      <c r="AL1344" s="16" t="s">
        <v>45</v>
      </c>
      <c r="AM1344" s="16" t="s">
        <v>45</v>
      </c>
      <c r="AN1344" s="16" t="s">
        <v>45</v>
      </c>
    </row>
    <row r="1345" ht="30.0" customHeight="1">
      <c r="A1345" s="9" t="str">
        <f t="shared" si="48"/>
        <v>Inativo</v>
      </c>
      <c r="B1345" s="9" t="str">
        <f t="shared" si="49"/>
        <v>N/I</v>
      </c>
      <c r="C1345" s="9" t="str">
        <f t="shared" si="80"/>
        <v>N/I</v>
      </c>
      <c r="D1345" s="10" t="s">
        <v>4192</v>
      </c>
      <c r="E1345" s="11" t="s">
        <v>4193</v>
      </c>
      <c r="F1345" s="32" t="s">
        <v>4194</v>
      </c>
      <c r="G1345" s="12" t="s">
        <v>37</v>
      </c>
      <c r="H1345" s="27" t="s">
        <v>4201</v>
      </c>
      <c r="I1345" s="12" t="s">
        <v>3477</v>
      </c>
      <c r="J1345" s="10" t="s">
        <v>89</v>
      </c>
      <c r="K1345" s="10" t="s">
        <v>41</v>
      </c>
      <c r="L1345" s="10" t="s">
        <v>4</v>
      </c>
      <c r="M1345" s="22">
        <v>44651.0</v>
      </c>
      <c r="N1345" s="32" t="s">
        <v>4196</v>
      </c>
      <c r="O1345" s="10" t="s">
        <v>4197</v>
      </c>
      <c r="P1345" s="10" t="s">
        <v>4198</v>
      </c>
      <c r="Q1345" s="2"/>
      <c r="R1345" s="10">
        <v>12.0</v>
      </c>
      <c r="S1345" s="14">
        <v>44651.0</v>
      </c>
      <c r="T1345" s="14">
        <v>45016.0</v>
      </c>
      <c r="U1345" s="10">
        <f t="shared" si="113"/>
        <v>-1075</v>
      </c>
      <c r="V1345" s="2"/>
      <c r="W1345" s="15"/>
      <c r="X1345" s="15"/>
      <c r="Y1345" s="15"/>
      <c r="Z1345" s="15"/>
      <c r="AA1345" s="1"/>
      <c r="AB1345" s="15"/>
      <c r="AC1345" s="15"/>
      <c r="AD1345" s="15"/>
      <c r="AE1345" s="15"/>
      <c r="AF1345" s="2"/>
      <c r="AG1345" s="16" t="s">
        <v>45</v>
      </c>
      <c r="AH1345" s="16" t="s">
        <v>45</v>
      </c>
      <c r="AI1345" s="16" t="s">
        <v>45</v>
      </c>
      <c r="AJ1345" s="16" t="s">
        <v>45</v>
      </c>
      <c r="AK1345" s="16" t="s">
        <v>45</v>
      </c>
      <c r="AL1345" s="16" t="s">
        <v>45</v>
      </c>
      <c r="AM1345" s="16" t="s">
        <v>45</v>
      </c>
      <c r="AN1345" s="16" t="s">
        <v>45</v>
      </c>
    </row>
    <row r="1346" ht="30.0" customHeight="1">
      <c r="A1346" s="9" t="str">
        <f t="shared" si="48"/>
        <v>N/I</v>
      </c>
      <c r="B1346" s="9" t="str">
        <f t="shared" si="49"/>
        <v>N/I</v>
      </c>
      <c r="C1346" s="9" t="str">
        <f t="shared" si="80"/>
        <v>Inativo</v>
      </c>
      <c r="D1346" s="10" t="s">
        <v>4202</v>
      </c>
      <c r="E1346" s="11" t="s">
        <v>4203</v>
      </c>
      <c r="F1346" s="32" t="s">
        <v>4204</v>
      </c>
      <c r="G1346" s="12" t="s">
        <v>94</v>
      </c>
      <c r="H1346" s="19" t="s">
        <v>4205</v>
      </c>
      <c r="I1346" s="12" t="s">
        <v>4206</v>
      </c>
      <c r="J1346" s="10" t="s">
        <v>1097</v>
      </c>
      <c r="K1346" s="10" t="s">
        <v>190</v>
      </c>
      <c r="L1346" s="10" t="s">
        <v>6</v>
      </c>
      <c r="M1346" s="14">
        <v>44957.0</v>
      </c>
      <c r="N1346" s="11" t="s">
        <v>4207</v>
      </c>
      <c r="O1346" s="12" t="s">
        <v>4208</v>
      </c>
      <c r="P1346" s="10" t="s">
        <v>4209</v>
      </c>
      <c r="Q1346" s="2"/>
      <c r="R1346" s="15"/>
      <c r="S1346" s="15"/>
      <c r="T1346" s="15"/>
      <c r="U1346" s="15"/>
      <c r="V1346" s="2"/>
      <c r="W1346" s="15"/>
      <c r="X1346" s="15"/>
      <c r="Y1346" s="15"/>
      <c r="Z1346" s="15"/>
      <c r="AA1346" s="1"/>
      <c r="AB1346" s="10">
        <v>12.0</v>
      </c>
      <c r="AC1346" s="14">
        <v>44957.0</v>
      </c>
      <c r="AD1346" s="14">
        <v>45322.0</v>
      </c>
      <c r="AE1346" s="10">
        <f>AD1346-TODAY()</f>
        <v>-769</v>
      </c>
      <c r="AF1346" s="2"/>
      <c r="AG1346" s="10" t="s">
        <v>2497</v>
      </c>
      <c r="AH1346" s="16" t="s">
        <v>45</v>
      </c>
      <c r="AI1346" s="16" t="s">
        <v>45</v>
      </c>
      <c r="AJ1346" s="16" t="s">
        <v>45</v>
      </c>
      <c r="AK1346" s="10" t="s">
        <v>2893</v>
      </c>
      <c r="AL1346" s="10" t="s">
        <v>49</v>
      </c>
      <c r="AM1346" s="16" t="s">
        <v>45</v>
      </c>
      <c r="AN1346" s="16" t="s">
        <v>45</v>
      </c>
    </row>
    <row r="1347" ht="30.0" customHeight="1">
      <c r="A1347" s="9" t="str">
        <f t="shared" si="48"/>
        <v>N/I</v>
      </c>
      <c r="B1347" s="9" t="str">
        <f t="shared" si="49"/>
        <v>Inativo</v>
      </c>
      <c r="C1347" s="9" t="str">
        <f t="shared" si="80"/>
        <v>N/I</v>
      </c>
      <c r="D1347" s="10" t="s">
        <v>4210</v>
      </c>
      <c r="E1347" s="11" t="s">
        <v>4211</v>
      </c>
      <c r="F1347" s="11" t="s">
        <v>4212</v>
      </c>
      <c r="G1347" s="12" t="s">
        <v>94</v>
      </c>
      <c r="H1347" s="16">
        <v>150220.0</v>
      </c>
      <c r="I1347" s="12" t="s">
        <v>380</v>
      </c>
      <c r="J1347" s="10" t="s">
        <v>197</v>
      </c>
      <c r="K1347" s="10" t="s">
        <v>40</v>
      </c>
      <c r="L1347" s="10" t="s">
        <v>264</v>
      </c>
      <c r="M1347" s="14">
        <v>45078.0</v>
      </c>
      <c r="N1347" s="32" t="s">
        <v>4213</v>
      </c>
      <c r="O1347" s="10" t="s">
        <v>4214</v>
      </c>
      <c r="P1347" s="10" t="s">
        <v>4215</v>
      </c>
      <c r="Q1347" s="2"/>
      <c r="R1347" s="15"/>
      <c r="S1347" s="15"/>
      <c r="T1347" s="15"/>
      <c r="U1347" s="15"/>
      <c r="V1347" s="2"/>
      <c r="W1347" s="10">
        <v>12.0</v>
      </c>
      <c r="X1347" s="14">
        <v>45078.0</v>
      </c>
      <c r="Y1347" s="14">
        <v>45443.0</v>
      </c>
      <c r="Z1347" s="10">
        <v>-482.0</v>
      </c>
      <c r="AA1347" s="1"/>
      <c r="AB1347" s="15"/>
      <c r="AC1347" s="15"/>
      <c r="AD1347" s="15"/>
      <c r="AE1347" s="15"/>
      <c r="AF1347" s="2"/>
      <c r="AG1347" s="10" t="s">
        <v>290</v>
      </c>
      <c r="AH1347" s="12" t="s">
        <v>46</v>
      </c>
      <c r="AI1347" s="10" t="s">
        <v>441</v>
      </c>
      <c r="AJ1347" s="10" t="s">
        <v>442</v>
      </c>
      <c r="AK1347" s="16" t="s">
        <v>45</v>
      </c>
      <c r="AL1347" s="10" t="s">
        <v>2289</v>
      </c>
      <c r="AM1347" s="10" t="s">
        <v>319</v>
      </c>
      <c r="AN1347" s="10" t="s">
        <v>50</v>
      </c>
    </row>
    <row r="1348" ht="30.0" customHeight="1">
      <c r="A1348" s="9" t="str">
        <f t="shared" si="48"/>
        <v>Inativo</v>
      </c>
      <c r="B1348" s="9" t="str">
        <f t="shared" si="49"/>
        <v>N/I</v>
      </c>
      <c r="C1348" s="9" t="str">
        <f t="shared" si="80"/>
        <v>N/I</v>
      </c>
      <c r="D1348" s="10" t="s">
        <v>4216</v>
      </c>
      <c r="E1348" s="11" t="s">
        <v>4217</v>
      </c>
      <c r="F1348" s="32"/>
      <c r="G1348" s="12" t="s">
        <v>4218</v>
      </c>
      <c r="H1348" s="20" t="s">
        <v>4219</v>
      </c>
      <c r="I1348" s="12" t="s">
        <v>246</v>
      </c>
      <c r="J1348" s="10" t="s">
        <v>247</v>
      </c>
      <c r="K1348" s="10" t="s">
        <v>190</v>
      </c>
      <c r="L1348" s="10" t="s">
        <v>4</v>
      </c>
      <c r="M1348" s="14">
        <v>44043.0</v>
      </c>
      <c r="N1348" s="11" t="s">
        <v>4220</v>
      </c>
      <c r="O1348" s="10" t="s">
        <v>4221</v>
      </c>
      <c r="P1348" s="10" t="s">
        <v>4222</v>
      </c>
      <c r="Q1348" s="2"/>
      <c r="R1348" s="10">
        <v>36.0</v>
      </c>
      <c r="S1348" s="14">
        <v>44043.0</v>
      </c>
      <c r="T1348" s="14">
        <v>45137.0</v>
      </c>
      <c r="U1348" s="10">
        <v>-788.0</v>
      </c>
      <c r="V1348" s="2"/>
      <c r="W1348" s="15"/>
      <c r="X1348" s="15"/>
      <c r="Y1348" s="15"/>
      <c r="Z1348" s="15"/>
      <c r="AA1348" s="1"/>
      <c r="AB1348" s="15"/>
      <c r="AC1348" s="15"/>
      <c r="AD1348" s="15"/>
      <c r="AE1348" s="15"/>
      <c r="AF1348" s="2"/>
      <c r="AG1348" s="10" t="s">
        <v>2497</v>
      </c>
      <c r="AH1348" s="12" t="s">
        <v>46</v>
      </c>
      <c r="AI1348" s="10" t="s">
        <v>48</v>
      </c>
      <c r="AJ1348" s="16" t="s">
        <v>45</v>
      </c>
      <c r="AK1348" s="16" t="s">
        <v>45</v>
      </c>
      <c r="AL1348" s="10" t="s">
        <v>49</v>
      </c>
      <c r="AM1348" s="10" t="s">
        <v>292</v>
      </c>
      <c r="AN1348" s="10" t="s">
        <v>50</v>
      </c>
    </row>
    <row r="1349" ht="30.0" customHeight="1">
      <c r="A1349" s="9" t="str">
        <f t="shared" si="48"/>
        <v>Ativo</v>
      </c>
      <c r="B1349" s="9" t="str">
        <f t="shared" si="49"/>
        <v>N/I</v>
      </c>
      <c r="C1349" s="9" t="str">
        <f t="shared" si="80"/>
        <v>N/I</v>
      </c>
      <c r="D1349" s="10" t="s">
        <v>4223</v>
      </c>
      <c r="E1349" s="11" t="s">
        <v>4224</v>
      </c>
      <c r="F1349" s="32"/>
      <c r="G1349" s="12" t="s">
        <v>448</v>
      </c>
      <c r="H1349" s="19" t="s">
        <v>4225</v>
      </c>
      <c r="I1349" s="12" t="s">
        <v>246</v>
      </c>
      <c r="J1349" s="10" t="s">
        <v>247</v>
      </c>
      <c r="K1349" s="10" t="s">
        <v>190</v>
      </c>
      <c r="L1349" s="10" t="s">
        <v>4</v>
      </c>
      <c r="M1349" s="22">
        <v>45215.0</v>
      </c>
      <c r="N1349" s="32" t="s">
        <v>4226</v>
      </c>
      <c r="O1349" s="10" t="s">
        <v>4227</v>
      </c>
      <c r="P1349" s="10" t="s">
        <v>4228</v>
      </c>
      <c r="Q1349" s="2"/>
      <c r="R1349" s="10">
        <v>60.0</v>
      </c>
      <c r="S1349" s="14">
        <v>45215.0</v>
      </c>
      <c r="T1349" s="14">
        <v>47041.0</v>
      </c>
      <c r="U1349" s="10">
        <f t="shared" ref="U1349:U1357" si="114">T1349-TODAY()</f>
        <v>950</v>
      </c>
      <c r="V1349" s="2"/>
      <c r="W1349" s="15"/>
      <c r="X1349" s="15"/>
      <c r="Y1349" s="15"/>
      <c r="Z1349" s="15"/>
      <c r="AA1349" s="1"/>
      <c r="AB1349" s="15"/>
      <c r="AC1349" s="15"/>
      <c r="AD1349" s="15"/>
      <c r="AE1349" s="15"/>
      <c r="AF1349" s="2"/>
      <c r="AG1349" s="10" t="s">
        <v>706</v>
      </c>
      <c r="AH1349" s="10" t="s">
        <v>318</v>
      </c>
      <c r="AI1349" s="10" t="s">
        <v>319</v>
      </c>
      <c r="AJ1349" s="10" t="s">
        <v>442</v>
      </c>
      <c r="AK1349" s="16" t="s">
        <v>45</v>
      </c>
      <c r="AL1349" s="10" t="s">
        <v>49</v>
      </c>
      <c r="AM1349" s="10" t="s">
        <v>227</v>
      </c>
      <c r="AN1349" s="10" t="s">
        <v>320</v>
      </c>
    </row>
    <row r="1350" ht="30.0" customHeight="1">
      <c r="A1350" s="9" t="str">
        <f t="shared" si="48"/>
        <v>Ativo</v>
      </c>
      <c r="B1350" s="9" t="str">
        <f t="shared" si="49"/>
        <v>N/I</v>
      </c>
      <c r="C1350" s="9" t="str">
        <f t="shared" si="80"/>
        <v>N/I</v>
      </c>
      <c r="D1350" s="10" t="s">
        <v>4223</v>
      </c>
      <c r="E1350" s="11" t="s">
        <v>4224</v>
      </c>
      <c r="F1350" s="32"/>
      <c r="G1350" s="12" t="s">
        <v>448</v>
      </c>
      <c r="H1350" s="19" t="s">
        <v>4229</v>
      </c>
      <c r="I1350" s="12" t="s">
        <v>246</v>
      </c>
      <c r="J1350" s="10" t="s">
        <v>247</v>
      </c>
      <c r="K1350" s="10" t="s">
        <v>190</v>
      </c>
      <c r="L1350" s="10" t="s">
        <v>4</v>
      </c>
      <c r="M1350" s="22">
        <v>45215.0</v>
      </c>
      <c r="N1350" s="32" t="s">
        <v>4226</v>
      </c>
      <c r="O1350" s="10" t="s">
        <v>4227</v>
      </c>
      <c r="P1350" s="10" t="s">
        <v>4228</v>
      </c>
      <c r="Q1350" s="2"/>
      <c r="R1350" s="10">
        <v>60.0</v>
      </c>
      <c r="S1350" s="14">
        <v>45215.0</v>
      </c>
      <c r="T1350" s="14">
        <v>47041.0</v>
      </c>
      <c r="U1350" s="10">
        <f t="shared" si="114"/>
        <v>950</v>
      </c>
      <c r="V1350" s="2"/>
      <c r="W1350" s="15"/>
      <c r="X1350" s="15"/>
      <c r="Y1350" s="15"/>
      <c r="Z1350" s="15"/>
      <c r="AA1350" s="1"/>
      <c r="AB1350" s="15"/>
      <c r="AC1350" s="15"/>
      <c r="AD1350" s="15"/>
      <c r="AE1350" s="15"/>
      <c r="AF1350" s="2"/>
      <c r="AG1350" s="10" t="s">
        <v>706</v>
      </c>
      <c r="AH1350" s="10" t="s">
        <v>318</v>
      </c>
      <c r="AI1350" s="10" t="s">
        <v>319</v>
      </c>
      <c r="AJ1350" s="10" t="s">
        <v>442</v>
      </c>
      <c r="AK1350" s="16" t="s">
        <v>45</v>
      </c>
      <c r="AL1350" s="10" t="s">
        <v>49</v>
      </c>
      <c r="AM1350" s="10" t="s">
        <v>227</v>
      </c>
      <c r="AN1350" s="10" t="s">
        <v>320</v>
      </c>
    </row>
    <row r="1351" ht="30.0" customHeight="1">
      <c r="A1351" s="9" t="str">
        <f t="shared" si="48"/>
        <v>Inativo</v>
      </c>
      <c r="B1351" s="9" t="str">
        <f t="shared" si="49"/>
        <v>N/I</v>
      </c>
      <c r="C1351" s="9" t="str">
        <f t="shared" si="80"/>
        <v>N/I</v>
      </c>
      <c r="D1351" s="10" t="s">
        <v>4230</v>
      </c>
      <c r="E1351" s="11" t="s">
        <v>4231</v>
      </c>
      <c r="F1351" s="32" t="s">
        <v>4232</v>
      </c>
      <c r="G1351" s="12" t="s">
        <v>94</v>
      </c>
      <c r="H1351" s="19" t="s">
        <v>4233</v>
      </c>
      <c r="I1351" s="12" t="s">
        <v>4234</v>
      </c>
      <c r="J1351" s="10" t="s">
        <v>870</v>
      </c>
      <c r="K1351" s="10" t="s">
        <v>209</v>
      </c>
      <c r="L1351" s="10" t="s">
        <v>4</v>
      </c>
      <c r="M1351" s="14">
        <v>45029.0</v>
      </c>
      <c r="N1351" s="11" t="s">
        <v>4235</v>
      </c>
      <c r="O1351" s="10" t="s">
        <v>4236</v>
      </c>
      <c r="P1351" s="10" t="s">
        <v>4237</v>
      </c>
      <c r="Q1351" s="2"/>
      <c r="R1351" s="10">
        <v>12.0</v>
      </c>
      <c r="S1351" s="14">
        <v>45114.0</v>
      </c>
      <c r="T1351" s="14">
        <v>45479.0</v>
      </c>
      <c r="U1351" s="10">
        <f t="shared" si="114"/>
        <v>-612</v>
      </c>
      <c r="V1351" s="2"/>
      <c r="W1351" s="15"/>
      <c r="X1351" s="15"/>
      <c r="Y1351" s="15"/>
      <c r="Z1351" s="15"/>
      <c r="AA1351" s="1"/>
      <c r="AB1351" s="15"/>
      <c r="AC1351" s="15"/>
      <c r="AD1351" s="15"/>
      <c r="AE1351" s="15"/>
      <c r="AF1351" s="2"/>
      <c r="AG1351" s="10" t="s">
        <v>706</v>
      </c>
      <c r="AH1351" s="10" t="s">
        <v>318</v>
      </c>
      <c r="AI1351" s="10" t="s">
        <v>319</v>
      </c>
      <c r="AJ1351" s="10" t="s">
        <v>291</v>
      </c>
      <c r="AK1351" s="10" t="s">
        <v>4238</v>
      </c>
      <c r="AL1351" s="10" t="s">
        <v>49</v>
      </c>
      <c r="AM1351" s="10" t="s">
        <v>390</v>
      </c>
      <c r="AN1351" s="10" t="s">
        <v>320</v>
      </c>
    </row>
    <row r="1352" ht="30.0" customHeight="1">
      <c r="A1352" s="9" t="str">
        <f t="shared" si="48"/>
        <v>Ativo</v>
      </c>
      <c r="B1352" s="9" t="str">
        <f t="shared" si="49"/>
        <v>N/I</v>
      </c>
      <c r="C1352" s="9" t="str">
        <f t="shared" si="80"/>
        <v>N/I</v>
      </c>
      <c r="D1352" s="10" t="s">
        <v>4239</v>
      </c>
      <c r="E1352" s="11" t="s">
        <v>4240</v>
      </c>
      <c r="F1352" s="32" t="s">
        <v>4241</v>
      </c>
      <c r="G1352" s="12" t="s">
        <v>94</v>
      </c>
      <c r="H1352" s="41" t="s">
        <v>4242</v>
      </c>
      <c r="I1352" s="12" t="s">
        <v>1345</v>
      </c>
      <c r="J1352" s="10" t="s">
        <v>521</v>
      </c>
      <c r="K1352" s="10" t="s">
        <v>263</v>
      </c>
      <c r="L1352" s="10" t="s">
        <v>4</v>
      </c>
      <c r="M1352" s="14">
        <v>44725.0</v>
      </c>
      <c r="N1352" s="11" t="s">
        <v>4243</v>
      </c>
      <c r="O1352" s="10" t="s">
        <v>4244</v>
      </c>
      <c r="P1352" s="10" t="s">
        <v>4245</v>
      </c>
      <c r="Q1352" s="2"/>
      <c r="R1352" s="10">
        <v>60.0</v>
      </c>
      <c r="S1352" s="14">
        <v>44725.0</v>
      </c>
      <c r="T1352" s="14">
        <v>46551.0</v>
      </c>
      <c r="U1352" s="10">
        <f t="shared" si="114"/>
        <v>460</v>
      </c>
      <c r="V1352" s="2"/>
      <c r="W1352" s="15"/>
      <c r="X1352" s="15"/>
      <c r="Y1352" s="15"/>
      <c r="Z1352" s="15"/>
      <c r="AA1352" s="1"/>
      <c r="AB1352" s="15"/>
      <c r="AC1352" s="15"/>
      <c r="AD1352" s="15"/>
      <c r="AE1352" s="15"/>
      <c r="AF1352" s="2"/>
      <c r="AG1352" s="10" t="s">
        <v>4246</v>
      </c>
      <c r="AH1352" s="12" t="s">
        <v>355</v>
      </c>
      <c r="AI1352" s="10" t="s">
        <v>291</v>
      </c>
      <c r="AJ1352" s="10" t="s">
        <v>291</v>
      </c>
      <c r="AK1352" s="16" t="s">
        <v>45</v>
      </c>
      <c r="AL1352" s="10" t="s">
        <v>49</v>
      </c>
      <c r="AM1352" s="16" t="s">
        <v>45</v>
      </c>
      <c r="AN1352" s="10" t="s">
        <v>50</v>
      </c>
    </row>
    <row r="1353" ht="30.0" customHeight="1">
      <c r="A1353" s="9" t="str">
        <f t="shared" si="48"/>
        <v>Ativo</v>
      </c>
      <c r="B1353" s="9" t="str">
        <f t="shared" si="49"/>
        <v>N/I</v>
      </c>
      <c r="C1353" s="9" t="str">
        <f t="shared" si="80"/>
        <v>N/I</v>
      </c>
      <c r="D1353" s="10" t="s">
        <v>4239</v>
      </c>
      <c r="E1353" s="11" t="s">
        <v>4240</v>
      </c>
      <c r="F1353" s="32" t="s">
        <v>4247</v>
      </c>
      <c r="G1353" s="12" t="s">
        <v>94</v>
      </c>
      <c r="H1353" s="41" t="s">
        <v>4248</v>
      </c>
      <c r="I1353" s="12"/>
      <c r="J1353" s="10" t="s">
        <v>521</v>
      </c>
      <c r="K1353" s="10" t="s">
        <v>263</v>
      </c>
      <c r="L1353" s="10" t="s">
        <v>4</v>
      </c>
      <c r="M1353" s="14">
        <v>44725.0</v>
      </c>
      <c r="N1353" s="11" t="s">
        <v>4249</v>
      </c>
      <c r="O1353" s="10" t="s">
        <v>4250</v>
      </c>
      <c r="P1353" s="10" t="s">
        <v>4245</v>
      </c>
      <c r="Q1353" s="2"/>
      <c r="R1353" s="10">
        <v>60.0</v>
      </c>
      <c r="S1353" s="14">
        <v>44725.0</v>
      </c>
      <c r="T1353" s="14">
        <v>46551.0</v>
      </c>
      <c r="U1353" s="10">
        <f t="shared" si="114"/>
        <v>460</v>
      </c>
      <c r="V1353" s="2"/>
      <c r="W1353" s="15"/>
      <c r="X1353" s="15"/>
      <c r="Y1353" s="15"/>
      <c r="Z1353" s="15"/>
      <c r="AA1353" s="1"/>
      <c r="AB1353" s="15"/>
      <c r="AC1353" s="15"/>
      <c r="AD1353" s="15"/>
      <c r="AE1353" s="15"/>
      <c r="AF1353" s="2"/>
      <c r="AG1353" s="10" t="s">
        <v>4246</v>
      </c>
      <c r="AH1353" s="12" t="s">
        <v>355</v>
      </c>
      <c r="AI1353" s="10" t="s">
        <v>291</v>
      </c>
      <c r="AJ1353" s="10" t="s">
        <v>291</v>
      </c>
      <c r="AK1353" s="16" t="s">
        <v>45</v>
      </c>
      <c r="AL1353" s="10" t="s">
        <v>49</v>
      </c>
      <c r="AM1353" s="16" t="s">
        <v>45</v>
      </c>
      <c r="AN1353" s="10" t="s">
        <v>50</v>
      </c>
    </row>
    <row r="1354" ht="30.0" customHeight="1">
      <c r="A1354" s="9" t="str">
        <f t="shared" si="48"/>
        <v>Inativo</v>
      </c>
      <c r="B1354" s="9" t="str">
        <f t="shared" si="49"/>
        <v>N/I</v>
      </c>
      <c r="C1354" s="9" t="str">
        <f t="shared" si="80"/>
        <v>N/I</v>
      </c>
      <c r="D1354" s="10" t="s">
        <v>4239</v>
      </c>
      <c r="E1354" s="11" t="s">
        <v>4240</v>
      </c>
      <c r="F1354" s="11" t="s">
        <v>4251</v>
      </c>
      <c r="G1354" s="12" t="s">
        <v>94</v>
      </c>
      <c r="H1354" s="41" t="s">
        <v>4252</v>
      </c>
      <c r="I1354" s="12" t="s">
        <v>4253</v>
      </c>
      <c r="J1354" s="10" t="s">
        <v>521</v>
      </c>
      <c r="K1354" s="10" t="s">
        <v>263</v>
      </c>
      <c r="L1354" s="10" t="s">
        <v>4</v>
      </c>
      <c r="M1354" s="22">
        <v>45644.0</v>
      </c>
      <c r="N1354" s="32" t="s">
        <v>4254</v>
      </c>
      <c r="O1354" s="10" t="s">
        <v>4255</v>
      </c>
      <c r="P1354" s="10" t="s">
        <v>4256</v>
      </c>
      <c r="Q1354" s="2"/>
      <c r="R1354" s="10">
        <v>12.0</v>
      </c>
      <c r="S1354" s="14">
        <v>45644.0</v>
      </c>
      <c r="T1354" s="14">
        <v>46009.0</v>
      </c>
      <c r="U1354" s="10">
        <f t="shared" si="114"/>
        <v>-82</v>
      </c>
      <c r="V1354" s="2"/>
      <c r="W1354" s="15"/>
      <c r="X1354" s="15"/>
      <c r="Y1354" s="15"/>
      <c r="Z1354" s="15"/>
      <c r="AA1354" s="1"/>
      <c r="AB1354" s="15"/>
      <c r="AC1354" s="15"/>
      <c r="AD1354" s="15"/>
      <c r="AE1354" s="15"/>
      <c r="AF1354" s="2"/>
      <c r="AG1354" s="10" t="s">
        <v>2497</v>
      </c>
      <c r="AH1354" s="12" t="s">
        <v>355</v>
      </c>
      <c r="AI1354" s="16" t="s">
        <v>45</v>
      </c>
      <c r="AJ1354" s="16" t="s">
        <v>45</v>
      </c>
      <c r="AK1354" s="16" t="s">
        <v>45</v>
      </c>
      <c r="AL1354" s="10" t="s">
        <v>49</v>
      </c>
      <c r="AM1354" s="16" t="s">
        <v>45</v>
      </c>
      <c r="AN1354" s="10" t="s">
        <v>320</v>
      </c>
    </row>
    <row r="1355" ht="30.0" customHeight="1">
      <c r="A1355" s="9" t="str">
        <f t="shared" si="48"/>
        <v>Inativo</v>
      </c>
      <c r="B1355" s="9" t="str">
        <f t="shared" si="49"/>
        <v>N/I</v>
      </c>
      <c r="C1355" s="9" t="str">
        <f t="shared" si="80"/>
        <v>N/I</v>
      </c>
      <c r="D1355" s="10" t="s">
        <v>4239</v>
      </c>
      <c r="E1355" s="11" t="s">
        <v>4240</v>
      </c>
      <c r="F1355" s="11" t="s">
        <v>4257</v>
      </c>
      <c r="G1355" s="12" t="s">
        <v>94</v>
      </c>
      <c r="H1355" s="41" t="s">
        <v>4258</v>
      </c>
      <c r="I1355" s="12" t="s">
        <v>534</v>
      </c>
      <c r="J1355" s="10" t="s">
        <v>521</v>
      </c>
      <c r="K1355" s="10" t="s">
        <v>263</v>
      </c>
      <c r="L1355" s="10" t="s">
        <v>4</v>
      </c>
      <c r="M1355" s="22">
        <v>45642.0</v>
      </c>
      <c r="N1355" s="32" t="s">
        <v>4259</v>
      </c>
      <c r="O1355" s="10" t="s">
        <v>4260</v>
      </c>
      <c r="P1355" s="10" t="s">
        <v>4256</v>
      </c>
      <c r="Q1355" s="2"/>
      <c r="R1355" s="10">
        <v>12.0</v>
      </c>
      <c r="S1355" s="14">
        <v>45642.0</v>
      </c>
      <c r="T1355" s="14">
        <v>46007.0</v>
      </c>
      <c r="U1355" s="10">
        <f t="shared" si="114"/>
        <v>-84</v>
      </c>
      <c r="V1355" s="2"/>
      <c r="W1355" s="15"/>
      <c r="X1355" s="15"/>
      <c r="Y1355" s="15"/>
      <c r="Z1355" s="15"/>
      <c r="AA1355" s="1"/>
      <c r="AB1355" s="15"/>
      <c r="AC1355" s="15"/>
      <c r="AD1355" s="15"/>
      <c r="AE1355" s="15"/>
      <c r="AF1355" s="2"/>
      <c r="AG1355" s="10" t="s">
        <v>2497</v>
      </c>
      <c r="AH1355" s="12" t="s">
        <v>355</v>
      </c>
      <c r="AI1355" s="16" t="s">
        <v>45</v>
      </c>
      <c r="AJ1355" s="16" t="s">
        <v>45</v>
      </c>
      <c r="AK1355" s="16" t="s">
        <v>45</v>
      </c>
      <c r="AL1355" s="10" t="s">
        <v>49</v>
      </c>
      <c r="AM1355" s="16" t="s">
        <v>45</v>
      </c>
      <c r="AN1355" s="10" t="s">
        <v>320</v>
      </c>
    </row>
    <row r="1356" ht="30.0" customHeight="1">
      <c r="A1356" s="9" t="str">
        <f t="shared" si="48"/>
        <v>Inativo</v>
      </c>
      <c r="B1356" s="9" t="str">
        <f t="shared" si="49"/>
        <v>N/I</v>
      </c>
      <c r="C1356" s="9" t="str">
        <f t="shared" si="80"/>
        <v>N/I</v>
      </c>
      <c r="D1356" s="10" t="s">
        <v>4239</v>
      </c>
      <c r="E1356" s="11" t="s">
        <v>4240</v>
      </c>
      <c r="F1356" s="11" t="s">
        <v>4261</v>
      </c>
      <c r="G1356" s="12" t="s">
        <v>94</v>
      </c>
      <c r="H1356" s="41" t="s">
        <v>4262</v>
      </c>
      <c r="I1356" s="12" t="s">
        <v>4263</v>
      </c>
      <c r="J1356" s="10" t="s">
        <v>521</v>
      </c>
      <c r="K1356" s="10" t="s">
        <v>263</v>
      </c>
      <c r="L1356" s="10" t="s">
        <v>4</v>
      </c>
      <c r="M1356" s="22">
        <v>45645.0</v>
      </c>
      <c r="N1356" s="32" t="s">
        <v>4264</v>
      </c>
      <c r="O1356" s="10" t="s">
        <v>4265</v>
      </c>
      <c r="P1356" s="10" t="s">
        <v>4256</v>
      </c>
      <c r="Q1356" s="2"/>
      <c r="R1356" s="10">
        <v>12.0</v>
      </c>
      <c r="S1356" s="14">
        <v>45645.0</v>
      </c>
      <c r="T1356" s="14">
        <v>46010.0</v>
      </c>
      <c r="U1356" s="10">
        <f t="shared" si="114"/>
        <v>-81</v>
      </c>
      <c r="V1356" s="2"/>
      <c r="W1356" s="15"/>
      <c r="X1356" s="15"/>
      <c r="Y1356" s="15"/>
      <c r="Z1356" s="15"/>
      <c r="AA1356" s="1"/>
      <c r="AB1356" s="15"/>
      <c r="AC1356" s="15"/>
      <c r="AD1356" s="15"/>
      <c r="AE1356" s="15"/>
      <c r="AF1356" s="2"/>
      <c r="AG1356" s="10" t="s">
        <v>2497</v>
      </c>
      <c r="AH1356" s="12" t="s">
        <v>355</v>
      </c>
      <c r="AI1356" s="16" t="s">
        <v>45</v>
      </c>
      <c r="AJ1356" s="16" t="s">
        <v>45</v>
      </c>
      <c r="AK1356" s="16" t="s">
        <v>45</v>
      </c>
      <c r="AL1356" s="10" t="s">
        <v>49</v>
      </c>
      <c r="AM1356" s="16" t="s">
        <v>45</v>
      </c>
      <c r="AN1356" s="10" t="s">
        <v>320</v>
      </c>
    </row>
    <row r="1357" ht="30.0" customHeight="1">
      <c r="A1357" s="9" t="str">
        <f t="shared" si="48"/>
        <v>Inativo</v>
      </c>
      <c r="B1357" s="9" t="str">
        <f t="shared" si="49"/>
        <v>N/I</v>
      </c>
      <c r="C1357" s="9" t="str">
        <f t="shared" si="80"/>
        <v>N/I</v>
      </c>
      <c r="D1357" s="10" t="s">
        <v>4239</v>
      </c>
      <c r="E1357" s="11" t="s">
        <v>4240</v>
      </c>
      <c r="F1357" s="11" t="s">
        <v>4266</v>
      </c>
      <c r="G1357" s="12" t="s">
        <v>94</v>
      </c>
      <c r="H1357" s="19" t="s">
        <v>4267</v>
      </c>
      <c r="I1357" s="12" t="s">
        <v>4268</v>
      </c>
      <c r="J1357" s="10" t="s">
        <v>521</v>
      </c>
      <c r="K1357" s="10" t="s">
        <v>263</v>
      </c>
      <c r="L1357" s="10" t="s">
        <v>4</v>
      </c>
      <c r="M1357" s="22">
        <v>45056.0</v>
      </c>
      <c r="N1357" s="32" t="s">
        <v>4269</v>
      </c>
      <c r="O1357" s="10" t="s">
        <v>4270</v>
      </c>
      <c r="P1357" s="10" t="s">
        <v>4271</v>
      </c>
      <c r="Q1357" s="2"/>
      <c r="R1357" s="10">
        <v>12.0</v>
      </c>
      <c r="S1357" s="14">
        <v>45056.0</v>
      </c>
      <c r="T1357" s="14">
        <v>45422.0</v>
      </c>
      <c r="U1357" s="10">
        <f t="shared" si="114"/>
        <v>-669</v>
      </c>
      <c r="V1357" s="2"/>
      <c r="W1357" s="15"/>
      <c r="X1357" s="15"/>
      <c r="Y1357" s="15"/>
      <c r="Z1357" s="15"/>
      <c r="AA1357" s="1"/>
      <c r="AB1357" s="15"/>
      <c r="AC1357" s="15"/>
      <c r="AD1357" s="15"/>
      <c r="AE1357" s="15"/>
      <c r="AF1357" s="2"/>
      <c r="AG1357" s="12" t="s">
        <v>4272</v>
      </c>
      <c r="AH1357" s="10" t="s">
        <v>318</v>
      </c>
      <c r="AI1357" s="10" t="s">
        <v>319</v>
      </c>
      <c r="AJ1357" s="10" t="s">
        <v>2423</v>
      </c>
      <c r="AK1357" s="16" t="s">
        <v>45</v>
      </c>
      <c r="AL1357" s="10" t="s">
        <v>49</v>
      </c>
      <c r="AM1357" s="10" t="s">
        <v>2498</v>
      </c>
      <c r="AN1357" s="10" t="s">
        <v>320</v>
      </c>
    </row>
    <row r="1358" ht="30.0" customHeight="1">
      <c r="A1358" s="9" t="str">
        <f t="shared" si="48"/>
        <v>N/I</v>
      </c>
      <c r="B1358" s="9" t="str">
        <f t="shared" si="49"/>
        <v>N/I</v>
      </c>
      <c r="C1358" s="9" t="str">
        <f t="shared" si="80"/>
        <v>N/I</v>
      </c>
      <c r="D1358" s="10" t="s">
        <v>4239</v>
      </c>
      <c r="E1358" s="11" t="s">
        <v>4240</v>
      </c>
      <c r="F1358" s="11" t="s">
        <v>4273</v>
      </c>
      <c r="G1358" s="12" t="s">
        <v>94</v>
      </c>
      <c r="H1358" s="19" t="s">
        <v>4274</v>
      </c>
      <c r="I1358" s="12" t="s">
        <v>4275</v>
      </c>
      <c r="J1358" s="10" t="s">
        <v>521</v>
      </c>
      <c r="K1358" s="10" t="s">
        <v>263</v>
      </c>
      <c r="L1358" s="10" t="s">
        <v>4</v>
      </c>
      <c r="M1358" s="24" t="s">
        <v>193</v>
      </c>
      <c r="N1358" s="32" t="s">
        <v>4276</v>
      </c>
      <c r="O1358" s="10" t="s">
        <v>4277</v>
      </c>
      <c r="P1358" s="10" t="s">
        <v>4271</v>
      </c>
      <c r="Q1358" s="2"/>
      <c r="R1358" s="10">
        <v>12.0</v>
      </c>
      <c r="S1358" s="26" t="s">
        <v>187</v>
      </c>
      <c r="T1358" s="26" t="s">
        <v>187</v>
      </c>
      <c r="U1358" s="26"/>
      <c r="V1358" s="2"/>
      <c r="W1358" s="15"/>
      <c r="X1358" s="15"/>
      <c r="Y1358" s="15"/>
      <c r="Z1358" s="15"/>
      <c r="AA1358" s="1"/>
      <c r="AB1358" s="15"/>
      <c r="AC1358" s="15"/>
      <c r="AD1358" s="15"/>
      <c r="AE1358" s="15"/>
      <c r="AF1358" s="2"/>
      <c r="AG1358" s="12" t="s">
        <v>4272</v>
      </c>
      <c r="AH1358" s="10" t="s">
        <v>318</v>
      </c>
      <c r="AI1358" s="10" t="s">
        <v>319</v>
      </c>
      <c r="AJ1358" s="10" t="s">
        <v>2423</v>
      </c>
      <c r="AK1358" s="16" t="s">
        <v>45</v>
      </c>
      <c r="AL1358" s="10" t="s">
        <v>49</v>
      </c>
      <c r="AM1358" s="10" t="s">
        <v>2498</v>
      </c>
      <c r="AN1358" s="10" t="s">
        <v>320</v>
      </c>
    </row>
    <row r="1359" ht="30.0" customHeight="1">
      <c r="A1359" s="9" t="str">
        <f t="shared" si="48"/>
        <v>N/I</v>
      </c>
      <c r="B1359" s="9" t="str">
        <f t="shared" si="49"/>
        <v>N/I</v>
      </c>
      <c r="C1359" s="9" t="str">
        <f t="shared" si="80"/>
        <v>N/I</v>
      </c>
      <c r="D1359" s="10" t="s">
        <v>4239</v>
      </c>
      <c r="E1359" s="11" t="s">
        <v>4240</v>
      </c>
      <c r="F1359" s="11" t="s">
        <v>4273</v>
      </c>
      <c r="G1359" s="12" t="s">
        <v>94</v>
      </c>
      <c r="H1359" s="19" t="s">
        <v>4278</v>
      </c>
      <c r="I1359" s="12" t="s">
        <v>4275</v>
      </c>
      <c r="J1359" s="10" t="s">
        <v>521</v>
      </c>
      <c r="K1359" s="10" t="s">
        <v>263</v>
      </c>
      <c r="L1359" s="10" t="s">
        <v>4</v>
      </c>
      <c r="M1359" s="24" t="s">
        <v>193</v>
      </c>
      <c r="N1359" s="32" t="s">
        <v>4276</v>
      </c>
      <c r="O1359" s="10" t="s">
        <v>4277</v>
      </c>
      <c r="P1359" s="10" t="s">
        <v>4271</v>
      </c>
      <c r="Q1359" s="2"/>
      <c r="R1359" s="10">
        <v>12.0</v>
      </c>
      <c r="S1359" s="26" t="s">
        <v>187</v>
      </c>
      <c r="T1359" s="26" t="s">
        <v>187</v>
      </c>
      <c r="U1359" s="26"/>
      <c r="V1359" s="2"/>
      <c r="W1359" s="15"/>
      <c r="X1359" s="15"/>
      <c r="Y1359" s="15"/>
      <c r="Z1359" s="15"/>
      <c r="AA1359" s="1"/>
      <c r="AB1359" s="15"/>
      <c r="AC1359" s="15"/>
      <c r="AD1359" s="15"/>
      <c r="AE1359" s="15"/>
      <c r="AF1359" s="2"/>
      <c r="AG1359" s="12" t="s">
        <v>4272</v>
      </c>
      <c r="AH1359" s="10" t="s">
        <v>318</v>
      </c>
      <c r="AI1359" s="10" t="s">
        <v>319</v>
      </c>
      <c r="AJ1359" s="10" t="s">
        <v>2423</v>
      </c>
      <c r="AK1359" s="16" t="s">
        <v>45</v>
      </c>
      <c r="AL1359" s="10" t="s">
        <v>49</v>
      </c>
      <c r="AM1359" s="10" t="s">
        <v>2498</v>
      </c>
      <c r="AN1359" s="10" t="s">
        <v>320</v>
      </c>
    </row>
    <row r="1360" ht="30.0" customHeight="1">
      <c r="A1360" s="9" t="str">
        <f t="shared" si="48"/>
        <v>Inativo</v>
      </c>
      <c r="B1360" s="9" t="str">
        <f t="shared" si="49"/>
        <v>N/I</v>
      </c>
      <c r="C1360" s="9" t="str">
        <f t="shared" si="80"/>
        <v>N/I</v>
      </c>
      <c r="D1360" s="10" t="s">
        <v>4239</v>
      </c>
      <c r="E1360" s="11" t="s">
        <v>4240</v>
      </c>
      <c r="F1360" s="32" t="s">
        <v>4279</v>
      </c>
      <c r="G1360" s="12" t="s">
        <v>94</v>
      </c>
      <c r="H1360" s="20" t="s">
        <v>4280</v>
      </c>
      <c r="I1360" s="12" t="s">
        <v>4281</v>
      </c>
      <c r="J1360" s="10" t="s">
        <v>521</v>
      </c>
      <c r="K1360" s="10" t="s">
        <v>263</v>
      </c>
      <c r="L1360" s="10" t="s">
        <v>4</v>
      </c>
      <c r="M1360" s="14">
        <v>44008.0</v>
      </c>
      <c r="N1360" s="11" t="s">
        <v>4282</v>
      </c>
      <c r="O1360" s="10" t="s">
        <v>4283</v>
      </c>
      <c r="P1360" s="10" t="s">
        <v>4284</v>
      </c>
      <c r="Q1360" s="2"/>
      <c r="R1360" s="10">
        <v>60.0</v>
      </c>
      <c r="S1360" s="14">
        <v>44008.0</v>
      </c>
      <c r="T1360" s="14">
        <v>45833.0</v>
      </c>
      <c r="U1360" s="10">
        <f t="shared" ref="U1360:U1364" si="115">T1360-TODAY()</f>
        <v>-258</v>
      </c>
      <c r="V1360" s="2"/>
      <c r="W1360" s="15"/>
      <c r="X1360" s="15"/>
      <c r="Y1360" s="15"/>
      <c r="Z1360" s="15"/>
      <c r="AA1360" s="1"/>
      <c r="AB1360" s="15"/>
      <c r="AC1360" s="15"/>
      <c r="AD1360" s="15"/>
      <c r="AE1360" s="15"/>
      <c r="AF1360" s="2"/>
      <c r="AG1360" s="10" t="s">
        <v>706</v>
      </c>
      <c r="AH1360" s="12" t="s">
        <v>46</v>
      </c>
      <c r="AI1360" s="10" t="s">
        <v>226</v>
      </c>
      <c r="AJ1360" s="10" t="s">
        <v>291</v>
      </c>
      <c r="AK1360" s="16" t="s">
        <v>45</v>
      </c>
      <c r="AL1360" s="10" t="s">
        <v>49</v>
      </c>
      <c r="AM1360" s="10" t="s">
        <v>508</v>
      </c>
      <c r="AN1360" s="10" t="s">
        <v>50</v>
      </c>
    </row>
    <row r="1361" ht="30.0" customHeight="1">
      <c r="A1361" s="9" t="str">
        <f t="shared" si="48"/>
        <v>Inativo</v>
      </c>
      <c r="B1361" s="9" t="str">
        <f t="shared" si="49"/>
        <v>N/I</v>
      </c>
      <c r="C1361" s="9" t="str">
        <f t="shared" si="80"/>
        <v>N/I</v>
      </c>
      <c r="D1361" s="10" t="s">
        <v>4239</v>
      </c>
      <c r="E1361" s="11" t="s">
        <v>4240</v>
      </c>
      <c r="F1361" s="11" t="s">
        <v>4285</v>
      </c>
      <c r="G1361" s="12" t="s">
        <v>94</v>
      </c>
      <c r="H1361" s="41" t="s">
        <v>4286</v>
      </c>
      <c r="I1361" s="12" t="s">
        <v>4287</v>
      </c>
      <c r="J1361" s="10" t="s">
        <v>521</v>
      </c>
      <c r="K1361" s="10" t="s">
        <v>263</v>
      </c>
      <c r="L1361" s="10" t="s">
        <v>4</v>
      </c>
      <c r="M1361" s="22">
        <v>45645.0</v>
      </c>
      <c r="N1361" s="32" t="s">
        <v>4288</v>
      </c>
      <c r="O1361" s="10" t="s">
        <v>4289</v>
      </c>
      <c r="P1361" s="10" t="s">
        <v>4256</v>
      </c>
      <c r="Q1361" s="2"/>
      <c r="R1361" s="10">
        <v>12.0</v>
      </c>
      <c r="S1361" s="14">
        <v>45645.0</v>
      </c>
      <c r="T1361" s="14">
        <v>46010.0</v>
      </c>
      <c r="U1361" s="10">
        <f t="shared" si="115"/>
        <v>-81</v>
      </c>
      <c r="V1361" s="2"/>
      <c r="W1361" s="15"/>
      <c r="X1361" s="15"/>
      <c r="Y1361" s="15"/>
      <c r="Z1361" s="15"/>
      <c r="AA1361" s="1"/>
      <c r="AB1361" s="15"/>
      <c r="AC1361" s="15"/>
      <c r="AD1361" s="15"/>
      <c r="AE1361" s="15"/>
      <c r="AF1361" s="2"/>
      <c r="AG1361" s="10" t="s">
        <v>2497</v>
      </c>
      <c r="AH1361" s="12" t="s">
        <v>355</v>
      </c>
      <c r="AI1361" s="16" t="s">
        <v>45</v>
      </c>
      <c r="AJ1361" s="16" t="s">
        <v>45</v>
      </c>
      <c r="AK1361" s="16" t="s">
        <v>45</v>
      </c>
      <c r="AL1361" s="10" t="s">
        <v>49</v>
      </c>
      <c r="AM1361" s="16" t="s">
        <v>45</v>
      </c>
      <c r="AN1361" s="10" t="s">
        <v>320</v>
      </c>
    </row>
    <row r="1362" ht="30.0" customHeight="1">
      <c r="A1362" s="9" t="str">
        <f t="shared" si="48"/>
        <v>Inativo</v>
      </c>
      <c r="B1362" s="9" t="str">
        <f t="shared" si="49"/>
        <v>N/I</v>
      </c>
      <c r="C1362" s="9" t="str">
        <f t="shared" si="80"/>
        <v>N/I</v>
      </c>
      <c r="D1362" s="10" t="s">
        <v>4239</v>
      </c>
      <c r="E1362" s="11" t="s">
        <v>4240</v>
      </c>
      <c r="F1362" s="11" t="s">
        <v>4290</v>
      </c>
      <c r="G1362" s="12" t="s">
        <v>94</v>
      </c>
      <c r="H1362" s="19" t="s">
        <v>4291</v>
      </c>
      <c r="I1362" s="12" t="s">
        <v>4292</v>
      </c>
      <c r="J1362" s="10" t="s">
        <v>521</v>
      </c>
      <c r="K1362" s="10" t="s">
        <v>263</v>
      </c>
      <c r="L1362" s="10" t="s">
        <v>4</v>
      </c>
      <c r="M1362" s="22">
        <v>45054.0</v>
      </c>
      <c r="N1362" s="32" t="s">
        <v>4293</v>
      </c>
      <c r="O1362" s="10" t="s">
        <v>4294</v>
      </c>
      <c r="P1362" s="10" t="s">
        <v>4271</v>
      </c>
      <c r="Q1362" s="2"/>
      <c r="R1362" s="10">
        <v>12.0</v>
      </c>
      <c r="S1362" s="14">
        <v>45054.0</v>
      </c>
      <c r="T1362" s="14">
        <v>45420.0</v>
      </c>
      <c r="U1362" s="10">
        <f t="shared" si="115"/>
        <v>-671</v>
      </c>
      <c r="V1362" s="2"/>
      <c r="W1362" s="15"/>
      <c r="X1362" s="15"/>
      <c r="Y1362" s="15"/>
      <c r="Z1362" s="15"/>
      <c r="AA1362" s="1"/>
      <c r="AB1362" s="15"/>
      <c r="AC1362" s="15"/>
      <c r="AD1362" s="15"/>
      <c r="AE1362" s="15"/>
      <c r="AF1362" s="2"/>
      <c r="AG1362" s="12" t="s">
        <v>4272</v>
      </c>
      <c r="AH1362" s="10" t="s">
        <v>318</v>
      </c>
      <c r="AI1362" s="10" t="s">
        <v>319</v>
      </c>
      <c r="AJ1362" s="10" t="s">
        <v>2423</v>
      </c>
      <c r="AK1362" s="16" t="s">
        <v>45</v>
      </c>
      <c r="AL1362" s="10" t="s">
        <v>49</v>
      </c>
      <c r="AM1362" s="10" t="s">
        <v>2498</v>
      </c>
      <c r="AN1362" s="10" t="s">
        <v>320</v>
      </c>
    </row>
    <row r="1363" ht="30.0" customHeight="1">
      <c r="A1363" s="9" t="str">
        <f t="shared" si="48"/>
        <v>Inativo</v>
      </c>
      <c r="B1363" s="9" t="str">
        <f t="shared" si="49"/>
        <v>N/I</v>
      </c>
      <c r="C1363" s="9" t="str">
        <f t="shared" si="80"/>
        <v>N/I</v>
      </c>
      <c r="D1363" s="10" t="s">
        <v>4239</v>
      </c>
      <c r="E1363" s="11" t="s">
        <v>4240</v>
      </c>
      <c r="F1363" s="11" t="s">
        <v>4295</v>
      </c>
      <c r="G1363" s="12" t="s">
        <v>94</v>
      </c>
      <c r="H1363" s="19" t="s">
        <v>4296</v>
      </c>
      <c r="I1363" s="12" t="s">
        <v>4292</v>
      </c>
      <c r="J1363" s="10" t="s">
        <v>521</v>
      </c>
      <c r="K1363" s="10" t="s">
        <v>263</v>
      </c>
      <c r="L1363" s="10" t="s">
        <v>4</v>
      </c>
      <c r="M1363" s="22">
        <v>45055.0</v>
      </c>
      <c r="N1363" s="32" t="s">
        <v>4293</v>
      </c>
      <c r="O1363" s="10" t="s">
        <v>4294</v>
      </c>
      <c r="P1363" s="10" t="s">
        <v>4271</v>
      </c>
      <c r="Q1363" s="2"/>
      <c r="R1363" s="10">
        <v>12.0</v>
      </c>
      <c r="S1363" s="14">
        <v>45055.0</v>
      </c>
      <c r="T1363" s="14">
        <v>45421.0</v>
      </c>
      <c r="U1363" s="10">
        <f t="shared" si="115"/>
        <v>-670</v>
      </c>
      <c r="V1363" s="2"/>
      <c r="W1363" s="15"/>
      <c r="X1363" s="15"/>
      <c r="Y1363" s="15"/>
      <c r="Z1363" s="15"/>
      <c r="AA1363" s="1"/>
      <c r="AB1363" s="15"/>
      <c r="AC1363" s="15"/>
      <c r="AD1363" s="15"/>
      <c r="AE1363" s="15"/>
      <c r="AF1363" s="2"/>
      <c r="AG1363" s="12" t="s">
        <v>4272</v>
      </c>
      <c r="AH1363" s="10" t="s">
        <v>318</v>
      </c>
      <c r="AI1363" s="10" t="s">
        <v>319</v>
      </c>
      <c r="AJ1363" s="10" t="s">
        <v>2423</v>
      </c>
      <c r="AK1363" s="16" t="s">
        <v>45</v>
      </c>
      <c r="AL1363" s="10" t="s">
        <v>49</v>
      </c>
      <c r="AM1363" s="10" t="s">
        <v>2498</v>
      </c>
      <c r="AN1363" s="10" t="s">
        <v>320</v>
      </c>
    </row>
    <row r="1364" ht="30.0" customHeight="1">
      <c r="A1364" s="9" t="str">
        <f t="shared" si="48"/>
        <v>Inativo</v>
      </c>
      <c r="B1364" s="9" t="str">
        <f t="shared" si="49"/>
        <v>N/I</v>
      </c>
      <c r="C1364" s="9" t="str">
        <f t="shared" si="80"/>
        <v>N/I</v>
      </c>
      <c r="D1364" s="10" t="s">
        <v>4239</v>
      </c>
      <c r="E1364" s="11" t="s">
        <v>4240</v>
      </c>
      <c r="F1364" s="11" t="s">
        <v>4297</v>
      </c>
      <c r="G1364" s="12" t="s">
        <v>94</v>
      </c>
      <c r="H1364" s="19" t="s">
        <v>4298</v>
      </c>
      <c r="I1364" s="12" t="s">
        <v>4292</v>
      </c>
      <c r="J1364" s="10" t="s">
        <v>521</v>
      </c>
      <c r="K1364" s="10" t="s">
        <v>263</v>
      </c>
      <c r="L1364" s="10" t="s">
        <v>4</v>
      </c>
      <c r="M1364" s="22">
        <v>45572.0</v>
      </c>
      <c r="N1364" s="32" t="s">
        <v>4299</v>
      </c>
      <c r="O1364" s="10" t="s">
        <v>4294</v>
      </c>
      <c r="P1364" s="10" t="s">
        <v>4271</v>
      </c>
      <c r="Q1364" s="2"/>
      <c r="R1364" s="10">
        <v>12.0</v>
      </c>
      <c r="S1364" s="14">
        <v>45572.0</v>
      </c>
      <c r="T1364" s="14">
        <v>45937.0</v>
      </c>
      <c r="U1364" s="10">
        <f t="shared" si="115"/>
        <v>-154</v>
      </c>
      <c r="V1364" s="2"/>
      <c r="W1364" s="15"/>
      <c r="X1364" s="15"/>
      <c r="Y1364" s="15"/>
      <c r="Z1364" s="15"/>
      <c r="AA1364" s="1"/>
      <c r="AB1364" s="15"/>
      <c r="AC1364" s="15"/>
      <c r="AD1364" s="15"/>
      <c r="AE1364" s="15"/>
      <c r="AF1364" s="2"/>
      <c r="AG1364" s="12" t="s">
        <v>4272</v>
      </c>
      <c r="AH1364" s="10" t="s">
        <v>318</v>
      </c>
      <c r="AI1364" s="10" t="s">
        <v>319</v>
      </c>
      <c r="AJ1364" s="10" t="s">
        <v>2423</v>
      </c>
      <c r="AK1364" s="16" t="s">
        <v>45</v>
      </c>
      <c r="AL1364" s="10" t="s">
        <v>49</v>
      </c>
      <c r="AM1364" s="10" t="s">
        <v>2498</v>
      </c>
      <c r="AN1364" s="10" t="s">
        <v>320</v>
      </c>
    </row>
    <row r="1365" ht="30.0" customHeight="1">
      <c r="A1365" s="9" t="str">
        <f t="shared" si="48"/>
        <v>N/I</v>
      </c>
      <c r="B1365" s="9" t="str">
        <f t="shared" si="49"/>
        <v>N/I</v>
      </c>
      <c r="C1365" s="9" t="str">
        <f t="shared" si="80"/>
        <v>N/I</v>
      </c>
      <c r="D1365" s="10" t="s">
        <v>4239</v>
      </c>
      <c r="E1365" s="11" t="s">
        <v>4240</v>
      </c>
      <c r="F1365" s="11" t="s">
        <v>4290</v>
      </c>
      <c r="G1365" s="12" t="s">
        <v>94</v>
      </c>
      <c r="H1365" s="19" t="s">
        <v>4300</v>
      </c>
      <c r="I1365" s="12" t="s">
        <v>4292</v>
      </c>
      <c r="J1365" s="10" t="s">
        <v>521</v>
      </c>
      <c r="K1365" s="10" t="s">
        <v>263</v>
      </c>
      <c r="L1365" s="10" t="s">
        <v>4</v>
      </c>
      <c r="M1365" s="24" t="s">
        <v>193</v>
      </c>
      <c r="N1365" s="32" t="s">
        <v>4293</v>
      </c>
      <c r="O1365" s="10" t="s">
        <v>4294</v>
      </c>
      <c r="P1365" s="10" t="s">
        <v>4271</v>
      </c>
      <c r="Q1365" s="2"/>
      <c r="R1365" s="10">
        <v>12.0</v>
      </c>
      <c r="S1365" s="26" t="s">
        <v>187</v>
      </c>
      <c r="T1365" s="26" t="s">
        <v>187</v>
      </c>
      <c r="U1365" s="26"/>
      <c r="V1365" s="2"/>
      <c r="W1365" s="15"/>
      <c r="X1365" s="15"/>
      <c r="Y1365" s="15"/>
      <c r="Z1365" s="15"/>
      <c r="AA1365" s="1"/>
      <c r="AB1365" s="15"/>
      <c r="AC1365" s="15"/>
      <c r="AD1365" s="15"/>
      <c r="AE1365" s="15"/>
      <c r="AF1365" s="2"/>
      <c r="AG1365" s="12" t="s">
        <v>4272</v>
      </c>
      <c r="AH1365" s="10" t="s">
        <v>318</v>
      </c>
      <c r="AI1365" s="10" t="s">
        <v>319</v>
      </c>
      <c r="AJ1365" s="10" t="s">
        <v>2423</v>
      </c>
      <c r="AK1365" s="16" t="s">
        <v>45</v>
      </c>
      <c r="AL1365" s="10" t="s">
        <v>49</v>
      </c>
      <c r="AM1365" s="10" t="s">
        <v>2498</v>
      </c>
      <c r="AN1365" s="10" t="s">
        <v>320</v>
      </c>
    </row>
    <row r="1366" ht="30.0" customHeight="1">
      <c r="A1366" s="9" t="str">
        <f t="shared" si="48"/>
        <v>Inativo</v>
      </c>
      <c r="B1366" s="9" t="str">
        <f t="shared" si="49"/>
        <v>N/I</v>
      </c>
      <c r="C1366" s="9" t="str">
        <f t="shared" si="80"/>
        <v>N/I</v>
      </c>
      <c r="D1366" s="10" t="s">
        <v>4239</v>
      </c>
      <c r="E1366" s="11" t="s">
        <v>4240</v>
      </c>
      <c r="F1366" s="11" t="s">
        <v>4301</v>
      </c>
      <c r="G1366" s="12" t="s">
        <v>94</v>
      </c>
      <c r="H1366" s="41" t="s">
        <v>4302</v>
      </c>
      <c r="I1366" s="12" t="s">
        <v>4292</v>
      </c>
      <c r="J1366" s="10" t="s">
        <v>521</v>
      </c>
      <c r="K1366" s="10" t="s">
        <v>263</v>
      </c>
      <c r="L1366" s="10" t="s">
        <v>4</v>
      </c>
      <c r="M1366" s="22">
        <v>45642.0</v>
      </c>
      <c r="N1366" s="32" t="s">
        <v>4303</v>
      </c>
      <c r="O1366" s="10" t="s">
        <v>4294</v>
      </c>
      <c r="P1366" s="10" t="s">
        <v>4256</v>
      </c>
      <c r="Q1366" s="2"/>
      <c r="R1366" s="10">
        <v>12.0</v>
      </c>
      <c r="S1366" s="14">
        <v>45642.0</v>
      </c>
      <c r="T1366" s="14">
        <v>46007.0</v>
      </c>
      <c r="U1366" s="10">
        <f t="shared" ref="U1366:U1375" si="116">T1366-TODAY()</f>
        <v>-84</v>
      </c>
      <c r="V1366" s="2"/>
      <c r="W1366" s="15"/>
      <c r="X1366" s="15"/>
      <c r="Y1366" s="15"/>
      <c r="Z1366" s="15"/>
      <c r="AA1366" s="1"/>
      <c r="AB1366" s="15"/>
      <c r="AC1366" s="15"/>
      <c r="AD1366" s="15"/>
      <c r="AE1366" s="15"/>
      <c r="AF1366" s="2"/>
      <c r="AG1366" s="10" t="s">
        <v>2497</v>
      </c>
      <c r="AH1366" s="12" t="s">
        <v>355</v>
      </c>
      <c r="AI1366" s="16" t="s">
        <v>45</v>
      </c>
      <c r="AJ1366" s="16" t="s">
        <v>45</v>
      </c>
      <c r="AK1366" s="16" t="s">
        <v>45</v>
      </c>
      <c r="AL1366" s="10" t="s">
        <v>49</v>
      </c>
      <c r="AM1366" s="16" t="s">
        <v>45</v>
      </c>
      <c r="AN1366" s="10" t="s">
        <v>320</v>
      </c>
    </row>
    <row r="1367" ht="30.0" customHeight="1">
      <c r="A1367" s="9" t="str">
        <f t="shared" si="48"/>
        <v>Inativo</v>
      </c>
      <c r="B1367" s="9" t="str">
        <f t="shared" si="49"/>
        <v>N/I</v>
      </c>
      <c r="C1367" s="9" t="str">
        <f t="shared" si="80"/>
        <v>N/I</v>
      </c>
      <c r="D1367" s="10" t="s">
        <v>4239</v>
      </c>
      <c r="E1367" s="11" t="s">
        <v>4240</v>
      </c>
      <c r="F1367" s="11" t="s">
        <v>4304</v>
      </c>
      <c r="G1367" s="12" t="s">
        <v>94</v>
      </c>
      <c r="H1367" s="41" t="s">
        <v>4305</v>
      </c>
      <c r="I1367" s="12" t="s">
        <v>4292</v>
      </c>
      <c r="J1367" s="10" t="s">
        <v>521</v>
      </c>
      <c r="K1367" s="10" t="s">
        <v>263</v>
      </c>
      <c r="L1367" s="10" t="s">
        <v>4</v>
      </c>
      <c r="M1367" s="22">
        <v>45643.0</v>
      </c>
      <c r="N1367" s="32" t="s">
        <v>4306</v>
      </c>
      <c r="O1367" s="10" t="s">
        <v>4294</v>
      </c>
      <c r="P1367" s="10" t="s">
        <v>4256</v>
      </c>
      <c r="Q1367" s="2"/>
      <c r="R1367" s="10">
        <v>12.0</v>
      </c>
      <c r="S1367" s="14">
        <v>45643.0</v>
      </c>
      <c r="T1367" s="14">
        <v>46008.0</v>
      </c>
      <c r="U1367" s="10">
        <f t="shared" si="116"/>
        <v>-83</v>
      </c>
      <c r="V1367" s="2"/>
      <c r="W1367" s="15"/>
      <c r="X1367" s="15"/>
      <c r="Y1367" s="15"/>
      <c r="Z1367" s="15"/>
      <c r="AA1367" s="1"/>
      <c r="AB1367" s="15"/>
      <c r="AC1367" s="15"/>
      <c r="AD1367" s="15"/>
      <c r="AE1367" s="15"/>
      <c r="AF1367" s="2"/>
      <c r="AG1367" s="10" t="s">
        <v>2497</v>
      </c>
      <c r="AH1367" s="12" t="s">
        <v>355</v>
      </c>
      <c r="AI1367" s="16" t="s">
        <v>45</v>
      </c>
      <c r="AJ1367" s="16" t="s">
        <v>45</v>
      </c>
      <c r="AK1367" s="16" t="s">
        <v>45</v>
      </c>
      <c r="AL1367" s="10" t="s">
        <v>49</v>
      </c>
      <c r="AM1367" s="16" t="s">
        <v>45</v>
      </c>
      <c r="AN1367" s="10" t="s">
        <v>320</v>
      </c>
    </row>
    <row r="1368" ht="30.0" customHeight="1">
      <c r="A1368" s="9" t="str">
        <f t="shared" si="48"/>
        <v>Inativo</v>
      </c>
      <c r="B1368" s="9" t="str">
        <f t="shared" si="49"/>
        <v>N/I</v>
      </c>
      <c r="C1368" s="9" t="str">
        <f t="shared" si="80"/>
        <v>N/I</v>
      </c>
      <c r="D1368" s="10" t="s">
        <v>4239</v>
      </c>
      <c r="E1368" s="11" t="s">
        <v>4240</v>
      </c>
      <c r="F1368" s="11" t="s">
        <v>4307</v>
      </c>
      <c r="G1368" s="12" t="s">
        <v>94</v>
      </c>
      <c r="H1368" s="41" t="s">
        <v>4308</v>
      </c>
      <c r="I1368" s="12" t="s">
        <v>4309</v>
      </c>
      <c r="J1368" s="10" t="s">
        <v>521</v>
      </c>
      <c r="K1368" s="10" t="s">
        <v>263</v>
      </c>
      <c r="L1368" s="10" t="s">
        <v>4</v>
      </c>
      <c r="M1368" s="22">
        <v>45642.0</v>
      </c>
      <c r="N1368" s="32" t="s">
        <v>4310</v>
      </c>
      <c r="O1368" s="10" t="s">
        <v>4311</v>
      </c>
      <c r="P1368" s="10" t="s">
        <v>4256</v>
      </c>
      <c r="Q1368" s="2"/>
      <c r="R1368" s="10">
        <v>12.0</v>
      </c>
      <c r="S1368" s="14">
        <v>45642.0</v>
      </c>
      <c r="T1368" s="14">
        <v>46007.0</v>
      </c>
      <c r="U1368" s="10">
        <f t="shared" si="116"/>
        <v>-84</v>
      </c>
      <c r="V1368" s="2"/>
      <c r="W1368" s="15"/>
      <c r="X1368" s="15"/>
      <c r="Y1368" s="15"/>
      <c r="Z1368" s="15"/>
      <c r="AA1368" s="1"/>
      <c r="AB1368" s="15"/>
      <c r="AC1368" s="15"/>
      <c r="AD1368" s="15"/>
      <c r="AE1368" s="15"/>
      <c r="AF1368" s="2"/>
      <c r="AG1368" s="10" t="s">
        <v>2497</v>
      </c>
      <c r="AH1368" s="12" t="s">
        <v>355</v>
      </c>
      <c r="AI1368" s="16" t="s">
        <v>45</v>
      </c>
      <c r="AJ1368" s="16" t="s">
        <v>45</v>
      </c>
      <c r="AK1368" s="16" t="s">
        <v>45</v>
      </c>
      <c r="AL1368" s="10" t="s">
        <v>49</v>
      </c>
      <c r="AM1368" s="16" t="s">
        <v>45</v>
      </c>
      <c r="AN1368" s="10" t="s">
        <v>320</v>
      </c>
    </row>
    <row r="1369" ht="30.0" customHeight="1">
      <c r="A1369" s="9" t="str">
        <f t="shared" si="48"/>
        <v>Inativo</v>
      </c>
      <c r="B1369" s="9" t="str">
        <f t="shared" si="49"/>
        <v>N/I</v>
      </c>
      <c r="C1369" s="9" t="str">
        <f t="shared" si="80"/>
        <v>N/I</v>
      </c>
      <c r="D1369" s="10" t="s">
        <v>4239</v>
      </c>
      <c r="E1369" s="11" t="s">
        <v>4240</v>
      </c>
      <c r="F1369" s="11" t="s">
        <v>4312</v>
      </c>
      <c r="G1369" s="12" t="s">
        <v>94</v>
      </c>
      <c r="H1369" s="41" t="s">
        <v>4313</v>
      </c>
      <c r="I1369" s="12" t="s">
        <v>4314</v>
      </c>
      <c r="J1369" s="10" t="s">
        <v>521</v>
      </c>
      <c r="K1369" s="10" t="s">
        <v>263</v>
      </c>
      <c r="L1369" s="10" t="s">
        <v>4</v>
      </c>
      <c r="M1369" s="22">
        <v>45645.0</v>
      </c>
      <c r="N1369" s="32" t="s">
        <v>4315</v>
      </c>
      <c r="O1369" s="10" t="s">
        <v>4316</v>
      </c>
      <c r="P1369" s="10" t="s">
        <v>4256</v>
      </c>
      <c r="Q1369" s="2"/>
      <c r="R1369" s="10">
        <v>12.0</v>
      </c>
      <c r="S1369" s="14">
        <v>45645.0</v>
      </c>
      <c r="T1369" s="14">
        <v>46010.0</v>
      </c>
      <c r="U1369" s="10">
        <f t="shared" si="116"/>
        <v>-81</v>
      </c>
      <c r="V1369" s="2"/>
      <c r="W1369" s="15"/>
      <c r="X1369" s="15"/>
      <c r="Y1369" s="15"/>
      <c r="Z1369" s="15"/>
      <c r="AA1369" s="1"/>
      <c r="AB1369" s="15"/>
      <c r="AC1369" s="15"/>
      <c r="AD1369" s="15"/>
      <c r="AE1369" s="15"/>
      <c r="AF1369" s="2"/>
      <c r="AG1369" s="10" t="s">
        <v>2497</v>
      </c>
      <c r="AH1369" s="12" t="s">
        <v>355</v>
      </c>
      <c r="AI1369" s="16" t="s">
        <v>45</v>
      </c>
      <c r="AJ1369" s="16" t="s">
        <v>45</v>
      </c>
      <c r="AK1369" s="16" t="s">
        <v>45</v>
      </c>
      <c r="AL1369" s="10" t="s">
        <v>49</v>
      </c>
      <c r="AM1369" s="16" t="s">
        <v>45</v>
      </c>
      <c r="AN1369" s="10" t="s">
        <v>320</v>
      </c>
    </row>
    <row r="1370" ht="30.0" customHeight="1">
      <c r="A1370" s="9" t="str">
        <f t="shared" si="48"/>
        <v>Inativo</v>
      </c>
      <c r="B1370" s="9" t="str">
        <f t="shared" si="49"/>
        <v>N/I</v>
      </c>
      <c r="C1370" s="9" t="str">
        <f t="shared" si="80"/>
        <v>N/I</v>
      </c>
      <c r="D1370" s="10" t="s">
        <v>4239</v>
      </c>
      <c r="E1370" s="11" t="s">
        <v>4240</v>
      </c>
      <c r="F1370" s="11" t="s">
        <v>4317</v>
      </c>
      <c r="G1370" s="12" t="s">
        <v>94</v>
      </c>
      <c r="H1370" s="19" t="s">
        <v>4318</v>
      </c>
      <c r="I1370" s="12" t="s">
        <v>4319</v>
      </c>
      <c r="J1370" s="10" t="s">
        <v>521</v>
      </c>
      <c r="K1370" s="10" t="s">
        <v>263</v>
      </c>
      <c r="L1370" s="10" t="s">
        <v>4</v>
      </c>
      <c r="M1370" s="22">
        <v>45055.0</v>
      </c>
      <c r="N1370" s="32" t="s">
        <v>4320</v>
      </c>
      <c r="O1370" s="10" t="s">
        <v>4321</v>
      </c>
      <c r="P1370" s="10" t="s">
        <v>4271</v>
      </c>
      <c r="Q1370" s="2"/>
      <c r="R1370" s="10">
        <v>12.0</v>
      </c>
      <c r="S1370" s="14">
        <v>45055.0</v>
      </c>
      <c r="T1370" s="14">
        <v>45421.0</v>
      </c>
      <c r="U1370" s="10">
        <f t="shared" si="116"/>
        <v>-670</v>
      </c>
      <c r="V1370" s="2"/>
      <c r="W1370" s="15"/>
      <c r="X1370" s="15"/>
      <c r="Y1370" s="15"/>
      <c r="Z1370" s="15"/>
      <c r="AA1370" s="1"/>
      <c r="AB1370" s="15"/>
      <c r="AC1370" s="15"/>
      <c r="AD1370" s="15"/>
      <c r="AE1370" s="15"/>
      <c r="AF1370" s="2"/>
      <c r="AG1370" s="12" t="s">
        <v>4272</v>
      </c>
      <c r="AH1370" s="10" t="s">
        <v>318</v>
      </c>
      <c r="AI1370" s="10" t="s">
        <v>319</v>
      </c>
      <c r="AJ1370" s="10" t="s">
        <v>2423</v>
      </c>
      <c r="AK1370" s="16" t="s">
        <v>45</v>
      </c>
      <c r="AL1370" s="10" t="s">
        <v>49</v>
      </c>
      <c r="AM1370" s="10" t="s">
        <v>2498</v>
      </c>
      <c r="AN1370" s="10" t="s">
        <v>320</v>
      </c>
    </row>
    <row r="1371" ht="30.0" customHeight="1">
      <c r="A1371" s="9" t="str">
        <f t="shared" si="48"/>
        <v>Inativo</v>
      </c>
      <c r="B1371" s="9" t="str">
        <f t="shared" si="49"/>
        <v>N/I</v>
      </c>
      <c r="C1371" s="9" t="str">
        <f t="shared" si="80"/>
        <v>N/I</v>
      </c>
      <c r="D1371" s="10" t="s">
        <v>4239</v>
      </c>
      <c r="E1371" s="11" t="s">
        <v>4240</v>
      </c>
      <c r="F1371" s="11" t="s">
        <v>4322</v>
      </c>
      <c r="G1371" s="12" t="s">
        <v>94</v>
      </c>
      <c r="H1371" s="41" t="s">
        <v>4323</v>
      </c>
      <c r="I1371" s="12" t="s">
        <v>4324</v>
      </c>
      <c r="J1371" s="10" t="s">
        <v>521</v>
      </c>
      <c r="K1371" s="10" t="s">
        <v>263</v>
      </c>
      <c r="L1371" s="10" t="s">
        <v>4</v>
      </c>
      <c r="M1371" s="22">
        <v>45642.0</v>
      </c>
      <c r="N1371" s="32" t="s">
        <v>4325</v>
      </c>
      <c r="O1371" s="10" t="s">
        <v>4326</v>
      </c>
      <c r="P1371" s="10" t="s">
        <v>4256</v>
      </c>
      <c r="Q1371" s="2"/>
      <c r="R1371" s="10">
        <v>12.0</v>
      </c>
      <c r="S1371" s="14">
        <v>45642.0</v>
      </c>
      <c r="T1371" s="14">
        <v>46007.0</v>
      </c>
      <c r="U1371" s="10">
        <f t="shared" si="116"/>
        <v>-84</v>
      </c>
      <c r="V1371" s="2"/>
      <c r="W1371" s="15"/>
      <c r="X1371" s="15"/>
      <c r="Y1371" s="15"/>
      <c r="Z1371" s="15"/>
      <c r="AA1371" s="1"/>
      <c r="AB1371" s="15"/>
      <c r="AC1371" s="15"/>
      <c r="AD1371" s="15"/>
      <c r="AE1371" s="15"/>
      <c r="AF1371" s="2"/>
      <c r="AG1371" s="10" t="s">
        <v>2497</v>
      </c>
      <c r="AH1371" s="12" t="s">
        <v>355</v>
      </c>
      <c r="AI1371" s="16" t="s">
        <v>45</v>
      </c>
      <c r="AJ1371" s="16" t="s">
        <v>45</v>
      </c>
      <c r="AK1371" s="16" t="s">
        <v>45</v>
      </c>
      <c r="AL1371" s="10" t="s">
        <v>49</v>
      </c>
      <c r="AM1371" s="16" t="s">
        <v>45</v>
      </c>
      <c r="AN1371" s="10" t="s">
        <v>320</v>
      </c>
    </row>
    <row r="1372" ht="30.0" customHeight="1">
      <c r="A1372" s="9" t="str">
        <f t="shared" si="48"/>
        <v>Inativo</v>
      </c>
      <c r="B1372" s="9" t="str">
        <f t="shared" si="49"/>
        <v>N/I</v>
      </c>
      <c r="C1372" s="9" t="str">
        <f t="shared" si="80"/>
        <v>N/I</v>
      </c>
      <c r="D1372" s="10" t="s">
        <v>4239</v>
      </c>
      <c r="E1372" s="11" t="s">
        <v>4240</v>
      </c>
      <c r="F1372" s="11" t="s">
        <v>4327</v>
      </c>
      <c r="G1372" s="12" t="s">
        <v>94</v>
      </c>
      <c r="H1372" s="41" t="s">
        <v>4328</v>
      </c>
      <c r="I1372" s="12" t="s">
        <v>4329</v>
      </c>
      <c r="J1372" s="10" t="s">
        <v>521</v>
      </c>
      <c r="K1372" s="10" t="s">
        <v>263</v>
      </c>
      <c r="L1372" s="10" t="s">
        <v>4</v>
      </c>
      <c r="M1372" s="22">
        <v>45642.0</v>
      </c>
      <c r="N1372" s="32" t="s">
        <v>4330</v>
      </c>
      <c r="O1372" s="10" t="s">
        <v>4331</v>
      </c>
      <c r="P1372" s="10" t="s">
        <v>4256</v>
      </c>
      <c r="Q1372" s="2"/>
      <c r="R1372" s="10">
        <v>12.0</v>
      </c>
      <c r="S1372" s="14">
        <v>45642.0</v>
      </c>
      <c r="T1372" s="14">
        <v>46007.0</v>
      </c>
      <c r="U1372" s="10">
        <f t="shared" si="116"/>
        <v>-84</v>
      </c>
      <c r="V1372" s="2"/>
      <c r="W1372" s="15"/>
      <c r="X1372" s="15"/>
      <c r="Y1372" s="15"/>
      <c r="Z1372" s="15"/>
      <c r="AA1372" s="1"/>
      <c r="AB1372" s="15"/>
      <c r="AC1372" s="15"/>
      <c r="AD1372" s="15"/>
      <c r="AE1372" s="15"/>
      <c r="AF1372" s="2"/>
      <c r="AG1372" s="10" t="s">
        <v>2497</v>
      </c>
      <c r="AH1372" s="12" t="s">
        <v>355</v>
      </c>
      <c r="AI1372" s="16" t="s">
        <v>45</v>
      </c>
      <c r="AJ1372" s="16" t="s">
        <v>45</v>
      </c>
      <c r="AK1372" s="16" t="s">
        <v>45</v>
      </c>
      <c r="AL1372" s="10" t="s">
        <v>49</v>
      </c>
      <c r="AM1372" s="16" t="s">
        <v>45</v>
      </c>
      <c r="AN1372" s="10" t="s">
        <v>320</v>
      </c>
    </row>
    <row r="1373" ht="30.0" customHeight="1">
      <c r="A1373" s="9" t="str">
        <f t="shared" si="48"/>
        <v>Inativo</v>
      </c>
      <c r="B1373" s="9" t="str">
        <f t="shared" si="49"/>
        <v>N/I</v>
      </c>
      <c r="C1373" s="9" t="str">
        <f t="shared" si="80"/>
        <v>N/I</v>
      </c>
      <c r="D1373" s="10" t="s">
        <v>4239</v>
      </c>
      <c r="E1373" s="11" t="s">
        <v>4240</v>
      </c>
      <c r="F1373" s="11" t="s">
        <v>4332</v>
      </c>
      <c r="G1373" s="12" t="s">
        <v>94</v>
      </c>
      <c r="H1373" s="41" t="s">
        <v>4333</v>
      </c>
      <c r="I1373" s="12" t="s">
        <v>4334</v>
      </c>
      <c r="J1373" s="10" t="s">
        <v>521</v>
      </c>
      <c r="K1373" s="10" t="s">
        <v>263</v>
      </c>
      <c r="L1373" s="10" t="s">
        <v>4</v>
      </c>
      <c r="M1373" s="22">
        <v>45643.0</v>
      </c>
      <c r="N1373" s="32" t="s">
        <v>4335</v>
      </c>
      <c r="O1373" s="10" t="s">
        <v>4336</v>
      </c>
      <c r="P1373" s="10" t="s">
        <v>4256</v>
      </c>
      <c r="Q1373" s="2"/>
      <c r="R1373" s="10">
        <v>12.0</v>
      </c>
      <c r="S1373" s="14">
        <v>45643.0</v>
      </c>
      <c r="T1373" s="14">
        <v>46008.0</v>
      </c>
      <c r="U1373" s="10">
        <f t="shared" si="116"/>
        <v>-83</v>
      </c>
      <c r="V1373" s="2"/>
      <c r="W1373" s="15"/>
      <c r="X1373" s="15"/>
      <c r="Y1373" s="15"/>
      <c r="Z1373" s="15"/>
      <c r="AA1373" s="1"/>
      <c r="AB1373" s="15"/>
      <c r="AC1373" s="15"/>
      <c r="AD1373" s="15"/>
      <c r="AE1373" s="15"/>
      <c r="AF1373" s="2"/>
      <c r="AG1373" s="10" t="s">
        <v>2497</v>
      </c>
      <c r="AH1373" s="12" t="s">
        <v>355</v>
      </c>
      <c r="AI1373" s="16" t="s">
        <v>45</v>
      </c>
      <c r="AJ1373" s="16" t="s">
        <v>45</v>
      </c>
      <c r="AK1373" s="16" t="s">
        <v>45</v>
      </c>
      <c r="AL1373" s="10" t="s">
        <v>49</v>
      </c>
      <c r="AM1373" s="16" t="s">
        <v>45</v>
      </c>
      <c r="AN1373" s="10" t="s">
        <v>320</v>
      </c>
    </row>
    <row r="1374" ht="30.0" customHeight="1">
      <c r="A1374" s="9" t="str">
        <f t="shared" si="48"/>
        <v>Inativo</v>
      </c>
      <c r="B1374" s="9" t="str">
        <f t="shared" si="49"/>
        <v>N/I</v>
      </c>
      <c r="C1374" s="9" t="str">
        <f t="shared" si="80"/>
        <v>N/I</v>
      </c>
      <c r="D1374" s="10" t="s">
        <v>4239</v>
      </c>
      <c r="E1374" s="11" t="s">
        <v>4240</v>
      </c>
      <c r="F1374" s="11" t="s">
        <v>4337</v>
      </c>
      <c r="G1374" s="12" t="s">
        <v>94</v>
      </c>
      <c r="H1374" s="41" t="s">
        <v>4338</v>
      </c>
      <c r="I1374" s="12" t="s">
        <v>4339</v>
      </c>
      <c r="J1374" s="10" t="s">
        <v>521</v>
      </c>
      <c r="K1374" s="10" t="s">
        <v>263</v>
      </c>
      <c r="L1374" s="10" t="s">
        <v>4</v>
      </c>
      <c r="M1374" s="22">
        <v>45644.0</v>
      </c>
      <c r="N1374" s="32" t="s">
        <v>4340</v>
      </c>
      <c r="O1374" s="10" t="s">
        <v>4341</v>
      </c>
      <c r="P1374" s="10" t="s">
        <v>4256</v>
      </c>
      <c r="Q1374" s="2"/>
      <c r="R1374" s="10">
        <v>12.0</v>
      </c>
      <c r="S1374" s="14">
        <v>45644.0</v>
      </c>
      <c r="T1374" s="14">
        <v>46009.0</v>
      </c>
      <c r="U1374" s="10">
        <f t="shared" si="116"/>
        <v>-82</v>
      </c>
      <c r="V1374" s="2"/>
      <c r="W1374" s="15"/>
      <c r="X1374" s="15"/>
      <c r="Y1374" s="15"/>
      <c r="Z1374" s="15"/>
      <c r="AA1374" s="1"/>
      <c r="AB1374" s="15"/>
      <c r="AC1374" s="15"/>
      <c r="AD1374" s="15"/>
      <c r="AE1374" s="15"/>
      <c r="AF1374" s="2"/>
      <c r="AG1374" s="10" t="s">
        <v>2497</v>
      </c>
      <c r="AH1374" s="12" t="s">
        <v>355</v>
      </c>
      <c r="AI1374" s="16" t="s">
        <v>45</v>
      </c>
      <c r="AJ1374" s="16" t="s">
        <v>45</v>
      </c>
      <c r="AK1374" s="16" t="s">
        <v>45</v>
      </c>
      <c r="AL1374" s="10" t="s">
        <v>49</v>
      </c>
      <c r="AM1374" s="16" t="s">
        <v>45</v>
      </c>
      <c r="AN1374" s="10" t="s">
        <v>320</v>
      </c>
    </row>
    <row r="1375" ht="30.0" customHeight="1">
      <c r="A1375" s="9" t="str">
        <f t="shared" si="48"/>
        <v>Inativo</v>
      </c>
      <c r="B1375" s="9" t="str">
        <f t="shared" si="49"/>
        <v>N/I</v>
      </c>
      <c r="C1375" s="9" t="str">
        <f t="shared" si="80"/>
        <v>N/I</v>
      </c>
      <c r="D1375" s="10" t="s">
        <v>4239</v>
      </c>
      <c r="E1375" s="11" t="s">
        <v>4240</v>
      </c>
      <c r="F1375" s="11" t="s">
        <v>4342</v>
      </c>
      <c r="G1375" s="12" t="s">
        <v>94</v>
      </c>
      <c r="H1375" s="41" t="s">
        <v>4343</v>
      </c>
      <c r="I1375" s="12" t="s">
        <v>4344</v>
      </c>
      <c r="J1375" s="10" t="s">
        <v>521</v>
      </c>
      <c r="K1375" s="10" t="s">
        <v>263</v>
      </c>
      <c r="L1375" s="10" t="s">
        <v>4</v>
      </c>
      <c r="M1375" s="22">
        <v>45643.0</v>
      </c>
      <c r="N1375" s="32" t="s">
        <v>4345</v>
      </c>
      <c r="O1375" s="10" t="s">
        <v>4346</v>
      </c>
      <c r="P1375" s="10" t="s">
        <v>4256</v>
      </c>
      <c r="Q1375" s="2"/>
      <c r="R1375" s="10">
        <v>12.0</v>
      </c>
      <c r="S1375" s="14">
        <v>45643.0</v>
      </c>
      <c r="T1375" s="14">
        <v>46008.0</v>
      </c>
      <c r="U1375" s="10">
        <f t="shared" si="116"/>
        <v>-83</v>
      </c>
      <c r="V1375" s="2"/>
      <c r="W1375" s="15"/>
      <c r="X1375" s="15"/>
      <c r="Y1375" s="15"/>
      <c r="Z1375" s="15"/>
      <c r="AA1375" s="1"/>
      <c r="AB1375" s="15"/>
      <c r="AC1375" s="15"/>
      <c r="AD1375" s="15"/>
      <c r="AE1375" s="15"/>
      <c r="AF1375" s="2"/>
      <c r="AG1375" s="10" t="s">
        <v>2497</v>
      </c>
      <c r="AH1375" s="12" t="s">
        <v>355</v>
      </c>
      <c r="AI1375" s="16" t="s">
        <v>45</v>
      </c>
      <c r="AJ1375" s="16" t="s">
        <v>45</v>
      </c>
      <c r="AK1375" s="16" t="s">
        <v>45</v>
      </c>
      <c r="AL1375" s="10" t="s">
        <v>49</v>
      </c>
      <c r="AM1375" s="16" t="s">
        <v>45</v>
      </c>
      <c r="AN1375" s="10" t="s">
        <v>320</v>
      </c>
    </row>
    <row r="1376" ht="30.0" customHeight="1">
      <c r="A1376" s="9" t="str">
        <f t="shared" si="48"/>
        <v>N/I</v>
      </c>
      <c r="B1376" s="9" t="str">
        <f t="shared" si="49"/>
        <v>N/I</v>
      </c>
      <c r="C1376" s="9" t="str">
        <f t="shared" si="80"/>
        <v>Inativo</v>
      </c>
      <c r="D1376" s="10" t="s">
        <v>4239</v>
      </c>
      <c r="E1376" s="11" t="s">
        <v>4240</v>
      </c>
      <c r="F1376" s="32" t="s">
        <v>4347</v>
      </c>
      <c r="G1376" s="12" t="s">
        <v>502</v>
      </c>
      <c r="H1376" s="20" t="s">
        <v>4348</v>
      </c>
      <c r="I1376" s="12" t="s">
        <v>615</v>
      </c>
      <c r="J1376" s="10" t="s">
        <v>521</v>
      </c>
      <c r="K1376" s="10" t="s">
        <v>263</v>
      </c>
      <c r="L1376" s="10" t="s">
        <v>6</v>
      </c>
      <c r="M1376" s="14">
        <v>44494.0</v>
      </c>
      <c r="N1376" s="11" t="s">
        <v>4349</v>
      </c>
      <c r="O1376" s="10" t="s">
        <v>4350</v>
      </c>
      <c r="P1376" s="10" t="s">
        <v>4351</v>
      </c>
      <c r="Q1376" s="2"/>
      <c r="R1376" s="15"/>
      <c r="S1376" s="15"/>
      <c r="T1376" s="15"/>
      <c r="U1376" s="15"/>
      <c r="V1376" s="2"/>
      <c r="W1376" s="15"/>
      <c r="X1376" s="15"/>
      <c r="Y1376" s="15"/>
      <c r="Z1376" s="15"/>
      <c r="AA1376" s="1"/>
      <c r="AB1376" s="10">
        <v>12.0</v>
      </c>
      <c r="AC1376" s="14">
        <v>44828.0</v>
      </c>
      <c r="AD1376" s="14">
        <v>45192.0</v>
      </c>
      <c r="AE1376" s="10">
        <f>AD1376-TODAY()</f>
        <v>-899</v>
      </c>
      <c r="AF1376" s="2"/>
      <c r="AG1376" s="10" t="s">
        <v>706</v>
      </c>
      <c r="AH1376" s="16" t="s">
        <v>45</v>
      </c>
      <c r="AI1376" s="16" t="s">
        <v>45</v>
      </c>
      <c r="AJ1376" s="16" t="s">
        <v>45</v>
      </c>
      <c r="AK1376" s="16" t="s">
        <v>45</v>
      </c>
      <c r="AL1376" s="16" t="s">
        <v>45</v>
      </c>
      <c r="AM1376" s="16" t="s">
        <v>45</v>
      </c>
      <c r="AN1376" s="16" t="s">
        <v>45</v>
      </c>
    </row>
    <row r="1377" ht="30.0" customHeight="1">
      <c r="A1377" s="9" t="str">
        <f t="shared" si="48"/>
        <v>Inativo</v>
      </c>
      <c r="B1377" s="9" t="str">
        <f t="shared" si="49"/>
        <v>N/I</v>
      </c>
      <c r="C1377" s="9" t="str">
        <f t="shared" si="80"/>
        <v>N/I</v>
      </c>
      <c r="D1377" s="10" t="s">
        <v>4239</v>
      </c>
      <c r="E1377" s="11" t="s">
        <v>4240</v>
      </c>
      <c r="F1377" s="11" t="s">
        <v>4352</v>
      </c>
      <c r="G1377" s="12" t="s">
        <v>94</v>
      </c>
      <c r="H1377" s="41" t="s">
        <v>4353</v>
      </c>
      <c r="I1377" s="12" t="s">
        <v>1345</v>
      </c>
      <c r="J1377" s="10" t="s">
        <v>521</v>
      </c>
      <c r="K1377" s="10" t="s">
        <v>263</v>
      </c>
      <c r="L1377" s="10" t="s">
        <v>4</v>
      </c>
      <c r="M1377" s="22">
        <v>45645.0</v>
      </c>
      <c r="N1377" s="32" t="s">
        <v>4354</v>
      </c>
      <c r="O1377" s="10" t="s">
        <v>4355</v>
      </c>
      <c r="P1377" s="10" t="s">
        <v>4256</v>
      </c>
      <c r="Q1377" s="2"/>
      <c r="R1377" s="10">
        <v>12.0</v>
      </c>
      <c r="S1377" s="14">
        <v>45645.0</v>
      </c>
      <c r="T1377" s="14">
        <v>46010.0</v>
      </c>
      <c r="U1377" s="10">
        <f t="shared" ref="U1377:U1381" si="117">T1377-TODAY()</f>
        <v>-81</v>
      </c>
      <c r="V1377" s="2"/>
      <c r="W1377" s="15"/>
      <c r="X1377" s="15"/>
      <c r="Y1377" s="15"/>
      <c r="Z1377" s="15"/>
      <c r="AA1377" s="1"/>
      <c r="AB1377" s="15"/>
      <c r="AC1377" s="15"/>
      <c r="AD1377" s="15"/>
      <c r="AE1377" s="15"/>
      <c r="AF1377" s="2"/>
      <c r="AG1377" s="10" t="s">
        <v>2497</v>
      </c>
      <c r="AH1377" s="12" t="s">
        <v>355</v>
      </c>
      <c r="AI1377" s="16" t="s">
        <v>45</v>
      </c>
      <c r="AJ1377" s="16" t="s">
        <v>45</v>
      </c>
      <c r="AK1377" s="16" t="s">
        <v>45</v>
      </c>
      <c r="AL1377" s="10" t="s">
        <v>49</v>
      </c>
      <c r="AM1377" s="16" t="s">
        <v>45</v>
      </c>
      <c r="AN1377" s="10" t="s">
        <v>320</v>
      </c>
    </row>
    <row r="1378" ht="30.0" customHeight="1">
      <c r="A1378" s="9" t="str">
        <f t="shared" si="48"/>
        <v>Inativo</v>
      </c>
      <c r="B1378" s="9" t="str">
        <f t="shared" si="49"/>
        <v>N/I</v>
      </c>
      <c r="C1378" s="9" t="str">
        <f t="shared" si="80"/>
        <v>N/I</v>
      </c>
      <c r="D1378" s="10" t="s">
        <v>4239</v>
      </c>
      <c r="E1378" s="11" t="s">
        <v>4240</v>
      </c>
      <c r="F1378" s="11" t="s">
        <v>4356</v>
      </c>
      <c r="G1378" s="12" t="s">
        <v>94</v>
      </c>
      <c r="H1378" s="41" t="s">
        <v>4357</v>
      </c>
      <c r="I1378" s="12" t="s">
        <v>4358</v>
      </c>
      <c r="J1378" s="10" t="s">
        <v>521</v>
      </c>
      <c r="K1378" s="10" t="s">
        <v>263</v>
      </c>
      <c r="L1378" s="10" t="s">
        <v>4</v>
      </c>
      <c r="M1378" s="22">
        <v>45643.0</v>
      </c>
      <c r="N1378" s="32" t="s">
        <v>4359</v>
      </c>
      <c r="O1378" s="10" t="s">
        <v>4360</v>
      </c>
      <c r="P1378" s="10" t="s">
        <v>4256</v>
      </c>
      <c r="Q1378" s="2"/>
      <c r="R1378" s="10">
        <v>12.0</v>
      </c>
      <c r="S1378" s="14">
        <v>45643.0</v>
      </c>
      <c r="T1378" s="14">
        <v>46008.0</v>
      </c>
      <c r="U1378" s="10">
        <f t="shared" si="117"/>
        <v>-83</v>
      </c>
      <c r="V1378" s="2"/>
      <c r="W1378" s="15"/>
      <c r="X1378" s="15"/>
      <c r="Y1378" s="15"/>
      <c r="Z1378" s="15"/>
      <c r="AA1378" s="1"/>
      <c r="AB1378" s="15"/>
      <c r="AC1378" s="15"/>
      <c r="AD1378" s="15"/>
      <c r="AE1378" s="15"/>
      <c r="AF1378" s="2"/>
      <c r="AG1378" s="10" t="s">
        <v>2497</v>
      </c>
      <c r="AH1378" s="12" t="s">
        <v>355</v>
      </c>
      <c r="AI1378" s="16" t="s">
        <v>45</v>
      </c>
      <c r="AJ1378" s="16" t="s">
        <v>45</v>
      </c>
      <c r="AK1378" s="16" t="s">
        <v>45</v>
      </c>
      <c r="AL1378" s="10" t="s">
        <v>49</v>
      </c>
      <c r="AM1378" s="16" t="s">
        <v>45</v>
      </c>
      <c r="AN1378" s="10" t="s">
        <v>320</v>
      </c>
    </row>
    <row r="1379" ht="30.0" customHeight="1">
      <c r="A1379" s="9" t="str">
        <f t="shared" si="48"/>
        <v>Inativo</v>
      </c>
      <c r="B1379" s="9" t="str">
        <f t="shared" si="49"/>
        <v>N/I</v>
      </c>
      <c r="C1379" s="9" t="str">
        <f t="shared" si="80"/>
        <v>N/I</v>
      </c>
      <c r="D1379" s="10" t="s">
        <v>4239</v>
      </c>
      <c r="E1379" s="11" t="s">
        <v>4240</v>
      </c>
      <c r="F1379" s="11" t="s">
        <v>4361</v>
      </c>
      <c r="G1379" s="12" t="s">
        <v>94</v>
      </c>
      <c r="H1379" s="41" t="s">
        <v>4362</v>
      </c>
      <c r="I1379" s="12" t="s">
        <v>4115</v>
      </c>
      <c r="J1379" s="10" t="s">
        <v>521</v>
      </c>
      <c r="K1379" s="10" t="s">
        <v>263</v>
      </c>
      <c r="L1379" s="10" t="s">
        <v>4</v>
      </c>
      <c r="M1379" s="22">
        <v>45644.0</v>
      </c>
      <c r="N1379" s="32" t="s">
        <v>4363</v>
      </c>
      <c r="O1379" s="10" t="s">
        <v>4364</v>
      </c>
      <c r="P1379" s="10" t="s">
        <v>4256</v>
      </c>
      <c r="Q1379" s="2"/>
      <c r="R1379" s="10">
        <v>12.0</v>
      </c>
      <c r="S1379" s="14">
        <v>45644.0</v>
      </c>
      <c r="T1379" s="14">
        <v>46009.0</v>
      </c>
      <c r="U1379" s="10">
        <f t="shared" si="117"/>
        <v>-82</v>
      </c>
      <c r="V1379" s="2"/>
      <c r="W1379" s="15"/>
      <c r="X1379" s="15"/>
      <c r="Y1379" s="15"/>
      <c r="Z1379" s="15"/>
      <c r="AA1379" s="1"/>
      <c r="AB1379" s="15"/>
      <c r="AC1379" s="15"/>
      <c r="AD1379" s="15"/>
      <c r="AE1379" s="15"/>
      <c r="AF1379" s="2"/>
      <c r="AG1379" s="10" t="s">
        <v>2497</v>
      </c>
      <c r="AH1379" s="12" t="s">
        <v>355</v>
      </c>
      <c r="AI1379" s="16" t="s">
        <v>45</v>
      </c>
      <c r="AJ1379" s="16" t="s">
        <v>45</v>
      </c>
      <c r="AK1379" s="16" t="s">
        <v>45</v>
      </c>
      <c r="AL1379" s="10" t="s">
        <v>49</v>
      </c>
      <c r="AM1379" s="16" t="s">
        <v>45</v>
      </c>
      <c r="AN1379" s="10" t="s">
        <v>320</v>
      </c>
    </row>
    <row r="1380" ht="30.0" customHeight="1">
      <c r="A1380" s="9" t="str">
        <f t="shared" si="48"/>
        <v>Inativo</v>
      </c>
      <c r="B1380" s="9" t="str">
        <f t="shared" si="49"/>
        <v>N/I</v>
      </c>
      <c r="C1380" s="9" t="str">
        <f t="shared" si="80"/>
        <v>N/I</v>
      </c>
      <c r="D1380" s="10" t="s">
        <v>4239</v>
      </c>
      <c r="E1380" s="11" t="s">
        <v>4240</v>
      </c>
      <c r="F1380" s="11" t="s">
        <v>4365</v>
      </c>
      <c r="G1380" s="12" t="s">
        <v>94</v>
      </c>
      <c r="H1380" s="41" t="s">
        <v>4366</v>
      </c>
      <c r="I1380" s="12" t="s">
        <v>4367</v>
      </c>
      <c r="J1380" s="10" t="s">
        <v>521</v>
      </c>
      <c r="K1380" s="10" t="s">
        <v>263</v>
      </c>
      <c r="L1380" s="10" t="s">
        <v>4</v>
      </c>
      <c r="M1380" s="22">
        <v>45644.0</v>
      </c>
      <c r="N1380" s="32" t="s">
        <v>4368</v>
      </c>
      <c r="O1380" s="10" t="s">
        <v>4369</v>
      </c>
      <c r="P1380" s="10" t="s">
        <v>4256</v>
      </c>
      <c r="Q1380" s="2"/>
      <c r="R1380" s="10">
        <v>12.0</v>
      </c>
      <c r="S1380" s="14">
        <v>45644.0</v>
      </c>
      <c r="T1380" s="14">
        <v>46009.0</v>
      </c>
      <c r="U1380" s="10">
        <f t="shared" si="117"/>
        <v>-82</v>
      </c>
      <c r="V1380" s="2"/>
      <c r="W1380" s="15"/>
      <c r="X1380" s="15"/>
      <c r="Y1380" s="15"/>
      <c r="Z1380" s="15"/>
      <c r="AA1380" s="1"/>
      <c r="AB1380" s="15"/>
      <c r="AC1380" s="15"/>
      <c r="AD1380" s="15"/>
      <c r="AE1380" s="15"/>
      <c r="AF1380" s="2"/>
      <c r="AG1380" s="10" t="s">
        <v>2497</v>
      </c>
      <c r="AH1380" s="12" t="s">
        <v>355</v>
      </c>
      <c r="AI1380" s="16" t="s">
        <v>45</v>
      </c>
      <c r="AJ1380" s="16" t="s">
        <v>45</v>
      </c>
      <c r="AK1380" s="16" t="s">
        <v>45</v>
      </c>
      <c r="AL1380" s="10" t="s">
        <v>49</v>
      </c>
      <c r="AM1380" s="16" t="s">
        <v>45</v>
      </c>
      <c r="AN1380" s="10" t="s">
        <v>320</v>
      </c>
    </row>
    <row r="1381" ht="30.0" customHeight="1">
      <c r="A1381" s="9" t="str">
        <f t="shared" si="48"/>
        <v>Inativo</v>
      </c>
      <c r="B1381" s="9" t="str">
        <f t="shared" si="49"/>
        <v>N/I</v>
      </c>
      <c r="C1381" s="9" t="str">
        <f t="shared" si="80"/>
        <v>N/I</v>
      </c>
      <c r="D1381" s="10" t="s">
        <v>4239</v>
      </c>
      <c r="E1381" s="11" t="s">
        <v>4240</v>
      </c>
      <c r="F1381" s="11" t="s">
        <v>4370</v>
      </c>
      <c r="G1381" s="12" t="s">
        <v>94</v>
      </c>
      <c r="H1381" s="41" t="s">
        <v>4371</v>
      </c>
      <c r="I1381" s="12" t="s">
        <v>4372</v>
      </c>
      <c r="J1381" s="10" t="s">
        <v>521</v>
      </c>
      <c r="K1381" s="10" t="s">
        <v>263</v>
      </c>
      <c r="L1381" s="10" t="s">
        <v>4</v>
      </c>
      <c r="M1381" s="22">
        <v>45642.0</v>
      </c>
      <c r="N1381" s="32" t="s">
        <v>4373</v>
      </c>
      <c r="O1381" s="10" t="s">
        <v>4374</v>
      </c>
      <c r="P1381" s="10" t="s">
        <v>4256</v>
      </c>
      <c r="Q1381" s="2"/>
      <c r="R1381" s="10">
        <v>12.0</v>
      </c>
      <c r="S1381" s="14">
        <v>45642.0</v>
      </c>
      <c r="T1381" s="14">
        <v>46007.0</v>
      </c>
      <c r="U1381" s="10">
        <f t="shared" si="117"/>
        <v>-84</v>
      </c>
      <c r="V1381" s="2"/>
      <c r="W1381" s="15"/>
      <c r="X1381" s="15"/>
      <c r="Y1381" s="15"/>
      <c r="Z1381" s="15"/>
      <c r="AA1381" s="1"/>
      <c r="AB1381" s="15"/>
      <c r="AC1381" s="15"/>
      <c r="AD1381" s="15"/>
      <c r="AE1381" s="15"/>
      <c r="AF1381" s="2"/>
      <c r="AG1381" s="10" t="s">
        <v>2497</v>
      </c>
      <c r="AH1381" s="12" t="s">
        <v>355</v>
      </c>
      <c r="AI1381" s="16" t="s">
        <v>45</v>
      </c>
      <c r="AJ1381" s="16" t="s">
        <v>45</v>
      </c>
      <c r="AK1381" s="16" t="s">
        <v>45</v>
      </c>
      <c r="AL1381" s="10" t="s">
        <v>49</v>
      </c>
      <c r="AM1381" s="16" t="s">
        <v>45</v>
      </c>
      <c r="AN1381" s="10" t="s">
        <v>320</v>
      </c>
    </row>
    <row r="1382" ht="30.0" customHeight="1">
      <c r="A1382" s="9" t="str">
        <f t="shared" si="48"/>
        <v>Ativo</v>
      </c>
      <c r="B1382" s="9" t="str">
        <f t="shared" si="49"/>
        <v>N/I</v>
      </c>
      <c r="C1382" s="9" t="str">
        <f t="shared" si="80"/>
        <v>N/I</v>
      </c>
      <c r="D1382" s="10" t="s">
        <v>4239</v>
      </c>
      <c r="E1382" s="11" t="s">
        <v>4240</v>
      </c>
      <c r="F1382" s="11" t="s">
        <v>4375</v>
      </c>
      <c r="G1382" s="12" t="s">
        <v>94</v>
      </c>
      <c r="H1382" s="41" t="s">
        <v>4376</v>
      </c>
      <c r="I1382" s="12" t="s">
        <v>4377</v>
      </c>
      <c r="J1382" s="10" t="s">
        <v>521</v>
      </c>
      <c r="K1382" s="10" t="s">
        <v>263</v>
      </c>
      <c r="L1382" s="10" t="s">
        <v>4</v>
      </c>
      <c r="M1382" s="26" t="s">
        <v>180</v>
      </c>
      <c r="N1382" s="32" t="s">
        <v>4378</v>
      </c>
      <c r="O1382" s="10" t="s">
        <v>4379</v>
      </c>
      <c r="P1382" s="10" t="s">
        <v>4256</v>
      </c>
      <c r="Q1382" s="2"/>
      <c r="R1382" s="10">
        <v>12.0</v>
      </c>
      <c r="S1382" s="26" t="s">
        <v>180</v>
      </c>
      <c r="T1382" s="26" t="s">
        <v>180</v>
      </c>
      <c r="U1382" s="26" t="s">
        <v>180</v>
      </c>
      <c r="V1382" s="2"/>
      <c r="W1382" s="15"/>
      <c r="X1382" s="15"/>
      <c r="Y1382" s="15"/>
      <c r="Z1382" s="15"/>
      <c r="AA1382" s="1"/>
      <c r="AB1382" s="15"/>
      <c r="AC1382" s="15"/>
      <c r="AD1382" s="15"/>
      <c r="AE1382" s="15"/>
      <c r="AF1382" s="2"/>
      <c r="AG1382" s="10" t="s">
        <v>2497</v>
      </c>
      <c r="AH1382" s="12" t="s">
        <v>355</v>
      </c>
      <c r="AI1382" s="16" t="s">
        <v>45</v>
      </c>
      <c r="AJ1382" s="16" t="s">
        <v>45</v>
      </c>
      <c r="AK1382" s="16" t="s">
        <v>45</v>
      </c>
      <c r="AL1382" s="10" t="s">
        <v>49</v>
      </c>
      <c r="AM1382" s="16" t="s">
        <v>45</v>
      </c>
      <c r="AN1382" s="10" t="s">
        <v>320</v>
      </c>
    </row>
    <row r="1383" ht="30.0" customHeight="1">
      <c r="A1383" s="9" t="str">
        <f t="shared" si="48"/>
        <v>Inativo</v>
      </c>
      <c r="B1383" s="9" t="str">
        <f t="shared" si="49"/>
        <v>N/I</v>
      </c>
      <c r="C1383" s="9" t="str">
        <f t="shared" si="80"/>
        <v>N/I</v>
      </c>
      <c r="D1383" s="10" t="s">
        <v>4239</v>
      </c>
      <c r="E1383" s="11" t="s">
        <v>4240</v>
      </c>
      <c r="F1383" s="11" t="s">
        <v>4380</v>
      </c>
      <c r="G1383" s="12" t="s">
        <v>94</v>
      </c>
      <c r="H1383" s="41" t="s">
        <v>4381</v>
      </c>
      <c r="I1383" s="12" t="s">
        <v>4382</v>
      </c>
      <c r="J1383" s="10" t="s">
        <v>521</v>
      </c>
      <c r="K1383" s="10" t="s">
        <v>263</v>
      </c>
      <c r="L1383" s="10" t="s">
        <v>4</v>
      </c>
      <c r="M1383" s="22">
        <v>45645.0</v>
      </c>
      <c r="N1383" s="32" t="s">
        <v>4383</v>
      </c>
      <c r="O1383" s="10" t="s">
        <v>4384</v>
      </c>
      <c r="P1383" s="10" t="s">
        <v>4256</v>
      </c>
      <c r="Q1383" s="2"/>
      <c r="R1383" s="10">
        <v>12.0</v>
      </c>
      <c r="S1383" s="14">
        <v>45645.0</v>
      </c>
      <c r="T1383" s="14">
        <v>46010.0</v>
      </c>
      <c r="U1383" s="10">
        <f t="shared" ref="U1383:U1388" si="118">T1383-TODAY()</f>
        <v>-81</v>
      </c>
      <c r="V1383" s="2"/>
      <c r="W1383" s="15"/>
      <c r="X1383" s="15"/>
      <c r="Y1383" s="15"/>
      <c r="Z1383" s="15"/>
      <c r="AA1383" s="1"/>
      <c r="AB1383" s="15"/>
      <c r="AC1383" s="15"/>
      <c r="AD1383" s="15"/>
      <c r="AE1383" s="15"/>
      <c r="AF1383" s="2"/>
      <c r="AG1383" s="10" t="s">
        <v>2497</v>
      </c>
      <c r="AH1383" s="12" t="s">
        <v>355</v>
      </c>
      <c r="AI1383" s="16" t="s">
        <v>45</v>
      </c>
      <c r="AJ1383" s="16" t="s">
        <v>45</v>
      </c>
      <c r="AK1383" s="16" t="s">
        <v>45</v>
      </c>
      <c r="AL1383" s="10" t="s">
        <v>49</v>
      </c>
      <c r="AM1383" s="16" t="s">
        <v>45</v>
      </c>
      <c r="AN1383" s="10" t="s">
        <v>320</v>
      </c>
    </row>
    <row r="1384" ht="30.0" customHeight="1">
      <c r="A1384" s="9" t="str">
        <f t="shared" si="48"/>
        <v>Inativo</v>
      </c>
      <c r="B1384" s="9" t="str">
        <f t="shared" si="49"/>
        <v>N/I</v>
      </c>
      <c r="C1384" s="9" t="str">
        <f t="shared" si="80"/>
        <v>N/I</v>
      </c>
      <c r="D1384" s="10" t="s">
        <v>4239</v>
      </c>
      <c r="E1384" s="11" t="s">
        <v>4240</v>
      </c>
      <c r="F1384" s="32" t="s">
        <v>4385</v>
      </c>
      <c r="G1384" s="12" t="s">
        <v>94</v>
      </c>
      <c r="H1384" s="20" t="s">
        <v>4386</v>
      </c>
      <c r="I1384" s="12" t="s">
        <v>2713</v>
      </c>
      <c r="J1384" s="10" t="s">
        <v>521</v>
      </c>
      <c r="K1384" s="10" t="s">
        <v>263</v>
      </c>
      <c r="L1384" s="10" t="s">
        <v>4</v>
      </c>
      <c r="M1384" s="14">
        <v>44007.0</v>
      </c>
      <c r="N1384" s="11" t="s">
        <v>4387</v>
      </c>
      <c r="O1384" s="10" t="s">
        <v>4388</v>
      </c>
      <c r="P1384" s="10" t="s">
        <v>4284</v>
      </c>
      <c r="Q1384" s="2"/>
      <c r="R1384" s="10">
        <v>60.0</v>
      </c>
      <c r="S1384" s="14">
        <v>44007.0</v>
      </c>
      <c r="T1384" s="14">
        <v>45832.0</v>
      </c>
      <c r="U1384" s="10">
        <f t="shared" si="118"/>
        <v>-259</v>
      </c>
      <c r="V1384" s="2"/>
      <c r="W1384" s="15"/>
      <c r="X1384" s="15"/>
      <c r="Y1384" s="15"/>
      <c r="Z1384" s="15"/>
      <c r="AA1384" s="1"/>
      <c r="AB1384" s="15"/>
      <c r="AC1384" s="15"/>
      <c r="AD1384" s="15"/>
      <c r="AE1384" s="15"/>
      <c r="AF1384" s="2"/>
      <c r="AG1384" s="10" t="s">
        <v>706</v>
      </c>
      <c r="AH1384" s="12" t="s">
        <v>46</v>
      </c>
      <c r="AI1384" s="10" t="s">
        <v>226</v>
      </c>
      <c r="AJ1384" s="10" t="s">
        <v>291</v>
      </c>
      <c r="AK1384" s="16" t="s">
        <v>45</v>
      </c>
      <c r="AL1384" s="10" t="s">
        <v>49</v>
      </c>
      <c r="AM1384" s="10" t="s">
        <v>508</v>
      </c>
      <c r="AN1384" s="10" t="s">
        <v>50</v>
      </c>
    </row>
    <row r="1385" ht="30.0" customHeight="1">
      <c r="A1385" s="9" t="str">
        <f t="shared" si="48"/>
        <v>Inativo</v>
      </c>
      <c r="B1385" s="9" t="str">
        <f t="shared" si="49"/>
        <v>N/I</v>
      </c>
      <c r="C1385" s="9" t="str">
        <f t="shared" si="80"/>
        <v>N/I</v>
      </c>
      <c r="D1385" s="10" t="s">
        <v>4239</v>
      </c>
      <c r="E1385" s="11" t="s">
        <v>4240</v>
      </c>
      <c r="F1385" s="11" t="s">
        <v>4389</v>
      </c>
      <c r="G1385" s="12" t="s">
        <v>94</v>
      </c>
      <c r="H1385" s="41" t="s">
        <v>4390</v>
      </c>
      <c r="I1385" s="12" t="s">
        <v>4391</v>
      </c>
      <c r="J1385" s="10" t="s">
        <v>521</v>
      </c>
      <c r="K1385" s="10" t="s">
        <v>263</v>
      </c>
      <c r="L1385" s="10" t="s">
        <v>4</v>
      </c>
      <c r="M1385" s="22">
        <v>45643.0</v>
      </c>
      <c r="N1385" s="32" t="s">
        <v>4392</v>
      </c>
      <c r="O1385" s="10" t="s">
        <v>4393</v>
      </c>
      <c r="P1385" s="10" t="s">
        <v>4256</v>
      </c>
      <c r="Q1385" s="2"/>
      <c r="R1385" s="10">
        <v>12.0</v>
      </c>
      <c r="S1385" s="14">
        <v>45643.0</v>
      </c>
      <c r="T1385" s="14">
        <v>46008.0</v>
      </c>
      <c r="U1385" s="10">
        <f t="shared" si="118"/>
        <v>-83</v>
      </c>
      <c r="V1385" s="2"/>
      <c r="W1385" s="15"/>
      <c r="X1385" s="15"/>
      <c r="Y1385" s="15"/>
      <c r="Z1385" s="15"/>
      <c r="AA1385" s="1"/>
      <c r="AB1385" s="15"/>
      <c r="AC1385" s="15"/>
      <c r="AD1385" s="15"/>
      <c r="AE1385" s="15"/>
      <c r="AF1385" s="2"/>
      <c r="AG1385" s="10" t="s">
        <v>2497</v>
      </c>
      <c r="AH1385" s="12" t="s">
        <v>355</v>
      </c>
      <c r="AI1385" s="16" t="s">
        <v>45</v>
      </c>
      <c r="AJ1385" s="16" t="s">
        <v>45</v>
      </c>
      <c r="AK1385" s="16" t="s">
        <v>45</v>
      </c>
      <c r="AL1385" s="10" t="s">
        <v>49</v>
      </c>
      <c r="AM1385" s="16" t="s">
        <v>45</v>
      </c>
      <c r="AN1385" s="10" t="s">
        <v>320</v>
      </c>
    </row>
    <row r="1386" ht="30.0" customHeight="1">
      <c r="A1386" s="9" t="str">
        <f t="shared" si="48"/>
        <v>Inativo</v>
      </c>
      <c r="B1386" s="9" t="str">
        <f t="shared" si="49"/>
        <v>N/I</v>
      </c>
      <c r="C1386" s="9" t="str">
        <f t="shared" si="80"/>
        <v>N/I</v>
      </c>
      <c r="D1386" s="10" t="s">
        <v>4239</v>
      </c>
      <c r="E1386" s="11" t="s">
        <v>4240</v>
      </c>
      <c r="F1386" s="11" t="s">
        <v>4394</v>
      </c>
      <c r="G1386" s="12" t="s">
        <v>94</v>
      </c>
      <c r="H1386" s="41" t="s">
        <v>4395</v>
      </c>
      <c r="I1386" s="12" t="s">
        <v>4396</v>
      </c>
      <c r="J1386" s="10" t="s">
        <v>521</v>
      </c>
      <c r="K1386" s="10" t="s">
        <v>263</v>
      </c>
      <c r="L1386" s="10" t="s">
        <v>4</v>
      </c>
      <c r="M1386" s="22">
        <v>45643.0</v>
      </c>
      <c r="N1386" s="32" t="s">
        <v>4397</v>
      </c>
      <c r="O1386" s="10" t="s">
        <v>4398</v>
      </c>
      <c r="P1386" s="10" t="s">
        <v>4256</v>
      </c>
      <c r="Q1386" s="2"/>
      <c r="R1386" s="10">
        <v>12.0</v>
      </c>
      <c r="S1386" s="14">
        <v>45643.0</v>
      </c>
      <c r="T1386" s="14">
        <v>46008.0</v>
      </c>
      <c r="U1386" s="10">
        <f t="shared" si="118"/>
        <v>-83</v>
      </c>
      <c r="V1386" s="2"/>
      <c r="W1386" s="15"/>
      <c r="X1386" s="15"/>
      <c r="Y1386" s="15"/>
      <c r="Z1386" s="15"/>
      <c r="AA1386" s="1"/>
      <c r="AB1386" s="15"/>
      <c r="AC1386" s="15"/>
      <c r="AD1386" s="15"/>
      <c r="AE1386" s="15"/>
      <c r="AF1386" s="2"/>
      <c r="AG1386" s="10" t="s">
        <v>2497</v>
      </c>
      <c r="AH1386" s="12" t="s">
        <v>355</v>
      </c>
      <c r="AI1386" s="16" t="s">
        <v>45</v>
      </c>
      <c r="AJ1386" s="16" t="s">
        <v>45</v>
      </c>
      <c r="AK1386" s="16" t="s">
        <v>45</v>
      </c>
      <c r="AL1386" s="10" t="s">
        <v>49</v>
      </c>
      <c r="AM1386" s="16" t="s">
        <v>45</v>
      </c>
      <c r="AN1386" s="10" t="s">
        <v>320</v>
      </c>
    </row>
    <row r="1387" ht="30.0" customHeight="1">
      <c r="A1387" s="9" t="str">
        <f t="shared" si="48"/>
        <v>Ativo</v>
      </c>
      <c r="B1387" s="9" t="str">
        <f t="shared" si="49"/>
        <v>N/I</v>
      </c>
      <c r="C1387" s="9" t="str">
        <f t="shared" si="80"/>
        <v>N/I</v>
      </c>
      <c r="D1387" s="10" t="s">
        <v>4399</v>
      </c>
      <c r="E1387" s="11" t="s">
        <v>4400</v>
      </c>
      <c r="F1387" s="32"/>
      <c r="G1387" s="12" t="s">
        <v>94</v>
      </c>
      <c r="H1387" s="19" t="s">
        <v>4401</v>
      </c>
      <c r="I1387" s="12" t="s">
        <v>651</v>
      </c>
      <c r="J1387" s="10" t="s">
        <v>652</v>
      </c>
      <c r="K1387" s="10" t="s">
        <v>41</v>
      </c>
      <c r="L1387" s="10" t="s">
        <v>4</v>
      </c>
      <c r="M1387" s="14">
        <v>45343.0</v>
      </c>
      <c r="N1387" s="32" t="s">
        <v>4402</v>
      </c>
      <c r="O1387" s="10" t="s">
        <v>4403</v>
      </c>
      <c r="P1387" s="10" t="s">
        <v>4404</v>
      </c>
      <c r="Q1387" s="2"/>
      <c r="R1387" s="10">
        <v>60.0</v>
      </c>
      <c r="S1387" s="14">
        <v>45343.0</v>
      </c>
      <c r="T1387" s="14">
        <v>47169.0</v>
      </c>
      <c r="U1387" s="10">
        <f t="shared" si="118"/>
        <v>1078</v>
      </c>
      <c r="V1387" s="2"/>
      <c r="W1387" s="15"/>
      <c r="X1387" s="15"/>
      <c r="Y1387" s="15"/>
      <c r="Z1387" s="15"/>
      <c r="AA1387" s="1"/>
      <c r="AB1387" s="15"/>
      <c r="AC1387" s="15"/>
      <c r="AD1387" s="15"/>
      <c r="AE1387" s="15"/>
      <c r="AF1387" s="2"/>
      <c r="AG1387" s="16" t="s">
        <v>45</v>
      </c>
      <c r="AH1387" s="12" t="s">
        <v>46</v>
      </c>
      <c r="AI1387" s="10" t="s">
        <v>226</v>
      </c>
      <c r="AJ1387" s="10" t="s">
        <v>390</v>
      </c>
      <c r="AK1387" s="16" t="s">
        <v>45</v>
      </c>
      <c r="AL1387" s="10" t="s">
        <v>49</v>
      </c>
      <c r="AM1387" s="16" t="s">
        <v>45</v>
      </c>
      <c r="AN1387" s="10" t="s">
        <v>320</v>
      </c>
    </row>
    <row r="1388" ht="30.0" customHeight="1">
      <c r="A1388" s="9" t="str">
        <f t="shared" si="48"/>
        <v>Ativo</v>
      </c>
      <c r="B1388" s="9" t="str">
        <f t="shared" si="49"/>
        <v>N/I</v>
      </c>
      <c r="C1388" s="9" t="str">
        <f t="shared" si="80"/>
        <v>N/I</v>
      </c>
      <c r="D1388" s="10" t="s">
        <v>4399</v>
      </c>
      <c r="E1388" s="11" t="s">
        <v>4400</v>
      </c>
      <c r="F1388" s="32"/>
      <c r="G1388" s="12" t="s">
        <v>94</v>
      </c>
      <c r="H1388" s="19" t="s">
        <v>4405</v>
      </c>
      <c r="I1388" s="12" t="s">
        <v>651</v>
      </c>
      <c r="J1388" s="10" t="s">
        <v>652</v>
      </c>
      <c r="K1388" s="10" t="s">
        <v>41</v>
      </c>
      <c r="L1388" s="10" t="s">
        <v>4</v>
      </c>
      <c r="M1388" s="14">
        <v>45343.0</v>
      </c>
      <c r="N1388" s="32" t="s">
        <v>4402</v>
      </c>
      <c r="O1388" s="10" t="s">
        <v>4403</v>
      </c>
      <c r="P1388" s="10" t="s">
        <v>4404</v>
      </c>
      <c r="Q1388" s="2"/>
      <c r="R1388" s="10">
        <v>60.0</v>
      </c>
      <c r="S1388" s="14">
        <v>45343.0</v>
      </c>
      <c r="T1388" s="14">
        <v>47169.0</v>
      </c>
      <c r="U1388" s="10">
        <f t="shared" si="118"/>
        <v>1078</v>
      </c>
      <c r="V1388" s="2"/>
      <c r="W1388" s="15"/>
      <c r="X1388" s="15"/>
      <c r="Y1388" s="15"/>
      <c r="Z1388" s="15"/>
      <c r="AA1388" s="1"/>
      <c r="AB1388" s="15"/>
      <c r="AC1388" s="15"/>
      <c r="AD1388" s="15"/>
      <c r="AE1388" s="15"/>
      <c r="AF1388" s="2"/>
      <c r="AG1388" s="16" t="s">
        <v>45</v>
      </c>
      <c r="AH1388" s="12" t="s">
        <v>46</v>
      </c>
      <c r="AI1388" s="10" t="s">
        <v>226</v>
      </c>
      <c r="AJ1388" s="10" t="s">
        <v>390</v>
      </c>
      <c r="AK1388" s="16" t="s">
        <v>45</v>
      </c>
      <c r="AL1388" s="10" t="s">
        <v>49</v>
      </c>
      <c r="AM1388" s="16" t="s">
        <v>45</v>
      </c>
      <c r="AN1388" s="10" t="s">
        <v>320</v>
      </c>
    </row>
    <row r="1389" ht="30.0" customHeight="1">
      <c r="A1389" s="9" t="str">
        <f t="shared" si="48"/>
        <v>N/I</v>
      </c>
      <c r="B1389" s="9" t="str">
        <f t="shared" si="49"/>
        <v>Ativo</v>
      </c>
      <c r="C1389" s="9" t="str">
        <f t="shared" si="80"/>
        <v>N/I</v>
      </c>
      <c r="D1389" s="10" t="s">
        <v>4406</v>
      </c>
      <c r="E1389" s="11" t="s">
        <v>4407</v>
      </c>
      <c r="F1389" s="11" t="s">
        <v>4408</v>
      </c>
      <c r="G1389" s="12" t="s">
        <v>448</v>
      </c>
      <c r="H1389" s="16">
        <v>170086.0</v>
      </c>
      <c r="I1389" s="12" t="s">
        <v>246</v>
      </c>
      <c r="J1389" s="10" t="s">
        <v>247</v>
      </c>
      <c r="K1389" s="10" t="s">
        <v>190</v>
      </c>
      <c r="L1389" s="10" t="s">
        <v>264</v>
      </c>
      <c r="M1389" s="22">
        <v>43299.0</v>
      </c>
      <c r="N1389" s="32" t="s">
        <v>4409</v>
      </c>
      <c r="O1389" s="10" t="s">
        <v>4410</v>
      </c>
      <c r="P1389" s="10" t="s">
        <v>4411</v>
      </c>
      <c r="Q1389" s="2"/>
      <c r="R1389" s="15"/>
      <c r="S1389" s="15"/>
      <c r="T1389" s="15"/>
      <c r="U1389" s="15"/>
      <c r="V1389" s="2"/>
      <c r="W1389" s="10">
        <v>12.0</v>
      </c>
      <c r="X1389" s="14">
        <v>45861.0</v>
      </c>
      <c r="Y1389" s="14">
        <v>46225.0</v>
      </c>
      <c r="Z1389" s="10">
        <f t="shared" ref="Z1389:Z1394" si="119">Y1389-TODAY()</f>
        <v>134</v>
      </c>
      <c r="AA1389" s="1"/>
      <c r="AB1389" s="15"/>
      <c r="AC1389" s="15"/>
      <c r="AD1389" s="15"/>
      <c r="AE1389" s="15"/>
      <c r="AF1389" s="2"/>
      <c r="AG1389" s="10" t="s">
        <v>2497</v>
      </c>
      <c r="AH1389" s="12" t="s">
        <v>46</v>
      </c>
      <c r="AI1389" s="10" t="s">
        <v>227</v>
      </c>
      <c r="AJ1389" s="10" t="s">
        <v>227</v>
      </c>
      <c r="AK1389" s="16" t="s">
        <v>45</v>
      </c>
      <c r="AL1389" s="10" t="s">
        <v>49</v>
      </c>
      <c r="AM1389" s="16" t="s">
        <v>45</v>
      </c>
      <c r="AN1389" s="10" t="s">
        <v>50</v>
      </c>
    </row>
    <row r="1390" ht="30.0" customHeight="1">
      <c r="A1390" s="9" t="str">
        <f t="shared" si="48"/>
        <v>N/I</v>
      </c>
      <c r="B1390" s="9" t="str">
        <f t="shared" si="49"/>
        <v>Ativo</v>
      </c>
      <c r="C1390" s="9" t="str">
        <f t="shared" si="80"/>
        <v>N/I</v>
      </c>
      <c r="D1390" s="10" t="s">
        <v>4406</v>
      </c>
      <c r="E1390" s="11" t="s">
        <v>4407</v>
      </c>
      <c r="F1390" s="11" t="s">
        <v>4412</v>
      </c>
      <c r="G1390" s="12" t="s">
        <v>448</v>
      </c>
      <c r="H1390" s="16">
        <v>170089.0</v>
      </c>
      <c r="I1390" s="12" t="s">
        <v>246</v>
      </c>
      <c r="J1390" s="10" t="s">
        <v>247</v>
      </c>
      <c r="K1390" s="10" t="s">
        <v>190</v>
      </c>
      <c r="L1390" s="10" t="s">
        <v>264</v>
      </c>
      <c r="M1390" s="22">
        <v>43299.0</v>
      </c>
      <c r="N1390" s="32" t="s">
        <v>4409</v>
      </c>
      <c r="O1390" s="10" t="s">
        <v>4410</v>
      </c>
      <c r="P1390" s="10" t="s">
        <v>4411</v>
      </c>
      <c r="Q1390" s="2"/>
      <c r="R1390" s="15"/>
      <c r="S1390" s="15"/>
      <c r="T1390" s="15"/>
      <c r="U1390" s="15"/>
      <c r="V1390" s="2"/>
      <c r="W1390" s="10">
        <v>12.0</v>
      </c>
      <c r="X1390" s="14">
        <v>45861.0</v>
      </c>
      <c r="Y1390" s="14">
        <v>46225.0</v>
      </c>
      <c r="Z1390" s="10">
        <f t="shared" si="119"/>
        <v>134</v>
      </c>
      <c r="AA1390" s="1"/>
      <c r="AB1390" s="15"/>
      <c r="AC1390" s="15"/>
      <c r="AD1390" s="15"/>
      <c r="AE1390" s="15"/>
      <c r="AF1390" s="2"/>
      <c r="AG1390" s="10" t="s">
        <v>2497</v>
      </c>
      <c r="AH1390" s="12" t="s">
        <v>46</v>
      </c>
      <c r="AI1390" s="10" t="s">
        <v>227</v>
      </c>
      <c r="AJ1390" s="10" t="s">
        <v>227</v>
      </c>
      <c r="AK1390" s="16" t="s">
        <v>45</v>
      </c>
      <c r="AL1390" s="10" t="s">
        <v>49</v>
      </c>
      <c r="AM1390" s="16" t="s">
        <v>45</v>
      </c>
      <c r="AN1390" s="10" t="s">
        <v>50</v>
      </c>
    </row>
    <row r="1391" ht="30.0" customHeight="1">
      <c r="A1391" s="9" t="str">
        <f t="shared" si="48"/>
        <v>N/I</v>
      </c>
      <c r="B1391" s="9" t="str">
        <f t="shared" si="49"/>
        <v>Ativo</v>
      </c>
      <c r="C1391" s="9" t="str">
        <f t="shared" si="80"/>
        <v>N/I</v>
      </c>
      <c r="D1391" s="10" t="s">
        <v>4406</v>
      </c>
      <c r="E1391" s="11" t="s">
        <v>4407</v>
      </c>
      <c r="F1391" s="11" t="s">
        <v>4413</v>
      </c>
      <c r="G1391" s="12" t="s">
        <v>448</v>
      </c>
      <c r="H1391" s="16">
        <v>170091.0</v>
      </c>
      <c r="I1391" s="12" t="s">
        <v>246</v>
      </c>
      <c r="J1391" s="10" t="s">
        <v>247</v>
      </c>
      <c r="K1391" s="10" t="s">
        <v>190</v>
      </c>
      <c r="L1391" s="10" t="s">
        <v>264</v>
      </c>
      <c r="M1391" s="22">
        <v>43299.0</v>
      </c>
      <c r="N1391" s="32" t="s">
        <v>4409</v>
      </c>
      <c r="O1391" s="10" t="s">
        <v>4410</v>
      </c>
      <c r="P1391" s="10" t="s">
        <v>4411</v>
      </c>
      <c r="Q1391" s="2"/>
      <c r="R1391" s="15"/>
      <c r="S1391" s="15"/>
      <c r="T1391" s="15"/>
      <c r="U1391" s="15"/>
      <c r="V1391" s="2"/>
      <c r="W1391" s="10">
        <v>12.0</v>
      </c>
      <c r="X1391" s="14">
        <v>45861.0</v>
      </c>
      <c r="Y1391" s="14">
        <v>46225.0</v>
      </c>
      <c r="Z1391" s="10">
        <f t="shared" si="119"/>
        <v>134</v>
      </c>
      <c r="AA1391" s="1"/>
      <c r="AB1391" s="15"/>
      <c r="AC1391" s="15"/>
      <c r="AD1391" s="15"/>
      <c r="AE1391" s="15"/>
      <c r="AF1391" s="2"/>
      <c r="AG1391" s="10" t="s">
        <v>2497</v>
      </c>
      <c r="AH1391" s="12" t="s">
        <v>46</v>
      </c>
      <c r="AI1391" s="10" t="s">
        <v>227</v>
      </c>
      <c r="AJ1391" s="10" t="s">
        <v>227</v>
      </c>
      <c r="AK1391" s="16" t="s">
        <v>45</v>
      </c>
      <c r="AL1391" s="10" t="s">
        <v>49</v>
      </c>
      <c r="AM1391" s="16" t="s">
        <v>45</v>
      </c>
      <c r="AN1391" s="10" t="s">
        <v>50</v>
      </c>
    </row>
    <row r="1392" ht="30.0" customHeight="1">
      <c r="A1392" s="9" t="str">
        <f t="shared" si="48"/>
        <v>N/I</v>
      </c>
      <c r="B1392" s="9" t="str">
        <f t="shared" si="49"/>
        <v>Ativo</v>
      </c>
      <c r="C1392" s="9" t="str">
        <f t="shared" si="80"/>
        <v>N/I</v>
      </c>
      <c r="D1392" s="10" t="s">
        <v>4406</v>
      </c>
      <c r="E1392" s="11" t="s">
        <v>4407</v>
      </c>
      <c r="F1392" s="11" t="s">
        <v>4414</v>
      </c>
      <c r="G1392" s="12" t="s">
        <v>448</v>
      </c>
      <c r="H1392" s="16">
        <v>170093.0</v>
      </c>
      <c r="I1392" s="12" t="s">
        <v>246</v>
      </c>
      <c r="J1392" s="10" t="s">
        <v>247</v>
      </c>
      <c r="K1392" s="10" t="s">
        <v>190</v>
      </c>
      <c r="L1392" s="10" t="s">
        <v>264</v>
      </c>
      <c r="M1392" s="22">
        <v>43299.0</v>
      </c>
      <c r="N1392" s="32" t="s">
        <v>4409</v>
      </c>
      <c r="O1392" s="10" t="s">
        <v>4410</v>
      </c>
      <c r="P1392" s="10" t="s">
        <v>4411</v>
      </c>
      <c r="Q1392" s="2"/>
      <c r="R1392" s="15"/>
      <c r="S1392" s="15"/>
      <c r="T1392" s="15"/>
      <c r="U1392" s="15"/>
      <c r="V1392" s="2"/>
      <c r="W1392" s="10">
        <v>12.0</v>
      </c>
      <c r="X1392" s="14">
        <v>45861.0</v>
      </c>
      <c r="Y1392" s="14">
        <v>46225.0</v>
      </c>
      <c r="Z1392" s="10">
        <f t="shared" si="119"/>
        <v>134</v>
      </c>
      <c r="AA1392" s="1"/>
      <c r="AB1392" s="15"/>
      <c r="AC1392" s="15"/>
      <c r="AD1392" s="15"/>
      <c r="AE1392" s="15"/>
      <c r="AF1392" s="2"/>
      <c r="AG1392" s="10" t="s">
        <v>2497</v>
      </c>
      <c r="AH1392" s="12" t="s">
        <v>46</v>
      </c>
      <c r="AI1392" s="10" t="s">
        <v>227</v>
      </c>
      <c r="AJ1392" s="10" t="s">
        <v>227</v>
      </c>
      <c r="AK1392" s="16" t="s">
        <v>45</v>
      </c>
      <c r="AL1392" s="10" t="s">
        <v>49</v>
      </c>
      <c r="AM1392" s="16" t="s">
        <v>45</v>
      </c>
      <c r="AN1392" s="10" t="s">
        <v>50</v>
      </c>
    </row>
    <row r="1393" ht="30.0" customHeight="1">
      <c r="A1393" s="9" t="str">
        <f t="shared" si="48"/>
        <v>N/I</v>
      </c>
      <c r="B1393" s="9" t="str">
        <f t="shared" si="49"/>
        <v>Ativo</v>
      </c>
      <c r="C1393" s="9" t="str">
        <f t="shared" si="80"/>
        <v>N/I</v>
      </c>
      <c r="D1393" s="10" t="s">
        <v>4406</v>
      </c>
      <c r="E1393" s="11" t="s">
        <v>4407</v>
      </c>
      <c r="F1393" s="11" t="s">
        <v>4413</v>
      </c>
      <c r="G1393" s="12" t="s">
        <v>448</v>
      </c>
      <c r="H1393" s="16">
        <v>170088.0</v>
      </c>
      <c r="I1393" s="12" t="s">
        <v>246</v>
      </c>
      <c r="J1393" s="10" t="s">
        <v>247</v>
      </c>
      <c r="K1393" s="10" t="s">
        <v>190</v>
      </c>
      <c r="L1393" s="10" t="s">
        <v>264</v>
      </c>
      <c r="M1393" s="22">
        <v>43300.0</v>
      </c>
      <c r="N1393" s="32" t="s">
        <v>4409</v>
      </c>
      <c r="O1393" s="10" t="s">
        <v>4410</v>
      </c>
      <c r="P1393" s="10" t="s">
        <v>4411</v>
      </c>
      <c r="Q1393" s="2"/>
      <c r="R1393" s="15"/>
      <c r="S1393" s="15"/>
      <c r="T1393" s="15"/>
      <c r="U1393" s="15"/>
      <c r="V1393" s="2"/>
      <c r="W1393" s="10">
        <v>12.0</v>
      </c>
      <c r="X1393" s="14">
        <v>45861.0</v>
      </c>
      <c r="Y1393" s="14">
        <v>46225.0</v>
      </c>
      <c r="Z1393" s="10">
        <f t="shared" si="119"/>
        <v>134</v>
      </c>
      <c r="AA1393" s="1"/>
      <c r="AB1393" s="15"/>
      <c r="AC1393" s="15"/>
      <c r="AD1393" s="15"/>
      <c r="AE1393" s="15"/>
      <c r="AF1393" s="2"/>
      <c r="AG1393" s="10" t="s">
        <v>2497</v>
      </c>
      <c r="AH1393" s="12" t="s">
        <v>46</v>
      </c>
      <c r="AI1393" s="10" t="s">
        <v>227</v>
      </c>
      <c r="AJ1393" s="10" t="s">
        <v>227</v>
      </c>
      <c r="AK1393" s="16" t="s">
        <v>45</v>
      </c>
      <c r="AL1393" s="10" t="s">
        <v>49</v>
      </c>
      <c r="AM1393" s="16" t="s">
        <v>45</v>
      </c>
      <c r="AN1393" s="10" t="s">
        <v>50</v>
      </c>
    </row>
    <row r="1394" ht="30.0" customHeight="1">
      <c r="A1394" s="9" t="str">
        <f t="shared" si="48"/>
        <v>N/I</v>
      </c>
      <c r="B1394" s="9" t="str">
        <f t="shared" si="49"/>
        <v>Ativo</v>
      </c>
      <c r="C1394" s="9" t="str">
        <f t="shared" si="80"/>
        <v>N/I</v>
      </c>
      <c r="D1394" s="10" t="s">
        <v>4406</v>
      </c>
      <c r="E1394" s="11" t="s">
        <v>4407</v>
      </c>
      <c r="F1394" s="11" t="s">
        <v>4415</v>
      </c>
      <c r="G1394" s="12" t="s">
        <v>448</v>
      </c>
      <c r="H1394" s="16">
        <v>170100.0</v>
      </c>
      <c r="I1394" s="12" t="s">
        <v>246</v>
      </c>
      <c r="J1394" s="10" t="s">
        <v>247</v>
      </c>
      <c r="K1394" s="10" t="s">
        <v>190</v>
      </c>
      <c r="L1394" s="10" t="s">
        <v>264</v>
      </c>
      <c r="M1394" s="22">
        <v>43349.0</v>
      </c>
      <c r="N1394" s="32" t="s">
        <v>4409</v>
      </c>
      <c r="O1394" s="10" t="s">
        <v>4410</v>
      </c>
      <c r="P1394" s="10" t="s">
        <v>4411</v>
      </c>
      <c r="Q1394" s="2"/>
      <c r="R1394" s="15"/>
      <c r="S1394" s="15"/>
      <c r="T1394" s="15"/>
      <c r="U1394" s="15"/>
      <c r="V1394" s="2"/>
      <c r="W1394" s="10">
        <v>12.0</v>
      </c>
      <c r="X1394" s="14">
        <v>45861.0</v>
      </c>
      <c r="Y1394" s="14">
        <v>46225.0</v>
      </c>
      <c r="Z1394" s="10">
        <f t="shared" si="119"/>
        <v>134</v>
      </c>
      <c r="AA1394" s="1"/>
      <c r="AB1394" s="15"/>
      <c r="AC1394" s="15"/>
      <c r="AD1394" s="15"/>
      <c r="AE1394" s="15"/>
      <c r="AF1394" s="2"/>
      <c r="AG1394" s="10" t="s">
        <v>2497</v>
      </c>
      <c r="AH1394" s="12" t="s">
        <v>46</v>
      </c>
      <c r="AI1394" s="10" t="s">
        <v>227</v>
      </c>
      <c r="AJ1394" s="10" t="s">
        <v>227</v>
      </c>
      <c r="AK1394" s="16" t="s">
        <v>45</v>
      </c>
      <c r="AL1394" s="10" t="s">
        <v>49</v>
      </c>
      <c r="AM1394" s="16" t="s">
        <v>45</v>
      </c>
      <c r="AN1394" s="10" t="s">
        <v>50</v>
      </c>
    </row>
    <row r="1395" ht="30.0" customHeight="1">
      <c r="A1395" s="9" t="str">
        <f t="shared" si="48"/>
        <v>Ativo</v>
      </c>
      <c r="B1395" s="9" t="str">
        <f t="shared" si="49"/>
        <v>N/I</v>
      </c>
      <c r="C1395" s="9" t="str">
        <f t="shared" si="80"/>
        <v>N/I</v>
      </c>
      <c r="D1395" s="10" t="s">
        <v>4416</v>
      </c>
      <c r="E1395" s="11" t="s">
        <v>4417</v>
      </c>
      <c r="F1395" s="32" t="s">
        <v>4418</v>
      </c>
      <c r="G1395" s="12" t="s">
        <v>52</v>
      </c>
      <c r="H1395" s="19" t="s">
        <v>4419</v>
      </c>
      <c r="I1395" s="12" t="s">
        <v>324</v>
      </c>
      <c r="J1395" s="10" t="s">
        <v>197</v>
      </c>
      <c r="K1395" s="10" t="s">
        <v>40</v>
      </c>
      <c r="L1395" s="10" t="s">
        <v>4</v>
      </c>
      <c r="M1395" s="14">
        <v>45394.0</v>
      </c>
      <c r="N1395" s="11" t="s">
        <v>4176</v>
      </c>
      <c r="O1395" s="10" t="s">
        <v>2282</v>
      </c>
      <c r="P1395" s="10" t="s">
        <v>4420</v>
      </c>
      <c r="Q1395" s="2"/>
      <c r="R1395" s="10">
        <v>36.0</v>
      </c>
      <c r="S1395" s="14">
        <v>45352.0</v>
      </c>
      <c r="T1395" s="14">
        <v>46446.0</v>
      </c>
      <c r="U1395" s="55">
        <f t="shared" ref="U1395:U1409" si="120">T1395-TODAY()</f>
        <v>355</v>
      </c>
      <c r="V1395" s="2"/>
      <c r="W1395" s="15"/>
      <c r="X1395" s="15"/>
      <c r="Y1395" s="15"/>
      <c r="Z1395" s="15"/>
      <c r="AA1395" s="1"/>
      <c r="AB1395" s="15"/>
      <c r="AC1395" s="15"/>
      <c r="AD1395" s="15"/>
      <c r="AE1395" s="15"/>
      <c r="AF1395" s="2"/>
      <c r="AG1395" s="16" t="s">
        <v>45</v>
      </c>
      <c r="AH1395" s="12" t="s">
        <v>46</v>
      </c>
      <c r="AI1395" s="10" t="s">
        <v>226</v>
      </c>
      <c r="AJ1395" s="10" t="s">
        <v>227</v>
      </c>
      <c r="AK1395" s="16" t="s">
        <v>45</v>
      </c>
      <c r="AL1395" s="10" t="s">
        <v>49</v>
      </c>
      <c r="AM1395" s="16" t="s">
        <v>45</v>
      </c>
      <c r="AN1395" s="10" t="s">
        <v>50</v>
      </c>
    </row>
    <row r="1396" ht="30.0" customHeight="1">
      <c r="A1396" s="9" t="str">
        <f t="shared" si="48"/>
        <v>Ativo</v>
      </c>
      <c r="B1396" s="9" t="str">
        <f t="shared" si="49"/>
        <v>N/I</v>
      </c>
      <c r="C1396" s="9" t="str">
        <f t="shared" si="80"/>
        <v>N/I</v>
      </c>
      <c r="D1396" s="10" t="s">
        <v>4416</v>
      </c>
      <c r="E1396" s="11" t="s">
        <v>4417</v>
      </c>
      <c r="F1396" s="32" t="s">
        <v>4174</v>
      </c>
      <c r="G1396" s="12" t="s">
        <v>52</v>
      </c>
      <c r="H1396" s="19" t="s">
        <v>4421</v>
      </c>
      <c r="I1396" s="12" t="s">
        <v>324</v>
      </c>
      <c r="J1396" s="10" t="s">
        <v>197</v>
      </c>
      <c r="K1396" s="10" t="s">
        <v>40</v>
      </c>
      <c r="L1396" s="10" t="s">
        <v>4</v>
      </c>
      <c r="M1396" s="14">
        <v>45394.0</v>
      </c>
      <c r="N1396" s="11" t="s">
        <v>4176</v>
      </c>
      <c r="O1396" s="10" t="s">
        <v>2282</v>
      </c>
      <c r="P1396" s="10" t="s">
        <v>4420</v>
      </c>
      <c r="Q1396" s="2"/>
      <c r="R1396" s="10">
        <v>36.0</v>
      </c>
      <c r="S1396" s="14">
        <v>45352.0</v>
      </c>
      <c r="T1396" s="14">
        <v>46446.0</v>
      </c>
      <c r="U1396" s="55">
        <f t="shared" si="120"/>
        <v>355</v>
      </c>
      <c r="V1396" s="2"/>
      <c r="W1396" s="15"/>
      <c r="X1396" s="15"/>
      <c r="Y1396" s="15"/>
      <c r="Z1396" s="15"/>
      <c r="AA1396" s="1"/>
      <c r="AB1396" s="15"/>
      <c r="AC1396" s="15"/>
      <c r="AD1396" s="15"/>
      <c r="AE1396" s="15"/>
      <c r="AF1396" s="2"/>
      <c r="AG1396" s="16" t="s">
        <v>45</v>
      </c>
      <c r="AH1396" s="12" t="s">
        <v>46</v>
      </c>
      <c r="AI1396" s="10" t="s">
        <v>226</v>
      </c>
      <c r="AJ1396" s="10" t="s">
        <v>227</v>
      </c>
      <c r="AK1396" s="16" t="s">
        <v>45</v>
      </c>
      <c r="AL1396" s="10" t="s">
        <v>49</v>
      </c>
      <c r="AM1396" s="16" t="s">
        <v>45</v>
      </c>
      <c r="AN1396" s="10" t="s">
        <v>50</v>
      </c>
    </row>
    <row r="1397" ht="30.0" customHeight="1">
      <c r="A1397" s="9" t="str">
        <f t="shared" si="48"/>
        <v>Ativo</v>
      </c>
      <c r="B1397" s="9" t="str">
        <f t="shared" si="49"/>
        <v>N/I</v>
      </c>
      <c r="C1397" s="9" t="str">
        <f t="shared" si="80"/>
        <v>N/I</v>
      </c>
      <c r="D1397" s="10" t="s">
        <v>4416</v>
      </c>
      <c r="E1397" s="11" t="s">
        <v>4417</v>
      </c>
      <c r="F1397" s="32" t="s">
        <v>4174</v>
      </c>
      <c r="G1397" s="12" t="s">
        <v>52</v>
      </c>
      <c r="H1397" s="19" t="s">
        <v>4422</v>
      </c>
      <c r="I1397" s="12" t="s">
        <v>324</v>
      </c>
      <c r="J1397" s="10" t="s">
        <v>197</v>
      </c>
      <c r="K1397" s="10" t="s">
        <v>40</v>
      </c>
      <c r="L1397" s="10" t="s">
        <v>4</v>
      </c>
      <c r="M1397" s="14">
        <v>45394.0</v>
      </c>
      <c r="N1397" s="11" t="s">
        <v>4176</v>
      </c>
      <c r="O1397" s="10" t="s">
        <v>2282</v>
      </c>
      <c r="P1397" s="10" t="s">
        <v>4423</v>
      </c>
      <c r="Q1397" s="2"/>
      <c r="R1397" s="10">
        <v>36.0</v>
      </c>
      <c r="S1397" s="14">
        <v>45352.0</v>
      </c>
      <c r="T1397" s="14">
        <v>46446.0</v>
      </c>
      <c r="U1397" s="55">
        <f t="shared" si="120"/>
        <v>355</v>
      </c>
      <c r="V1397" s="2"/>
      <c r="W1397" s="15"/>
      <c r="X1397" s="15"/>
      <c r="Y1397" s="15"/>
      <c r="Z1397" s="15"/>
      <c r="AA1397" s="1"/>
      <c r="AB1397" s="15"/>
      <c r="AC1397" s="15"/>
      <c r="AD1397" s="15"/>
      <c r="AE1397" s="15"/>
      <c r="AF1397" s="2"/>
      <c r="AG1397" s="16" t="s">
        <v>45</v>
      </c>
      <c r="AH1397" s="12" t="s">
        <v>46</v>
      </c>
      <c r="AI1397" s="10" t="s">
        <v>226</v>
      </c>
      <c r="AJ1397" s="10" t="s">
        <v>227</v>
      </c>
      <c r="AK1397" s="16" t="s">
        <v>45</v>
      </c>
      <c r="AL1397" s="10" t="s">
        <v>49</v>
      </c>
      <c r="AM1397" s="16" t="s">
        <v>45</v>
      </c>
      <c r="AN1397" s="10" t="s">
        <v>50</v>
      </c>
    </row>
    <row r="1398" ht="30.0" customHeight="1">
      <c r="A1398" s="9" t="str">
        <f t="shared" si="48"/>
        <v>Ativo</v>
      </c>
      <c r="B1398" s="9" t="str">
        <f t="shared" si="49"/>
        <v>N/I</v>
      </c>
      <c r="C1398" s="9" t="str">
        <f t="shared" si="80"/>
        <v>N/I</v>
      </c>
      <c r="D1398" s="10" t="s">
        <v>4416</v>
      </c>
      <c r="E1398" s="11" t="s">
        <v>4417</v>
      </c>
      <c r="F1398" s="32" t="s">
        <v>4174</v>
      </c>
      <c r="G1398" s="12" t="s">
        <v>52</v>
      </c>
      <c r="H1398" s="19" t="s">
        <v>4424</v>
      </c>
      <c r="I1398" s="12" t="s">
        <v>324</v>
      </c>
      <c r="J1398" s="10" t="s">
        <v>197</v>
      </c>
      <c r="K1398" s="10" t="s">
        <v>40</v>
      </c>
      <c r="L1398" s="10" t="s">
        <v>4</v>
      </c>
      <c r="M1398" s="14">
        <v>45394.0</v>
      </c>
      <c r="N1398" s="11" t="s">
        <v>4176</v>
      </c>
      <c r="O1398" s="10" t="s">
        <v>2282</v>
      </c>
      <c r="P1398" s="10" t="s">
        <v>4423</v>
      </c>
      <c r="Q1398" s="2"/>
      <c r="R1398" s="10">
        <v>36.0</v>
      </c>
      <c r="S1398" s="14">
        <v>45352.0</v>
      </c>
      <c r="T1398" s="14">
        <v>46446.0</v>
      </c>
      <c r="U1398" s="55">
        <f t="shared" si="120"/>
        <v>355</v>
      </c>
      <c r="V1398" s="2"/>
      <c r="W1398" s="15"/>
      <c r="X1398" s="15"/>
      <c r="Y1398" s="15"/>
      <c r="Z1398" s="15"/>
      <c r="AA1398" s="1"/>
      <c r="AB1398" s="15"/>
      <c r="AC1398" s="15"/>
      <c r="AD1398" s="15"/>
      <c r="AE1398" s="15"/>
      <c r="AF1398" s="2"/>
      <c r="AG1398" s="16" t="s">
        <v>45</v>
      </c>
      <c r="AH1398" s="12" t="s">
        <v>46</v>
      </c>
      <c r="AI1398" s="10" t="s">
        <v>226</v>
      </c>
      <c r="AJ1398" s="10" t="s">
        <v>227</v>
      </c>
      <c r="AK1398" s="16" t="s">
        <v>45</v>
      </c>
      <c r="AL1398" s="10" t="s">
        <v>49</v>
      </c>
      <c r="AM1398" s="16" t="s">
        <v>45</v>
      </c>
      <c r="AN1398" s="10" t="s">
        <v>50</v>
      </c>
    </row>
    <row r="1399" ht="30.0" customHeight="1">
      <c r="A1399" s="9" t="str">
        <f t="shared" si="48"/>
        <v>Ativo</v>
      </c>
      <c r="B1399" s="9" t="str">
        <f t="shared" si="49"/>
        <v>N/I</v>
      </c>
      <c r="C1399" s="9" t="str">
        <f t="shared" si="80"/>
        <v>N/I</v>
      </c>
      <c r="D1399" s="10" t="s">
        <v>4416</v>
      </c>
      <c r="E1399" s="11" t="s">
        <v>4417</v>
      </c>
      <c r="F1399" s="32" t="s">
        <v>4174</v>
      </c>
      <c r="G1399" s="12" t="s">
        <v>68</v>
      </c>
      <c r="H1399" s="19" t="s">
        <v>4425</v>
      </c>
      <c r="I1399" s="12" t="s">
        <v>324</v>
      </c>
      <c r="J1399" s="10" t="s">
        <v>197</v>
      </c>
      <c r="K1399" s="10" t="s">
        <v>40</v>
      </c>
      <c r="L1399" s="10" t="s">
        <v>4</v>
      </c>
      <c r="M1399" s="14">
        <v>45394.0</v>
      </c>
      <c r="N1399" s="11" t="s">
        <v>4176</v>
      </c>
      <c r="O1399" s="10" t="s">
        <v>2282</v>
      </c>
      <c r="P1399" s="10" t="s">
        <v>4426</v>
      </c>
      <c r="Q1399" s="2"/>
      <c r="R1399" s="10">
        <v>36.0</v>
      </c>
      <c r="S1399" s="14">
        <v>45393.0</v>
      </c>
      <c r="T1399" s="14">
        <v>46487.0</v>
      </c>
      <c r="U1399" s="55">
        <f t="shared" si="120"/>
        <v>396</v>
      </c>
      <c r="V1399" s="2"/>
      <c r="W1399" s="15"/>
      <c r="X1399" s="15"/>
      <c r="Y1399" s="15"/>
      <c r="Z1399" s="15"/>
      <c r="AA1399" s="1"/>
      <c r="AB1399" s="15"/>
      <c r="AC1399" s="15"/>
      <c r="AD1399" s="15"/>
      <c r="AE1399" s="15"/>
      <c r="AF1399" s="2"/>
      <c r="AG1399" s="16" t="s">
        <v>45</v>
      </c>
      <c r="AH1399" s="12" t="s">
        <v>46</v>
      </c>
      <c r="AI1399" s="10" t="s">
        <v>226</v>
      </c>
      <c r="AJ1399" s="10" t="s">
        <v>227</v>
      </c>
      <c r="AK1399" s="16" t="s">
        <v>45</v>
      </c>
      <c r="AL1399" s="10" t="s">
        <v>49</v>
      </c>
      <c r="AM1399" s="16" t="s">
        <v>45</v>
      </c>
      <c r="AN1399" s="10" t="s">
        <v>50</v>
      </c>
    </row>
    <row r="1400" ht="30.0" customHeight="1">
      <c r="A1400" s="9" t="str">
        <f t="shared" si="48"/>
        <v>Ativo</v>
      </c>
      <c r="B1400" s="9" t="str">
        <f t="shared" si="49"/>
        <v>N/I</v>
      </c>
      <c r="C1400" s="9" t="str">
        <f t="shared" si="80"/>
        <v>N/I</v>
      </c>
      <c r="D1400" s="10" t="s">
        <v>4416</v>
      </c>
      <c r="E1400" s="11" t="s">
        <v>4417</v>
      </c>
      <c r="F1400" s="32" t="s">
        <v>4174</v>
      </c>
      <c r="G1400" s="12" t="s">
        <v>52</v>
      </c>
      <c r="H1400" s="19" t="s">
        <v>4427</v>
      </c>
      <c r="I1400" s="12" t="s">
        <v>324</v>
      </c>
      <c r="J1400" s="10" t="s">
        <v>197</v>
      </c>
      <c r="K1400" s="10" t="s">
        <v>40</v>
      </c>
      <c r="L1400" s="10" t="s">
        <v>4</v>
      </c>
      <c r="M1400" s="22">
        <v>45496.0</v>
      </c>
      <c r="N1400" s="11" t="s">
        <v>4176</v>
      </c>
      <c r="O1400" s="10" t="s">
        <v>2282</v>
      </c>
      <c r="P1400" s="10" t="s">
        <v>4428</v>
      </c>
      <c r="Q1400" s="2"/>
      <c r="R1400" s="10">
        <v>36.0</v>
      </c>
      <c r="S1400" s="14">
        <v>45607.0</v>
      </c>
      <c r="T1400" s="14">
        <v>46701.0</v>
      </c>
      <c r="U1400" s="55">
        <f t="shared" si="120"/>
        <v>610</v>
      </c>
      <c r="V1400" s="2"/>
      <c r="W1400" s="15"/>
      <c r="X1400" s="15"/>
      <c r="Y1400" s="15"/>
      <c r="Z1400" s="15"/>
      <c r="AA1400" s="1"/>
      <c r="AB1400" s="15"/>
      <c r="AC1400" s="15"/>
      <c r="AD1400" s="15"/>
      <c r="AE1400" s="15"/>
      <c r="AF1400" s="2"/>
      <c r="AG1400" s="16" t="s">
        <v>45</v>
      </c>
      <c r="AH1400" s="12" t="s">
        <v>46</v>
      </c>
      <c r="AI1400" s="10" t="s">
        <v>226</v>
      </c>
      <c r="AJ1400" s="10" t="s">
        <v>227</v>
      </c>
      <c r="AK1400" s="16" t="s">
        <v>45</v>
      </c>
      <c r="AL1400" s="10" t="s">
        <v>49</v>
      </c>
      <c r="AM1400" s="16" t="s">
        <v>45</v>
      </c>
      <c r="AN1400" s="10" t="s">
        <v>50</v>
      </c>
    </row>
    <row r="1401" ht="30.0" customHeight="1">
      <c r="A1401" s="9" t="str">
        <f t="shared" si="48"/>
        <v>Ativo</v>
      </c>
      <c r="B1401" s="9" t="str">
        <f t="shared" si="49"/>
        <v>N/I</v>
      </c>
      <c r="C1401" s="9" t="str">
        <f t="shared" si="80"/>
        <v>N/I</v>
      </c>
      <c r="D1401" s="10" t="s">
        <v>4416</v>
      </c>
      <c r="E1401" s="11" t="s">
        <v>4417</v>
      </c>
      <c r="F1401" s="32" t="s">
        <v>4174</v>
      </c>
      <c r="G1401" s="12" t="s">
        <v>52</v>
      </c>
      <c r="H1401" s="34" t="s">
        <v>4429</v>
      </c>
      <c r="I1401" s="12" t="s">
        <v>324</v>
      </c>
      <c r="J1401" s="10" t="s">
        <v>197</v>
      </c>
      <c r="K1401" s="10" t="s">
        <v>40</v>
      </c>
      <c r="L1401" s="10" t="s">
        <v>4</v>
      </c>
      <c r="M1401" s="22">
        <v>45497.0</v>
      </c>
      <c r="N1401" s="11" t="s">
        <v>4176</v>
      </c>
      <c r="O1401" s="10" t="s">
        <v>2282</v>
      </c>
      <c r="P1401" s="10" t="s">
        <v>4428</v>
      </c>
      <c r="Q1401" s="2"/>
      <c r="R1401" s="10">
        <v>36.0</v>
      </c>
      <c r="S1401" s="14">
        <v>45607.0</v>
      </c>
      <c r="T1401" s="14">
        <v>46701.0</v>
      </c>
      <c r="U1401" s="55">
        <f t="shared" si="120"/>
        <v>610</v>
      </c>
      <c r="V1401" s="2"/>
      <c r="W1401" s="15"/>
      <c r="X1401" s="15"/>
      <c r="Y1401" s="15"/>
      <c r="Z1401" s="15"/>
      <c r="AA1401" s="1"/>
      <c r="AB1401" s="15"/>
      <c r="AC1401" s="15"/>
      <c r="AD1401" s="15"/>
      <c r="AE1401" s="15"/>
      <c r="AF1401" s="2"/>
      <c r="AG1401" s="16" t="s">
        <v>45</v>
      </c>
      <c r="AH1401" s="12" t="s">
        <v>46</v>
      </c>
      <c r="AI1401" s="10" t="s">
        <v>226</v>
      </c>
      <c r="AJ1401" s="10" t="s">
        <v>227</v>
      </c>
      <c r="AK1401" s="16" t="s">
        <v>45</v>
      </c>
      <c r="AL1401" s="10" t="s">
        <v>49</v>
      </c>
      <c r="AM1401" s="16" t="s">
        <v>45</v>
      </c>
      <c r="AN1401" s="10" t="s">
        <v>50</v>
      </c>
    </row>
    <row r="1402" ht="30.0" customHeight="1">
      <c r="A1402" s="9" t="str">
        <f t="shared" si="48"/>
        <v>Ativo</v>
      </c>
      <c r="B1402" s="9" t="str">
        <f t="shared" si="49"/>
        <v>N/I</v>
      </c>
      <c r="C1402" s="9" t="str">
        <f t="shared" si="80"/>
        <v>N/I</v>
      </c>
      <c r="D1402" s="10" t="s">
        <v>4416</v>
      </c>
      <c r="E1402" s="11" t="s">
        <v>4417</v>
      </c>
      <c r="F1402" s="32" t="s">
        <v>4174</v>
      </c>
      <c r="G1402" s="12" t="s">
        <v>52</v>
      </c>
      <c r="H1402" s="34" t="s">
        <v>4430</v>
      </c>
      <c r="I1402" s="12" t="s">
        <v>324</v>
      </c>
      <c r="J1402" s="10" t="s">
        <v>197</v>
      </c>
      <c r="K1402" s="10" t="s">
        <v>40</v>
      </c>
      <c r="L1402" s="10" t="s">
        <v>4</v>
      </c>
      <c r="M1402" s="22">
        <v>45499.0</v>
      </c>
      <c r="N1402" s="11" t="s">
        <v>4176</v>
      </c>
      <c r="O1402" s="10" t="s">
        <v>2282</v>
      </c>
      <c r="P1402" s="10" t="s">
        <v>4428</v>
      </c>
      <c r="Q1402" s="2"/>
      <c r="R1402" s="10">
        <v>36.0</v>
      </c>
      <c r="S1402" s="14">
        <v>45607.0</v>
      </c>
      <c r="T1402" s="14">
        <v>46701.0</v>
      </c>
      <c r="U1402" s="55">
        <f t="shared" si="120"/>
        <v>610</v>
      </c>
      <c r="V1402" s="2"/>
      <c r="W1402" s="15"/>
      <c r="X1402" s="15"/>
      <c r="Y1402" s="15"/>
      <c r="Z1402" s="15"/>
      <c r="AA1402" s="1"/>
      <c r="AB1402" s="15"/>
      <c r="AC1402" s="15"/>
      <c r="AD1402" s="15"/>
      <c r="AE1402" s="15"/>
      <c r="AF1402" s="2"/>
      <c r="AG1402" s="16" t="s">
        <v>45</v>
      </c>
      <c r="AH1402" s="12" t="s">
        <v>46</v>
      </c>
      <c r="AI1402" s="10" t="s">
        <v>226</v>
      </c>
      <c r="AJ1402" s="10" t="s">
        <v>227</v>
      </c>
      <c r="AK1402" s="16" t="s">
        <v>45</v>
      </c>
      <c r="AL1402" s="10" t="s">
        <v>49</v>
      </c>
      <c r="AM1402" s="16" t="s">
        <v>45</v>
      </c>
      <c r="AN1402" s="10" t="s">
        <v>50</v>
      </c>
    </row>
    <row r="1403" ht="30.0" customHeight="1">
      <c r="A1403" s="9" t="str">
        <f t="shared" si="48"/>
        <v>Ativo</v>
      </c>
      <c r="B1403" s="9" t="str">
        <f t="shared" si="49"/>
        <v>N/I</v>
      </c>
      <c r="C1403" s="9" t="str">
        <f t="shared" si="80"/>
        <v>N/I</v>
      </c>
      <c r="D1403" s="10" t="s">
        <v>4416</v>
      </c>
      <c r="E1403" s="11" t="s">
        <v>4417</v>
      </c>
      <c r="F1403" s="32" t="s">
        <v>4174</v>
      </c>
      <c r="G1403" s="12" t="s">
        <v>52</v>
      </c>
      <c r="H1403" s="34" t="s">
        <v>4431</v>
      </c>
      <c r="I1403" s="12" t="s">
        <v>324</v>
      </c>
      <c r="J1403" s="10" t="s">
        <v>197</v>
      </c>
      <c r="K1403" s="10" t="s">
        <v>40</v>
      </c>
      <c r="L1403" s="10" t="s">
        <v>4</v>
      </c>
      <c r="M1403" s="22">
        <v>45533.0</v>
      </c>
      <c r="N1403" s="11" t="s">
        <v>4176</v>
      </c>
      <c r="O1403" s="10" t="s">
        <v>2282</v>
      </c>
      <c r="P1403" s="10" t="s">
        <v>4428</v>
      </c>
      <c r="Q1403" s="2"/>
      <c r="R1403" s="10">
        <v>36.0</v>
      </c>
      <c r="S1403" s="14">
        <v>45607.0</v>
      </c>
      <c r="T1403" s="14">
        <v>46701.0</v>
      </c>
      <c r="U1403" s="55">
        <f t="shared" si="120"/>
        <v>610</v>
      </c>
      <c r="V1403" s="2"/>
      <c r="W1403" s="15"/>
      <c r="X1403" s="15"/>
      <c r="Y1403" s="15"/>
      <c r="Z1403" s="15"/>
      <c r="AA1403" s="1"/>
      <c r="AB1403" s="15"/>
      <c r="AC1403" s="15"/>
      <c r="AD1403" s="15"/>
      <c r="AE1403" s="15"/>
      <c r="AF1403" s="2"/>
      <c r="AG1403" s="16" t="s">
        <v>45</v>
      </c>
      <c r="AH1403" s="12" t="s">
        <v>46</v>
      </c>
      <c r="AI1403" s="10" t="s">
        <v>226</v>
      </c>
      <c r="AJ1403" s="10" t="s">
        <v>227</v>
      </c>
      <c r="AK1403" s="16" t="s">
        <v>45</v>
      </c>
      <c r="AL1403" s="10" t="s">
        <v>49</v>
      </c>
      <c r="AM1403" s="16" t="s">
        <v>45</v>
      </c>
      <c r="AN1403" s="10" t="s">
        <v>50</v>
      </c>
    </row>
    <row r="1404" ht="30.0" customHeight="1">
      <c r="A1404" s="9" t="str">
        <f t="shared" si="48"/>
        <v>Ativo</v>
      </c>
      <c r="B1404" s="9" t="str">
        <f t="shared" si="49"/>
        <v>N/I</v>
      </c>
      <c r="C1404" s="9" t="str">
        <f t="shared" si="80"/>
        <v>N/I</v>
      </c>
      <c r="D1404" s="10" t="s">
        <v>4416</v>
      </c>
      <c r="E1404" s="11" t="s">
        <v>4417</v>
      </c>
      <c r="F1404" s="32" t="s">
        <v>4174</v>
      </c>
      <c r="G1404" s="12" t="s">
        <v>52</v>
      </c>
      <c r="H1404" s="34" t="s">
        <v>4432</v>
      </c>
      <c r="I1404" s="12" t="s">
        <v>324</v>
      </c>
      <c r="J1404" s="10" t="s">
        <v>197</v>
      </c>
      <c r="K1404" s="10" t="s">
        <v>40</v>
      </c>
      <c r="L1404" s="10" t="s">
        <v>4</v>
      </c>
      <c r="M1404" s="22">
        <v>45533.0</v>
      </c>
      <c r="N1404" s="11" t="s">
        <v>4176</v>
      </c>
      <c r="O1404" s="10" t="s">
        <v>2282</v>
      </c>
      <c r="P1404" s="10" t="s">
        <v>4428</v>
      </c>
      <c r="Q1404" s="2"/>
      <c r="R1404" s="10">
        <v>36.0</v>
      </c>
      <c r="S1404" s="14">
        <v>45607.0</v>
      </c>
      <c r="T1404" s="14">
        <v>46701.0</v>
      </c>
      <c r="U1404" s="55">
        <f t="shared" si="120"/>
        <v>610</v>
      </c>
      <c r="V1404" s="2"/>
      <c r="W1404" s="15"/>
      <c r="X1404" s="15"/>
      <c r="Y1404" s="15"/>
      <c r="Z1404" s="15"/>
      <c r="AA1404" s="1"/>
      <c r="AB1404" s="15"/>
      <c r="AC1404" s="15"/>
      <c r="AD1404" s="15"/>
      <c r="AE1404" s="15"/>
      <c r="AF1404" s="2"/>
      <c r="AG1404" s="16" t="s">
        <v>45</v>
      </c>
      <c r="AH1404" s="12" t="s">
        <v>46</v>
      </c>
      <c r="AI1404" s="10" t="s">
        <v>226</v>
      </c>
      <c r="AJ1404" s="10" t="s">
        <v>227</v>
      </c>
      <c r="AK1404" s="16" t="s">
        <v>45</v>
      </c>
      <c r="AL1404" s="10" t="s">
        <v>49</v>
      </c>
      <c r="AM1404" s="16" t="s">
        <v>45</v>
      </c>
      <c r="AN1404" s="10" t="s">
        <v>50</v>
      </c>
    </row>
    <row r="1405" ht="30.0" customHeight="1">
      <c r="A1405" s="9" t="str">
        <f t="shared" si="48"/>
        <v>Ativo</v>
      </c>
      <c r="B1405" s="9" t="str">
        <f t="shared" si="49"/>
        <v>N/I</v>
      </c>
      <c r="C1405" s="9" t="str">
        <f t="shared" si="80"/>
        <v>N/I</v>
      </c>
      <c r="D1405" s="10" t="s">
        <v>4416</v>
      </c>
      <c r="E1405" s="11" t="s">
        <v>4417</v>
      </c>
      <c r="F1405" s="32" t="s">
        <v>4174</v>
      </c>
      <c r="G1405" s="12" t="s">
        <v>52</v>
      </c>
      <c r="H1405" s="34" t="s">
        <v>4433</v>
      </c>
      <c r="I1405" s="12" t="s">
        <v>324</v>
      </c>
      <c r="J1405" s="10" t="s">
        <v>197</v>
      </c>
      <c r="K1405" s="10" t="s">
        <v>40</v>
      </c>
      <c r="L1405" s="10" t="s">
        <v>4</v>
      </c>
      <c r="M1405" s="22">
        <v>45533.0</v>
      </c>
      <c r="N1405" s="11" t="s">
        <v>4176</v>
      </c>
      <c r="O1405" s="10" t="s">
        <v>2282</v>
      </c>
      <c r="P1405" s="10" t="s">
        <v>4428</v>
      </c>
      <c r="Q1405" s="2"/>
      <c r="R1405" s="10">
        <v>36.0</v>
      </c>
      <c r="S1405" s="14">
        <v>45607.0</v>
      </c>
      <c r="T1405" s="14">
        <v>46701.0</v>
      </c>
      <c r="U1405" s="55">
        <f t="shared" si="120"/>
        <v>610</v>
      </c>
      <c r="V1405" s="2"/>
      <c r="W1405" s="15"/>
      <c r="X1405" s="15"/>
      <c r="Y1405" s="15"/>
      <c r="Z1405" s="15"/>
      <c r="AA1405" s="1"/>
      <c r="AB1405" s="15"/>
      <c r="AC1405" s="15"/>
      <c r="AD1405" s="15"/>
      <c r="AE1405" s="15"/>
      <c r="AF1405" s="2"/>
      <c r="AG1405" s="16" t="s">
        <v>45</v>
      </c>
      <c r="AH1405" s="12" t="s">
        <v>46</v>
      </c>
      <c r="AI1405" s="10" t="s">
        <v>226</v>
      </c>
      <c r="AJ1405" s="10" t="s">
        <v>227</v>
      </c>
      <c r="AK1405" s="16" t="s">
        <v>45</v>
      </c>
      <c r="AL1405" s="10" t="s">
        <v>49</v>
      </c>
      <c r="AM1405" s="16" t="s">
        <v>45</v>
      </c>
      <c r="AN1405" s="10" t="s">
        <v>50</v>
      </c>
    </row>
    <row r="1406" ht="30.0" customHeight="1">
      <c r="A1406" s="9" t="str">
        <f t="shared" si="48"/>
        <v>Ativo</v>
      </c>
      <c r="B1406" s="9" t="str">
        <f t="shared" si="49"/>
        <v>N/I</v>
      </c>
      <c r="C1406" s="9" t="str">
        <f t="shared" si="80"/>
        <v>N/I</v>
      </c>
      <c r="D1406" s="10" t="s">
        <v>4416</v>
      </c>
      <c r="E1406" s="11" t="s">
        <v>4417</v>
      </c>
      <c r="F1406" s="32" t="s">
        <v>4174</v>
      </c>
      <c r="G1406" s="12" t="s">
        <v>52</v>
      </c>
      <c r="H1406" s="34" t="s">
        <v>4434</v>
      </c>
      <c r="I1406" s="12" t="s">
        <v>324</v>
      </c>
      <c r="J1406" s="10" t="s">
        <v>197</v>
      </c>
      <c r="K1406" s="10" t="s">
        <v>40</v>
      </c>
      <c r="L1406" s="10" t="s">
        <v>4</v>
      </c>
      <c r="M1406" s="22">
        <v>45603.0</v>
      </c>
      <c r="N1406" s="11" t="s">
        <v>4176</v>
      </c>
      <c r="O1406" s="10" t="s">
        <v>2282</v>
      </c>
      <c r="P1406" s="10" t="s">
        <v>4428</v>
      </c>
      <c r="Q1406" s="2"/>
      <c r="R1406" s="10">
        <v>36.0</v>
      </c>
      <c r="S1406" s="14">
        <v>45607.0</v>
      </c>
      <c r="T1406" s="14">
        <v>46701.0</v>
      </c>
      <c r="U1406" s="55">
        <f t="shared" si="120"/>
        <v>610</v>
      </c>
      <c r="V1406" s="2"/>
      <c r="W1406" s="15"/>
      <c r="X1406" s="15"/>
      <c r="Y1406" s="15"/>
      <c r="Z1406" s="15"/>
      <c r="AA1406" s="1"/>
      <c r="AB1406" s="15"/>
      <c r="AC1406" s="15"/>
      <c r="AD1406" s="15"/>
      <c r="AE1406" s="15"/>
      <c r="AF1406" s="2"/>
      <c r="AG1406" s="16" t="s">
        <v>45</v>
      </c>
      <c r="AH1406" s="12" t="s">
        <v>46</v>
      </c>
      <c r="AI1406" s="10" t="s">
        <v>226</v>
      </c>
      <c r="AJ1406" s="10" t="s">
        <v>227</v>
      </c>
      <c r="AK1406" s="16" t="s">
        <v>45</v>
      </c>
      <c r="AL1406" s="10" t="s">
        <v>49</v>
      </c>
      <c r="AM1406" s="16" t="s">
        <v>45</v>
      </c>
      <c r="AN1406" s="10" t="s">
        <v>50</v>
      </c>
    </row>
    <row r="1407" ht="30.0" customHeight="1">
      <c r="A1407" s="9" t="str">
        <f t="shared" si="48"/>
        <v>Ativo</v>
      </c>
      <c r="B1407" s="9" t="str">
        <f t="shared" si="49"/>
        <v>N/I</v>
      </c>
      <c r="C1407" s="9" t="str">
        <f t="shared" si="80"/>
        <v>N/I</v>
      </c>
      <c r="D1407" s="10" t="s">
        <v>4416</v>
      </c>
      <c r="E1407" s="11" t="s">
        <v>4417</v>
      </c>
      <c r="F1407" s="32" t="s">
        <v>4174</v>
      </c>
      <c r="G1407" s="12" t="s">
        <v>52</v>
      </c>
      <c r="H1407" s="34" t="s">
        <v>4435</v>
      </c>
      <c r="I1407" s="12" t="s">
        <v>324</v>
      </c>
      <c r="J1407" s="10" t="s">
        <v>197</v>
      </c>
      <c r="K1407" s="10" t="s">
        <v>40</v>
      </c>
      <c r="L1407" s="10" t="s">
        <v>4</v>
      </c>
      <c r="M1407" s="22">
        <v>45604.0</v>
      </c>
      <c r="N1407" s="11" t="s">
        <v>4176</v>
      </c>
      <c r="O1407" s="10" t="s">
        <v>2282</v>
      </c>
      <c r="P1407" s="10" t="s">
        <v>4428</v>
      </c>
      <c r="Q1407" s="2"/>
      <c r="R1407" s="10">
        <v>36.0</v>
      </c>
      <c r="S1407" s="14">
        <v>45607.0</v>
      </c>
      <c r="T1407" s="14">
        <v>46701.0</v>
      </c>
      <c r="U1407" s="55">
        <f t="shared" si="120"/>
        <v>610</v>
      </c>
      <c r="V1407" s="2"/>
      <c r="W1407" s="15"/>
      <c r="X1407" s="15"/>
      <c r="Y1407" s="15"/>
      <c r="Z1407" s="15"/>
      <c r="AA1407" s="1"/>
      <c r="AB1407" s="15"/>
      <c r="AC1407" s="15"/>
      <c r="AD1407" s="15"/>
      <c r="AE1407" s="15"/>
      <c r="AF1407" s="2"/>
      <c r="AG1407" s="16" t="s">
        <v>45</v>
      </c>
      <c r="AH1407" s="12" t="s">
        <v>46</v>
      </c>
      <c r="AI1407" s="10" t="s">
        <v>226</v>
      </c>
      <c r="AJ1407" s="10" t="s">
        <v>227</v>
      </c>
      <c r="AK1407" s="16" t="s">
        <v>45</v>
      </c>
      <c r="AL1407" s="10" t="s">
        <v>49</v>
      </c>
      <c r="AM1407" s="16" t="s">
        <v>45</v>
      </c>
      <c r="AN1407" s="10" t="s">
        <v>50</v>
      </c>
    </row>
    <row r="1408" ht="30.0" customHeight="1">
      <c r="A1408" s="9" t="str">
        <f t="shared" si="48"/>
        <v>Ativo</v>
      </c>
      <c r="B1408" s="9" t="str">
        <f t="shared" si="49"/>
        <v>N/I</v>
      </c>
      <c r="C1408" s="9" t="str">
        <f t="shared" si="80"/>
        <v>N/I</v>
      </c>
      <c r="D1408" s="10" t="s">
        <v>4416</v>
      </c>
      <c r="E1408" s="11" t="s">
        <v>4417</v>
      </c>
      <c r="F1408" s="32" t="s">
        <v>4174</v>
      </c>
      <c r="G1408" s="12" t="s">
        <v>52</v>
      </c>
      <c r="H1408" s="34" t="s">
        <v>4436</v>
      </c>
      <c r="I1408" s="12" t="s">
        <v>324</v>
      </c>
      <c r="J1408" s="10" t="s">
        <v>197</v>
      </c>
      <c r="K1408" s="10" t="s">
        <v>40</v>
      </c>
      <c r="L1408" s="10" t="s">
        <v>4</v>
      </c>
      <c r="M1408" s="22">
        <v>45604.0</v>
      </c>
      <c r="N1408" s="11" t="s">
        <v>4176</v>
      </c>
      <c r="O1408" s="10" t="s">
        <v>2282</v>
      </c>
      <c r="P1408" s="10" t="s">
        <v>4428</v>
      </c>
      <c r="Q1408" s="2"/>
      <c r="R1408" s="10">
        <v>36.0</v>
      </c>
      <c r="S1408" s="14">
        <v>45607.0</v>
      </c>
      <c r="T1408" s="14">
        <v>46701.0</v>
      </c>
      <c r="U1408" s="55">
        <f t="shared" si="120"/>
        <v>610</v>
      </c>
      <c r="V1408" s="2"/>
      <c r="W1408" s="15"/>
      <c r="X1408" s="15"/>
      <c r="Y1408" s="15"/>
      <c r="Z1408" s="15"/>
      <c r="AA1408" s="1"/>
      <c r="AB1408" s="15"/>
      <c r="AC1408" s="15"/>
      <c r="AD1408" s="15"/>
      <c r="AE1408" s="15"/>
      <c r="AF1408" s="2"/>
      <c r="AG1408" s="16" t="s">
        <v>45</v>
      </c>
      <c r="AH1408" s="12" t="s">
        <v>46</v>
      </c>
      <c r="AI1408" s="10" t="s">
        <v>226</v>
      </c>
      <c r="AJ1408" s="10" t="s">
        <v>227</v>
      </c>
      <c r="AK1408" s="16" t="s">
        <v>45</v>
      </c>
      <c r="AL1408" s="10" t="s">
        <v>49</v>
      </c>
      <c r="AM1408" s="16" t="s">
        <v>45</v>
      </c>
      <c r="AN1408" s="10" t="s">
        <v>50</v>
      </c>
    </row>
    <row r="1409" ht="30.0" customHeight="1">
      <c r="A1409" s="9" t="str">
        <f t="shared" si="48"/>
        <v>Ativo</v>
      </c>
      <c r="B1409" s="9" t="str">
        <f t="shared" si="49"/>
        <v>N/I</v>
      </c>
      <c r="C1409" s="9" t="str">
        <f t="shared" si="80"/>
        <v>N/I</v>
      </c>
      <c r="D1409" s="10" t="s">
        <v>4416</v>
      </c>
      <c r="E1409" s="11" t="s">
        <v>4417</v>
      </c>
      <c r="F1409" s="32" t="s">
        <v>4174</v>
      </c>
      <c r="G1409" s="12" t="s">
        <v>52</v>
      </c>
      <c r="H1409" s="34" t="s">
        <v>4437</v>
      </c>
      <c r="I1409" s="12" t="s">
        <v>324</v>
      </c>
      <c r="J1409" s="10" t="s">
        <v>197</v>
      </c>
      <c r="K1409" s="10" t="s">
        <v>40</v>
      </c>
      <c r="L1409" s="10" t="s">
        <v>4</v>
      </c>
      <c r="M1409" s="22">
        <v>45602.0</v>
      </c>
      <c r="N1409" s="11" t="s">
        <v>4176</v>
      </c>
      <c r="O1409" s="10" t="s">
        <v>2282</v>
      </c>
      <c r="P1409" s="10" t="s">
        <v>4428</v>
      </c>
      <c r="Q1409" s="2"/>
      <c r="R1409" s="10">
        <v>36.0</v>
      </c>
      <c r="S1409" s="14">
        <v>45607.0</v>
      </c>
      <c r="T1409" s="14">
        <v>46701.0</v>
      </c>
      <c r="U1409" s="55">
        <f t="shared" si="120"/>
        <v>610</v>
      </c>
      <c r="V1409" s="2"/>
      <c r="W1409" s="15"/>
      <c r="X1409" s="15"/>
      <c r="Y1409" s="15"/>
      <c r="Z1409" s="15"/>
      <c r="AA1409" s="1"/>
      <c r="AB1409" s="15"/>
      <c r="AC1409" s="15"/>
      <c r="AD1409" s="15"/>
      <c r="AE1409" s="15"/>
      <c r="AF1409" s="2"/>
      <c r="AG1409" s="16" t="s">
        <v>45</v>
      </c>
      <c r="AH1409" s="12" t="s">
        <v>46</v>
      </c>
      <c r="AI1409" s="10" t="s">
        <v>226</v>
      </c>
      <c r="AJ1409" s="10" t="s">
        <v>227</v>
      </c>
      <c r="AK1409" s="16" t="s">
        <v>45</v>
      </c>
      <c r="AL1409" s="10" t="s">
        <v>49</v>
      </c>
      <c r="AM1409" s="16" t="s">
        <v>45</v>
      </c>
      <c r="AN1409" s="10" t="s">
        <v>50</v>
      </c>
    </row>
    <row r="1410" ht="30.0" customHeight="1">
      <c r="A1410" s="9" t="str">
        <f t="shared" si="48"/>
        <v>N/I</v>
      </c>
      <c r="B1410" s="9" t="str">
        <f t="shared" si="49"/>
        <v>Inativo</v>
      </c>
      <c r="C1410" s="9" t="str">
        <f t="shared" si="80"/>
        <v>N/I</v>
      </c>
      <c r="D1410" s="10" t="s">
        <v>4438</v>
      </c>
      <c r="E1410" s="11" t="s">
        <v>4439</v>
      </c>
      <c r="F1410" s="59" t="s">
        <v>4440</v>
      </c>
      <c r="G1410" s="12" t="s">
        <v>94</v>
      </c>
      <c r="H1410" s="60" t="s">
        <v>4441</v>
      </c>
      <c r="I1410" s="12" t="s">
        <v>246</v>
      </c>
      <c r="J1410" s="10" t="s">
        <v>247</v>
      </c>
      <c r="K1410" s="10" t="s">
        <v>190</v>
      </c>
      <c r="L1410" s="10" t="s">
        <v>264</v>
      </c>
      <c r="M1410" s="22">
        <v>44222.0</v>
      </c>
      <c r="N1410" s="32" t="s">
        <v>4442</v>
      </c>
      <c r="O1410" s="10" t="s">
        <v>4443</v>
      </c>
      <c r="P1410" s="10" t="s">
        <v>4444</v>
      </c>
      <c r="Q1410" s="2"/>
      <c r="R1410" s="15"/>
      <c r="S1410" s="15"/>
      <c r="T1410" s="15"/>
      <c r="U1410" s="15"/>
      <c r="V1410" s="2"/>
      <c r="W1410" s="10">
        <v>12.0</v>
      </c>
      <c r="X1410" s="14">
        <v>44947.0</v>
      </c>
      <c r="Y1410" s="14">
        <v>45311.0</v>
      </c>
      <c r="Z1410" s="55">
        <f t="shared" ref="Z1410:Z1411" si="121">Y1410-TODAY()</f>
        <v>-780</v>
      </c>
      <c r="AA1410" s="1"/>
      <c r="AB1410" s="15"/>
      <c r="AC1410" s="15"/>
      <c r="AD1410" s="15"/>
      <c r="AE1410" s="15"/>
      <c r="AF1410" s="2"/>
      <c r="AG1410" s="16" t="s">
        <v>45</v>
      </c>
      <c r="AH1410" s="12" t="s">
        <v>46</v>
      </c>
      <c r="AI1410" s="10" t="s">
        <v>226</v>
      </c>
      <c r="AJ1410" s="10" t="s">
        <v>387</v>
      </c>
      <c r="AK1410" s="10" t="s">
        <v>291</v>
      </c>
      <c r="AL1410" s="10" t="s">
        <v>49</v>
      </c>
      <c r="AM1410" s="16" t="s">
        <v>45</v>
      </c>
      <c r="AN1410" s="10" t="s">
        <v>1499</v>
      </c>
    </row>
    <row r="1411" ht="30.0" customHeight="1">
      <c r="A1411" s="9" t="str">
        <f t="shared" si="48"/>
        <v>N/I</v>
      </c>
      <c r="B1411" s="9" t="str">
        <f t="shared" si="49"/>
        <v>Inativo</v>
      </c>
      <c r="C1411" s="9" t="str">
        <f t="shared" si="80"/>
        <v>N/I</v>
      </c>
      <c r="D1411" s="10" t="s">
        <v>4438</v>
      </c>
      <c r="E1411" s="11" t="s">
        <v>4439</v>
      </c>
      <c r="F1411" s="59" t="s">
        <v>4440</v>
      </c>
      <c r="G1411" s="12" t="s">
        <v>94</v>
      </c>
      <c r="H1411" s="60" t="s">
        <v>4445</v>
      </c>
      <c r="I1411" s="12" t="s">
        <v>246</v>
      </c>
      <c r="J1411" s="10" t="s">
        <v>247</v>
      </c>
      <c r="K1411" s="10" t="s">
        <v>190</v>
      </c>
      <c r="L1411" s="10" t="s">
        <v>264</v>
      </c>
      <c r="M1411" s="22">
        <v>44222.0</v>
      </c>
      <c r="N1411" s="32" t="s">
        <v>4442</v>
      </c>
      <c r="O1411" s="10" t="s">
        <v>4443</v>
      </c>
      <c r="P1411" s="10" t="s">
        <v>4444</v>
      </c>
      <c r="Q1411" s="2"/>
      <c r="R1411" s="15"/>
      <c r="S1411" s="15"/>
      <c r="T1411" s="15"/>
      <c r="U1411" s="15"/>
      <c r="V1411" s="2"/>
      <c r="W1411" s="10">
        <v>12.0</v>
      </c>
      <c r="X1411" s="14">
        <v>44947.0</v>
      </c>
      <c r="Y1411" s="14">
        <v>45311.0</v>
      </c>
      <c r="Z1411" s="55">
        <f t="shared" si="121"/>
        <v>-780</v>
      </c>
      <c r="AA1411" s="1"/>
      <c r="AB1411" s="15"/>
      <c r="AC1411" s="15"/>
      <c r="AD1411" s="15"/>
      <c r="AE1411" s="15"/>
      <c r="AF1411" s="2"/>
      <c r="AG1411" s="16" t="s">
        <v>45</v>
      </c>
      <c r="AH1411" s="12" t="s">
        <v>46</v>
      </c>
      <c r="AI1411" s="10" t="s">
        <v>226</v>
      </c>
      <c r="AJ1411" s="10" t="s">
        <v>387</v>
      </c>
      <c r="AK1411" s="10" t="s">
        <v>291</v>
      </c>
      <c r="AL1411" s="10" t="s">
        <v>49</v>
      </c>
      <c r="AM1411" s="16" t="s">
        <v>45</v>
      </c>
      <c r="AN1411" s="10" t="s">
        <v>1499</v>
      </c>
    </row>
    <row r="1412" ht="30.0" customHeight="1">
      <c r="A1412" s="9" t="str">
        <f t="shared" si="48"/>
        <v>Ativo</v>
      </c>
      <c r="B1412" s="9" t="str">
        <f t="shared" si="49"/>
        <v>N/I</v>
      </c>
      <c r="C1412" s="9" t="str">
        <f t="shared" si="80"/>
        <v>N/I</v>
      </c>
      <c r="D1412" s="10" t="s">
        <v>4446</v>
      </c>
      <c r="E1412" s="11" t="s">
        <v>4447</v>
      </c>
      <c r="F1412" s="32" t="s">
        <v>4448</v>
      </c>
      <c r="G1412" s="12" t="s">
        <v>448</v>
      </c>
      <c r="H1412" s="27" t="s">
        <v>4449</v>
      </c>
      <c r="I1412" s="12" t="s">
        <v>188</v>
      </c>
      <c r="J1412" s="10" t="s">
        <v>189</v>
      </c>
      <c r="K1412" s="10" t="s">
        <v>190</v>
      </c>
      <c r="L1412" s="10" t="s">
        <v>4</v>
      </c>
      <c r="M1412" s="14">
        <v>45391.0</v>
      </c>
      <c r="N1412" s="11" t="s">
        <v>4450</v>
      </c>
      <c r="O1412" s="10" t="s">
        <v>4451</v>
      </c>
      <c r="P1412" s="10" t="s">
        <v>4452</v>
      </c>
      <c r="Q1412" s="2"/>
      <c r="R1412" s="10">
        <v>24.0</v>
      </c>
      <c r="S1412" s="14">
        <v>45392.0</v>
      </c>
      <c r="T1412" s="14">
        <v>46121.0</v>
      </c>
      <c r="U1412" s="10">
        <f>T1412-TODAY()</f>
        <v>30</v>
      </c>
      <c r="V1412" s="2"/>
      <c r="W1412" s="15"/>
      <c r="X1412" s="15"/>
      <c r="Y1412" s="15"/>
      <c r="Z1412" s="15"/>
      <c r="AA1412" s="1"/>
      <c r="AB1412" s="15"/>
      <c r="AC1412" s="15"/>
      <c r="AD1412" s="15"/>
      <c r="AE1412" s="15"/>
      <c r="AF1412" s="2"/>
      <c r="AG1412" s="10" t="s">
        <v>354</v>
      </c>
      <c r="AH1412" s="10" t="s">
        <v>318</v>
      </c>
      <c r="AI1412" s="10" t="s">
        <v>319</v>
      </c>
      <c r="AJ1412" s="10" t="s">
        <v>390</v>
      </c>
      <c r="AK1412" s="10" t="s">
        <v>291</v>
      </c>
      <c r="AL1412" s="10" t="s">
        <v>49</v>
      </c>
      <c r="AM1412" s="16" t="s">
        <v>45</v>
      </c>
      <c r="AN1412" s="10" t="s">
        <v>50</v>
      </c>
    </row>
    <row r="1413" ht="30.0" customHeight="1">
      <c r="A1413" s="9" t="str">
        <f t="shared" si="48"/>
        <v>N/I</v>
      </c>
      <c r="B1413" s="9" t="str">
        <f t="shared" si="49"/>
        <v>Inativo</v>
      </c>
      <c r="C1413" s="9" t="str">
        <f t="shared" si="80"/>
        <v>N/I</v>
      </c>
      <c r="D1413" s="10" t="s">
        <v>4446</v>
      </c>
      <c r="E1413" s="11" t="s">
        <v>4447</v>
      </c>
      <c r="F1413" s="32" t="s">
        <v>4453</v>
      </c>
      <c r="G1413" s="12" t="s">
        <v>448</v>
      </c>
      <c r="H1413" s="61" t="s">
        <v>4454</v>
      </c>
      <c r="I1413" s="12" t="s">
        <v>188</v>
      </c>
      <c r="J1413" s="10" t="s">
        <v>189</v>
      </c>
      <c r="K1413" s="10" t="s">
        <v>190</v>
      </c>
      <c r="L1413" s="10" t="s">
        <v>264</v>
      </c>
      <c r="M1413" s="22">
        <v>43482.0</v>
      </c>
      <c r="N1413" s="32" t="s">
        <v>4455</v>
      </c>
      <c r="O1413" s="10" t="s">
        <v>4456</v>
      </c>
      <c r="P1413" s="10" t="s">
        <v>4457</v>
      </c>
      <c r="Q1413" s="2"/>
      <c r="R1413" s="15"/>
      <c r="S1413" s="15"/>
      <c r="T1413" s="15"/>
      <c r="U1413" s="15"/>
      <c r="V1413" s="2"/>
      <c r="W1413" s="10">
        <v>12.0</v>
      </c>
      <c r="X1413" s="14">
        <v>45470.0</v>
      </c>
      <c r="Y1413" s="14">
        <v>45834.0</v>
      </c>
      <c r="Z1413" s="55">
        <f t="shared" ref="Z1413:Z1415" si="122">Y1413-TODAY()</f>
        <v>-257</v>
      </c>
      <c r="AA1413" s="1"/>
      <c r="AB1413" s="15"/>
      <c r="AC1413" s="15"/>
      <c r="AD1413" s="15"/>
      <c r="AE1413" s="15"/>
      <c r="AF1413" s="2"/>
      <c r="AG1413" s="10" t="s">
        <v>290</v>
      </c>
      <c r="AH1413" s="12" t="s">
        <v>46</v>
      </c>
      <c r="AI1413" s="10" t="s">
        <v>226</v>
      </c>
      <c r="AJ1413" s="10" t="s">
        <v>390</v>
      </c>
      <c r="AK1413" s="16" t="s">
        <v>45</v>
      </c>
      <c r="AL1413" s="10" t="s">
        <v>49</v>
      </c>
      <c r="AM1413" s="10" t="s">
        <v>780</v>
      </c>
      <c r="AN1413" s="10" t="s">
        <v>50</v>
      </c>
    </row>
    <row r="1414" ht="30.0" customHeight="1">
      <c r="A1414" s="9" t="str">
        <f t="shared" si="48"/>
        <v>N/I</v>
      </c>
      <c r="B1414" s="9" t="str">
        <f t="shared" si="49"/>
        <v>Inativo</v>
      </c>
      <c r="C1414" s="9" t="str">
        <f t="shared" si="80"/>
        <v>N/I</v>
      </c>
      <c r="D1414" s="10" t="s">
        <v>4446</v>
      </c>
      <c r="E1414" s="11" t="s">
        <v>4447</v>
      </c>
      <c r="F1414" s="32" t="s">
        <v>4453</v>
      </c>
      <c r="G1414" s="12" t="s">
        <v>448</v>
      </c>
      <c r="H1414" s="61" t="s">
        <v>4458</v>
      </c>
      <c r="I1414" s="12" t="s">
        <v>188</v>
      </c>
      <c r="J1414" s="10" t="s">
        <v>189</v>
      </c>
      <c r="K1414" s="10" t="s">
        <v>190</v>
      </c>
      <c r="L1414" s="10" t="s">
        <v>264</v>
      </c>
      <c r="M1414" s="22">
        <v>43482.0</v>
      </c>
      <c r="N1414" s="32" t="s">
        <v>4455</v>
      </c>
      <c r="O1414" s="10" t="s">
        <v>4456</v>
      </c>
      <c r="P1414" s="10" t="s">
        <v>4457</v>
      </c>
      <c r="Q1414" s="2"/>
      <c r="R1414" s="15"/>
      <c r="S1414" s="15"/>
      <c r="T1414" s="15"/>
      <c r="U1414" s="15"/>
      <c r="V1414" s="2"/>
      <c r="W1414" s="10">
        <v>12.0</v>
      </c>
      <c r="X1414" s="14">
        <v>45470.0</v>
      </c>
      <c r="Y1414" s="14">
        <v>45834.0</v>
      </c>
      <c r="Z1414" s="55">
        <f t="shared" si="122"/>
        <v>-257</v>
      </c>
      <c r="AA1414" s="1"/>
      <c r="AB1414" s="15"/>
      <c r="AC1414" s="15"/>
      <c r="AD1414" s="15"/>
      <c r="AE1414" s="15"/>
      <c r="AF1414" s="2"/>
      <c r="AG1414" s="10" t="s">
        <v>290</v>
      </c>
      <c r="AH1414" s="12" t="s">
        <v>46</v>
      </c>
      <c r="AI1414" s="10" t="s">
        <v>226</v>
      </c>
      <c r="AJ1414" s="10" t="s">
        <v>390</v>
      </c>
      <c r="AK1414" s="16" t="s">
        <v>45</v>
      </c>
      <c r="AL1414" s="10" t="s">
        <v>49</v>
      </c>
      <c r="AM1414" s="10" t="s">
        <v>780</v>
      </c>
      <c r="AN1414" s="10" t="s">
        <v>50</v>
      </c>
    </row>
    <row r="1415" ht="30.0" customHeight="1">
      <c r="A1415" s="9" t="str">
        <f t="shared" si="48"/>
        <v>N/I</v>
      </c>
      <c r="B1415" s="9" t="str">
        <f t="shared" si="49"/>
        <v>Inativo</v>
      </c>
      <c r="C1415" s="9" t="str">
        <f t="shared" si="80"/>
        <v>N/I</v>
      </c>
      <c r="D1415" s="10" t="s">
        <v>4446</v>
      </c>
      <c r="E1415" s="11" t="s">
        <v>4447</v>
      </c>
      <c r="F1415" s="32" t="s">
        <v>4453</v>
      </c>
      <c r="G1415" s="12" t="s">
        <v>448</v>
      </c>
      <c r="H1415" s="61" t="s">
        <v>4459</v>
      </c>
      <c r="I1415" s="12" t="s">
        <v>188</v>
      </c>
      <c r="J1415" s="10" t="s">
        <v>189</v>
      </c>
      <c r="K1415" s="10" t="s">
        <v>190</v>
      </c>
      <c r="L1415" s="10" t="s">
        <v>264</v>
      </c>
      <c r="M1415" s="22">
        <v>43482.0</v>
      </c>
      <c r="N1415" s="32" t="s">
        <v>4455</v>
      </c>
      <c r="O1415" s="10" t="s">
        <v>4456</v>
      </c>
      <c r="P1415" s="10" t="s">
        <v>4457</v>
      </c>
      <c r="Q1415" s="2"/>
      <c r="R1415" s="15"/>
      <c r="S1415" s="15"/>
      <c r="T1415" s="15"/>
      <c r="U1415" s="15"/>
      <c r="V1415" s="2"/>
      <c r="W1415" s="10">
        <v>12.0</v>
      </c>
      <c r="X1415" s="14">
        <v>45470.0</v>
      </c>
      <c r="Y1415" s="14">
        <v>45834.0</v>
      </c>
      <c r="Z1415" s="55">
        <f t="shared" si="122"/>
        <v>-257</v>
      </c>
      <c r="AA1415" s="1"/>
      <c r="AB1415" s="15"/>
      <c r="AC1415" s="15"/>
      <c r="AD1415" s="15"/>
      <c r="AE1415" s="15"/>
      <c r="AF1415" s="2"/>
      <c r="AG1415" s="10" t="s">
        <v>290</v>
      </c>
      <c r="AH1415" s="12" t="s">
        <v>46</v>
      </c>
      <c r="AI1415" s="10" t="s">
        <v>226</v>
      </c>
      <c r="AJ1415" s="10" t="s">
        <v>390</v>
      </c>
      <c r="AK1415" s="16" t="s">
        <v>45</v>
      </c>
      <c r="AL1415" s="10" t="s">
        <v>49</v>
      </c>
      <c r="AM1415" s="10" t="s">
        <v>780</v>
      </c>
      <c r="AN1415" s="10" t="s">
        <v>50</v>
      </c>
    </row>
    <row r="1416" ht="30.0" customHeight="1">
      <c r="A1416" s="9" t="str">
        <f t="shared" si="48"/>
        <v>Inativo</v>
      </c>
      <c r="B1416" s="9" t="str">
        <f t="shared" si="49"/>
        <v>N/I</v>
      </c>
      <c r="C1416" s="9" t="str">
        <f t="shared" si="80"/>
        <v>N/I</v>
      </c>
      <c r="D1416" s="10" t="s">
        <v>4446</v>
      </c>
      <c r="E1416" s="11" t="s">
        <v>4447</v>
      </c>
      <c r="F1416" s="32" t="s">
        <v>4460</v>
      </c>
      <c r="G1416" s="12" t="s">
        <v>448</v>
      </c>
      <c r="H1416" s="34" t="s">
        <v>4461</v>
      </c>
      <c r="I1416" s="12" t="s">
        <v>204</v>
      </c>
      <c r="J1416" s="10" t="s">
        <v>189</v>
      </c>
      <c r="K1416" s="10" t="s">
        <v>190</v>
      </c>
      <c r="L1416" s="10" t="s">
        <v>4</v>
      </c>
      <c r="M1416" s="14">
        <v>45121.0</v>
      </c>
      <c r="N1416" s="32" t="s">
        <v>4462</v>
      </c>
      <c r="O1416" s="10" t="s">
        <v>4463</v>
      </c>
      <c r="P1416" s="10" t="s">
        <v>4464</v>
      </c>
      <c r="Q1416" s="2"/>
      <c r="R1416" s="10">
        <v>24.0</v>
      </c>
      <c r="S1416" s="14">
        <v>45121.0</v>
      </c>
      <c r="T1416" s="14">
        <v>45851.0</v>
      </c>
      <c r="U1416" s="10">
        <f t="shared" ref="U1416:U1495" si="123">T1416-TODAY()</f>
        <v>-240</v>
      </c>
      <c r="V1416" s="2"/>
      <c r="W1416" s="15"/>
      <c r="X1416" s="15"/>
      <c r="Y1416" s="15"/>
      <c r="Z1416" s="15"/>
      <c r="AA1416" s="1"/>
      <c r="AB1416" s="15"/>
      <c r="AC1416" s="15"/>
      <c r="AD1416" s="15"/>
      <c r="AE1416" s="15"/>
      <c r="AF1416" s="2"/>
      <c r="AG1416" s="10" t="s">
        <v>354</v>
      </c>
      <c r="AH1416" s="10" t="s">
        <v>318</v>
      </c>
      <c r="AI1416" s="10" t="s">
        <v>319</v>
      </c>
      <c r="AJ1416" s="10" t="s">
        <v>390</v>
      </c>
      <c r="AK1416" s="10" t="s">
        <v>291</v>
      </c>
      <c r="AL1416" s="10" t="s">
        <v>49</v>
      </c>
      <c r="AM1416" s="16" t="s">
        <v>45</v>
      </c>
      <c r="AN1416" s="10" t="s">
        <v>50</v>
      </c>
    </row>
    <row r="1417" ht="30.0" customHeight="1">
      <c r="A1417" s="9" t="str">
        <f t="shared" si="48"/>
        <v>Inativo</v>
      </c>
      <c r="B1417" s="9" t="str">
        <f t="shared" si="49"/>
        <v>N/I</v>
      </c>
      <c r="C1417" s="9" t="str">
        <f t="shared" si="80"/>
        <v>N/I</v>
      </c>
      <c r="D1417" s="10" t="s">
        <v>4446</v>
      </c>
      <c r="E1417" s="11" t="s">
        <v>4447</v>
      </c>
      <c r="F1417" s="32" t="s">
        <v>4465</v>
      </c>
      <c r="G1417" s="12" t="s">
        <v>448</v>
      </c>
      <c r="H1417" s="34" t="s">
        <v>4466</v>
      </c>
      <c r="I1417" s="12" t="s">
        <v>4467</v>
      </c>
      <c r="J1417" s="10" t="s">
        <v>189</v>
      </c>
      <c r="K1417" s="10" t="s">
        <v>190</v>
      </c>
      <c r="L1417" s="10" t="s">
        <v>4</v>
      </c>
      <c r="M1417" s="14">
        <v>45118.0</v>
      </c>
      <c r="N1417" s="32" t="s">
        <v>4468</v>
      </c>
      <c r="O1417" s="10" t="s">
        <v>4469</v>
      </c>
      <c r="P1417" s="10" t="s">
        <v>4464</v>
      </c>
      <c r="Q1417" s="2"/>
      <c r="R1417" s="10">
        <v>24.0</v>
      </c>
      <c r="S1417" s="14">
        <v>45118.0</v>
      </c>
      <c r="T1417" s="14">
        <v>45848.0</v>
      </c>
      <c r="U1417" s="10">
        <f t="shared" si="123"/>
        <v>-243</v>
      </c>
      <c r="V1417" s="2"/>
      <c r="W1417" s="15"/>
      <c r="X1417" s="15"/>
      <c r="Y1417" s="15"/>
      <c r="Z1417" s="15"/>
      <c r="AA1417" s="1"/>
      <c r="AB1417" s="15"/>
      <c r="AC1417" s="15"/>
      <c r="AD1417" s="15"/>
      <c r="AE1417" s="15"/>
      <c r="AF1417" s="2"/>
      <c r="AG1417" s="10" t="s">
        <v>354</v>
      </c>
      <c r="AH1417" s="10" t="s">
        <v>318</v>
      </c>
      <c r="AI1417" s="10" t="s">
        <v>319</v>
      </c>
      <c r="AJ1417" s="10" t="s">
        <v>390</v>
      </c>
      <c r="AK1417" s="10" t="s">
        <v>291</v>
      </c>
      <c r="AL1417" s="10" t="s">
        <v>49</v>
      </c>
      <c r="AM1417" s="16" t="s">
        <v>45</v>
      </c>
      <c r="AN1417" s="10" t="s">
        <v>50</v>
      </c>
    </row>
    <row r="1418" ht="30.0" customHeight="1">
      <c r="A1418" s="9" t="str">
        <f t="shared" si="48"/>
        <v>Ativo</v>
      </c>
      <c r="B1418" s="9" t="str">
        <f t="shared" si="49"/>
        <v>N/I</v>
      </c>
      <c r="C1418" s="9" t="str">
        <f t="shared" si="80"/>
        <v>N/I</v>
      </c>
      <c r="D1418" s="10" t="s">
        <v>4470</v>
      </c>
      <c r="E1418" s="11" t="s">
        <v>4471</v>
      </c>
      <c r="F1418" s="11" t="s">
        <v>4472</v>
      </c>
      <c r="G1418" s="12" t="s">
        <v>94</v>
      </c>
      <c r="H1418" s="34" t="s">
        <v>4473</v>
      </c>
      <c r="I1418" s="12" t="s">
        <v>4474</v>
      </c>
      <c r="J1418" s="10" t="s">
        <v>1097</v>
      </c>
      <c r="K1418" s="10" t="s">
        <v>190</v>
      </c>
      <c r="L1418" s="10" t="s">
        <v>4</v>
      </c>
      <c r="M1418" s="22">
        <v>45137.0</v>
      </c>
      <c r="N1418" s="32" t="s">
        <v>4475</v>
      </c>
      <c r="O1418" s="10" t="s">
        <v>4476</v>
      </c>
      <c r="P1418" s="10" t="s">
        <v>4477</v>
      </c>
      <c r="Q1418" s="2"/>
      <c r="R1418" s="10">
        <v>60.0</v>
      </c>
      <c r="S1418" s="14">
        <v>45002.0</v>
      </c>
      <c r="T1418" s="14">
        <v>46828.0</v>
      </c>
      <c r="U1418" s="10">
        <f t="shared" si="123"/>
        <v>737</v>
      </c>
      <c r="V1418" s="2"/>
      <c r="W1418" s="15"/>
      <c r="X1418" s="15"/>
      <c r="Y1418" s="15"/>
      <c r="Z1418" s="15"/>
      <c r="AA1418" s="1"/>
      <c r="AB1418" s="15"/>
      <c r="AC1418" s="15"/>
      <c r="AD1418" s="15"/>
      <c r="AE1418" s="15"/>
      <c r="AF1418" s="2"/>
      <c r="AG1418" s="10" t="s">
        <v>290</v>
      </c>
      <c r="AH1418" s="12" t="s">
        <v>46</v>
      </c>
      <c r="AI1418" s="10" t="s">
        <v>291</v>
      </c>
      <c r="AJ1418" s="10" t="s">
        <v>291</v>
      </c>
      <c r="AK1418" s="16" t="s">
        <v>45</v>
      </c>
      <c r="AL1418" s="10" t="s">
        <v>49</v>
      </c>
      <c r="AM1418" s="10" t="s">
        <v>508</v>
      </c>
      <c r="AN1418" s="10" t="s">
        <v>50</v>
      </c>
    </row>
    <row r="1419" ht="30.0" customHeight="1">
      <c r="A1419" s="9" t="str">
        <f t="shared" si="48"/>
        <v>Ativo</v>
      </c>
      <c r="B1419" s="9" t="str">
        <f t="shared" si="49"/>
        <v>N/I</v>
      </c>
      <c r="C1419" s="9" t="str">
        <f t="shared" si="80"/>
        <v>N/I</v>
      </c>
      <c r="D1419" s="10" t="s">
        <v>4470</v>
      </c>
      <c r="E1419" s="11" t="s">
        <v>4471</v>
      </c>
      <c r="F1419" s="11" t="s">
        <v>4478</v>
      </c>
      <c r="G1419" s="12" t="s">
        <v>94</v>
      </c>
      <c r="H1419" s="13" t="s">
        <v>4479</v>
      </c>
      <c r="I1419" s="12" t="s">
        <v>4480</v>
      </c>
      <c r="J1419" s="10" t="s">
        <v>1097</v>
      </c>
      <c r="K1419" s="10" t="s">
        <v>190</v>
      </c>
      <c r="L1419" s="10" t="s">
        <v>4</v>
      </c>
      <c r="M1419" s="22">
        <v>44630.0</v>
      </c>
      <c r="N1419" s="32" t="s">
        <v>4481</v>
      </c>
      <c r="O1419" s="10" t="s">
        <v>4482</v>
      </c>
      <c r="P1419" s="10" t="s">
        <v>4483</v>
      </c>
      <c r="Q1419" s="2"/>
      <c r="R1419" s="10">
        <v>60.0</v>
      </c>
      <c r="S1419" s="14">
        <v>44630.0</v>
      </c>
      <c r="T1419" s="14">
        <v>46455.0</v>
      </c>
      <c r="U1419" s="10">
        <f t="shared" si="123"/>
        <v>364</v>
      </c>
      <c r="V1419" s="2"/>
      <c r="W1419" s="15"/>
      <c r="X1419" s="15"/>
      <c r="Y1419" s="15"/>
      <c r="Z1419" s="15"/>
      <c r="AA1419" s="1"/>
      <c r="AB1419" s="15"/>
      <c r="AC1419" s="15"/>
      <c r="AD1419" s="15"/>
      <c r="AE1419" s="15"/>
      <c r="AF1419" s="2"/>
      <c r="AG1419" s="10" t="s">
        <v>290</v>
      </c>
      <c r="AH1419" s="12" t="s">
        <v>46</v>
      </c>
      <c r="AI1419" s="10" t="s">
        <v>291</v>
      </c>
      <c r="AJ1419" s="10" t="s">
        <v>291</v>
      </c>
      <c r="AK1419" s="16" t="s">
        <v>45</v>
      </c>
      <c r="AL1419" s="10" t="s">
        <v>49</v>
      </c>
      <c r="AM1419" s="10" t="s">
        <v>508</v>
      </c>
      <c r="AN1419" s="10" t="s">
        <v>50</v>
      </c>
    </row>
    <row r="1420" ht="30.0" customHeight="1">
      <c r="A1420" s="9" t="str">
        <f t="shared" si="48"/>
        <v>Ativo</v>
      </c>
      <c r="B1420" s="9" t="str">
        <f t="shared" si="49"/>
        <v>N/I</v>
      </c>
      <c r="C1420" s="9" t="str">
        <f t="shared" si="80"/>
        <v>N/I</v>
      </c>
      <c r="D1420" s="10" t="s">
        <v>4470</v>
      </c>
      <c r="E1420" s="11" t="s">
        <v>4471</v>
      </c>
      <c r="F1420" s="11" t="s">
        <v>4484</v>
      </c>
      <c r="G1420" s="12" t="s">
        <v>94</v>
      </c>
      <c r="H1420" s="34" t="s">
        <v>4485</v>
      </c>
      <c r="I1420" s="12" t="s">
        <v>4486</v>
      </c>
      <c r="J1420" s="10" t="s">
        <v>1097</v>
      </c>
      <c r="K1420" s="10" t="s">
        <v>190</v>
      </c>
      <c r="L1420" s="10" t="s">
        <v>4</v>
      </c>
      <c r="M1420" s="22">
        <v>45002.0</v>
      </c>
      <c r="N1420" s="32" t="s">
        <v>4487</v>
      </c>
      <c r="O1420" s="10" t="s">
        <v>4488</v>
      </c>
      <c r="P1420" s="10" t="s">
        <v>4477</v>
      </c>
      <c r="Q1420" s="2"/>
      <c r="R1420" s="10">
        <v>60.0</v>
      </c>
      <c r="S1420" s="14">
        <v>45002.0</v>
      </c>
      <c r="T1420" s="14">
        <v>46828.0</v>
      </c>
      <c r="U1420" s="10">
        <f t="shared" si="123"/>
        <v>737</v>
      </c>
      <c r="V1420" s="2"/>
      <c r="W1420" s="15"/>
      <c r="X1420" s="15"/>
      <c r="Y1420" s="15"/>
      <c r="Z1420" s="15"/>
      <c r="AA1420" s="1"/>
      <c r="AB1420" s="15"/>
      <c r="AC1420" s="15"/>
      <c r="AD1420" s="15"/>
      <c r="AE1420" s="15"/>
      <c r="AF1420" s="2"/>
      <c r="AG1420" s="10" t="s">
        <v>290</v>
      </c>
      <c r="AH1420" s="12" t="s">
        <v>46</v>
      </c>
      <c r="AI1420" s="10" t="s">
        <v>291</v>
      </c>
      <c r="AJ1420" s="10" t="s">
        <v>291</v>
      </c>
      <c r="AK1420" s="16" t="s">
        <v>45</v>
      </c>
      <c r="AL1420" s="10" t="s">
        <v>49</v>
      </c>
      <c r="AM1420" s="10" t="s">
        <v>508</v>
      </c>
      <c r="AN1420" s="10" t="s">
        <v>50</v>
      </c>
    </row>
    <row r="1421" ht="30.0" customHeight="1">
      <c r="A1421" s="9" t="str">
        <f t="shared" si="48"/>
        <v>Ativo</v>
      </c>
      <c r="B1421" s="9" t="str">
        <f t="shared" si="49"/>
        <v>N/I</v>
      </c>
      <c r="C1421" s="9" t="str">
        <f t="shared" si="80"/>
        <v>N/I</v>
      </c>
      <c r="D1421" s="10" t="s">
        <v>4470</v>
      </c>
      <c r="E1421" s="11" t="s">
        <v>4471</v>
      </c>
      <c r="F1421" s="11" t="s">
        <v>4489</v>
      </c>
      <c r="G1421" s="12" t="s">
        <v>94</v>
      </c>
      <c r="H1421" s="13" t="s">
        <v>4490</v>
      </c>
      <c r="I1421" s="12" t="s">
        <v>4491</v>
      </c>
      <c r="J1421" s="10" t="s">
        <v>1097</v>
      </c>
      <c r="K1421" s="10" t="s">
        <v>190</v>
      </c>
      <c r="L1421" s="10" t="s">
        <v>4</v>
      </c>
      <c r="M1421" s="22">
        <v>44627.0</v>
      </c>
      <c r="N1421" s="32" t="s">
        <v>4492</v>
      </c>
      <c r="O1421" s="10" t="s">
        <v>4493</v>
      </c>
      <c r="P1421" s="10" t="s">
        <v>4483</v>
      </c>
      <c r="Q1421" s="2"/>
      <c r="R1421" s="10">
        <v>60.0</v>
      </c>
      <c r="S1421" s="14">
        <v>44627.0</v>
      </c>
      <c r="T1421" s="14">
        <v>46452.0</v>
      </c>
      <c r="U1421" s="10">
        <f t="shared" si="123"/>
        <v>361</v>
      </c>
      <c r="V1421" s="2"/>
      <c r="W1421" s="15"/>
      <c r="X1421" s="15"/>
      <c r="Y1421" s="15"/>
      <c r="Z1421" s="15"/>
      <c r="AA1421" s="1"/>
      <c r="AB1421" s="15"/>
      <c r="AC1421" s="15"/>
      <c r="AD1421" s="15"/>
      <c r="AE1421" s="15"/>
      <c r="AF1421" s="2"/>
      <c r="AG1421" s="10" t="s">
        <v>290</v>
      </c>
      <c r="AH1421" s="12" t="s">
        <v>46</v>
      </c>
      <c r="AI1421" s="10" t="s">
        <v>291</v>
      </c>
      <c r="AJ1421" s="10" t="s">
        <v>291</v>
      </c>
      <c r="AK1421" s="16" t="s">
        <v>45</v>
      </c>
      <c r="AL1421" s="10" t="s">
        <v>49</v>
      </c>
      <c r="AM1421" s="10" t="s">
        <v>508</v>
      </c>
      <c r="AN1421" s="10" t="s">
        <v>50</v>
      </c>
    </row>
    <row r="1422" ht="30.0" customHeight="1">
      <c r="A1422" s="9" t="str">
        <f t="shared" si="48"/>
        <v>Ativo</v>
      </c>
      <c r="B1422" s="9" t="str">
        <f t="shared" si="49"/>
        <v>N/I</v>
      </c>
      <c r="C1422" s="9" t="str">
        <f t="shared" si="80"/>
        <v>N/I</v>
      </c>
      <c r="D1422" s="10" t="s">
        <v>4470</v>
      </c>
      <c r="E1422" s="11" t="s">
        <v>4471</v>
      </c>
      <c r="F1422" s="11" t="s">
        <v>4489</v>
      </c>
      <c r="G1422" s="12" t="s">
        <v>94</v>
      </c>
      <c r="H1422" s="13" t="s">
        <v>4494</v>
      </c>
      <c r="I1422" s="12" t="s">
        <v>4491</v>
      </c>
      <c r="J1422" s="10" t="s">
        <v>1097</v>
      </c>
      <c r="K1422" s="10" t="s">
        <v>190</v>
      </c>
      <c r="L1422" s="10" t="s">
        <v>4</v>
      </c>
      <c r="M1422" s="22">
        <v>44627.0</v>
      </c>
      <c r="N1422" s="32" t="s">
        <v>4492</v>
      </c>
      <c r="O1422" s="10" t="s">
        <v>4493</v>
      </c>
      <c r="P1422" s="10" t="s">
        <v>4483</v>
      </c>
      <c r="Q1422" s="2"/>
      <c r="R1422" s="10">
        <v>60.0</v>
      </c>
      <c r="S1422" s="14">
        <v>44627.0</v>
      </c>
      <c r="T1422" s="14">
        <v>46452.0</v>
      </c>
      <c r="U1422" s="10">
        <f t="shared" si="123"/>
        <v>361</v>
      </c>
      <c r="V1422" s="2"/>
      <c r="W1422" s="15"/>
      <c r="X1422" s="15"/>
      <c r="Y1422" s="15"/>
      <c r="Z1422" s="15"/>
      <c r="AA1422" s="1"/>
      <c r="AB1422" s="15"/>
      <c r="AC1422" s="15"/>
      <c r="AD1422" s="15"/>
      <c r="AE1422" s="15"/>
      <c r="AF1422" s="2"/>
      <c r="AG1422" s="10" t="s">
        <v>290</v>
      </c>
      <c r="AH1422" s="12" t="s">
        <v>46</v>
      </c>
      <c r="AI1422" s="10" t="s">
        <v>291</v>
      </c>
      <c r="AJ1422" s="10" t="s">
        <v>291</v>
      </c>
      <c r="AK1422" s="16" t="s">
        <v>45</v>
      </c>
      <c r="AL1422" s="10" t="s">
        <v>49</v>
      </c>
      <c r="AM1422" s="10" t="s">
        <v>508</v>
      </c>
      <c r="AN1422" s="10" t="s">
        <v>50</v>
      </c>
    </row>
    <row r="1423" ht="30.0" customHeight="1">
      <c r="A1423" s="9" t="str">
        <f t="shared" si="48"/>
        <v>Ativo</v>
      </c>
      <c r="B1423" s="9" t="str">
        <f t="shared" si="49"/>
        <v>N/I</v>
      </c>
      <c r="C1423" s="9" t="str">
        <f t="shared" si="80"/>
        <v>N/I</v>
      </c>
      <c r="D1423" s="10" t="s">
        <v>4470</v>
      </c>
      <c r="E1423" s="11" t="s">
        <v>4471</v>
      </c>
      <c r="F1423" s="11" t="s">
        <v>4495</v>
      </c>
      <c r="G1423" s="12" t="s">
        <v>94</v>
      </c>
      <c r="H1423" s="34" t="s">
        <v>4496</v>
      </c>
      <c r="I1423" s="12" t="s">
        <v>4497</v>
      </c>
      <c r="J1423" s="10" t="s">
        <v>1097</v>
      </c>
      <c r="K1423" s="10" t="s">
        <v>190</v>
      </c>
      <c r="L1423" s="10" t="s">
        <v>4</v>
      </c>
      <c r="M1423" s="22">
        <v>45006.0</v>
      </c>
      <c r="N1423" s="32" t="s">
        <v>4498</v>
      </c>
      <c r="O1423" s="10" t="s">
        <v>4499</v>
      </c>
      <c r="P1423" s="10" t="s">
        <v>4477</v>
      </c>
      <c r="Q1423" s="2"/>
      <c r="R1423" s="10">
        <v>60.0</v>
      </c>
      <c r="S1423" s="14">
        <v>45005.0</v>
      </c>
      <c r="T1423" s="14">
        <v>46831.0</v>
      </c>
      <c r="U1423" s="10">
        <f t="shared" si="123"/>
        <v>740</v>
      </c>
      <c r="V1423" s="2"/>
      <c r="W1423" s="15"/>
      <c r="X1423" s="15"/>
      <c r="Y1423" s="15"/>
      <c r="Z1423" s="15"/>
      <c r="AA1423" s="1"/>
      <c r="AB1423" s="15"/>
      <c r="AC1423" s="15"/>
      <c r="AD1423" s="15"/>
      <c r="AE1423" s="15"/>
      <c r="AF1423" s="2"/>
      <c r="AG1423" s="10" t="s">
        <v>290</v>
      </c>
      <c r="AH1423" s="12" t="s">
        <v>46</v>
      </c>
      <c r="AI1423" s="10" t="s">
        <v>291</v>
      </c>
      <c r="AJ1423" s="10" t="s">
        <v>291</v>
      </c>
      <c r="AK1423" s="16" t="s">
        <v>45</v>
      </c>
      <c r="AL1423" s="10" t="s">
        <v>49</v>
      </c>
      <c r="AM1423" s="10" t="s">
        <v>508</v>
      </c>
      <c r="AN1423" s="10" t="s">
        <v>50</v>
      </c>
    </row>
    <row r="1424" ht="30.0" customHeight="1">
      <c r="A1424" s="9" t="str">
        <f t="shared" si="48"/>
        <v>Ativo</v>
      </c>
      <c r="B1424" s="9" t="str">
        <f t="shared" si="49"/>
        <v>N/I</v>
      </c>
      <c r="C1424" s="9" t="str">
        <f t="shared" si="80"/>
        <v>N/I</v>
      </c>
      <c r="D1424" s="10" t="s">
        <v>4470</v>
      </c>
      <c r="E1424" s="11" t="s">
        <v>4471</v>
      </c>
      <c r="F1424" s="11" t="s">
        <v>4500</v>
      </c>
      <c r="G1424" s="12" t="s">
        <v>94</v>
      </c>
      <c r="H1424" s="13" t="s">
        <v>4501</v>
      </c>
      <c r="I1424" s="12" t="s">
        <v>4502</v>
      </c>
      <c r="J1424" s="10" t="s">
        <v>1097</v>
      </c>
      <c r="K1424" s="10" t="s">
        <v>190</v>
      </c>
      <c r="L1424" s="10" t="s">
        <v>4</v>
      </c>
      <c r="M1424" s="22">
        <v>44630.0</v>
      </c>
      <c r="N1424" s="32" t="s">
        <v>4503</v>
      </c>
      <c r="O1424" s="10" t="s">
        <v>4504</v>
      </c>
      <c r="P1424" s="10" t="s">
        <v>4483</v>
      </c>
      <c r="Q1424" s="2"/>
      <c r="R1424" s="10">
        <v>60.0</v>
      </c>
      <c r="S1424" s="14">
        <v>44623.0</v>
      </c>
      <c r="T1424" s="14">
        <v>46448.0</v>
      </c>
      <c r="U1424" s="10">
        <f t="shared" si="123"/>
        <v>357</v>
      </c>
      <c r="V1424" s="2"/>
      <c r="W1424" s="15"/>
      <c r="X1424" s="15"/>
      <c r="Y1424" s="15"/>
      <c r="Z1424" s="15"/>
      <c r="AA1424" s="1"/>
      <c r="AB1424" s="15"/>
      <c r="AC1424" s="15"/>
      <c r="AD1424" s="15"/>
      <c r="AE1424" s="15"/>
      <c r="AF1424" s="2"/>
      <c r="AG1424" s="10" t="s">
        <v>290</v>
      </c>
      <c r="AH1424" s="12" t="s">
        <v>46</v>
      </c>
      <c r="AI1424" s="10" t="s">
        <v>291</v>
      </c>
      <c r="AJ1424" s="10" t="s">
        <v>291</v>
      </c>
      <c r="AK1424" s="16" t="s">
        <v>45</v>
      </c>
      <c r="AL1424" s="10" t="s">
        <v>49</v>
      </c>
      <c r="AM1424" s="10" t="s">
        <v>508</v>
      </c>
      <c r="AN1424" s="10" t="s">
        <v>50</v>
      </c>
    </row>
    <row r="1425" ht="30.0" customHeight="1">
      <c r="A1425" s="9" t="str">
        <f t="shared" si="48"/>
        <v>Ativo</v>
      </c>
      <c r="B1425" s="9" t="str">
        <f t="shared" si="49"/>
        <v>N/I</v>
      </c>
      <c r="C1425" s="9" t="str">
        <f t="shared" si="80"/>
        <v>N/I</v>
      </c>
      <c r="D1425" s="10" t="s">
        <v>4470</v>
      </c>
      <c r="E1425" s="11" t="s">
        <v>4471</v>
      </c>
      <c r="F1425" s="11" t="s">
        <v>4505</v>
      </c>
      <c r="G1425" s="12" t="s">
        <v>94</v>
      </c>
      <c r="H1425" s="34" t="s">
        <v>4506</v>
      </c>
      <c r="I1425" s="12" t="s">
        <v>4507</v>
      </c>
      <c r="J1425" s="10" t="s">
        <v>1097</v>
      </c>
      <c r="K1425" s="10" t="s">
        <v>190</v>
      </c>
      <c r="L1425" s="10" t="s">
        <v>4</v>
      </c>
      <c r="M1425" s="22">
        <v>45009.0</v>
      </c>
      <c r="N1425" s="32" t="s">
        <v>4508</v>
      </c>
      <c r="O1425" s="10" t="s">
        <v>1319</v>
      </c>
      <c r="P1425" s="10" t="s">
        <v>4477</v>
      </c>
      <c r="Q1425" s="2"/>
      <c r="R1425" s="10">
        <v>60.0</v>
      </c>
      <c r="S1425" s="14">
        <v>45007.0</v>
      </c>
      <c r="T1425" s="14">
        <v>46833.0</v>
      </c>
      <c r="U1425" s="10">
        <f t="shared" si="123"/>
        <v>742</v>
      </c>
      <c r="V1425" s="2"/>
      <c r="W1425" s="15"/>
      <c r="X1425" s="15"/>
      <c r="Y1425" s="15"/>
      <c r="Z1425" s="15"/>
      <c r="AA1425" s="1"/>
      <c r="AB1425" s="15"/>
      <c r="AC1425" s="15"/>
      <c r="AD1425" s="15"/>
      <c r="AE1425" s="15"/>
      <c r="AF1425" s="2"/>
      <c r="AG1425" s="10" t="s">
        <v>290</v>
      </c>
      <c r="AH1425" s="12" t="s">
        <v>46</v>
      </c>
      <c r="AI1425" s="10" t="s">
        <v>291</v>
      </c>
      <c r="AJ1425" s="10" t="s">
        <v>291</v>
      </c>
      <c r="AK1425" s="16" t="s">
        <v>45</v>
      </c>
      <c r="AL1425" s="10" t="s">
        <v>49</v>
      </c>
      <c r="AM1425" s="10" t="s">
        <v>508</v>
      </c>
      <c r="AN1425" s="10" t="s">
        <v>50</v>
      </c>
    </row>
    <row r="1426" ht="30.0" customHeight="1">
      <c r="A1426" s="9" t="str">
        <f t="shared" si="48"/>
        <v>Inativo</v>
      </c>
      <c r="B1426" s="9" t="str">
        <f t="shared" si="49"/>
        <v>N/I</v>
      </c>
      <c r="C1426" s="9" t="str">
        <f t="shared" si="80"/>
        <v>N/I</v>
      </c>
      <c r="D1426" s="10" t="s">
        <v>4470</v>
      </c>
      <c r="E1426" s="11" t="s">
        <v>4471</v>
      </c>
      <c r="F1426" s="11" t="s">
        <v>4509</v>
      </c>
      <c r="G1426" s="12" t="s">
        <v>94</v>
      </c>
      <c r="H1426" s="16" t="s">
        <v>4510</v>
      </c>
      <c r="I1426" s="12" t="s">
        <v>1096</v>
      </c>
      <c r="J1426" s="10" t="s">
        <v>1097</v>
      </c>
      <c r="K1426" s="10" t="s">
        <v>190</v>
      </c>
      <c r="L1426" s="10" t="s">
        <v>4</v>
      </c>
      <c r="M1426" s="22">
        <v>43864.0</v>
      </c>
      <c r="N1426" s="32" t="s">
        <v>4511</v>
      </c>
      <c r="O1426" s="10" t="s">
        <v>4512</v>
      </c>
      <c r="P1426" s="10" t="s">
        <v>4513</v>
      </c>
      <c r="Q1426" s="2"/>
      <c r="R1426" s="10">
        <v>60.0</v>
      </c>
      <c r="S1426" s="14">
        <v>43864.0</v>
      </c>
      <c r="T1426" s="14">
        <v>45691.0</v>
      </c>
      <c r="U1426" s="10">
        <f t="shared" si="123"/>
        <v>-400</v>
      </c>
      <c r="V1426" s="2"/>
      <c r="W1426" s="15"/>
      <c r="X1426" s="15"/>
      <c r="Y1426" s="15"/>
      <c r="Z1426" s="15"/>
      <c r="AA1426" s="1"/>
      <c r="AB1426" s="15"/>
      <c r="AC1426" s="15"/>
      <c r="AD1426" s="15"/>
      <c r="AE1426" s="15"/>
      <c r="AF1426" s="2"/>
      <c r="AG1426" s="10" t="s">
        <v>290</v>
      </c>
      <c r="AH1426" s="12" t="s">
        <v>46</v>
      </c>
      <c r="AI1426" s="10" t="s">
        <v>291</v>
      </c>
      <c r="AJ1426" s="10" t="s">
        <v>291</v>
      </c>
      <c r="AK1426" s="16" t="s">
        <v>45</v>
      </c>
      <c r="AL1426" s="10" t="s">
        <v>49</v>
      </c>
      <c r="AM1426" s="10" t="s">
        <v>292</v>
      </c>
      <c r="AN1426" s="10" t="s">
        <v>50</v>
      </c>
    </row>
    <row r="1427" ht="30.0" customHeight="1">
      <c r="A1427" s="9" t="str">
        <f t="shared" si="48"/>
        <v>Inativo</v>
      </c>
      <c r="B1427" s="9" t="str">
        <f t="shared" si="49"/>
        <v>N/I</v>
      </c>
      <c r="C1427" s="9" t="str">
        <f t="shared" si="80"/>
        <v>N/I</v>
      </c>
      <c r="D1427" s="10" t="s">
        <v>4470</v>
      </c>
      <c r="E1427" s="11" t="s">
        <v>4471</v>
      </c>
      <c r="F1427" s="11" t="s">
        <v>4509</v>
      </c>
      <c r="G1427" s="12" t="s">
        <v>94</v>
      </c>
      <c r="H1427" s="16" t="s">
        <v>4514</v>
      </c>
      <c r="I1427" s="12" t="s">
        <v>1096</v>
      </c>
      <c r="J1427" s="10" t="s">
        <v>1097</v>
      </c>
      <c r="K1427" s="10" t="s">
        <v>190</v>
      </c>
      <c r="L1427" s="10" t="s">
        <v>4</v>
      </c>
      <c r="M1427" s="22">
        <v>43864.0</v>
      </c>
      <c r="N1427" s="32" t="s">
        <v>4511</v>
      </c>
      <c r="O1427" s="10" t="s">
        <v>4512</v>
      </c>
      <c r="P1427" s="10" t="s">
        <v>4513</v>
      </c>
      <c r="Q1427" s="2"/>
      <c r="R1427" s="10">
        <v>60.0</v>
      </c>
      <c r="S1427" s="14">
        <v>43864.0</v>
      </c>
      <c r="T1427" s="14">
        <v>45691.0</v>
      </c>
      <c r="U1427" s="10">
        <f t="shared" si="123"/>
        <v>-400</v>
      </c>
      <c r="V1427" s="2"/>
      <c r="W1427" s="15"/>
      <c r="X1427" s="15"/>
      <c r="Y1427" s="15"/>
      <c r="Z1427" s="15"/>
      <c r="AA1427" s="1"/>
      <c r="AB1427" s="15"/>
      <c r="AC1427" s="15"/>
      <c r="AD1427" s="15"/>
      <c r="AE1427" s="15"/>
      <c r="AF1427" s="2"/>
      <c r="AG1427" s="10" t="s">
        <v>290</v>
      </c>
      <c r="AH1427" s="12" t="s">
        <v>46</v>
      </c>
      <c r="AI1427" s="10" t="s">
        <v>291</v>
      </c>
      <c r="AJ1427" s="10" t="s">
        <v>291</v>
      </c>
      <c r="AK1427" s="16" t="s">
        <v>45</v>
      </c>
      <c r="AL1427" s="10" t="s">
        <v>49</v>
      </c>
      <c r="AM1427" s="10" t="s">
        <v>292</v>
      </c>
      <c r="AN1427" s="10" t="s">
        <v>50</v>
      </c>
    </row>
    <row r="1428" ht="30.0" customHeight="1">
      <c r="A1428" s="9" t="str">
        <f t="shared" si="48"/>
        <v>Inativo</v>
      </c>
      <c r="B1428" s="9" t="str">
        <f t="shared" si="49"/>
        <v>N/I</v>
      </c>
      <c r="C1428" s="9" t="str">
        <f t="shared" si="80"/>
        <v>N/I</v>
      </c>
      <c r="D1428" s="10" t="s">
        <v>4470</v>
      </c>
      <c r="E1428" s="11" t="s">
        <v>4471</v>
      </c>
      <c r="F1428" s="11" t="s">
        <v>4509</v>
      </c>
      <c r="G1428" s="12" t="s">
        <v>94</v>
      </c>
      <c r="H1428" s="16" t="s">
        <v>4515</v>
      </c>
      <c r="I1428" s="12" t="s">
        <v>1096</v>
      </c>
      <c r="J1428" s="10" t="s">
        <v>1097</v>
      </c>
      <c r="K1428" s="10" t="s">
        <v>190</v>
      </c>
      <c r="L1428" s="10" t="s">
        <v>4</v>
      </c>
      <c r="M1428" s="22">
        <v>43864.0</v>
      </c>
      <c r="N1428" s="32" t="s">
        <v>4511</v>
      </c>
      <c r="O1428" s="10" t="s">
        <v>4512</v>
      </c>
      <c r="P1428" s="10" t="s">
        <v>4513</v>
      </c>
      <c r="Q1428" s="2"/>
      <c r="R1428" s="10">
        <v>60.0</v>
      </c>
      <c r="S1428" s="14">
        <v>43864.0</v>
      </c>
      <c r="T1428" s="14">
        <v>45691.0</v>
      </c>
      <c r="U1428" s="10">
        <f t="shared" si="123"/>
        <v>-400</v>
      </c>
      <c r="V1428" s="2"/>
      <c r="W1428" s="15"/>
      <c r="X1428" s="15"/>
      <c r="Y1428" s="15"/>
      <c r="Z1428" s="15"/>
      <c r="AA1428" s="1"/>
      <c r="AB1428" s="15"/>
      <c r="AC1428" s="15"/>
      <c r="AD1428" s="15"/>
      <c r="AE1428" s="15"/>
      <c r="AF1428" s="2"/>
      <c r="AG1428" s="10" t="s">
        <v>290</v>
      </c>
      <c r="AH1428" s="12" t="s">
        <v>46</v>
      </c>
      <c r="AI1428" s="10" t="s">
        <v>291</v>
      </c>
      <c r="AJ1428" s="10" t="s">
        <v>291</v>
      </c>
      <c r="AK1428" s="16" t="s">
        <v>45</v>
      </c>
      <c r="AL1428" s="10" t="s">
        <v>49</v>
      </c>
      <c r="AM1428" s="10" t="s">
        <v>292</v>
      </c>
      <c r="AN1428" s="10" t="s">
        <v>50</v>
      </c>
    </row>
    <row r="1429" ht="30.0" customHeight="1">
      <c r="A1429" s="9" t="str">
        <f t="shared" si="48"/>
        <v>Inativo</v>
      </c>
      <c r="B1429" s="9" t="str">
        <f t="shared" si="49"/>
        <v>N/I</v>
      </c>
      <c r="C1429" s="9" t="str">
        <f t="shared" si="80"/>
        <v>N/I</v>
      </c>
      <c r="D1429" s="10" t="s">
        <v>4470</v>
      </c>
      <c r="E1429" s="11" t="s">
        <v>4471</v>
      </c>
      <c r="F1429" s="11" t="s">
        <v>4509</v>
      </c>
      <c r="G1429" s="12" t="s">
        <v>94</v>
      </c>
      <c r="H1429" s="16" t="s">
        <v>4516</v>
      </c>
      <c r="I1429" s="12" t="s">
        <v>1096</v>
      </c>
      <c r="J1429" s="10" t="s">
        <v>1097</v>
      </c>
      <c r="K1429" s="10" t="s">
        <v>190</v>
      </c>
      <c r="L1429" s="10" t="s">
        <v>4</v>
      </c>
      <c r="M1429" s="22">
        <v>43864.0</v>
      </c>
      <c r="N1429" s="32" t="s">
        <v>4511</v>
      </c>
      <c r="O1429" s="10" t="s">
        <v>4512</v>
      </c>
      <c r="P1429" s="10" t="s">
        <v>4513</v>
      </c>
      <c r="Q1429" s="2"/>
      <c r="R1429" s="10">
        <v>60.0</v>
      </c>
      <c r="S1429" s="14">
        <v>43864.0</v>
      </c>
      <c r="T1429" s="14">
        <v>45691.0</v>
      </c>
      <c r="U1429" s="10">
        <f t="shared" si="123"/>
        <v>-400</v>
      </c>
      <c r="V1429" s="2"/>
      <c r="W1429" s="15"/>
      <c r="X1429" s="15"/>
      <c r="Y1429" s="15"/>
      <c r="Z1429" s="15"/>
      <c r="AA1429" s="1"/>
      <c r="AB1429" s="15"/>
      <c r="AC1429" s="15"/>
      <c r="AD1429" s="15"/>
      <c r="AE1429" s="15"/>
      <c r="AF1429" s="2"/>
      <c r="AG1429" s="10" t="s">
        <v>290</v>
      </c>
      <c r="AH1429" s="12" t="s">
        <v>46</v>
      </c>
      <c r="AI1429" s="10" t="s">
        <v>291</v>
      </c>
      <c r="AJ1429" s="10" t="s">
        <v>291</v>
      </c>
      <c r="AK1429" s="16" t="s">
        <v>45</v>
      </c>
      <c r="AL1429" s="10" t="s">
        <v>49</v>
      </c>
      <c r="AM1429" s="10" t="s">
        <v>292</v>
      </c>
      <c r="AN1429" s="10" t="s">
        <v>50</v>
      </c>
    </row>
    <row r="1430" ht="30.0" customHeight="1">
      <c r="A1430" s="9" t="str">
        <f t="shared" si="48"/>
        <v>Inativo</v>
      </c>
      <c r="B1430" s="9" t="str">
        <f t="shared" si="49"/>
        <v>N/I</v>
      </c>
      <c r="C1430" s="9" t="str">
        <f t="shared" si="80"/>
        <v>N/I</v>
      </c>
      <c r="D1430" s="10" t="s">
        <v>4470</v>
      </c>
      <c r="E1430" s="11" t="s">
        <v>4471</v>
      </c>
      <c r="F1430" s="11" t="s">
        <v>4517</v>
      </c>
      <c r="G1430" s="12" t="s">
        <v>94</v>
      </c>
      <c r="H1430" s="16" t="s">
        <v>4518</v>
      </c>
      <c r="I1430" s="12" t="s">
        <v>1096</v>
      </c>
      <c r="J1430" s="10" t="s">
        <v>1097</v>
      </c>
      <c r="K1430" s="10" t="s">
        <v>190</v>
      </c>
      <c r="L1430" s="10" t="s">
        <v>4</v>
      </c>
      <c r="M1430" s="22">
        <v>43865.0</v>
      </c>
      <c r="N1430" s="32" t="s">
        <v>4519</v>
      </c>
      <c r="O1430" s="10" t="s">
        <v>4520</v>
      </c>
      <c r="P1430" s="10" t="s">
        <v>4513</v>
      </c>
      <c r="Q1430" s="2"/>
      <c r="R1430" s="10">
        <v>60.0</v>
      </c>
      <c r="S1430" s="14">
        <v>43865.0</v>
      </c>
      <c r="T1430" s="14">
        <v>45692.0</v>
      </c>
      <c r="U1430" s="10">
        <f t="shared" si="123"/>
        <v>-399</v>
      </c>
      <c r="V1430" s="2"/>
      <c r="W1430" s="15"/>
      <c r="X1430" s="15"/>
      <c r="Y1430" s="15"/>
      <c r="Z1430" s="15"/>
      <c r="AA1430" s="1"/>
      <c r="AB1430" s="15"/>
      <c r="AC1430" s="15"/>
      <c r="AD1430" s="15"/>
      <c r="AE1430" s="15"/>
      <c r="AF1430" s="2"/>
      <c r="AG1430" s="10" t="s">
        <v>290</v>
      </c>
      <c r="AH1430" s="12" t="s">
        <v>46</v>
      </c>
      <c r="AI1430" s="10" t="s">
        <v>291</v>
      </c>
      <c r="AJ1430" s="10" t="s">
        <v>291</v>
      </c>
      <c r="AK1430" s="16" t="s">
        <v>45</v>
      </c>
      <c r="AL1430" s="10" t="s">
        <v>49</v>
      </c>
      <c r="AM1430" s="10" t="s">
        <v>292</v>
      </c>
      <c r="AN1430" s="10" t="s">
        <v>50</v>
      </c>
    </row>
    <row r="1431" ht="30.0" customHeight="1">
      <c r="A1431" s="9" t="str">
        <f t="shared" si="48"/>
        <v>Inativo</v>
      </c>
      <c r="B1431" s="9" t="str">
        <f t="shared" si="49"/>
        <v>N/I</v>
      </c>
      <c r="C1431" s="9" t="str">
        <f t="shared" si="80"/>
        <v>N/I</v>
      </c>
      <c r="D1431" s="10" t="s">
        <v>4470</v>
      </c>
      <c r="E1431" s="11" t="s">
        <v>4471</v>
      </c>
      <c r="F1431" s="11" t="s">
        <v>4517</v>
      </c>
      <c r="G1431" s="12" t="s">
        <v>94</v>
      </c>
      <c r="H1431" s="16" t="s">
        <v>4521</v>
      </c>
      <c r="I1431" s="12" t="s">
        <v>1096</v>
      </c>
      <c r="J1431" s="10" t="s">
        <v>1097</v>
      </c>
      <c r="K1431" s="10" t="s">
        <v>190</v>
      </c>
      <c r="L1431" s="10" t="s">
        <v>4</v>
      </c>
      <c r="M1431" s="22">
        <v>43865.0</v>
      </c>
      <c r="N1431" s="32" t="s">
        <v>4519</v>
      </c>
      <c r="O1431" s="10" t="s">
        <v>4520</v>
      </c>
      <c r="P1431" s="10" t="s">
        <v>4513</v>
      </c>
      <c r="Q1431" s="2"/>
      <c r="R1431" s="10">
        <v>60.0</v>
      </c>
      <c r="S1431" s="14">
        <v>43865.0</v>
      </c>
      <c r="T1431" s="14">
        <v>45692.0</v>
      </c>
      <c r="U1431" s="10">
        <f t="shared" si="123"/>
        <v>-399</v>
      </c>
      <c r="V1431" s="2"/>
      <c r="W1431" s="15"/>
      <c r="X1431" s="15"/>
      <c r="Y1431" s="15"/>
      <c r="Z1431" s="15"/>
      <c r="AA1431" s="1"/>
      <c r="AB1431" s="15"/>
      <c r="AC1431" s="15"/>
      <c r="AD1431" s="15"/>
      <c r="AE1431" s="15"/>
      <c r="AF1431" s="2"/>
      <c r="AG1431" s="10" t="s">
        <v>290</v>
      </c>
      <c r="AH1431" s="12" t="s">
        <v>46</v>
      </c>
      <c r="AI1431" s="10" t="s">
        <v>291</v>
      </c>
      <c r="AJ1431" s="10" t="s">
        <v>291</v>
      </c>
      <c r="AK1431" s="16" t="s">
        <v>45</v>
      </c>
      <c r="AL1431" s="10" t="s">
        <v>49</v>
      </c>
      <c r="AM1431" s="10" t="s">
        <v>292</v>
      </c>
      <c r="AN1431" s="10" t="s">
        <v>50</v>
      </c>
    </row>
    <row r="1432" ht="30.0" customHeight="1">
      <c r="A1432" s="9" t="str">
        <f t="shared" si="48"/>
        <v>Inativo</v>
      </c>
      <c r="B1432" s="9" t="str">
        <f t="shared" si="49"/>
        <v>N/I</v>
      </c>
      <c r="C1432" s="9" t="str">
        <f t="shared" si="80"/>
        <v>N/I</v>
      </c>
      <c r="D1432" s="10" t="s">
        <v>4470</v>
      </c>
      <c r="E1432" s="11" t="s">
        <v>4471</v>
      </c>
      <c r="F1432" s="11" t="s">
        <v>4517</v>
      </c>
      <c r="G1432" s="12" t="s">
        <v>94</v>
      </c>
      <c r="H1432" s="16" t="s">
        <v>4522</v>
      </c>
      <c r="I1432" s="12" t="s">
        <v>1096</v>
      </c>
      <c r="J1432" s="10" t="s">
        <v>1097</v>
      </c>
      <c r="K1432" s="10" t="s">
        <v>190</v>
      </c>
      <c r="L1432" s="10" t="s">
        <v>4</v>
      </c>
      <c r="M1432" s="22">
        <v>43865.0</v>
      </c>
      <c r="N1432" s="32" t="s">
        <v>4519</v>
      </c>
      <c r="O1432" s="10" t="s">
        <v>4520</v>
      </c>
      <c r="P1432" s="10" t="s">
        <v>4513</v>
      </c>
      <c r="Q1432" s="2"/>
      <c r="R1432" s="10">
        <v>60.0</v>
      </c>
      <c r="S1432" s="14">
        <v>43865.0</v>
      </c>
      <c r="T1432" s="14">
        <v>45692.0</v>
      </c>
      <c r="U1432" s="10">
        <f t="shared" si="123"/>
        <v>-399</v>
      </c>
      <c r="V1432" s="2"/>
      <c r="W1432" s="15"/>
      <c r="X1432" s="15"/>
      <c r="Y1432" s="15"/>
      <c r="Z1432" s="15"/>
      <c r="AA1432" s="1"/>
      <c r="AB1432" s="15"/>
      <c r="AC1432" s="15"/>
      <c r="AD1432" s="15"/>
      <c r="AE1432" s="15"/>
      <c r="AF1432" s="2"/>
      <c r="AG1432" s="10" t="s">
        <v>290</v>
      </c>
      <c r="AH1432" s="12" t="s">
        <v>46</v>
      </c>
      <c r="AI1432" s="10" t="s">
        <v>291</v>
      </c>
      <c r="AJ1432" s="10" t="s">
        <v>291</v>
      </c>
      <c r="AK1432" s="16" t="s">
        <v>45</v>
      </c>
      <c r="AL1432" s="10" t="s">
        <v>49</v>
      </c>
      <c r="AM1432" s="10" t="s">
        <v>292</v>
      </c>
      <c r="AN1432" s="10" t="s">
        <v>50</v>
      </c>
    </row>
    <row r="1433" ht="30.0" customHeight="1">
      <c r="A1433" s="9" t="str">
        <f t="shared" si="48"/>
        <v>Ativo</v>
      </c>
      <c r="B1433" s="9" t="str">
        <f t="shared" si="49"/>
        <v>N/I</v>
      </c>
      <c r="C1433" s="9" t="str">
        <f t="shared" si="80"/>
        <v>N/I</v>
      </c>
      <c r="D1433" s="10" t="s">
        <v>4470</v>
      </c>
      <c r="E1433" s="11" t="s">
        <v>4471</v>
      </c>
      <c r="F1433" s="11" t="s">
        <v>4523</v>
      </c>
      <c r="G1433" s="12" t="s">
        <v>94</v>
      </c>
      <c r="H1433" s="34" t="s">
        <v>4524</v>
      </c>
      <c r="I1433" s="12" t="s">
        <v>1096</v>
      </c>
      <c r="J1433" s="10" t="s">
        <v>1097</v>
      </c>
      <c r="K1433" s="10" t="s">
        <v>190</v>
      </c>
      <c r="L1433" s="10" t="s">
        <v>4</v>
      </c>
      <c r="M1433" s="22">
        <v>45238.0</v>
      </c>
      <c r="N1433" s="32" t="s">
        <v>4525</v>
      </c>
      <c r="O1433" s="10" t="s">
        <v>4526</v>
      </c>
      <c r="P1433" s="10" t="s">
        <v>4527</v>
      </c>
      <c r="Q1433" s="2"/>
      <c r="R1433" s="10">
        <v>60.0</v>
      </c>
      <c r="S1433" s="14">
        <v>45240.0</v>
      </c>
      <c r="T1433" s="14">
        <v>47066.0</v>
      </c>
      <c r="U1433" s="10">
        <f t="shared" si="123"/>
        <v>975</v>
      </c>
      <c r="V1433" s="2"/>
      <c r="W1433" s="15"/>
      <c r="X1433" s="15"/>
      <c r="Y1433" s="15"/>
      <c r="Z1433" s="15"/>
      <c r="AA1433" s="1"/>
      <c r="AB1433" s="15"/>
      <c r="AC1433" s="15"/>
      <c r="AD1433" s="15"/>
      <c r="AE1433" s="15"/>
      <c r="AF1433" s="2"/>
      <c r="AG1433" s="10" t="s">
        <v>290</v>
      </c>
      <c r="AH1433" s="12" t="s">
        <v>46</v>
      </c>
      <c r="AI1433" s="10" t="s">
        <v>291</v>
      </c>
      <c r="AJ1433" s="10" t="s">
        <v>291</v>
      </c>
      <c r="AK1433" s="16" t="s">
        <v>45</v>
      </c>
      <c r="AL1433" s="10" t="s">
        <v>49</v>
      </c>
      <c r="AM1433" s="10" t="s">
        <v>508</v>
      </c>
      <c r="AN1433" s="10" t="s">
        <v>50</v>
      </c>
    </row>
    <row r="1434" ht="30.0" customHeight="1">
      <c r="A1434" s="9" t="str">
        <f t="shared" si="48"/>
        <v>Ativo</v>
      </c>
      <c r="B1434" s="9" t="str">
        <f t="shared" si="49"/>
        <v>N/I</v>
      </c>
      <c r="C1434" s="9" t="str">
        <f t="shared" si="80"/>
        <v>N/I</v>
      </c>
      <c r="D1434" s="10" t="s">
        <v>4470</v>
      </c>
      <c r="E1434" s="11" t="s">
        <v>4471</v>
      </c>
      <c r="F1434" s="11" t="s">
        <v>4528</v>
      </c>
      <c r="G1434" s="12" t="s">
        <v>94</v>
      </c>
      <c r="H1434" s="34" t="s">
        <v>4529</v>
      </c>
      <c r="I1434" s="12" t="s">
        <v>1096</v>
      </c>
      <c r="J1434" s="10" t="s">
        <v>1097</v>
      </c>
      <c r="K1434" s="10" t="s">
        <v>190</v>
      </c>
      <c r="L1434" s="10" t="s">
        <v>4</v>
      </c>
      <c r="M1434" s="22">
        <v>45238.0</v>
      </c>
      <c r="N1434" s="32" t="s">
        <v>4525</v>
      </c>
      <c r="O1434" s="10" t="s">
        <v>4526</v>
      </c>
      <c r="P1434" s="10" t="s">
        <v>4527</v>
      </c>
      <c r="Q1434" s="2"/>
      <c r="R1434" s="10">
        <v>60.0</v>
      </c>
      <c r="S1434" s="14">
        <v>45240.0</v>
      </c>
      <c r="T1434" s="14">
        <v>47066.0</v>
      </c>
      <c r="U1434" s="10">
        <f t="shared" si="123"/>
        <v>975</v>
      </c>
      <c r="V1434" s="2"/>
      <c r="W1434" s="15"/>
      <c r="X1434" s="15"/>
      <c r="Y1434" s="15"/>
      <c r="Z1434" s="15"/>
      <c r="AA1434" s="1"/>
      <c r="AB1434" s="15"/>
      <c r="AC1434" s="15"/>
      <c r="AD1434" s="15"/>
      <c r="AE1434" s="15"/>
      <c r="AF1434" s="2"/>
      <c r="AG1434" s="10" t="s">
        <v>290</v>
      </c>
      <c r="AH1434" s="12" t="s">
        <v>46</v>
      </c>
      <c r="AI1434" s="10" t="s">
        <v>291</v>
      </c>
      <c r="AJ1434" s="10" t="s">
        <v>291</v>
      </c>
      <c r="AK1434" s="16" t="s">
        <v>45</v>
      </c>
      <c r="AL1434" s="10" t="s">
        <v>49</v>
      </c>
      <c r="AM1434" s="10" t="s">
        <v>508</v>
      </c>
      <c r="AN1434" s="10" t="s">
        <v>50</v>
      </c>
    </row>
    <row r="1435" ht="30.0" customHeight="1">
      <c r="A1435" s="9" t="str">
        <f t="shared" si="48"/>
        <v>Ativo</v>
      </c>
      <c r="B1435" s="9" t="str">
        <f t="shared" si="49"/>
        <v>N/I</v>
      </c>
      <c r="C1435" s="9" t="str">
        <f t="shared" si="80"/>
        <v>N/I</v>
      </c>
      <c r="D1435" s="10" t="s">
        <v>4470</v>
      </c>
      <c r="E1435" s="11" t="s">
        <v>4471</v>
      </c>
      <c r="F1435" s="11" t="s">
        <v>4530</v>
      </c>
      <c r="G1435" s="12" t="s">
        <v>94</v>
      </c>
      <c r="H1435" s="13" t="s">
        <v>4531</v>
      </c>
      <c r="I1435" s="12" t="s">
        <v>4532</v>
      </c>
      <c r="J1435" s="10" t="s">
        <v>1097</v>
      </c>
      <c r="K1435" s="10" t="s">
        <v>190</v>
      </c>
      <c r="L1435" s="10" t="s">
        <v>4</v>
      </c>
      <c r="M1435" s="22">
        <v>44627.0</v>
      </c>
      <c r="N1435" s="32" t="s">
        <v>4533</v>
      </c>
      <c r="O1435" s="10" t="s">
        <v>4534</v>
      </c>
      <c r="P1435" s="10" t="s">
        <v>4483</v>
      </c>
      <c r="Q1435" s="2"/>
      <c r="R1435" s="10">
        <v>60.0</v>
      </c>
      <c r="S1435" s="14">
        <v>44623.0</v>
      </c>
      <c r="T1435" s="14">
        <v>46448.0</v>
      </c>
      <c r="U1435" s="10">
        <f t="shared" si="123"/>
        <v>357</v>
      </c>
      <c r="V1435" s="2"/>
      <c r="W1435" s="15"/>
      <c r="X1435" s="15"/>
      <c r="Y1435" s="15"/>
      <c r="Z1435" s="15"/>
      <c r="AA1435" s="1"/>
      <c r="AB1435" s="15"/>
      <c r="AC1435" s="15"/>
      <c r="AD1435" s="15"/>
      <c r="AE1435" s="15"/>
      <c r="AF1435" s="2"/>
      <c r="AG1435" s="10" t="s">
        <v>290</v>
      </c>
      <c r="AH1435" s="12" t="s">
        <v>46</v>
      </c>
      <c r="AI1435" s="10" t="s">
        <v>291</v>
      </c>
      <c r="AJ1435" s="10" t="s">
        <v>291</v>
      </c>
      <c r="AK1435" s="16" t="s">
        <v>45</v>
      </c>
      <c r="AL1435" s="10" t="s">
        <v>49</v>
      </c>
      <c r="AM1435" s="10" t="s">
        <v>508</v>
      </c>
      <c r="AN1435" s="10" t="s">
        <v>50</v>
      </c>
    </row>
    <row r="1436" ht="30.0" customHeight="1">
      <c r="A1436" s="9" t="str">
        <f t="shared" si="48"/>
        <v>Ativo</v>
      </c>
      <c r="B1436" s="9" t="str">
        <f t="shared" si="49"/>
        <v>N/I</v>
      </c>
      <c r="C1436" s="9" t="str">
        <f t="shared" si="80"/>
        <v>N/I</v>
      </c>
      <c r="D1436" s="10" t="s">
        <v>4470</v>
      </c>
      <c r="E1436" s="11" t="s">
        <v>4471</v>
      </c>
      <c r="F1436" s="11" t="s">
        <v>4535</v>
      </c>
      <c r="G1436" s="12" t="s">
        <v>94</v>
      </c>
      <c r="H1436" s="34" t="s">
        <v>4536</v>
      </c>
      <c r="I1436" s="12" t="s">
        <v>4537</v>
      </c>
      <c r="J1436" s="10" t="s">
        <v>1097</v>
      </c>
      <c r="K1436" s="10" t="s">
        <v>190</v>
      </c>
      <c r="L1436" s="10" t="s">
        <v>4</v>
      </c>
      <c r="M1436" s="22">
        <v>45008.0</v>
      </c>
      <c r="N1436" s="32" t="s">
        <v>4538</v>
      </c>
      <c r="O1436" s="10" t="s">
        <v>4539</v>
      </c>
      <c r="P1436" s="10" t="s">
        <v>4477</v>
      </c>
      <c r="Q1436" s="2"/>
      <c r="R1436" s="10">
        <v>60.0</v>
      </c>
      <c r="S1436" s="14">
        <v>45006.0</v>
      </c>
      <c r="T1436" s="14">
        <v>46832.0</v>
      </c>
      <c r="U1436" s="10">
        <f t="shared" si="123"/>
        <v>741</v>
      </c>
      <c r="V1436" s="2"/>
      <c r="W1436" s="15"/>
      <c r="X1436" s="15"/>
      <c r="Y1436" s="15"/>
      <c r="Z1436" s="15"/>
      <c r="AA1436" s="1"/>
      <c r="AB1436" s="15"/>
      <c r="AC1436" s="15"/>
      <c r="AD1436" s="15"/>
      <c r="AE1436" s="15"/>
      <c r="AF1436" s="2"/>
      <c r="AG1436" s="10" t="s">
        <v>290</v>
      </c>
      <c r="AH1436" s="12" t="s">
        <v>46</v>
      </c>
      <c r="AI1436" s="10" t="s">
        <v>291</v>
      </c>
      <c r="AJ1436" s="10" t="s">
        <v>291</v>
      </c>
      <c r="AK1436" s="16" t="s">
        <v>45</v>
      </c>
      <c r="AL1436" s="10" t="s">
        <v>49</v>
      </c>
      <c r="AM1436" s="10" t="s">
        <v>508</v>
      </c>
      <c r="AN1436" s="10" t="s">
        <v>50</v>
      </c>
    </row>
    <row r="1437" ht="30.0" customHeight="1">
      <c r="A1437" s="9" t="str">
        <f t="shared" si="48"/>
        <v>Ativo</v>
      </c>
      <c r="B1437" s="9" t="str">
        <f t="shared" si="49"/>
        <v>N/I</v>
      </c>
      <c r="C1437" s="9" t="str">
        <f t="shared" si="80"/>
        <v>N/I</v>
      </c>
      <c r="D1437" s="10" t="s">
        <v>4470</v>
      </c>
      <c r="E1437" s="11" t="s">
        <v>4471</v>
      </c>
      <c r="F1437" s="11" t="s">
        <v>4540</v>
      </c>
      <c r="G1437" s="12" t="s">
        <v>94</v>
      </c>
      <c r="H1437" s="34" t="s">
        <v>4541</v>
      </c>
      <c r="I1437" s="12" t="s">
        <v>4542</v>
      </c>
      <c r="J1437" s="10" t="s">
        <v>1097</v>
      </c>
      <c r="K1437" s="10" t="s">
        <v>190</v>
      </c>
      <c r="L1437" s="10" t="s">
        <v>4</v>
      </c>
      <c r="M1437" s="22">
        <v>45007.0</v>
      </c>
      <c r="N1437" s="32" t="s">
        <v>4543</v>
      </c>
      <c r="O1437" s="10" t="s">
        <v>4544</v>
      </c>
      <c r="P1437" s="10" t="s">
        <v>4477</v>
      </c>
      <c r="Q1437" s="2"/>
      <c r="R1437" s="10">
        <v>60.0</v>
      </c>
      <c r="S1437" s="14">
        <v>45008.0</v>
      </c>
      <c r="T1437" s="14">
        <v>46834.0</v>
      </c>
      <c r="U1437" s="10">
        <f t="shared" si="123"/>
        <v>743</v>
      </c>
      <c r="V1437" s="2"/>
      <c r="W1437" s="15"/>
      <c r="X1437" s="15"/>
      <c r="Y1437" s="15"/>
      <c r="Z1437" s="15"/>
      <c r="AA1437" s="1"/>
      <c r="AB1437" s="15"/>
      <c r="AC1437" s="15"/>
      <c r="AD1437" s="15"/>
      <c r="AE1437" s="15"/>
      <c r="AF1437" s="2"/>
      <c r="AG1437" s="10" t="s">
        <v>290</v>
      </c>
      <c r="AH1437" s="12" t="s">
        <v>46</v>
      </c>
      <c r="AI1437" s="10" t="s">
        <v>291</v>
      </c>
      <c r="AJ1437" s="10" t="s">
        <v>291</v>
      </c>
      <c r="AK1437" s="16" t="s">
        <v>45</v>
      </c>
      <c r="AL1437" s="10" t="s">
        <v>49</v>
      </c>
      <c r="AM1437" s="10" t="s">
        <v>508</v>
      </c>
      <c r="AN1437" s="10" t="s">
        <v>50</v>
      </c>
    </row>
    <row r="1438" ht="30.0" customHeight="1">
      <c r="A1438" s="9" t="str">
        <f t="shared" si="48"/>
        <v>Ativo</v>
      </c>
      <c r="B1438" s="9" t="str">
        <f t="shared" si="49"/>
        <v>N/I</v>
      </c>
      <c r="C1438" s="9" t="str">
        <f t="shared" si="80"/>
        <v>N/I</v>
      </c>
      <c r="D1438" s="10" t="s">
        <v>4470</v>
      </c>
      <c r="E1438" s="11" t="s">
        <v>4471</v>
      </c>
      <c r="F1438" s="11" t="s">
        <v>4545</v>
      </c>
      <c r="G1438" s="12" t="s">
        <v>94</v>
      </c>
      <c r="H1438" s="13" t="s">
        <v>4546</v>
      </c>
      <c r="I1438" s="12" t="s">
        <v>1212</v>
      </c>
      <c r="J1438" s="10" t="s">
        <v>1097</v>
      </c>
      <c r="K1438" s="10" t="s">
        <v>190</v>
      </c>
      <c r="L1438" s="10" t="s">
        <v>4</v>
      </c>
      <c r="M1438" s="22">
        <v>44628.0</v>
      </c>
      <c r="N1438" s="32" t="s">
        <v>4547</v>
      </c>
      <c r="O1438" s="10" t="s">
        <v>4548</v>
      </c>
      <c r="P1438" s="10" t="s">
        <v>4483</v>
      </c>
      <c r="Q1438" s="2"/>
      <c r="R1438" s="10">
        <v>60.0</v>
      </c>
      <c r="S1438" s="14">
        <v>44623.0</v>
      </c>
      <c r="T1438" s="14">
        <v>46448.0</v>
      </c>
      <c r="U1438" s="10">
        <f t="shared" si="123"/>
        <v>357</v>
      </c>
      <c r="V1438" s="2"/>
      <c r="W1438" s="15"/>
      <c r="X1438" s="15"/>
      <c r="Y1438" s="15"/>
      <c r="Z1438" s="15"/>
      <c r="AA1438" s="1"/>
      <c r="AB1438" s="15"/>
      <c r="AC1438" s="15"/>
      <c r="AD1438" s="15"/>
      <c r="AE1438" s="15"/>
      <c r="AF1438" s="2"/>
      <c r="AG1438" s="10" t="s">
        <v>290</v>
      </c>
      <c r="AH1438" s="12" t="s">
        <v>46</v>
      </c>
      <c r="AI1438" s="10" t="s">
        <v>291</v>
      </c>
      <c r="AJ1438" s="10" t="s">
        <v>291</v>
      </c>
      <c r="AK1438" s="16" t="s">
        <v>45</v>
      </c>
      <c r="AL1438" s="10" t="s">
        <v>49</v>
      </c>
      <c r="AM1438" s="10" t="s">
        <v>508</v>
      </c>
      <c r="AN1438" s="10" t="s">
        <v>50</v>
      </c>
    </row>
    <row r="1439" ht="30.0" customHeight="1">
      <c r="A1439" s="9" t="str">
        <f t="shared" si="48"/>
        <v>Ativo</v>
      </c>
      <c r="B1439" s="9" t="str">
        <f t="shared" si="49"/>
        <v>N/I</v>
      </c>
      <c r="C1439" s="9" t="str">
        <f t="shared" si="80"/>
        <v>N/I</v>
      </c>
      <c r="D1439" s="10" t="s">
        <v>4470</v>
      </c>
      <c r="E1439" s="11" t="s">
        <v>4471</v>
      </c>
      <c r="F1439" s="11" t="s">
        <v>4549</v>
      </c>
      <c r="G1439" s="12" t="s">
        <v>94</v>
      </c>
      <c r="H1439" s="34" t="s">
        <v>4550</v>
      </c>
      <c r="I1439" s="12" t="s">
        <v>4551</v>
      </c>
      <c r="J1439" s="10" t="s">
        <v>1097</v>
      </c>
      <c r="K1439" s="10" t="s">
        <v>190</v>
      </c>
      <c r="L1439" s="10" t="s">
        <v>4</v>
      </c>
      <c r="M1439" s="22">
        <v>45006.0</v>
      </c>
      <c r="N1439" s="32" t="s">
        <v>4552</v>
      </c>
      <c r="O1439" s="10" t="s">
        <v>4553</v>
      </c>
      <c r="P1439" s="10" t="s">
        <v>4477</v>
      </c>
      <c r="Q1439" s="2"/>
      <c r="R1439" s="10">
        <v>60.0</v>
      </c>
      <c r="S1439" s="14">
        <v>45005.0</v>
      </c>
      <c r="T1439" s="14">
        <v>46831.0</v>
      </c>
      <c r="U1439" s="10">
        <f t="shared" si="123"/>
        <v>740</v>
      </c>
      <c r="V1439" s="2"/>
      <c r="W1439" s="15"/>
      <c r="X1439" s="15"/>
      <c r="Y1439" s="15"/>
      <c r="Z1439" s="15"/>
      <c r="AA1439" s="1"/>
      <c r="AB1439" s="15"/>
      <c r="AC1439" s="15"/>
      <c r="AD1439" s="15"/>
      <c r="AE1439" s="15"/>
      <c r="AF1439" s="2"/>
      <c r="AG1439" s="10" t="s">
        <v>290</v>
      </c>
      <c r="AH1439" s="12" t="s">
        <v>46</v>
      </c>
      <c r="AI1439" s="10" t="s">
        <v>291</v>
      </c>
      <c r="AJ1439" s="10" t="s">
        <v>291</v>
      </c>
      <c r="AK1439" s="16" t="s">
        <v>45</v>
      </c>
      <c r="AL1439" s="10" t="s">
        <v>49</v>
      </c>
      <c r="AM1439" s="10" t="s">
        <v>508</v>
      </c>
      <c r="AN1439" s="10" t="s">
        <v>50</v>
      </c>
    </row>
    <row r="1440" ht="30.0" customHeight="1">
      <c r="A1440" s="9" t="str">
        <f t="shared" si="48"/>
        <v>Ativo</v>
      </c>
      <c r="B1440" s="9" t="str">
        <f t="shared" si="49"/>
        <v>N/I</v>
      </c>
      <c r="C1440" s="9" t="str">
        <f t="shared" si="80"/>
        <v>N/I</v>
      </c>
      <c r="D1440" s="10" t="s">
        <v>4470</v>
      </c>
      <c r="E1440" s="11" t="s">
        <v>4471</v>
      </c>
      <c r="F1440" s="11" t="s">
        <v>4554</v>
      </c>
      <c r="G1440" s="12" t="s">
        <v>94</v>
      </c>
      <c r="H1440" s="34" t="s">
        <v>4555</v>
      </c>
      <c r="I1440" s="12" t="s">
        <v>4556</v>
      </c>
      <c r="J1440" s="10" t="s">
        <v>1097</v>
      </c>
      <c r="K1440" s="10" t="s">
        <v>190</v>
      </c>
      <c r="L1440" s="10" t="s">
        <v>4</v>
      </c>
      <c r="M1440" s="22">
        <v>45005.0</v>
      </c>
      <c r="N1440" s="32" t="s">
        <v>4557</v>
      </c>
      <c r="O1440" s="10" t="s">
        <v>4558</v>
      </c>
      <c r="P1440" s="10" t="s">
        <v>4477</v>
      </c>
      <c r="Q1440" s="2"/>
      <c r="R1440" s="10">
        <v>60.0</v>
      </c>
      <c r="S1440" s="14">
        <v>45002.0</v>
      </c>
      <c r="T1440" s="14">
        <v>46828.0</v>
      </c>
      <c r="U1440" s="10">
        <f t="shared" si="123"/>
        <v>737</v>
      </c>
      <c r="V1440" s="2"/>
      <c r="W1440" s="15"/>
      <c r="X1440" s="15"/>
      <c r="Y1440" s="15"/>
      <c r="Z1440" s="15"/>
      <c r="AA1440" s="1"/>
      <c r="AB1440" s="15"/>
      <c r="AC1440" s="15"/>
      <c r="AD1440" s="15"/>
      <c r="AE1440" s="15"/>
      <c r="AF1440" s="2"/>
      <c r="AG1440" s="10" t="s">
        <v>290</v>
      </c>
      <c r="AH1440" s="12" t="s">
        <v>46</v>
      </c>
      <c r="AI1440" s="10" t="s">
        <v>291</v>
      </c>
      <c r="AJ1440" s="10" t="s">
        <v>291</v>
      </c>
      <c r="AK1440" s="16" t="s">
        <v>45</v>
      </c>
      <c r="AL1440" s="10" t="s">
        <v>49</v>
      </c>
      <c r="AM1440" s="10" t="s">
        <v>508</v>
      </c>
      <c r="AN1440" s="10" t="s">
        <v>50</v>
      </c>
    </row>
    <row r="1441" ht="30.0" customHeight="1">
      <c r="A1441" s="9" t="str">
        <f t="shared" si="48"/>
        <v>Ativo</v>
      </c>
      <c r="B1441" s="9" t="str">
        <f t="shared" si="49"/>
        <v>N/I</v>
      </c>
      <c r="C1441" s="9" t="str">
        <f t="shared" si="80"/>
        <v>N/I</v>
      </c>
      <c r="D1441" s="10" t="s">
        <v>4470</v>
      </c>
      <c r="E1441" s="11" t="s">
        <v>4471</v>
      </c>
      <c r="F1441" s="11" t="s">
        <v>4559</v>
      </c>
      <c r="G1441" s="12" t="s">
        <v>94</v>
      </c>
      <c r="H1441" s="34" t="s">
        <v>4560</v>
      </c>
      <c r="I1441" s="12" t="s">
        <v>4561</v>
      </c>
      <c r="J1441" s="10" t="s">
        <v>1097</v>
      </c>
      <c r="K1441" s="10" t="s">
        <v>190</v>
      </c>
      <c r="L1441" s="10" t="s">
        <v>4</v>
      </c>
      <c r="M1441" s="22">
        <v>45007.0</v>
      </c>
      <c r="N1441" s="32" t="s">
        <v>4562</v>
      </c>
      <c r="O1441" s="10" t="s">
        <v>4563</v>
      </c>
      <c r="P1441" s="10" t="s">
        <v>4477</v>
      </c>
      <c r="Q1441" s="2"/>
      <c r="R1441" s="10">
        <v>60.0</v>
      </c>
      <c r="S1441" s="14">
        <v>45005.0</v>
      </c>
      <c r="T1441" s="14">
        <v>46831.0</v>
      </c>
      <c r="U1441" s="10">
        <f t="shared" si="123"/>
        <v>740</v>
      </c>
      <c r="V1441" s="2"/>
      <c r="W1441" s="15"/>
      <c r="X1441" s="15"/>
      <c r="Y1441" s="15"/>
      <c r="Z1441" s="15"/>
      <c r="AA1441" s="1"/>
      <c r="AB1441" s="15"/>
      <c r="AC1441" s="15"/>
      <c r="AD1441" s="15"/>
      <c r="AE1441" s="15"/>
      <c r="AF1441" s="2"/>
      <c r="AG1441" s="10" t="s">
        <v>290</v>
      </c>
      <c r="AH1441" s="12" t="s">
        <v>46</v>
      </c>
      <c r="AI1441" s="10" t="s">
        <v>291</v>
      </c>
      <c r="AJ1441" s="10" t="s">
        <v>291</v>
      </c>
      <c r="AK1441" s="16" t="s">
        <v>45</v>
      </c>
      <c r="AL1441" s="10" t="s">
        <v>49</v>
      </c>
      <c r="AM1441" s="10" t="s">
        <v>508</v>
      </c>
      <c r="AN1441" s="10" t="s">
        <v>50</v>
      </c>
    </row>
    <row r="1442" ht="30.0" customHeight="1">
      <c r="A1442" s="9" t="str">
        <f t="shared" si="48"/>
        <v>Ativo</v>
      </c>
      <c r="B1442" s="9" t="str">
        <f t="shared" si="49"/>
        <v>N/I</v>
      </c>
      <c r="C1442" s="9" t="str">
        <f t="shared" si="80"/>
        <v>N/I</v>
      </c>
      <c r="D1442" s="10" t="s">
        <v>4470</v>
      </c>
      <c r="E1442" s="11" t="s">
        <v>4471</v>
      </c>
      <c r="F1442" s="11" t="s">
        <v>4564</v>
      </c>
      <c r="G1442" s="12" t="s">
        <v>94</v>
      </c>
      <c r="H1442" s="34" t="s">
        <v>4565</v>
      </c>
      <c r="I1442" s="12" t="s">
        <v>4566</v>
      </c>
      <c r="J1442" s="10" t="s">
        <v>1097</v>
      </c>
      <c r="K1442" s="10" t="s">
        <v>190</v>
      </c>
      <c r="L1442" s="10" t="s">
        <v>4</v>
      </c>
      <c r="M1442" s="22">
        <v>45006.0</v>
      </c>
      <c r="N1442" s="32" t="s">
        <v>4567</v>
      </c>
      <c r="O1442" s="10" t="s">
        <v>4568</v>
      </c>
      <c r="P1442" s="10" t="s">
        <v>4477</v>
      </c>
      <c r="Q1442" s="2"/>
      <c r="R1442" s="10">
        <v>60.0</v>
      </c>
      <c r="S1442" s="14">
        <v>45036.0</v>
      </c>
      <c r="T1442" s="14">
        <v>46862.0</v>
      </c>
      <c r="U1442" s="10">
        <f t="shared" si="123"/>
        <v>771</v>
      </c>
      <c r="V1442" s="2"/>
      <c r="W1442" s="15"/>
      <c r="X1442" s="15"/>
      <c r="Y1442" s="15"/>
      <c r="Z1442" s="15"/>
      <c r="AA1442" s="1"/>
      <c r="AB1442" s="15"/>
      <c r="AC1442" s="15"/>
      <c r="AD1442" s="15"/>
      <c r="AE1442" s="15"/>
      <c r="AF1442" s="2"/>
      <c r="AG1442" s="10" t="s">
        <v>290</v>
      </c>
      <c r="AH1442" s="12" t="s">
        <v>46</v>
      </c>
      <c r="AI1442" s="10" t="s">
        <v>291</v>
      </c>
      <c r="AJ1442" s="10" t="s">
        <v>291</v>
      </c>
      <c r="AK1442" s="16" t="s">
        <v>45</v>
      </c>
      <c r="AL1442" s="10" t="s">
        <v>49</v>
      </c>
      <c r="AM1442" s="10" t="s">
        <v>508</v>
      </c>
      <c r="AN1442" s="10" t="s">
        <v>50</v>
      </c>
    </row>
    <row r="1443" ht="30.0" customHeight="1">
      <c r="A1443" s="9" t="str">
        <f t="shared" si="48"/>
        <v>Ativo</v>
      </c>
      <c r="B1443" s="9" t="str">
        <f t="shared" si="49"/>
        <v>N/I</v>
      </c>
      <c r="C1443" s="9" t="str">
        <f t="shared" si="80"/>
        <v>N/I</v>
      </c>
      <c r="D1443" s="10" t="s">
        <v>4470</v>
      </c>
      <c r="E1443" s="11" t="s">
        <v>4471</v>
      </c>
      <c r="F1443" s="11" t="s">
        <v>4569</v>
      </c>
      <c r="G1443" s="12" t="s">
        <v>94</v>
      </c>
      <c r="H1443" s="34" t="s">
        <v>4570</v>
      </c>
      <c r="I1443" s="12" t="s">
        <v>4571</v>
      </c>
      <c r="J1443" s="10" t="s">
        <v>1097</v>
      </c>
      <c r="K1443" s="10" t="s">
        <v>190</v>
      </c>
      <c r="L1443" s="10" t="s">
        <v>4</v>
      </c>
      <c r="M1443" s="22">
        <v>45008.0</v>
      </c>
      <c r="N1443" s="32" t="s">
        <v>4572</v>
      </c>
      <c r="O1443" s="10" t="s">
        <v>4573</v>
      </c>
      <c r="P1443" s="10" t="s">
        <v>4477</v>
      </c>
      <c r="Q1443" s="2"/>
      <c r="R1443" s="10">
        <v>60.0</v>
      </c>
      <c r="S1443" s="14">
        <v>45007.0</v>
      </c>
      <c r="T1443" s="14">
        <v>46833.0</v>
      </c>
      <c r="U1443" s="10">
        <f t="shared" si="123"/>
        <v>742</v>
      </c>
      <c r="V1443" s="2"/>
      <c r="W1443" s="15"/>
      <c r="X1443" s="15"/>
      <c r="Y1443" s="15"/>
      <c r="Z1443" s="15"/>
      <c r="AA1443" s="1"/>
      <c r="AB1443" s="15"/>
      <c r="AC1443" s="15"/>
      <c r="AD1443" s="15"/>
      <c r="AE1443" s="15"/>
      <c r="AF1443" s="2"/>
      <c r="AG1443" s="10" t="s">
        <v>290</v>
      </c>
      <c r="AH1443" s="12" t="s">
        <v>46</v>
      </c>
      <c r="AI1443" s="10" t="s">
        <v>291</v>
      </c>
      <c r="AJ1443" s="10" t="s">
        <v>291</v>
      </c>
      <c r="AK1443" s="16" t="s">
        <v>45</v>
      </c>
      <c r="AL1443" s="10" t="s">
        <v>49</v>
      </c>
      <c r="AM1443" s="10" t="s">
        <v>508</v>
      </c>
      <c r="AN1443" s="10" t="s">
        <v>50</v>
      </c>
    </row>
    <row r="1444" ht="30.0" customHeight="1">
      <c r="A1444" s="9" t="str">
        <f t="shared" si="48"/>
        <v>Ativo</v>
      </c>
      <c r="B1444" s="9" t="str">
        <f t="shared" si="49"/>
        <v>N/I</v>
      </c>
      <c r="C1444" s="9" t="str">
        <f t="shared" si="80"/>
        <v>N/I</v>
      </c>
      <c r="D1444" s="10" t="s">
        <v>4470</v>
      </c>
      <c r="E1444" s="11" t="s">
        <v>4471</v>
      </c>
      <c r="F1444" s="11" t="s">
        <v>4574</v>
      </c>
      <c r="G1444" s="12" t="s">
        <v>94</v>
      </c>
      <c r="H1444" s="13" t="s">
        <v>4575</v>
      </c>
      <c r="I1444" s="12" t="s">
        <v>4576</v>
      </c>
      <c r="J1444" s="10" t="s">
        <v>1097</v>
      </c>
      <c r="K1444" s="10" t="s">
        <v>190</v>
      </c>
      <c r="L1444" s="10" t="s">
        <v>4</v>
      </c>
      <c r="M1444" s="22">
        <v>44628.0</v>
      </c>
      <c r="N1444" s="32" t="s">
        <v>4577</v>
      </c>
      <c r="O1444" s="10" t="s">
        <v>4578</v>
      </c>
      <c r="P1444" s="10" t="s">
        <v>4483</v>
      </c>
      <c r="Q1444" s="2"/>
      <c r="R1444" s="10">
        <v>60.0</v>
      </c>
      <c r="S1444" s="14">
        <v>44628.0</v>
      </c>
      <c r="T1444" s="14">
        <v>46453.0</v>
      </c>
      <c r="U1444" s="10">
        <f t="shared" si="123"/>
        <v>362</v>
      </c>
      <c r="V1444" s="2"/>
      <c r="W1444" s="15"/>
      <c r="X1444" s="15"/>
      <c r="Y1444" s="15"/>
      <c r="Z1444" s="15"/>
      <c r="AA1444" s="1"/>
      <c r="AB1444" s="15"/>
      <c r="AC1444" s="15"/>
      <c r="AD1444" s="15"/>
      <c r="AE1444" s="15"/>
      <c r="AF1444" s="2"/>
      <c r="AG1444" s="10" t="s">
        <v>290</v>
      </c>
      <c r="AH1444" s="12" t="s">
        <v>46</v>
      </c>
      <c r="AI1444" s="10" t="s">
        <v>291</v>
      </c>
      <c r="AJ1444" s="10" t="s">
        <v>291</v>
      </c>
      <c r="AK1444" s="16" t="s">
        <v>45</v>
      </c>
      <c r="AL1444" s="10" t="s">
        <v>49</v>
      </c>
      <c r="AM1444" s="10" t="s">
        <v>508</v>
      </c>
      <c r="AN1444" s="10" t="s">
        <v>50</v>
      </c>
    </row>
    <row r="1445" ht="30.0" customHeight="1">
      <c r="A1445" s="9" t="str">
        <f t="shared" si="48"/>
        <v>Inativo</v>
      </c>
      <c r="B1445" s="9" t="str">
        <f t="shared" si="49"/>
        <v>N/I</v>
      </c>
      <c r="C1445" s="9" t="str">
        <f t="shared" si="80"/>
        <v>N/I</v>
      </c>
      <c r="D1445" s="10" t="s">
        <v>4470</v>
      </c>
      <c r="E1445" s="11" t="s">
        <v>4471</v>
      </c>
      <c r="F1445" s="11" t="s">
        <v>4579</v>
      </c>
      <c r="G1445" s="12" t="s">
        <v>94</v>
      </c>
      <c r="H1445" s="16" t="s">
        <v>4580</v>
      </c>
      <c r="I1445" s="12" t="s">
        <v>4581</v>
      </c>
      <c r="J1445" s="10" t="s">
        <v>1097</v>
      </c>
      <c r="K1445" s="10" t="s">
        <v>190</v>
      </c>
      <c r="L1445" s="10" t="s">
        <v>4</v>
      </c>
      <c r="M1445" s="22">
        <v>43866.0</v>
      </c>
      <c r="N1445" s="32" t="s">
        <v>4582</v>
      </c>
      <c r="O1445" s="10" t="s">
        <v>4583</v>
      </c>
      <c r="P1445" s="10" t="s">
        <v>4513</v>
      </c>
      <c r="Q1445" s="2"/>
      <c r="R1445" s="10">
        <v>60.0</v>
      </c>
      <c r="S1445" s="14">
        <v>43866.0</v>
      </c>
      <c r="T1445" s="14">
        <v>45693.0</v>
      </c>
      <c r="U1445" s="10">
        <f t="shared" si="123"/>
        <v>-398</v>
      </c>
      <c r="V1445" s="2"/>
      <c r="W1445" s="15"/>
      <c r="X1445" s="15"/>
      <c r="Y1445" s="15"/>
      <c r="Z1445" s="15"/>
      <c r="AA1445" s="1"/>
      <c r="AB1445" s="15"/>
      <c r="AC1445" s="15"/>
      <c r="AD1445" s="15"/>
      <c r="AE1445" s="15"/>
      <c r="AF1445" s="2"/>
      <c r="AG1445" s="10" t="s">
        <v>290</v>
      </c>
      <c r="AH1445" s="12" t="s">
        <v>46</v>
      </c>
      <c r="AI1445" s="10" t="s">
        <v>291</v>
      </c>
      <c r="AJ1445" s="10" t="s">
        <v>291</v>
      </c>
      <c r="AK1445" s="16" t="s">
        <v>45</v>
      </c>
      <c r="AL1445" s="10" t="s">
        <v>49</v>
      </c>
      <c r="AM1445" s="10" t="s">
        <v>292</v>
      </c>
      <c r="AN1445" s="10" t="s">
        <v>50</v>
      </c>
    </row>
    <row r="1446" ht="30.0" customHeight="1">
      <c r="A1446" s="9" t="str">
        <f t="shared" si="48"/>
        <v>Inativo</v>
      </c>
      <c r="B1446" s="9" t="str">
        <f t="shared" si="49"/>
        <v>N/I</v>
      </c>
      <c r="C1446" s="9" t="str">
        <f t="shared" si="80"/>
        <v>N/I</v>
      </c>
      <c r="D1446" s="10" t="s">
        <v>4470</v>
      </c>
      <c r="E1446" s="11" t="s">
        <v>4471</v>
      </c>
      <c r="F1446" s="11" t="s">
        <v>4579</v>
      </c>
      <c r="G1446" s="12" t="s">
        <v>94</v>
      </c>
      <c r="H1446" s="16" t="s">
        <v>4584</v>
      </c>
      <c r="I1446" s="12" t="s">
        <v>4581</v>
      </c>
      <c r="J1446" s="10" t="s">
        <v>1097</v>
      </c>
      <c r="K1446" s="10" t="s">
        <v>190</v>
      </c>
      <c r="L1446" s="10" t="s">
        <v>4</v>
      </c>
      <c r="M1446" s="22">
        <v>43866.0</v>
      </c>
      <c r="N1446" s="32" t="s">
        <v>4582</v>
      </c>
      <c r="O1446" s="10" t="s">
        <v>4583</v>
      </c>
      <c r="P1446" s="10" t="s">
        <v>4513</v>
      </c>
      <c r="Q1446" s="2"/>
      <c r="R1446" s="10">
        <v>60.0</v>
      </c>
      <c r="S1446" s="14">
        <v>43866.0</v>
      </c>
      <c r="T1446" s="14">
        <v>45693.0</v>
      </c>
      <c r="U1446" s="10">
        <f t="shared" si="123"/>
        <v>-398</v>
      </c>
      <c r="V1446" s="2"/>
      <c r="W1446" s="15"/>
      <c r="X1446" s="15"/>
      <c r="Y1446" s="15"/>
      <c r="Z1446" s="15"/>
      <c r="AA1446" s="1"/>
      <c r="AB1446" s="15"/>
      <c r="AC1446" s="15"/>
      <c r="AD1446" s="15"/>
      <c r="AE1446" s="15"/>
      <c r="AF1446" s="2"/>
      <c r="AG1446" s="10" t="s">
        <v>290</v>
      </c>
      <c r="AH1446" s="12" t="s">
        <v>46</v>
      </c>
      <c r="AI1446" s="10" t="s">
        <v>291</v>
      </c>
      <c r="AJ1446" s="10" t="s">
        <v>291</v>
      </c>
      <c r="AK1446" s="16" t="s">
        <v>45</v>
      </c>
      <c r="AL1446" s="10" t="s">
        <v>49</v>
      </c>
      <c r="AM1446" s="10" t="s">
        <v>292</v>
      </c>
      <c r="AN1446" s="10" t="s">
        <v>50</v>
      </c>
    </row>
    <row r="1447" ht="30.0" customHeight="1">
      <c r="A1447" s="9" t="str">
        <f t="shared" si="48"/>
        <v>Ativo</v>
      </c>
      <c r="B1447" s="9" t="str">
        <f t="shared" si="49"/>
        <v>N/I</v>
      </c>
      <c r="C1447" s="9" t="str">
        <f t="shared" si="80"/>
        <v>N/I</v>
      </c>
      <c r="D1447" s="10" t="s">
        <v>4470</v>
      </c>
      <c r="E1447" s="11" t="s">
        <v>4471</v>
      </c>
      <c r="F1447" s="11" t="s">
        <v>4585</v>
      </c>
      <c r="G1447" s="12" t="s">
        <v>94</v>
      </c>
      <c r="H1447" s="34" t="s">
        <v>4586</v>
      </c>
      <c r="I1447" s="12" t="s">
        <v>4587</v>
      </c>
      <c r="J1447" s="10" t="s">
        <v>1097</v>
      </c>
      <c r="K1447" s="10" t="s">
        <v>190</v>
      </c>
      <c r="L1447" s="10" t="s">
        <v>4</v>
      </c>
      <c r="M1447" s="22">
        <v>45007.0</v>
      </c>
      <c r="N1447" s="32" t="s">
        <v>4588</v>
      </c>
      <c r="O1447" s="10" t="s">
        <v>4589</v>
      </c>
      <c r="P1447" s="10" t="s">
        <v>4477</v>
      </c>
      <c r="Q1447" s="2"/>
      <c r="R1447" s="10">
        <v>60.0</v>
      </c>
      <c r="S1447" s="14">
        <v>45006.0</v>
      </c>
      <c r="T1447" s="14">
        <v>46832.0</v>
      </c>
      <c r="U1447" s="10">
        <f t="shared" si="123"/>
        <v>741</v>
      </c>
      <c r="V1447" s="2"/>
      <c r="W1447" s="15"/>
      <c r="X1447" s="15"/>
      <c r="Y1447" s="15"/>
      <c r="Z1447" s="15"/>
      <c r="AA1447" s="1"/>
      <c r="AB1447" s="15"/>
      <c r="AC1447" s="15"/>
      <c r="AD1447" s="15"/>
      <c r="AE1447" s="15"/>
      <c r="AF1447" s="2"/>
      <c r="AG1447" s="10" t="s">
        <v>290</v>
      </c>
      <c r="AH1447" s="12" t="s">
        <v>46</v>
      </c>
      <c r="AI1447" s="10" t="s">
        <v>291</v>
      </c>
      <c r="AJ1447" s="10" t="s">
        <v>291</v>
      </c>
      <c r="AK1447" s="16" t="s">
        <v>45</v>
      </c>
      <c r="AL1447" s="10" t="s">
        <v>49</v>
      </c>
      <c r="AM1447" s="10" t="s">
        <v>508</v>
      </c>
      <c r="AN1447" s="10" t="s">
        <v>50</v>
      </c>
    </row>
    <row r="1448" ht="30.0" customHeight="1">
      <c r="A1448" s="9" t="str">
        <f t="shared" si="48"/>
        <v>Inativo</v>
      </c>
      <c r="B1448" s="9" t="str">
        <f t="shared" si="49"/>
        <v>N/I</v>
      </c>
      <c r="C1448" s="9" t="str">
        <f t="shared" si="80"/>
        <v>N/I</v>
      </c>
      <c r="D1448" s="10" t="s">
        <v>4470</v>
      </c>
      <c r="E1448" s="11" t="s">
        <v>4471</v>
      </c>
      <c r="F1448" s="11" t="s">
        <v>4590</v>
      </c>
      <c r="G1448" s="12" t="s">
        <v>94</v>
      </c>
      <c r="H1448" s="16" t="s">
        <v>4591</v>
      </c>
      <c r="I1448" s="12" t="s">
        <v>4206</v>
      </c>
      <c r="J1448" s="10" t="s">
        <v>1097</v>
      </c>
      <c r="K1448" s="10" t="s">
        <v>190</v>
      </c>
      <c r="L1448" s="10" t="s">
        <v>4</v>
      </c>
      <c r="M1448" s="22">
        <v>43867.0</v>
      </c>
      <c r="N1448" s="32" t="s">
        <v>4592</v>
      </c>
      <c r="O1448" s="10" t="s">
        <v>4593</v>
      </c>
      <c r="P1448" s="10" t="s">
        <v>4513</v>
      </c>
      <c r="Q1448" s="2"/>
      <c r="R1448" s="10">
        <v>60.0</v>
      </c>
      <c r="S1448" s="14">
        <v>43866.0</v>
      </c>
      <c r="T1448" s="14">
        <v>45693.0</v>
      </c>
      <c r="U1448" s="10">
        <f t="shared" si="123"/>
        <v>-398</v>
      </c>
      <c r="V1448" s="2"/>
      <c r="W1448" s="15"/>
      <c r="X1448" s="15"/>
      <c r="Y1448" s="15"/>
      <c r="Z1448" s="15"/>
      <c r="AA1448" s="1"/>
      <c r="AB1448" s="15"/>
      <c r="AC1448" s="15"/>
      <c r="AD1448" s="15"/>
      <c r="AE1448" s="15"/>
      <c r="AF1448" s="2"/>
      <c r="AG1448" s="10" t="s">
        <v>290</v>
      </c>
      <c r="AH1448" s="12" t="s">
        <v>46</v>
      </c>
      <c r="AI1448" s="10" t="s">
        <v>291</v>
      </c>
      <c r="AJ1448" s="10" t="s">
        <v>291</v>
      </c>
      <c r="AK1448" s="16" t="s">
        <v>45</v>
      </c>
      <c r="AL1448" s="10" t="s">
        <v>49</v>
      </c>
      <c r="AM1448" s="10" t="s">
        <v>292</v>
      </c>
      <c r="AN1448" s="10" t="s">
        <v>50</v>
      </c>
    </row>
    <row r="1449" ht="30.0" customHeight="1">
      <c r="A1449" s="9" t="str">
        <f t="shared" si="48"/>
        <v>Ativo</v>
      </c>
      <c r="B1449" s="9" t="str">
        <f t="shared" si="49"/>
        <v>N/I</v>
      </c>
      <c r="C1449" s="9" t="str">
        <f t="shared" si="80"/>
        <v>N/I</v>
      </c>
      <c r="D1449" s="10" t="s">
        <v>4470</v>
      </c>
      <c r="E1449" s="11" t="s">
        <v>4471</v>
      </c>
      <c r="F1449" s="11" t="s">
        <v>4594</v>
      </c>
      <c r="G1449" s="12" t="s">
        <v>94</v>
      </c>
      <c r="H1449" s="13" t="s">
        <v>4595</v>
      </c>
      <c r="I1449" s="12" t="s">
        <v>4596</v>
      </c>
      <c r="J1449" s="10" t="s">
        <v>1097</v>
      </c>
      <c r="K1449" s="10" t="s">
        <v>190</v>
      </c>
      <c r="L1449" s="10" t="s">
        <v>4</v>
      </c>
      <c r="M1449" s="22">
        <v>44629.0</v>
      </c>
      <c r="N1449" s="32" t="s">
        <v>4597</v>
      </c>
      <c r="O1449" s="10" t="s">
        <v>4598</v>
      </c>
      <c r="P1449" s="10" t="s">
        <v>4483</v>
      </c>
      <c r="Q1449" s="2"/>
      <c r="R1449" s="10">
        <v>60.0</v>
      </c>
      <c r="S1449" s="14">
        <v>44623.0</v>
      </c>
      <c r="T1449" s="14">
        <v>46448.0</v>
      </c>
      <c r="U1449" s="10">
        <f t="shared" si="123"/>
        <v>357</v>
      </c>
      <c r="V1449" s="2"/>
      <c r="W1449" s="15"/>
      <c r="X1449" s="15"/>
      <c r="Y1449" s="15"/>
      <c r="Z1449" s="15"/>
      <c r="AA1449" s="1"/>
      <c r="AB1449" s="15"/>
      <c r="AC1449" s="15"/>
      <c r="AD1449" s="15"/>
      <c r="AE1449" s="15"/>
      <c r="AF1449" s="2"/>
      <c r="AG1449" s="10" t="s">
        <v>290</v>
      </c>
      <c r="AH1449" s="12" t="s">
        <v>46</v>
      </c>
      <c r="AI1449" s="10" t="s">
        <v>291</v>
      </c>
      <c r="AJ1449" s="10" t="s">
        <v>291</v>
      </c>
      <c r="AK1449" s="16" t="s">
        <v>45</v>
      </c>
      <c r="AL1449" s="10" t="s">
        <v>49</v>
      </c>
      <c r="AM1449" s="10" t="s">
        <v>508</v>
      </c>
      <c r="AN1449" s="10" t="s">
        <v>50</v>
      </c>
    </row>
    <row r="1450" ht="30.0" customHeight="1">
      <c r="A1450" s="9" t="str">
        <f t="shared" si="48"/>
        <v>Ativo</v>
      </c>
      <c r="B1450" s="9" t="str">
        <f t="shared" si="49"/>
        <v>N/I</v>
      </c>
      <c r="C1450" s="9" t="str">
        <f t="shared" si="80"/>
        <v>N/I</v>
      </c>
      <c r="D1450" s="10" t="s">
        <v>4470</v>
      </c>
      <c r="E1450" s="11" t="s">
        <v>4471</v>
      </c>
      <c r="F1450" s="11" t="s">
        <v>4599</v>
      </c>
      <c r="G1450" s="12" t="s">
        <v>94</v>
      </c>
      <c r="H1450" s="13" t="s">
        <v>4600</v>
      </c>
      <c r="I1450" s="12" t="s">
        <v>1441</v>
      </c>
      <c r="J1450" s="10" t="s">
        <v>1097</v>
      </c>
      <c r="K1450" s="10" t="s">
        <v>190</v>
      </c>
      <c r="L1450" s="10" t="s">
        <v>4</v>
      </c>
      <c r="M1450" s="22">
        <v>44629.0</v>
      </c>
      <c r="N1450" s="32" t="s">
        <v>4601</v>
      </c>
      <c r="O1450" s="10" t="s">
        <v>1443</v>
      </c>
      <c r="P1450" s="10" t="s">
        <v>4483</v>
      </c>
      <c r="Q1450" s="2"/>
      <c r="R1450" s="10">
        <v>60.0</v>
      </c>
      <c r="S1450" s="14">
        <v>44623.0</v>
      </c>
      <c r="T1450" s="14">
        <v>46448.0</v>
      </c>
      <c r="U1450" s="10">
        <f t="shared" si="123"/>
        <v>357</v>
      </c>
      <c r="V1450" s="2"/>
      <c r="W1450" s="15"/>
      <c r="X1450" s="15"/>
      <c r="Y1450" s="15"/>
      <c r="Z1450" s="15"/>
      <c r="AA1450" s="1"/>
      <c r="AB1450" s="15"/>
      <c r="AC1450" s="15"/>
      <c r="AD1450" s="15"/>
      <c r="AE1450" s="15"/>
      <c r="AF1450" s="2"/>
      <c r="AG1450" s="10" t="s">
        <v>290</v>
      </c>
      <c r="AH1450" s="12" t="s">
        <v>46</v>
      </c>
      <c r="AI1450" s="10" t="s">
        <v>291</v>
      </c>
      <c r="AJ1450" s="10" t="s">
        <v>291</v>
      </c>
      <c r="AK1450" s="16" t="s">
        <v>45</v>
      </c>
      <c r="AL1450" s="10" t="s">
        <v>49</v>
      </c>
      <c r="AM1450" s="10" t="s">
        <v>508</v>
      </c>
      <c r="AN1450" s="10" t="s">
        <v>50</v>
      </c>
    </row>
    <row r="1451" ht="30.0" customHeight="1">
      <c r="A1451" s="9" t="str">
        <f t="shared" si="48"/>
        <v>Inativo</v>
      </c>
      <c r="B1451" s="9" t="str">
        <f t="shared" si="49"/>
        <v>N/I</v>
      </c>
      <c r="C1451" s="9" t="str">
        <f t="shared" si="80"/>
        <v>N/I</v>
      </c>
      <c r="D1451" s="10" t="s">
        <v>4470</v>
      </c>
      <c r="E1451" s="11" t="s">
        <v>4471</v>
      </c>
      <c r="F1451" s="11" t="s">
        <v>4602</v>
      </c>
      <c r="G1451" s="12" t="s">
        <v>94</v>
      </c>
      <c r="H1451" s="16" t="s">
        <v>4603</v>
      </c>
      <c r="I1451" s="12" t="s">
        <v>1474</v>
      </c>
      <c r="J1451" s="10" t="s">
        <v>1097</v>
      </c>
      <c r="K1451" s="10" t="s">
        <v>190</v>
      </c>
      <c r="L1451" s="10" t="s">
        <v>4</v>
      </c>
      <c r="M1451" s="22">
        <v>43866.0</v>
      </c>
      <c r="N1451" s="32" t="s">
        <v>4604</v>
      </c>
      <c r="O1451" s="10" t="s">
        <v>4605</v>
      </c>
      <c r="P1451" s="10" t="s">
        <v>4513</v>
      </c>
      <c r="Q1451" s="2"/>
      <c r="R1451" s="10">
        <v>60.0</v>
      </c>
      <c r="S1451" s="14">
        <v>43866.0</v>
      </c>
      <c r="T1451" s="14">
        <v>45693.0</v>
      </c>
      <c r="U1451" s="10">
        <f t="shared" si="123"/>
        <v>-398</v>
      </c>
      <c r="V1451" s="2"/>
      <c r="W1451" s="15"/>
      <c r="X1451" s="15"/>
      <c r="Y1451" s="15"/>
      <c r="Z1451" s="15"/>
      <c r="AA1451" s="1"/>
      <c r="AB1451" s="15"/>
      <c r="AC1451" s="15"/>
      <c r="AD1451" s="15"/>
      <c r="AE1451" s="15"/>
      <c r="AF1451" s="2"/>
      <c r="AG1451" s="10" t="s">
        <v>290</v>
      </c>
      <c r="AH1451" s="12" t="s">
        <v>46</v>
      </c>
      <c r="AI1451" s="10" t="s">
        <v>291</v>
      </c>
      <c r="AJ1451" s="10" t="s">
        <v>291</v>
      </c>
      <c r="AK1451" s="16" t="s">
        <v>45</v>
      </c>
      <c r="AL1451" s="10" t="s">
        <v>49</v>
      </c>
      <c r="AM1451" s="10" t="s">
        <v>292</v>
      </c>
      <c r="AN1451" s="10" t="s">
        <v>50</v>
      </c>
    </row>
    <row r="1452" ht="30.0" customHeight="1">
      <c r="A1452" s="9" t="str">
        <f t="shared" si="48"/>
        <v>Ativo</v>
      </c>
      <c r="B1452" s="9" t="str">
        <f t="shared" si="49"/>
        <v>N/I</v>
      </c>
      <c r="C1452" s="9" t="str">
        <f t="shared" si="80"/>
        <v>N/I</v>
      </c>
      <c r="D1452" s="10" t="s">
        <v>4470</v>
      </c>
      <c r="E1452" s="11" t="s">
        <v>4471</v>
      </c>
      <c r="F1452" s="11" t="s">
        <v>4602</v>
      </c>
      <c r="G1452" s="12" t="s">
        <v>94</v>
      </c>
      <c r="H1452" s="13" t="s">
        <v>4606</v>
      </c>
      <c r="I1452" s="12" t="s">
        <v>1474</v>
      </c>
      <c r="J1452" s="10" t="s">
        <v>1097</v>
      </c>
      <c r="K1452" s="10" t="s">
        <v>190</v>
      </c>
      <c r="L1452" s="10" t="s">
        <v>4</v>
      </c>
      <c r="M1452" s="22">
        <v>44631.0</v>
      </c>
      <c r="N1452" s="32" t="s">
        <v>4607</v>
      </c>
      <c r="O1452" s="10" t="s">
        <v>4608</v>
      </c>
      <c r="P1452" s="10" t="s">
        <v>4483</v>
      </c>
      <c r="Q1452" s="2"/>
      <c r="R1452" s="10">
        <v>60.0</v>
      </c>
      <c r="S1452" s="14">
        <v>44630.0</v>
      </c>
      <c r="T1452" s="14">
        <v>46455.0</v>
      </c>
      <c r="U1452" s="10">
        <f t="shared" si="123"/>
        <v>364</v>
      </c>
      <c r="V1452" s="2"/>
      <c r="W1452" s="15"/>
      <c r="X1452" s="15"/>
      <c r="Y1452" s="15"/>
      <c r="Z1452" s="15"/>
      <c r="AA1452" s="1"/>
      <c r="AB1452" s="15"/>
      <c r="AC1452" s="15"/>
      <c r="AD1452" s="15"/>
      <c r="AE1452" s="15"/>
      <c r="AF1452" s="2"/>
      <c r="AG1452" s="10" t="s">
        <v>290</v>
      </c>
      <c r="AH1452" s="12" t="s">
        <v>46</v>
      </c>
      <c r="AI1452" s="10" t="s">
        <v>291</v>
      </c>
      <c r="AJ1452" s="10" t="s">
        <v>291</v>
      </c>
      <c r="AK1452" s="16" t="s">
        <v>45</v>
      </c>
      <c r="AL1452" s="10" t="s">
        <v>49</v>
      </c>
      <c r="AM1452" s="10" t="s">
        <v>508</v>
      </c>
      <c r="AN1452" s="10" t="s">
        <v>50</v>
      </c>
    </row>
    <row r="1453" ht="30.0" customHeight="1">
      <c r="A1453" s="9" t="str">
        <f t="shared" si="48"/>
        <v>Inativo</v>
      </c>
      <c r="B1453" s="9" t="str">
        <f t="shared" si="49"/>
        <v>N/I</v>
      </c>
      <c r="C1453" s="9" t="str">
        <f t="shared" si="80"/>
        <v>N/I</v>
      </c>
      <c r="D1453" s="10" t="s">
        <v>4609</v>
      </c>
      <c r="E1453" s="11" t="s">
        <v>4610</v>
      </c>
      <c r="F1453" s="11" t="s">
        <v>4611</v>
      </c>
      <c r="G1453" s="12" t="s">
        <v>94</v>
      </c>
      <c r="H1453" s="34" t="s">
        <v>4612</v>
      </c>
      <c r="I1453" s="12" t="s">
        <v>62</v>
      </c>
      <c r="J1453" s="10" t="s">
        <v>63</v>
      </c>
      <c r="K1453" s="10" t="s">
        <v>41</v>
      </c>
      <c r="L1453" s="10" t="s">
        <v>4</v>
      </c>
      <c r="M1453" s="22">
        <v>45314.0</v>
      </c>
      <c r="N1453" s="32" t="s">
        <v>4613</v>
      </c>
      <c r="O1453" s="10" t="s">
        <v>4614</v>
      </c>
      <c r="P1453" s="10" t="s">
        <v>4615</v>
      </c>
      <c r="Q1453" s="2"/>
      <c r="R1453" s="10">
        <v>24.0</v>
      </c>
      <c r="S1453" s="14">
        <v>45314.0</v>
      </c>
      <c r="T1453" s="14">
        <v>46044.0</v>
      </c>
      <c r="U1453" s="10">
        <f t="shared" si="123"/>
        <v>-47</v>
      </c>
      <c r="V1453" s="2"/>
      <c r="W1453" s="15"/>
      <c r="X1453" s="15"/>
      <c r="Y1453" s="15"/>
      <c r="Z1453" s="15"/>
      <c r="AA1453" s="1"/>
      <c r="AB1453" s="15"/>
      <c r="AC1453" s="15"/>
      <c r="AD1453" s="15"/>
      <c r="AE1453" s="15"/>
      <c r="AF1453" s="2"/>
      <c r="AG1453" s="16" t="s">
        <v>45</v>
      </c>
      <c r="AH1453" s="12" t="s">
        <v>46</v>
      </c>
      <c r="AI1453" s="10" t="s">
        <v>226</v>
      </c>
      <c r="AJ1453" s="10" t="s">
        <v>390</v>
      </c>
      <c r="AK1453" s="16" t="s">
        <v>45</v>
      </c>
      <c r="AL1453" s="10" t="s">
        <v>49</v>
      </c>
      <c r="AM1453" s="16" t="s">
        <v>45</v>
      </c>
      <c r="AN1453" s="10" t="s">
        <v>320</v>
      </c>
    </row>
    <row r="1454" ht="30.0" customHeight="1">
      <c r="A1454" s="9" t="str">
        <f t="shared" si="48"/>
        <v>Inativo</v>
      </c>
      <c r="B1454" s="9" t="str">
        <f t="shared" si="49"/>
        <v>N/I</v>
      </c>
      <c r="C1454" s="9" t="str">
        <f t="shared" si="80"/>
        <v>N/I</v>
      </c>
      <c r="D1454" s="10" t="s">
        <v>4609</v>
      </c>
      <c r="E1454" s="11" t="s">
        <v>4610</v>
      </c>
      <c r="F1454" s="11" t="s">
        <v>4616</v>
      </c>
      <c r="G1454" s="12" t="s">
        <v>94</v>
      </c>
      <c r="H1454" s="34" t="s">
        <v>4617</v>
      </c>
      <c r="I1454" s="12" t="s">
        <v>70</v>
      </c>
      <c r="J1454" s="10" t="s">
        <v>63</v>
      </c>
      <c r="K1454" s="10" t="s">
        <v>41</v>
      </c>
      <c r="L1454" s="10" t="s">
        <v>4</v>
      </c>
      <c r="M1454" s="22">
        <v>45299.0</v>
      </c>
      <c r="N1454" s="32" t="s">
        <v>4618</v>
      </c>
      <c r="O1454" s="10" t="s">
        <v>4619</v>
      </c>
      <c r="P1454" s="10" t="s">
        <v>4615</v>
      </c>
      <c r="Q1454" s="2"/>
      <c r="R1454" s="10">
        <v>24.0</v>
      </c>
      <c r="S1454" s="14">
        <v>45299.0</v>
      </c>
      <c r="T1454" s="14">
        <v>46029.0</v>
      </c>
      <c r="U1454" s="10">
        <f t="shared" si="123"/>
        <v>-62</v>
      </c>
      <c r="V1454" s="2"/>
      <c r="W1454" s="15"/>
      <c r="X1454" s="15"/>
      <c r="Y1454" s="15"/>
      <c r="Z1454" s="15"/>
      <c r="AA1454" s="1"/>
      <c r="AB1454" s="15"/>
      <c r="AC1454" s="15"/>
      <c r="AD1454" s="15"/>
      <c r="AE1454" s="15"/>
      <c r="AF1454" s="2"/>
      <c r="AG1454" s="16" t="s">
        <v>45</v>
      </c>
      <c r="AH1454" s="12" t="s">
        <v>46</v>
      </c>
      <c r="AI1454" s="10" t="s">
        <v>226</v>
      </c>
      <c r="AJ1454" s="10" t="s">
        <v>390</v>
      </c>
      <c r="AK1454" s="16" t="s">
        <v>45</v>
      </c>
      <c r="AL1454" s="10" t="s">
        <v>49</v>
      </c>
      <c r="AM1454" s="16" t="s">
        <v>45</v>
      </c>
      <c r="AN1454" s="10" t="s">
        <v>320</v>
      </c>
    </row>
    <row r="1455" ht="30.0" customHeight="1">
      <c r="A1455" s="9" t="str">
        <f t="shared" si="48"/>
        <v>Inativo</v>
      </c>
      <c r="B1455" s="9" t="str">
        <f t="shared" si="49"/>
        <v>N/I</v>
      </c>
      <c r="C1455" s="9" t="str">
        <f t="shared" si="80"/>
        <v>N/I</v>
      </c>
      <c r="D1455" s="10" t="s">
        <v>4609</v>
      </c>
      <c r="E1455" s="11" t="s">
        <v>4610</v>
      </c>
      <c r="F1455" s="11" t="s">
        <v>4620</v>
      </c>
      <c r="G1455" s="12" t="s">
        <v>94</v>
      </c>
      <c r="H1455" s="34" t="s">
        <v>4621</v>
      </c>
      <c r="I1455" s="12" t="s">
        <v>70</v>
      </c>
      <c r="J1455" s="10" t="s">
        <v>63</v>
      </c>
      <c r="K1455" s="10" t="s">
        <v>41</v>
      </c>
      <c r="L1455" s="10" t="s">
        <v>4</v>
      </c>
      <c r="M1455" s="22">
        <v>45313.0</v>
      </c>
      <c r="N1455" s="32" t="s">
        <v>4622</v>
      </c>
      <c r="O1455" s="10" t="s">
        <v>4623</v>
      </c>
      <c r="P1455" s="10" t="s">
        <v>4615</v>
      </c>
      <c r="Q1455" s="2"/>
      <c r="R1455" s="10">
        <v>24.0</v>
      </c>
      <c r="S1455" s="14">
        <v>45313.0</v>
      </c>
      <c r="T1455" s="14">
        <v>46043.0</v>
      </c>
      <c r="U1455" s="10">
        <f t="shared" si="123"/>
        <v>-48</v>
      </c>
      <c r="V1455" s="2"/>
      <c r="W1455" s="15"/>
      <c r="X1455" s="15"/>
      <c r="Y1455" s="15"/>
      <c r="Z1455" s="15"/>
      <c r="AA1455" s="1"/>
      <c r="AB1455" s="15"/>
      <c r="AC1455" s="15"/>
      <c r="AD1455" s="15"/>
      <c r="AE1455" s="15"/>
      <c r="AF1455" s="2"/>
      <c r="AG1455" s="16" t="s">
        <v>45</v>
      </c>
      <c r="AH1455" s="12" t="s">
        <v>46</v>
      </c>
      <c r="AI1455" s="10" t="s">
        <v>226</v>
      </c>
      <c r="AJ1455" s="10" t="s">
        <v>390</v>
      </c>
      <c r="AK1455" s="16" t="s">
        <v>45</v>
      </c>
      <c r="AL1455" s="10" t="s">
        <v>49</v>
      </c>
      <c r="AM1455" s="16" t="s">
        <v>45</v>
      </c>
      <c r="AN1455" s="10" t="s">
        <v>320</v>
      </c>
    </row>
    <row r="1456" ht="30.0" customHeight="1">
      <c r="A1456" s="9" t="str">
        <f t="shared" si="48"/>
        <v>Inativo</v>
      </c>
      <c r="B1456" s="9" t="str">
        <f t="shared" si="49"/>
        <v>N/I</v>
      </c>
      <c r="C1456" s="9" t="str">
        <f t="shared" si="80"/>
        <v>N/I</v>
      </c>
      <c r="D1456" s="10" t="s">
        <v>4609</v>
      </c>
      <c r="E1456" s="11" t="s">
        <v>4610</v>
      </c>
      <c r="F1456" s="11" t="s">
        <v>4624</v>
      </c>
      <c r="G1456" s="12" t="s">
        <v>94</v>
      </c>
      <c r="H1456" s="34" t="s">
        <v>4625</v>
      </c>
      <c r="I1456" s="12" t="s">
        <v>70</v>
      </c>
      <c r="J1456" s="10" t="s">
        <v>63</v>
      </c>
      <c r="K1456" s="10" t="s">
        <v>41</v>
      </c>
      <c r="L1456" s="10" t="s">
        <v>4</v>
      </c>
      <c r="M1456" s="22">
        <v>45313.0</v>
      </c>
      <c r="N1456" s="32" t="s">
        <v>4622</v>
      </c>
      <c r="O1456" s="10" t="s">
        <v>4619</v>
      </c>
      <c r="P1456" s="10" t="s">
        <v>4615</v>
      </c>
      <c r="Q1456" s="2"/>
      <c r="R1456" s="10">
        <v>24.0</v>
      </c>
      <c r="S1456" s="14">
        <v>45313.0</v>
      </c>
      <c r="T1456" s="14">
        <v>46043.0</v>
      </c>
      <c r="U1456" s="10">
        <f t="shared" si="123"/>
        <v>-48</v>
      </c>
      <c r="V1456" s="2"/>
      <c r="W1456" s="15"/>
      <c r="X1456" s="15"/>
      <c r="Y1456" s="15"/>
      <c r="Z1456" s="15"/>
      <c r="AA1456" s="1"/>
      <c r="AB1456" s="15"/>
      <c r="AC1456" s="15"/>
      <c r="AD1456" s="15"/>
      <c r="AE1456" s="15"/>
      <c r="AF1456" s="2"/>
      <c r="AG1456" s="16" t="s">
        <v>45</v>
      </c>
      <c r="AH1456" s="12" t="s">
        <v>46</v>
      </c>
      <c r="AI1456" s="10" t="s">
        <v>226</v>
      </c>
      <c r="AJ1456" s="10" t="s">
        <v>390</v>
      </c>
      <c r="AK1456" s="16" t="s">
        <v>45</v>
      </c>
      <c r="AL1456" s="10" t="s">
        <v>49</v>
      </c>
      <c r="AM1456" s="16" t="s">
        <v>45</v>
      </c>
      <c r="AN1456" s="10" t="s">
        <v>320</v>
      </c>
    </row>
    <row r="1457" ht="30.0" customHeight="1">
      <c r="A1457" s="9" t="str">
        <f t="shared" si="48"/>
        <v>Inativo</v>
      </c>
      <c r="B1457" s="9" t="str">
        <f t="shared" si="49"/>
        <v>N/I</v>
      </c>
      <c r="C1457" s="9" t="str">
        <f t="shared" si="80"/>
        <v>N/I</v>
      </c>
      <c r="D1457" s="10" t="s">
        <v>4609</v>
      </c>
      <c r="E1457" s="11" t="s">
        <v>4610</v>
      </c>
      <c r="F1457" s="11" t="s">
        <v>4620</v>
      </c>
      <c r="G1457" s="12" t="s">
        <v>94</v>
      </c>
      <c r="H1457" s="34" t="s">
        <v>4626</v>
      </c>
      <c r="I1457" s="12" t="s">
        <v>70</v>
      </c>
      <c r="J1457" s="10" t="s">
        <v>63</v>
      </c>
      <c r="K1457" s="10" t="s">
        <v>41</v>
      </c>
      <c r="L1457" s="10" t="s">
        <v>4</v>
      </c>
      <c r="M1457" s="22">
        <v>45313.0</v>
      </c>
      <c r="N1457" s="32" t="s">
        <v>4622</v>
      </c>
      <c r="O1457" s="10" t="s">
        <v>4623</v>
      </c>
      <c r="P1457" s="10" t="s">
        <v>4615</v>
      </c>
      <c r="Q1457" s="2"/>
      <c r="R1457" s="10">
        <v>24.0</v>
      </c>
      <c r="S1457" s="14">
        <v>45313.0</v>
      </c>
      <c r="T1457" s="14">
        <v>46043.0</v>
      </c>
      <c r="U1457" s="10">
        <f t="shared" si="123"/>
        <v>-48</v>
      </c>
      <c r="V1457" s="2"/>
      <c r="W1457" s="15"/>
      <c r="X1457" s="15"/>
      <c r="Y1457" s="15"/>
      <c r="Z1457" s="15"/>
      <c r="AA1457" s="1"/>
      <c r="AB1457" s="15"/>
      <c r="AC1457" s="15"/>
      <c r="AD1457" s="15"/>
      <c r="AE1457" s="15"/>
      <c r="AF1457" s="2"/>
      <c r="AG1457" s="16" t="s">
        <v>45</v>
      </c>
      <c r="AH1457" s="12" t="s">
        <v>46</v>
      </c>
      <c r="AI1457" s="10" t="s">
        <v>226</v>
      </c>
      <c r="AJ1457" s="10" t="s">
        <v>390</v>
      </c>
      <c r="AK1457" s="16" t="s">
        <v>45</v>
      </c>
      <c r="AL1457" s="10" t="s">
        <v>49</v>
      </c>
      <c r="AM1457" s="16" t="s">
        <v>45</v>
      </c>
      <c r="AN1457" s="10" t="s">
        <v>320</v>
      </c>
    </row>
    <row r="1458" ht="30.0" customHeight="1">
      <c r="A1458" s="9" t="str">
        <f t="shared" si="48"/>
        <v>Inativo</v>
      </c>
      <c r="B1458" s="9" t="str">
        <f t="shared" si="49"/>
        <v>N/I</v>
      </c>
      <c r="C1458" s="9" t="str">
        <f t="shared" si="80"/>
        <v>N/I</v>
      </c>
      <c r="D1458" s="10" t="s">
        <v>4609</v>
      </c>
      <c r="E1458" s="11" t="s">
        <v>4610</v>
      </c>
      <c r="F1458" s="11" t="s">
        <v>4627</v>
      </c>
      <c r="G1458" s="12" t="s">
        <v>94</v>
      </c>
      <c r="H1458" s="34" t="s">
        <v>4628</v>
      </c>
      <c r="I1458" s="12" t="s">
        <v>70</v>
      </c>
      <c r="J1458" s="10" t="s">
        <v>63</v>
      </c>
      <c r="K1458" s="10" t="s">
        <v>41</v>
      </c>
      <c r="L1458" s="10" t="s">
        <v>4</v>
      </c>
      <c r="M1458" s="22">
        <v>45331.0</v>
      </c>
      <c r="N1458" s="32" t="s">
        <v>4618</v>
      </c>
      <c r="O1458" s="10" t="s">
        <v>4629</v>
      </c>
      <c r="P1458" s="10" t="s">
        <v>4615</v>
      </c>
      <c r="Q1458" s="2"/>
      <c r="R1458" s="10">
        <v>24.0</v>
      </c>
      <c r="S1458" s="14">
        <v>45331.0</v>
      </c>
      <c r="T1458" s="14">
        <v>46061.0</v>
      </c>
      <c r="U1458" s="10">
        <f t="shared" si="123"/>
        <v>-30</v>
      </c>
      <c r="V1458" s="2"/>
      <c r="W1458" s="15"/>
      <c r="X1458" s="15"/>
      <c r="Y1458" s="15"/>
      <c r="Z1458" s="15"/>
      <c r="AA1458" s="1"/>
      <c r="AB1458" s="15"/>
      <c r="AC1458" s="15"/>
      <c r="AD1458" s="15"/>
      <c r="AE1458" s="15"/>
      <c r="AF1458" s="2"/>
      <c r="AG1458" s="16" t="s">
        <v>45</v>
      </c>
      <c r="AH1458" s="12" t="s">
        <v>46</v>
      </c>
      <c r="AI1458" s="10" t="s">
        <v>226</v>
      </c>
      <c r="AJ1458" s="10" t="s">
        <v>390</v>
      </c>
      <c r="AK1458" s="16" t="s">
        <v>45</v>
      </c>
      <c r="AL1458" s="10" t="s">
        <v>49</v>
      </c>
      <c r="AM1458" s="16" t="s">
        <v>45</v>
      </c>
      <c r="AN1458" s="10" t="s">
        <v>320</v>
      </c>
    </row>
    <row r="1459" ht="30.0" customHeight="1">
      <c r="A1459" s="9" t="str">
        <f t="shared" si="48"/>
        <v>Ativo</v>
      </c>
      <c r="B1459" s="9" t="str">
        <f t="shared" si="49"/>
        <v>N/I</v>
      </c>
      <c r="C1459" s="9" t="str">
        <f t="shared" si="80"/>
        <v>N/I</v>
      </c>
      <c r="D1459" s="10" t="s">
        <v>4630</v>
      </c>
      <c r="E1459" s="11" t="s">
        <v>4631</v>
      </c>
      <c r="F1459" s="11" t="s">
        <v>4632</v>
      </c>
      <c r="G1459" s="12" t="s">
        <v>94</v>
      </c>
      <c r="H1459" s="13" t="s">
        <v>4633</v>
      </c>
      <c r="I1459" s="12" t="s">
        <v>713</v>
      </c>
      <c r="J1459" s="10" t="s">
        <v>283</v>
      </c>
      <c r="K1459" s="10" t="s">
        <v>263</v>
      </c>
      <c r="L1459" s="10" t="s">
        <v>4</v>
      </c>
      <c r="M1459" s="22">
        <v>45129.0</v>
      </c>
      <c r="N1459" s="32" t="s">
        <v>4634</v>
      </c>
      <c r="O1459" s="10" t="s">
        <v>4635</v>
      </c>
      <c r="P1459" s="10" t="s">
        <v>4636</v>
      </c>
      <c r="Q1459" s="2"/>
      <c r="R1459" s="10">
        <v>60.0</v>
      </c>
      <c r="S1459" s="14">
        <v>45129.0</v>
      </c>
      <c r="T1459" s="14">
        <v>46955.0</v>
      </c>
      <c r="U1459" s="10">
        <f t="shared" si="123"/>
        <v>864</v>
      </c>
      <c r="V1459" s="2"/>
      <c r="W1459" s="15"/>
      <c r="X1459" s="15"/>
      <c r="Y1459" s="15"/>
      <c r="Z1459" s="15"/>
      <c r="AA1459" s="1"/>
      <c r="AB1459" s="15"/>
      <c r="AC1459" s="15"/>
      <c r="AD1459" s="15"/>
      <c r="AE1459" s="15"/>
      <c r="AF1459" s="2"/>
      <c r="AG1459" s="16" t="s">
        <v>45</v>
      </c>
      <c r="AH1459" s="12" t="s">
        <v>46</v>
      </c>
      <c r="AI1459" s="10" t="s">
        <v>4637</v>
      </c>
      <c r="AJ1459" s="10" t="s">
        <v>291</v>
      </c>
      <c r="AK1459" s="16" t="s">
        <v>45</v>
      </c>
      <c r="AL1459" s="10" t="s">
        <v>49</v>
      </c>
      <c r="AM1459" s="16" t="s">
        <v>45</v>
      </c>
      <c r="AN1459" s="10" t="s">
        <v>320</v>
      </c>
    </row>
    <row r="1460" ht="30.0" customHeight="1">
      <c r="A1460" s="9" t="str">
        <f t="shared" si="48"/>
        <v>Ativo</v>
      </c>
      <c r="B1460" s="9" t="str">
        <f t="shared" si="49"/>
        <v>N/I</v>
      </c>
      <c r="C1460" s="9" t="str">
        <f t="shared" si="80"/>
        <v>N/I</v>
      </c>
      <c r="D1460" s="10" t="s">
        <v>4630</v>
      </c>
      <c r="E1460" s="11" t="s">
        <v>4631</v>
      </c>
      <c r="F1460" s="11" t="s">
        <v>4638</v>
      </c>
      <c r="G1460" s="12" t="s">
        <v>94</v>
      </c>
      <c r="H1460" s="13" t="s">
        <v>4639</v>
      </c>
      <c r="I1460" s="12" t="s">
        <v>713</v>
      </c>
      <c r="J1460" s="10" t="s">
        <v>283</v>
      </c>
      <c r="K1460" s="10" t="s">
        <v>263</v>
      </c>
      <c r="L1460" s="10" t="s">
        <v>4</v>
      </c>
      <c r="M1460" s="22">
        <v>45129.0</v>
      </c>
      <c r="N1460" s="32" t="s">
        <v>4634</v>
      </c>
      <c r="O1460" s="10" t="s">
        <v>4640</v>
      </c>
      <c r="P1460" s="10" t="s">
        <v>4636</v>
      </c>
      <c r="Q1460" s="2"/>
      <c r="R1460" s="10">
        <v>60.0</v>
      </c>
      <c r="S1460" s="14">
        <v>45129.0</v>
      </c>
      <c r="T1460" s="14">
        <v>46955.0</v>
      </c>
      <c r="U1460" s="10">
        <f t="shared" si="123"/>
        <v>864</v>
      </c>
      <c r="V1460" s="2"/>
      <c r="W1460" s="15"/>
      <c r="X1460" s="15"/>
      <c r="Y1460" s="15"/>
      <c r="Z1460" s="15"/>
      <c r="AA1460" s="1"/>
      <c r="AB1460" s="15"/>
      <c r="AC1460" s="15"/>
      <c r="AD1460" s="15"/>
      <c r="AE1460" s="15"/>
      <c r="AF1460" s="2"/>
      <c r="AG1460" s="16" t="s">
        <v>45</v>
      </c>
      <c r="AH1460" s="12" t="s">
        <v>46</v>
      </c>
      <c r="AI1460" s="10" t="s">
        <v>4637</v>
      </c>
      <c r="AJ1460" s="10" t="s">
        <v>291</v>
      </c>
      <c r="AK1460" s="16" t="s">
        <v>45</v>
      </c>
      <c r="AL1460" s="10" t="s">
        <v>49</v>
      </c>
      <c r="AM1460" s="16" t="s">
        <v>45</v>
      </c>
      <c r="AN1460" s="10" t="s">
        <v>320</v>
      </c>
    </row>
    <row r="1461" ht="30.0" customHeight="1">
      <c r="A1461" s="9" t="str">
        <f t="shared" si="48"/>
        <v>Ativo</v>
      </c>
      <c r="B1461" s="9" t="str">
        <f t="shared" si="49"/>
        <v>N/I</v>
      </c>
      <c r="C1461" s="9" t="str">
        <f t="shared" si="80"/>
        <v>N/I</v>
      </c>
      <c r="D1461" s="10" t="s">
        <v>4630</v>
      </c>
      <c r="E1461" s="11" t="s">
        <v>4631</v>
      </c>
      <c r="F1461" s="11" t="s">
        <v>4641</v>
      </c>
      <c r="G1461" s="12" t="s">
        <v>94</v>
      </c>
      <c r="H1461" s="13" t="s">
        <v>4642</v>
      </c>
      <c r="I1461" s="12" t="s">
        <v>713</v>
      </c>
      <c r="J1461" s="10" t="s">
        <v>283</v>
      </c>
      <c r="K1461" s="10" t="s">
        <v>263</v>
      </c>
      <c r="L1461" s="10" t="s">
        <v>4</v>
      </c>
      <c r="M1461" s="22">
        <v>45129.0</v>
      </c>
      <c r="N1461" s="32" t="s">
        <v>4643</v>
      </c>
      <c r="O1461" s="10" t="s">
        <v>4644</v>
      </c>
      <c r="P1461" s="10" t="s">
        <v>4636</v>
      </c>
      <c r="Q1461" s="2"/>
      <c r="R1461" s="10">
        <v>60.0</v>
      </c>
      <c r="S1461" s="14">
        <v>45129.0</v>
      </c>
      <c r="T1461" s="14">
        <v>46955.0</v>
      </c>
      <c r="U1461" s="10">
        <f t="shared" si="123"/>
        <v>864</v>
      </c>
      <c r="V1461" s="2"/>
      <c r="W1461" s="15"/>
      <c r="X1461" s="15"/>
      <c r="Y1461" s="15"/>
      <c r="Z1461" s="15"/>
      <c r="AA1461" s="1"/>
      <c r="AB1461" s="15"/>
      <c r="AC1461" s="15"/>
      <c r="AD1461" s="15"/>
      <c r="AE1461" s="15"/>
      <c r="AF1461" s="2"/>
      <c r="AG1461" s="16" t="s">
        <v>45</v>
      </c>
      <c r="AH1461" s="12" t="s">
        <v>46</v>
      </c>
      <c r="AI1461" s="10" t="s">
        <v>4637</v>
      </c>
      <c r="AJ1461" s="10" t="s">
        <v>291</v>
      </c>
      <c r="AK1461" s="16" t="s">
        <v>45</v>
      </c>
      <c r="AL1461" s="10" t="s">
        <v>49</v>
      </c>
      <c r="AM1461" s="16" t="s">
        <v>45</v>
      </c>
      <c r="AN1461" s="10" t="s">
        <v>320</v>
      </c>
    </row>
    <row r="1462" ht="30.0" customHeight="1">
      <c r="A1462" s="9" t="str">
        <f t="shared" si="48"/>
        <v>Ativo</v>
      </c>
      <c r="B1462" s="9" t="str">
        <f t="shared" si="49"/>
        <v>N/I</v>
      </c>
      <c r="C1462" s="9" t="str">
        <f t="shared" si="80"/>
        <v>N/I</v>
      </c>
      <c r="D1462" s="10" t="s">
        <v>4630</v>
      </c>
      <c r="E1462" s="11" t="s">
        <v>4631</v>
      </c>
      <c r="F1462" s="11" t="s">
        <v>4645</v>
      </c>
      <c r="G1462" s="12" t="s">
        <v>94</v>
      </c>
      <c r="H1462" s="13" t="s">
        <v>4646</v>
      </c>
      <c r="I1462" s="12" t="s">
        <v>713</v>
      </c>
      <c r="J1462" s="10" t="s">
        <v>283</v>
      </c>
      <c r="K1462" s="10" t="s">
        <v>263</v>
      </c>
      <c r="L1462" s="10" t="s">
        <v>4</v>
      </c>
      <c r="M1462" s="22">
        <v>45129.0</v>
      </c>
      <c r="N1462" s="32" t="s">
        <v>4647</v>
      </c>
      <c r="O1462" s="10" t="s">
        <v>4648</v>
      </c>
      <c r="P1462" s="10" t="s">
        <v>4636</v>
      </c>
      <c r="Q1462" s="2"/>
      <c r="R1462" s="10">
        <v>60.0</v>
      </c>
      <c r="S1462" s="14">
        <v>45129.0</v>
      </c>
      <c r="T1462" s="14">
        <v>46955.0</v>
      </c>
      <c r="U1462" s="10">
        <f t="shared" si="123"/>
        <v>864</v>
      </c>
      <c r="V1462" s="2"/>
      <c r="W1462" s="15"/>
      <c r="X1462" s="15"/>
      <c r="Y1462" s="15"/>
      <c r="Z1462" s="15"/>
      <c r="AA1462" s="1"/>
      <c r="AB1462" s="15"/>
      <c r="AC1462" s="15"/>
      <c r="AD1462" s="15"/>
      <c r="AE1462" s="15"/>
      <c r="AF1462" s="2"/>
      <c r="AG1462" s="16" t="s">
        <v>45</v>
      </c>
      <c r="AH1462" s="12" t="s">
        <v>46</v>
      </c>
      <c r="AI1462" s="10" t="s">
        <v>4637</v>
      </c>
      <c r="AJ1462" s="10" t="s">
        <v>291</v>
      </c>
      <c r="AK1462" s="16" t="s">
        <v>45</v>
      </c>
      <c r="AL1462" s="10" t="s">
        <v>49</v>
      </c>
      <c r="AM1462" s="16" t="s">
        <v>45</v>
      </c>
      <c r="AN1462" s="10" t="s">
        <v>320</v>
      </c>
    </row>
    <row r="1463" ht="30.0" customHeight="1">
      <c r="A1463" s="9" t="str">
        <f t="shared" si="48"/>
        <v>Ativo</v>
      </c>
      <c r="B1463" s="9" t="str">
        <f t="shared" si="49"/>
        <v>N/I</v>
      </c>
      <c r="C1463" s="9" t="str">
        <f t="shared" si="80"/>
        <v>N/I</v>
      </c>
      <c r="D1463" s="10" t="s">
        <v>4630</v>
      </c>
      <c r="E1463" s="11" t="s">
        <v>4631</v>
      </c>
      <c r="F1463" s="11" t="s">
        <v>4649</v>
      </c>
      <c r="G1463" s="12" t="s">
        <v>94</v>
      </c>
      <c r="H1463" s="13" t="s">
        <v>4650</v>
      </c>
      <c r="I1463" s="12" t="s">
        <v>713</v>
      </c>
      <c r="J1463" s="10" t="s">
        <v>283</v>
      </c>
      <c r="K1463" s="10" t="s">
        <v>263</v>
      </c>
      <c r="L1463" s="10" t="s">
        <v>4</v>
      </c>
      <c r="M1463" s="22">
        <v>45129.0</v>
      </c>
      <c r="N1463" s="32" t="s">
        <v>4651</v>
      </c>
      <c r="O1463" s="10" t="s">
        <v>4652</v>
      </c>
      <c r="P1463" s="10" t="s">
        <v>4636</v>
      </c>
      <c r="Q1463" s="2"/>
      <c r="R1463" s="10">
        <v>60.0</v>
      </c>
      <c r="S1463" s="14">
        <v>45129.0</v>
      </c>
      <c r="T1463" s="14">
        <v>46955.0</v>
      </c>
      <c r="U1463" s="10">
        <f t="shared" si="123"/>
        <v>864</v>
      </c>
      <c r="V1463" s="2"/>
      <c r="W1463" s="15"/>
      <c r="X1463" s="15"/>
      <c r="Y1463" s="15"/>
      <c r="Z1463" s="15"/>
      <c r="AA1463" s="1"/>
      <c r="AB1463" s="15"/>
      <c r="AC1463" s="15"/>
      <c r="AD1463" s="15"/>
      <c r="AE1463" s="15"/>
      <c r="AF1463" s="2"/>
      <c r="AG1463" s="16" t="s">
        <v>45</v>
      </c>
      <c r="AH1463" s="12" t="s">
        <v>46</v>
      </c>
      <c r="AI1463" s="10" t="s">
        <v>4637</v>
      </c>
      <c r="AJ1463" s="10" t="s">
        <v>291</v>
      </c>
      <c r="AK1463" s="16" t="s">
        <v>45</v>
      </c>
      <c r="AL1463" s="10" t="s">
        <v>49</v>
      </c>
      <c r="AM1463" s="16" t="s">
        <v>45</v>
      </c>
      <c r="AN1463" s="10" t="s">
        <v>320</v>
      </c>
    </row>
    <row r="1464" ht="30.0" customHeight="1">
      <c r="A1464" s="9" t="str">
        <f t="shared" si="48"/>
        <v>Ativo</v>
      </c>
      <c r="B1464" s="9" t="str">
        <f t="shared" si="49"/>
        <v>N/I</v>
      </c>
      <c r="C1464" s="9" t="str">
        <f t="shared" si="80"/>
        <v>N/I</v>
      </c>
      <c r="D1464" s="10" t="s">
        <v>4630</v>
      </c>
      <c r="E1464" s="11" t="s">
        <v>4631</v>
      </c>
      <c r="F1464" s="11" t="s">
        <v>4653</v>
      </c>
      <c r="G1464" s="12" t="s">
        <v>94</v>
      </c>
      <c r="H1464" s="13" t="s">
        <v>4654</v>
      </c>
      <c r="I1464" s="12" t="s">
        <v>713</v>
      </c>
      <c r="J1464" s="10" t="s">
        <v>283</v>
      </c>
      <c r="K1464" s="10" t="s">
        <v>263</v>
      </c>
      <c r="L1464" s="10" t="s">
        <v>4</v>
      </c>
      <c r="M1464" s="22">
        <v>45129.0</v>
      </c>
      <c r="N1464" s="32" t="s">
        <v>4655</v>
      </c>
      <c r="O1464" s="10" t="s">
        <v>4656</v>
      </c>
      <c r="P1464" s="10" t="s">
        <v>4636</v>
      </c>
      <c r="Q1464" s="2"/>
      <c r="R1464" s="10">
        <v>60.0</v>
      </c>
      <c r="S1464" s="14">
        <v>45129.0</v>
      </c>
      <c r="T1464" s="14">
        <v>46955.0</v>
      </c>
      <c r="U1464" s="10">
        <f t="shared" si="123"/>
        <v>864</v>
      </c>
      <c r="V1464" s="2"/>
      <c r="W1464" s="15"/>
      <c r="X1464" s="15"/>
      <c r="Y1464" s="15"/>
      <c r="Z1464" s="15"/>
      <c r="AA1464" s="1"/>
      <c r="AB1464" s="15"/>
      <c r="AC1464" s="15"/>
      <c r="AD1464" s="15"/>
      <c r="AE1464" s="15"/>
      <c r="AF1464" s="2"/>
      <c r="AG1464" s="16" t="s">
        <v>45</v>
      </c>
      <c r="AH1464" s="12" t="s">
        <v>46</v>
      </c>
      <c r="AI1464" s="10" t="s">
        <v>4637</v>
      </c>
      <c r="AJ1464" s="10" t="s">
        <v>291</v>
      </c>
      <c r="AK1464" s="16" t="s">
        <v>45</v>
      </c>
      <c r="AL1464" s="10" t="s">
        <v>49</v>
      </c>
      <c r="AM1464" s="16" t="s">
        <v>45</v>
      </c>
      <c r="AN1464" s="10" t="s">
        <v>320</v>
      </c>
    </row>
    <row r="1465" ht="30.0" customHeight="1">
      <c r="A1465" s="9" t="str">
        <f t="shared" si="48"/>
        <v>Ativo</v>
      </c>
      <c r="B1465" s="9" t="str">
        <f t="shared" si="49"/>
        <v>N/I</v>
      </c>
      <c r="C1465" s="9" t="str">
        <f t="shared" si="80"/>
        <v>N/I</v>
      </c>
      <c r="D1465" s="10" t="s">
        <v>4630</v>
      </c>
      <c r="E1465" s="11" t="s">
        <v>4631</v>
      </c>
      <c r="F1465" s="11" t="s">
        <v>4657</v>
      </c>
      <c r="G1465" s="12" t="s">
        <v>94</v>
      </c>
      <c r="H1465" s="13" t="s">
        <v>4658</v>
      </c>
      <c r="I1465" s="12" t="s">
        <v>713</v>
      </c>
      <c r="J1465" s="10" t="s">
        <v>283</v>
      </c>
      <c r="K1465" s="10" t="s">
        <v>263</v>
      </c>
      <c r="L1465" s="10" t="s">
        <v>4</v>
      </c>
      <c r="M1465" s="22">
        <v>45132.0</v>
      </c>
      <c r="N1465" s="32" t="s">
        <v>4655</v>
      </c>
      <c r="O1465" s="10" t="s">
        <v>4656</v>
      </c>
      <c r="P1465" s="10" t="s">
        <v>4636</v>
      </c>
      <c r="Q1465" s="2"/>
      <c r="R1465" s="10">
        <v>60.0</v>
      </c>
      <c r="S1465" s="14">
        <v>45132.0</v>
      </c>
      <c r="T1465" s="14">
        <v>46958.0</v>
      </c>
      <c r="U1465" s="10">
        <f t="shared" si="123"/>
        <v>867</v>
      </c>
      <c r="V1465" s="2"/>
      <c r="W1465" s="15"/>
      <c r="X1465" s="15"/>
      <c r="Y1465" s="15"/>
      <c r="Z1465" s="15"/>
      <c r="AA1465" s="1"/>
      <c r="AB1465" s="15"/>
      <c r="AC1465" s="15"/>
      <c r="AD1465" s="15"/>
      <c r="AE1465" s="15"/>
      <c r="AF1465" s="2"/>
      <c r="AG1465" s="16" t="s">
        <v>45</v>
      </c>
      <c r="AH1465" s="12" t="s">
        <v>46</v>
      </c>
      <c r="AI1465" s="10" t="s">
        <v>4637</v>
      </c>
      <c r="AJ1465" s="10" t="s">
        <v>291</v>
      </c>
      <c r="AK1465" s="16" t="s">
        <v>45</v>
      </c>
      <c r="AL1465" s="10" t="s">
        <v>49</v>
      </c>
      <c r="AM1465" s="16" t="s">
        <v>45</v>
      </c>
      <c r="AN1465" s="10" t="s">
        <v>320</v>
      </c>
    </row>
    <row r="1466" ht="30.0" customHeight="1">
      <c r="A1466" s="9" t="str">
        <f t="shared" si="48"/>
        <v>Ativo</v>
      </c>
      <c r="B1466" s="9" t="str">
        <f t="shared" si="49"/>
        <v>N/I</v>
      </c>
      <c r="C1466" s="9" t="str">
        <f t="shared" si="80"/>
        <v>N/I</v>
      </c>
      <c r="D1466" s="10" t="s">
        <v>4630</v>
      </c>
      <c r="E1466" s="11" t="s">
        <v>4631</v>
      </c>
      <c r="F1466" s="11" t="s">
        <v>4659</v>
      </c>
      <c r="G1466" s="12" t="s">
        <v>94</v>
      </c>
      <c r="H1466" s="13" t="s">
        <v>4660</v>
      </c>
      <c r="I1466" s="12" t="s">
        <v>1626</v>
      </c>
      <c r="J1466" s="10" t="s">
        <v>283</v>
      </c>
      <c r="K1466" s="10" t="s">
        <v>263</v>
      </c>
      <c r="L1466" s="10" t="s">
        <v>4</v>
      </c>
      <c r="M1466" s="14">
        <v>45237.0</v>
      </c>
      <c r="N1466" s="32" t="s">
        <v>4661</v>
      </c>
      <c r="O1466" s="10" t="s">
        <v>4662</v>
      </c>
      <c r="P1466" s="10" t="s">
        <v>4663</v>
      </c>
      <c r="Q1466" s="2"/>
      <c r="R1466" s="10">
        <v>60.0</v>
      </c>
      <c r="S1466" s="14">
        <v>45237.0</v>
      </c>
      <c r="T1466" s="14">
        <v>47063.0</v>
      </c>
      <c r="U1466" s="10">
        <f t="shared" si="123"/>
        <v>972</v>
      </c>
      <c r="V1466" s="2"/>
      <c r="W1466" s="15"/>
      <c r="X1466" s="15"/>
      <c r="Y1466" s="15"/>
      <c r="Z1466" s="15"/>
      <c r="AA1466" s="1"/>
      <c r="AB1466" s="15"/>
      <c r="AC1466" s="15"/>
      <c r="AD1466" s="15"/>
      <c r="AE1466" s="15"/>
      <c r="AF1466" s="2"/>
      <c r="AG1466" s="16" t="s">
        <v>45</v>
      </c>
      <c r="AH1466" s="12" t="s">
        <v>46</v>
      </c>
      <c r="AI1466" s="10" t="s">
        <v>4637</v>
      </c>
      <c r="AJ1466" s="10" t="s">
        <v>291</v>
      </c>
      <c r="AK1466" s="16" t="s">
        <v>45</v>
      </c>
      <c r="AL1466" s="10" t="s">
        <v>49</v>
      </c>
      <c r="AM1466" s="16" t="s">
        <v>45</v>
      </c>
      <c r="AN1466" s="10" t="s">
        <v>320</v>
      </c>
    </row>
    <row r="1467" ht="30.0" customHeight="1">
      <c r="A1467" s="9" t="str">
        <f t="shared" si="48"/>
        <v>Ativo</v>
      </c>
      <c r="B1467" s="9" t="str">
        <f t="shared" si="49"/>
        <v>N/I</v>
      </c>
      <c r="C1467" s="9" t="str">
        <f t="shared" si="80"/>
        <v>N/I</v>
      </c>
      <c r="D1467" s="10" t="s">
        <v>4630</v>
      </c>
      <c r="E1467" s="11" t="s">
        <v>4631</v>
      </c>
      <c r="F1467" s="11" t="s">
        <v>4664</v>
      </c>
      <c r="G1467" s="12" t="s">
        <v>94</v>
      </c>
      <c r="H1467" s="13" t="s">
        <v>4665</v>
      </c>
      <c r="I1467" s="12" t="s">
        <v>1557</v>
      </c>
      <c r="J1467" s="10" t="s">
        <v>283</v>
      </c>
      <c r="K1467" s="10" t="s">
        <v>263</v>
      </c>
      <c r="L1467" s="10" t="s">
        <v>4</v>
      </c>
      <c r="M1467" s="14">
        <v>45239.0</v>
      </c>
      <c r="N1467" s="32" t="s">
        <v>4666</v>
      </c>
      <c r="O1467" s="10" t="s">
        <v>4667</v>
      </c>
      <c r="P1467" s="10" t="s">
        <v>4663</v>
      </c>
      <c r="Q1467" s="2"/>
      <c r="R1467" s="10">
        <v>60.0</v>
      </c>
      <c r="S1467" s="14">
        <v>45239.0</v>
      </c>
      <c r="T1467" s="14">
        <v>47065.0</v>
      </c>
      <c r="U1467" s="10">
        <f t="shared" si="123"/>
        <v>974</v>
      </c>
      <c r="V1467" s="2"/>
      <c r="W1467" s="15"/>
      <c r="X1467" s="15"/>
      <c r="Y1467" s="15"/>
      <c r="Z1467" s="15"/>
      <c r="AA1467" s="1"/>
      <c r="AB1467" s="15"/>
      <c r="AC1467" s="15"/>
      <c r="AD1467" s="15"/>
      <c r="AE1467" s="15"/>
      <c r="AF1467" s="2"/>
      <c r="AG1467" s="16" t="s">
        <v>45</v>
      </c>
      <c r="AH1467" s="12" t="s">
        <v>46</v>
      </c>
      <c r="AI1467" s="10" t="s">
        <v>4637</v>
      </c>
      <c r="AJ1467" s="10" t="s">
        <v>291</v>
      </c>
      <c r="AK1467" s="16" t="s">
        <v>45</v>
      </c>
      <c r="AL1467" s="10" t="s">
        <v>49</v>
      </c>
      <c r="AM1467" s="16" t="s">
        <v>45</v>
      </c>
      <c r="AN1467" s="10" t="s">
        <v>320</v>
      </c>
    </row>
    <row r="1468" ht="30.0" customHeight="1">
      <c r="A1468" s="9" t="str">
        <f t="shared" si="48"/>
        <v>Ativo</v>
      </c>
      <c r="B1468" s="9" t="str">
        <f t="shared" si="49"/>
        <v>N/I</v>
      </c>
      <c r="C1468" s="9" t="str">
        <f t="shared" si="80"/>
        <v>N/I</v>
      </c>
      <c r="D1468" s="10" t="s">
        <v>4630</v>
      </c>
      <c r="E1468" s="11" t="s">
        <v>4631</v>
      </c>
      <c r="F1468" s="11" t="s">
        <v>4668</v>
      </c>
      <c r="G1468" s="12" t="s">
        <v>94</v>
      </c>
      <c r="H1468" s="13" t="s">
        <v>4669</v>
      </c>
      <c r="I1468" s="12" t="s">
        <v>4670</v>
      </c>
      <c r="J1468" s="10" t="s">
        <v>283</v>
      </c>
      <c r="K1468" s="10" t="s">
        <v>263</v>
      </c>
      <c r="L1468" s="10" t="s">
        <v>4</v>
      </c>
      <c r="M1468" s="14">
        <v>45250.0</v>
      </c>
      <c r="N1468" s="32" t="s">
        <v>4671</v>
      </c>
      <c r="O1468" s="10" t="s">
        <v>4672</v>
      </c>
      <c r="P1468" s="10" t="s">
        <v>4673</v>
      </c>
      <c r="Q1468" s="2"/>
      <c r="R1468" s="10">
        <v>60.0</v>
      </c>
      <c r="S1468" s="14">
        <v>45250.0</v>
      </c>
      <c r="T1468" s="14">
        <v>47076.0</v>
      </c>
      <c r="U1468" s="10">
        <f t="shared" si="123"/>
        <v>985</v>
      </c>
      <c r="V1468" s="2"/>
      <c r="W1468" s="15"/>
      <c r="X1468" s="15"/>
      <c r="Y1468" s="15"/>
      <c r="Z1468" s="15"/>
      <c r="AA1468" s="1"/>
      <c r="AB1468" s="15"/>
      <c r="AC1468" s="15"/>
      <c r="AD1468" s="15"/>
      <c r="AE1468" s="15"/>
      <c r="AF1468" s="2"/>
      <c r="AG1468" s="16" t="s">
        <v>45</v>
      </c>
      <c r="AH1468" s="12" t="s">
        <v>46</v>
      </c>
      <c r="AI1468" s="10" t="s">
        <v>4637</v>
      </c>
      <c r="AJ1468" s="10" t="s">
        <v>291</v>
      </c>
      <c r="AK1468" s="16" t="s">
        <v>45</v>
      </c>
      <c r="AL1468" s="10" t="s">
        <v>49</v>
      </c>
      <c r="AM1468" s="16" t="s">
        <v>45</v>
      </c>
      <c r="AN1468" s="10" t="s">
        <v>320</v>
      </c>
    </row>
    <row r="1469" ht="30.0" customHeight="1">
      <c r="A1469" s="9" t="str">
        <f t="shared" si="48"/>
        <v>Ativo</v>
      </c>
      <c r="B1469" s="9" t="str">
        <f t="shared" si="49"/>
        <v>N/I</v>
      </c>
      <c r="C1469" s="9" t="str">
        <f t="shared" si="80"/>
        <v>N/I</v>
      </c>
      <c r="D1469" s="10" t="s">
        <v>4630</v>
      </c>
      <c r="E1469" s="11" t="s">
        <v>4631</v>
      </c>
      <c r="F1469" s="11" t="s">
        <v>4674</v>
      </c>
      <c r="G1469" s="12" t="s">
        <v>94</v>
      </c>
      <c r="H1469" s="13" t="s">
        <v>4675</v>
      </c>
      <c r="I1469" s="12" t="s">
        <v>541</v>
      </c>
      <c r="J1469" s="10" t="s">
        <v>283</v>
      </c>
      <c r="K1469" s="10" t="s">
        <v>263</v>
      </c>
      <c r="L1469" s="10" t="s">
        <v>4</v>
      </c>
      <c r="M1469" s="14">
        <v>45252.0</v>
      </c>
      <c r="N1469" s="32" t="s">
        <v>4676</v>
      </c>
      <c r="O1469" s="10" t="s">
        <v>4677</v>
      </c>
      <c r="P1469" s="10" t="s">
        <v>4673</v>
      </c>
      <c r="Q1469" s="2"/>
      <c r="R1469" s="10">
        <v>60.0</v>
      </c>
      <c r="S1469" s="14">
        <v>45252.0</v>
      </c>
      <c r="T1469" s="14">
        <v>47078.0</v>
      </c>
      <c r="U1469" s="10">
        <f t="shared" si="123"/>
        <v>987</v>
      </c>
      <c r="V1469" s="2"/>
      <c r="W1469" s="15"/>
      <c r="X1469" s="15"/>
      <c r="Y1469" s="15"/>
      <c r="Z1469" s="15"/>
      <c r="AA1469" s="1"/>
      <c r="AB1469" s="15"/>
      <c r="AC1469" s="15"/>
      <c r="AD1469" s="15"/>
      <c r="AE1469" s="15"/>
      <c r="AF1469" s="2"/>
      <c r="AG1469" s="16" t="s">
        <v>45</v>
      </c>
      <c r="AH1469" s="12" t="s">
        <v>46</v>
      </c>
      <c r="AI1469" s="10" t="s">
        <v>4637</v>
      </c>
      <c r="AJ1469" s="10" t="s">
        <v>291</v>
      </c>
      <c r="AK1469" s="16" t="s">
        <v>45</v>
      </c>
      <c r="AL1469" s="10" t="s">
        <v>49</v>
      </c>
      <c r="AM1469" s="16" t="s">
        <v>45</v>
      </c>
      <c r="AN1469" s="10" t="s">
        <v>320</v>
      </c>
    </row>
    <row r="1470" ht="30.0" customHeight="1">
      <c r="A1470" s="9" t="str">
        <f t="shared" si="48"/>
        <v>Ativo</v>
      </c>
      <c r="B1470" s="9" t="str">
        <f t="shared" si="49"/>
        <v>N/I</v>
      </c>
      <c r="C1470" s="9" t="str">
        <f t="shared" si="80"/>
        <v>N/I</v>
      </c>
      <c r="D1470" s="10" t="s">
        <v>4630</v>
      </c>
      <c r="E1470" s="11" t="s">
        <v>4631</v>
      </c>
      <c r="F1470" s="11" t="s">
        <v>4678</v>
      </c>
      <c r="G1470" s="12" t="s">
        <v>94</v>
      </c>
      <c r="H1470" s="13" t="s">
        <v>4679</v>
      </c>
      <c r="I1470" s="12" t="s">
        <v>596</v>
      </c>
      <c r="J1470" s="10" t="s">
        <v>283</v>
      </c>
      <c r="K1470" s="10" t="s">
        <v>263</v>
      </c>
      <c r="L1470" s="10" t="s">
        <v>4</v>
      </c>
      <c r="M1470" s="14">
        <v>45260.0</v>
      </c>
      <c r="N1470" s="32" t="s">
        <v>4680</v>
      </c>
      <c r="O1470" s="10" t="s">
        <v>4681</v>
      </c>
      <c r="P1470" s="10" t="s">
        <v>4673</v>
      </c>
      <c r="Q1470" s="2"/>
      <c r="R1470" s="10">
        <v>60.0</v>
      </c>
      <c r="S1470" s="14">
        <v>45260.0</v>
      </c>
      <c r="T1470" s="14">
        <v>47086.0</v>
      </c>
      <c r="U1470" s="10">
        <f t="shared" si="123"/>
        <v>995</v>
      </c>
      <c r="V1470" s="2"/>
      <c r="W1470" s="15"/>
      <c r="X1470" s="15"/>
      <c r="Y1470" s="15"/>
      <c r="Z1470" s="15"/>
      <c r="AA1470" s="1"/>
      <c r="AB1470" s="15"/>
      <c r="AC1470" s="15"/>
      <c r="AD1470" s="15"/>
      <c r="AE1470" s="15"/>
      <c r="AF1470" s="2"/>
      <c r="AG1470" s="16" t="s">
        <v>45</v>
      </c>
      <c r="AH1470" s="12" t="s">
        <v>46</v>
      </c>
      <c r="AI1470" s="10" t="s">
        <v>4637</v>
      </c>
      <c r="AJ1470" s="10" t="s">
        <v>291</v>
      </c>
      <c r="AK1470" s="16" t="s">
        <v>45</v>
      </c>
      <c r="AL1470" s="10" t="s">
        <v>49</v>
      </c>
      <c r="AM1470" s="16" t="s">
        <v>45</v>
      </c>
      <c r="AN1470" s="10" t="s">
        <v>320</v>
      </c>
    </row>
    <row r="1471" ht="30.0" customHeight="1">
      <c r="A1471" s="9" t="str">
        <f t="shared" si="48"/>
        <v>Ativo</v>
      </c>
      <c r="B1471" s="9" t="str">
        <f t="shared" si="49"/>
        <v>N/I</v>
      </c>
      <c r="C1471" s="9" t="str">
        <f t="shared" si="80"/>
        <v>N/I</v>
      </c>
      <c r="D1471" s="10" t="s">
        <v>4630</v>
      </c>
      <c r="E1471" s="11" t="s">
        <v>4631</v>
      </c>
      <c r="F1471" s="11" t="s">
        <v>4682</v>
      </c>
      <c r="G1471" s="12" t="s">
        <v>94</v>
      </c>
      <c r="H1471" s="13" t="s">
        <v>4683</v>
      </c>
      <c r="I1471" s="12" t="s">
        <v>1597</v>
      </c>
      <c r="J1471" s="10" t="s">
        <v>283</v>
      </c>
      <c r="K1471" s="10" t="s">
        <v>263</v>
      </c>
      <c r="L1471" s="10" t="s">
        <v>4</v>
      </c>
      <c r="M1471" s="14">
        <v>45258.0</v>
      </c>
      <c r="N1471" s="32" t="s">
        <v>4684</v>
      </c>
      <c r="O1471" s="10" t="s">
        <v>4685</v>
      </c>
      <c r="P1471" s="10" t="s">
        <v>4673</v>
      </c>
      <c r="Q1471" s="2"/>
      <c r="R1471" s="10">
        <v>60.0</v>
      </c>
      <c r="S1471" s="14">
        <v>45258.0</v>
      </c>
      <c r="T1471" s="14">
        <v>47084.0</v>
      </c>
      <c r="U1471" s="10">
        <f t="shared" si="123"/>
        <v>993</v>
      </c>
      <c r="V1471" s="2"/>
      <c r="W1471" s="15"/>
      <c r="X1471" s="15"/>
      <c r="Y1471" s="15"/>
      <c r="Z1471" s="15"/>
      <c r="AA1471" s="1"/>
      <c r="AB1471" s="15"/>
      <c r="AC1471" s="15"/>
      <c r="AD1471" s="15"/>
      <c r="AE1471" s="15"/>
      <c r="AF1471" s="2"/>
      <c r="AG1471" s="16" t="s">
        <v>45</v>
      </c>
      <c r="AH1471" s="12" t="s">
        <v>46</v>
      </c>
      <c r="AI1471" s="10" t="s">
        <v>4637</v>
      </c>
      <c r="AJ1471" s="10" t="s">
        <v>291</v>
      </c>
      <c r="AK1471" s="16" t="s">
        <v>45</v>
      </c>
      <c r="AL1471" s="10" t="s">
        <v>49</v>
      </c>
      <c r="AM1471" s="16" t="s">
        <v>45</v>
      </c>
      <c r="AN1471" s="10" t="s">
        <v>320</v>
      </c>
    </row>
    <row r="1472" ht="30.0" customHeight="1">
      <c r="A1472" s="9" t="str">
        <f t="shared" si="48"/>
        <v>Inativo</v>
      </c>
      <c r="B1472" s="9" t="str">
        <f t="shared" si="49"/>
        <v>N/I</v>
      </c>
      <c r="C1472" s="9" t="str">
        <f t="shared" si="80"/>
        <v>N/I</v>
      </c>
      <c r="D1472" s="10" t="s">
        <v>4686</v>
      </c>
      <c r="E1472" s="11" t="s">
        <v>4687</v>
      </c>
      <c r="F1472" s="11" t="s">
        <v>4688</v>
      </c>
      <c r="G1472" s="12" t="s">
        <v>94</v>
      </c>
      <c r="H1472" s="36" t="s">
        <v>4689</v>
      </c>
      <c r="I1472" s="12" t="s">
        <v>4690</v>
      </c>
      <c r="J1472" s="10" t="s">
        <v>222</v>
      </c>
      <c r="K1472" s="10" t="s">
        <v>40</v>
      </c>
      <c r="L1472" s="10" t="s">
        <v>4</v>
      </c>
      <c r="M1472" s="22">
        <v>44161.0</v>
      </c>
      <c r="N1472" s="32" t="s">
        <v>4691</v>
      </c>
      <c r="O1472" s="10" t="s">
        <v>4692</v>
      </c>
      <c r="P1472" s="10" t="s">
        <v>4693</v>
      </c>
      <c r="Q1472" s="2"/>
      <c r="R1472" s="10">
        <v>60.0</v>
      </c>
      <c r="S1472" s="14">
        <v>44161.0</v>
      </c>
      <c r="T1472" s="14">
        <v>45987.0</v>
      </c>
      <c r="U1472" s="10">
        <f t="shared" si="123"/>
        <v>-104</v>
      </c>
      <c r="V1472" s="2"/>
      <c r="W1472" s="15"/>
      <c r="X1472" s="15"/>
      <c r="Y1472" s="15"/>
      <c r="Z1472" s="15"/>
      <c r="AA1472" s="1"/>
      <c r="AB1472" s="15"/>
      <c r="AC1472" s="15"/>
      <c r="AD1472" s="15"/>
      <c r="AE1472" s="15"/>
      <c r="AF1472" s="2"/>
      <c r="AG1472" s="10" t="s">
        <v>290</v>
      </c>
      <c r="AH1472" s="10" t="s">
        <v>318</v>
      </c>
      <c r="AI1472" s="10" t="s">
        <v>319</v>
      </c>
      <c r="AJ1472" s="10" t="s">
        <v>291</v>
      </c>
      <c r="AK1472" s="16" t="s">
        <v>45</v>
      </c>
      <c r="AL1472" s="10" t="s">
        <v>49</v>
      </c>
      <c r="AM1472" s="10" t="s">
        <v>508</v>
      </c>
      <c r="AN1472" s="10" t="s">
        <v>50</v>
      </c>
    </row>
    <row r="1473" ht="30.0" customHeight="1">
      <c r="A1473" s="9" t="str">
        <f t="shared" si="48"/>
        <v>Ativo</v>
      </c>
      <c r="B1473" s="9" t="str">
        <f t="shared" si="49"/>
        <v>N/I</v>
      </c>
      <c r="C1473" s="9" t="str">
        <f t="shared" si="80"/>
        <v>N/I</v>
      </c>
      <c r="D1473" s="10" t="s">
        <v>4686</v>
      </c>
      <c r="E1473" s="11" t="s">
        <v>4687</v>
      </c>
      <c r="F1473" s="11" t="s">
        <v>4694</v>
      </c>
      <c r="G1473" s="12" t="s">
        <v>94</v>
      </c>
      <c r="H1473" s="34" t="s">
        <v>4695</v>
      </c>
      <c r="I1473" s="12" t="s">
        <v>4696</v>
      </c>
      <c r="J1473" s="10" t="s">
        <v>222</v>
      </c>
      <c r="K1473" s="10" t="s">
        <v>40</v>
      </c>
      <c r="L1473" s="10" t="s">
        <v>4</v>
      </c>
      <c r="M1473" s="22">
        <v>45460.0</v>
      </c>
      <c r="N1473" s="32" t="s">
        <v>4697</v>
      </c>
      <c r="O1473" s="10" t="s">
        <v>4698</v>
      </c>
      <c r="P1473" s="10" t="s">
        <v>4699</v>
      </c>
      <c r="Q1473" s="2"/>
      <c r="R1473" s="10">
        <v>60.0</v>
      </c>
      <c r="S1473" s="14">
        <v>45460.0</v>
      </c>
      <c r="T1473" s="14">
        <v>47286.0</v>
      </c>
      <c r="U1473" s="10">
        <f t="shared" si="123"/>
        <v>1195</v>
      </c>
      <c r="V1473" s="2"/>
      <c r="W1473" s="15"/>
      <c r="X1473" s="15"/>
      <c r="Y1473" s="15"/>
      <c r="Z1473" s="15"/>
      <c r="AA1473" s="1"/>
      <c r="AB1473" s="15"/>
      <c r="AC1473" s="15"/>
      <c r="AD1473" s="15"/>
      <c r="AE1473" s="15"/>
      <c r="AF1473" s="2"/>
      <c r="AG1473" s="10" t="s">
        <v>290</v>
      </c>
      <c r="AH1473" s="10" t="s">
        <v>318</v>
      </c>
      <c r="AI1473" s="10" t="s">
        <v>319</v>
      </c>
      <c r="AJ1473" s="10" t="s">
        <v>291</v>
      </c>
      <c r="AK1473" s="16" t="s">
        <v>45</v>
      </c>
      <c r="AL1473" s="10" t="s">
        <v>49</v>
      </c>
      <c r="AM1473" s="10" t="s">
        <v>508</v>
      </c>
      <c r="AN1473" s="10" t="s">
        <v>50</v>
      </c>
    </row>
    <row r="1474" ht="30.0" customHeight="1">
      <c r="A1474" s="9" t="str">
        <f t="shared" si="48"/>
        <v>Ativo</v>
      </c>
      <c r="B1474" s="9" t="str">
        <f t="shared" si="49"/>
        <v>N/I</v>
      </c>
      <c r="C1474" s="9" t="str">
        <f t="shared" si="80"/>
        <v>N/I</v>
      </c>
      <c r="D1474" s="10" t="s">
        <v>4686</v>
      </c>
      <c r="E1474" s="11" t="s">
        <v>4687</v>
      </c>
      <c r="F1474" s="11" t="s">
        <v>4700</v>
      </c>
      <c r="G1474" s="12" t="s">
        <v>94</v>
      </c>
      <c r="H1474" s="34" t="s">
        <v>4701</v>
      </c>
      <c r="I1474" s="12" t="s">
        <v>4702</v>
      </c>
      <c r="J1474" s="10" t="s">
        <v>222</v>
      </c>
      <c r="K1474" s="10" t="s">
        <v>40</v>
      </c>
      <c r="L1474" s="10" t="s">
        <v>4</v>
      </c>
      <c r="M1474" s="22">
        <v>45440.0</v>
      </c>
      <c r="N1474" s="32" t="s">
        <v>4703</v>
      </c>
      <c r="O1474" s="10" t="s">
        <v>4704</v>
      </c>
      <c r="P1474" s="10" t="s">
        <v>4699</v>
      </c>
      <c r="Q1474" s="2"/>
      <c r="R1474" s="10">
        <v>60.0</v>
      </c>
      <c r="S1474" s="14">
        <v>45440.0</v>
      </c>
      <c r="T1474" s="14">
        <v>47266.0</v>
      </c>
      <c r="U1474" s="10">
        <f t="shared" si="123"/>
        <v>1175</v>
      </c>
      <c r="V1474" s="2"/>
      <c r="W1474" s="15"/>
      <c r="X1474" s="15"/>
      <c r="Y1474" s="15"/>
      <c r="Z1474" s="15"/>
      <c r="AA1474" s="1"/>
      <c r="AB1474" s="15"/>
      <c r="AC1474" s="15"/>
      <c r="AD1474" s="15"/>
      <c r="AE1474" s="15"/>
      <c r="AF1474" s="2"/>
      <c r="AG1474" s="10" t="s">
        <v>290</v>
      </c>
      <c r="AH1474" s="10" t="s">
        <v>318</v>
      </c>
      <c r="AI1474" s="10" t="s">
        <v>319</v>
      </c>
      <c r="AJ1474" s="10" t="s">
        <v>291</v>
      </c>
      <c r="AK1474" s="16" t="s">
        <v>45</v>
      </c>
      <c r="AL1474" s="10" t="s">
        <v>49</v>
      </c>
      <c r="AM1474" s="10" t="s">
        <v>508</v>
      </c>
      <c r="AN1474" s="10" t="s">
        <v>50</v>
      </c>
    </row>
    <row r="1475" ht="30.0" customHeight="1">
      <c r="A1475" s="9" t="str">
        <f t="shared" si="48"/>
        <v>Ativo</v>
      </c>
      <c r="B1475" s="9" t="str">
        <f t="shared" si="49"/>
        <v>N/I</v>
      </c>
      <c r="C1475" s="9" t="str">
        <f t="shared" si="80"/>
        <v>N/I</v>
      </c>
      <c r="D1475" s="10" t="s">
        <v>4686</v>
      </c>
      <c r="E1475" s="11" t="s">
        <v>4687</v>
      </c>
      <c r="F1475" s="11" t="s">
        <v>4705</v>
      </c>
      <c r="G1475" s="12" t="s">
        <v>94</v>
      </c>
      <c r="H1475" s="34" t="s">
        <v>4706</v>
      </c>
      <c r="I1475" s="12" t="s">
        <v>4707</v>
      </c>
      <c r="J1475" s="10" t="s">
        <v>222</v>
      </c>
      <c r="K1475" s="10" t="s">
        <v>40</v>
      </c>
      <c r="L1475" s="10" t="s">
        <v>4</v>
      </c>
      <c r="M1475" s="22">
        <v>45440.0</v>
      </c>
      <c r="N1475" s="32" t="s">
        <v>4708</v>
      </c>
      <c r="O1475" s="10" t="s">
        <v>4709</v>
      </c>
      <c r="P1475" s="10" t="s">
        <v>4699</v>
      </c>
      <c r="Q1475" s="2"/>
      <c r="R1475" s="10">
        <v>60.0</v>
      </c>
      <c r="S1475" s="14">
        <v>45440.0</v>
      </c>
      <c r="T1475" s="14">
        <v>47266.0</v>
      </c>
      <c r="U1475" s="10">
        <f t="shared" si="123"/>
        <v>1175</v>
      </c>
      <c r="V1475" s="2"/>
      <c r="W1475" s="15"/>
      <c r="X1475" s="15"/>
      <c r="Y1475" s="15"/>
      <c r="Z1475" s="15"/>
      <c r="AA1475" s="1"/>
      <c r="AB1475" s="15"/>
      <c r="AC1475" s="15"/>
      <c r="AD1475" s="15"/>
      <c r="AE1475" s="15"/>
      <c r="AF1475" s="2"/>
      <c r="AG1475" s="10" t="s">
        <v>290</v>
      </c>
      <c r="AH1475" s="10" t="s">
        <v>318</v>
      </c>
      <c r="AI1475" s="10" t="s">
        <v>319</v>
      </c>
      <c r="AJ1475" s="10" t="s">
        <v>291</v>
      </c>
      <c r="AK1475" s="16" t="s">
        <v>45</v>
      </c>
      <c r="AL1475" s="10" t="s">
        <v>49</v>
      </c>
      <c r="AM1475" s="10" t="s">
        <v>508</v>
      </c>
      <c r="AN1475" s="10" t="s">
        <v>50</v>
      </c>
    </row>
    <row r="1476" ht="30.0" customHeight="1">
      <c r="A1476" s="9" t="str">
        <f t="shared" si="48"/>
        <v>Inativo</v>
      </c>
      <c r="B1476" s="9" t="str">
        <f t="shared" si="49"/>
        <v>N/I</v>
      </c>
      <c r="C1476" s="9" t="str">
        <f t="shared" si="80"/>
        <v>N/I</v>
      </c>
      <c r="D1476" s="10" t="s">
        <v>4686</v>
      </c>
      <c r="E1476" s="11" t="s">
        <v>4687</v>
      </c>
      <c r="F1476" s="11" t="s">
        <v>4710</v>
      </c>
      <c r="G1476" s="12" t="s">
        <v>94</v>
      </c>
      <c r="H1476" s="36" t="s">
        <v>4711</v>
      </c>
      <c r="I1476" s="12" t="s">
        <v>4712</v>
      </c>
      <c r="J1476" s="10" t="s">
        <v>222</v>
      </c>
      <c r="K1476" s="10" t="s">
        <v>40</v>
      </c>
      <c r="L1476" s="10" t="s">
        <v>4</v>
      </c>
      <c r="M1476" s="22">
        <v>44161.0</v>
      </c>
      <c r="N1476" s="32" t="s">
        <v>4713</v>
      </c>
      <c r="O1476" s="10" t="s">
        <v>4714</v>
      </c>
      <c r="P1476" s="10" t="s">
        <v>4693</v>
      </c>
      <c r="Q1476" s="2"/>
      <c r="R1476" s="10">
        <v>60.0</v>
      </c>
      <c r="S1476" s="14">
        <v>44161.0</v>
      </c>
      <c r="T1476" s="14">
        <v>45987.0</v>
      </c>
      <c r="U1476" s="10">
        <f t="shared" si="123"/>
        <v>-104</v>
      </c>
      <c r="V1476" s="2"/>
      <c r="W1476" s="15"/>
      <c r="X1476" s="15"/>
      <c r="Y1476" s="15"/>
      <c r="Z1476" s="15"/>
      <c r="AA1476" s="1"/>
      <c r="AB1476" s="15"/>
      <c r="AC1476" s="15"/>
      <c r="AD1476" s="15"/>
      <c r="AE1476" s="15"/>
      <c r="AF1476" s="2"/>
      <c r="AG1476" s="10" t="s">
        <v>290</v>
      </c>
      <c r="AH1476" s="10" t="s">
        <v>318</v>
      </c>
      <c r="AI1476" s="10" t="s">
        <v>319</v>
      </c>
      <c r="AJ1476" s="10" t="s">
        <v>291</v>
      </c>
      <c r="AK1476" s="16" t="s">
        <v>45</v>
      </c>
      <c r="AL1476" s="10" t="s">
        <v>49</v>
      </c>
      <c r="AM1476" s="10" t="s">
        <v>508</v>
      </c>
      <c r="AN1476" s="10" t="s">
        <v>50</v>
      </c>
    </row>
    <row r="1477" ht="30.0" customHeight="1">
      <c r="A1477" s="9" t="str">
        <f t="shared" si="48"/>
        <v>Inativo</v>
      </c>
      <c r="B1477" s="9" t="str">
        <f t="shared" si="49"/>
        <v>N/I</v>
      </c>
      <c r="C1477" s="9" t="str">
        <f t="shared" si="80"/>
        <v>N/I</v>
      </c>
      <c r="D1477" s="10" t="s">
        <v>4686</v>
      </c>
      <c r="E1477" s="11" t="s">
        <v>4687</v>
      </c>
      <c r="F1477" s="11" t="s">
        <v>4715</v>
      </c>
      <c r="G1477" s="12" t="s">
        <v>94</v>
      </c>
      <c r="H1477" s="36" t="s">
        <v>4716</v>
      </c>
      <c r="I1477" s="12" t="s">
        <v>4717</v>
      </c>
      <c r="J1477" s="10" t="s">
        <v>222</v>
      </c>
      <c r="K1477" s="10" t="s">
        <v>40</v>
      </c>
      <c r="L1477" s="10" t="s">
        <v>4</v>
      </c>
      <c r="M1477" s="22">
        <v>44161.0</v>
      </c>
      <c r="N1477" s="32" t="s">
        <v>4718</v>
      </c>
      <c r="O1477" s="10" t="s">
        <v>3321</v>
      </c>
      <c r="P1477" s="10" t="s">
        <v>4693</v>
      </c>
      <c r="Q1477" s="2"/>
      <c r="R1477" s="10">
        <v>60.0</v>
      </c>
      <c r="S1477" s="14">
        <v>44161.0</v>
      </c>
      <c r="T1477" s="14">
        <v>45987.0</v>
      </c>
      <c r="U1477" s="10">
        <f t="shared" si="123"/>
        <v>-104</v>
      </c>
      <c r="V1477" s="2"/>
      <c r="W1477" s="15"/>
      <c r="X1477" s="15"/>
      <c r="Y1477" s="15"/>
      <c r="Z1477" s="15"/>
      <c r="AA1477" s="1"/>
      <c r="AB1477" s="15"/>
      <c r="AC1477" s="15"/>
      <c r="AD1477" s="15"/>
      <c r="AE1477" s="15"/>
      <c r="AF1477" s="2"/>
      <c r="AG1477" s="10" t="s">
        <v>290</v>
      </c>
      <c r="AH1477" s="10" t="s">
        <v>318</v>
      </c>
      <c r="AI1477" s="10" t="s">
        <v>319</v>
      </c>
      <c r="AJ1477" s="10" t="s">
        <v>291</v>
      </c>
      <c r="AK1477" s="16" t="s">
        <v>45</v>
      </c>
      <c r="AL1477" s="10" t="s">
        <v>49</v>
      </c>
      <c r="AM1477" s="10" t="s">
        <v>508</v>
      </c>
      <c r="AN1477" s="10" t="s">
        <v>50</v>
      </c>
    </row>
    <row r="1478" ht="30.0" customHeight="1">
      <c r="A1478" s="9" t="str">
        <f t="shared" si="48"/>
        <v>Inativo</v>
      </c>
      <c r="B1478" s="9" t="str">
        <f t="shared" si="49"/>
        <v>N/I</v>
      </c>
      <c r="C1478" s="9" t="str">
        <f t="shared" si="80"/>
        <v>N/I</v>
      </c>
      <c r="D1478" s="10" t="s">
        <v>4686</v>
      </c>
      <c r="E1478" s="11" t="s">
        <v>4687</v>
      </c>
      <c r="F1478" s="11" t="s">
        <v>4719</v>
      </c>
      <c r="G1478" s="12" t="s">
        <v>94</v>
      </c>
      <c r="H1478" s="36" t="s">
        <v>4720</v>
      </c>
      <c r="I1478" s="12" t="s">
        <v>4721</v>
      </c>
      <c r="J1478" s="10" t="s">
        <v>222</v>
      </c>
      <c r="K1478" s="10" t="s">
        <v>40</v>
      </c>
      <c r="L1478" s="10" t="s">
        <v>4</v>
      </c>
      <c r="M1478" s="22">
        <v>44161.0</v>
      </c>
      <c r="N1478" s="32" t="s">
        <v>4722</v>
      </c>
      <c r="O1478" s="10" t="s">
        <v>4723</v>
      </c>
      <c r="P1478" s="10" t="s">
        <v>4693</v>
      </c>
      <c r="Q1478" s="2"/>
      <c r="R1478" s="10">
        <v>60.0</v>
      </c>
      <c r="S1478" s="14">
        <v>44161.0</v>
      </c>
      <c r="T1478" s="14">
        <v>45987.0</v>
      </c>
      <c r="U1478" s="10">
        <f t="shared" si="123"/>
        <v>-104</v>
      </c>
      <c r="V1478" s="2"/>
      <c r="W1478" s="15"/>
      <c r="X1478" s="15"/>
      <c r="Y1478" s="15"/>
      <c r="Z1478" s="15"/>
      <c r="AA1478" s="1"/>
      <c r="AB1478" s="15"/>
      <c r="AC1478" s="15"/>
      <c r="AD1478" s="15"/>
      <c r="AE1478" s="15"/>
      <c r="AF1478" s="2"/>
      <c r="AG1478" s="10" t="s">
        <v>290</v>
      </c>
      <c r="AH1478" s="10" t="s">
        <v>318</v>
      </c>
      <c r="AI1478" s="10" t="s">
        <v>319</v>
      </c>
      <c r="AJ1478" s="10" t="s">
        <v>291</v>
      </c>
      <c r="AK1478" s="16" t="s">
        <v>45</v>
      </c>
      <c r="AL1478" s="10" t="s">
        <v>49</v>
      </c>
      <c r="AM1478" s="10" t="s">
        <v>508</v>
      </c>
      <c r="AN1478" s="10" t="s">
        <v>50</v>
      </c>
    </row>
    <row r="1479" ht="30.0" customHeight="1">
      <c r="A1479" s="9" t="str">
        <f t="shared" si="48"/>
        <v>Ativo</v>
      </c>
      <c r="B1479" s="9" t="str">
        <f t="shared" si="49"/>
        <v>N/I</v>
      </c>
      <c r="C1479" s="9" t="str">
        <f t="shared" si="80"/>
        <v>N/I</v>
      </c>
      <c r="D1479" s="10" t="s">
        <v>4686</v>
      </c>
      <c r="E1479" s="11" t="s">
        <v>4687</v>
      </c>
      <c r="F1479" s="11" t="s">
        <v>4724</v>
      </c>
      <c r="G1479" s="12" t="s">
        <v>94</v>
      </c>
      <c r="H1479" s="34" t="s">
        <v>4725</v>
      </c>
      <c r="I1479" s="12" t="s">
        <v>4726</v>
      </c>
      <c r="J1479" s="10" t="s">
        <v>222</v>
      </c>
      <c r="K1479" s="10" t="s">
        <v>40</v>
      </c>
      <c r="L1479" s="10" t="s">
        <v>4</v>
      </c>
      <c r="M1479" s="22">
        <v>45462.0</v>
      </c>
      <c r="N1479" s="32" t="s">
        <v>4727</v>
      </c>
      <c r="O1479" s="10" t="s">
        <v>4728</v>
      </c>
      <c r="P1479" s="10" t="s">
        <v>4699</v>
      </c>
      <c r="Q1479" s="2"/>
      <c r="R1479" s="10">
        <v>60.0</v>
      </c>
      <c r="S1479" s="14">
        <v>45462.0</v>
      </c>
      <c r="T1479" s="14">
        <v>47288.0</v>
      </c>
      <c r="U1479" s="10">
        <f t="shared" si="123"/>
        <v>1197</v>
      </c>
      <c r="V1479" s="2"/>
      <c r="W1479" s="15"/>
      <c r="X1479" s="15"/>
      <c r="Y1479" s="15"/>
      <c r="Z1479" s="15"/>
      <c r="AA1479" s="1"/>
      <c r="AB1479" s="15"/>
      <c r="AC1479" s="15"/>
      <c r="AD1479" s="15"/>
      <c r="AE1479" s="15"/>
      <c r="AF1479" s="2"/>
      <c r="AG1479" s="10" t="s">
        <v>290</v>
      </c>
      <c r="AH1479" s="10" t="s">
        <v>318</v>
      </c>
      <c r="AI1479" s="10" t="s">
        <v>319</v>
      </c>
      <c r="AJ1479" s="10" t="s">
        <v>291</v>
      </c>
      <c r="AK1479" s="16" t="s">
        <v>45</v>
      </c>
      <c r="AL1479" s="10" t="s">
        <v>49</v>
      </c>
      <c r="AM1479" s="10" t="s">
        <v>508</v>
      </c>
      <c r="AN1479" s="10" t="s">
        <v>50</v>
      </c>
    </row>
    <row r="1480" ht="30.0" customHeight="1">
      <c r="A1480" s="9" t="str">
        <f t="shared" si="48"/>
        <v>Inativo</v>
      </c>
      <c r="B1480" s="9" t="str">
        <f t="shared" si="49"/>
        <v>N/I</v>
      </c>
      <c r="C1480" s="9" t="str">
        <f t="shared" si="80"/>
        <v>N/I</v>
      </c>
      <c r="D1480" s="10" t="s">
        <v>4686</v>
      </c>
      <c r="E1480" s="11" t="s">
        <v>4687</v>
      </c>
      <c r="F1480" s="11" t="s">
        <v>4729</v>
      </c>
      <c r="G1480" s="12" t="s">
        <v>94</v>
      </c>
      <c r="H1480" s="36" t="s">
        <v>4730</v>
      </c>
      <c r="I1480" s="12" t="s">
        <v>4731</v>
      </c>
      <c r="J1480" s="10" t="s">
        <v>222</v>
      </c>
      <c r="K1480" s="10" t="s">
        <v>40</v>
      </c>
      <c r="L1480" s="10" t="s">
        <v>4</v>
      </c>
      <c r="M1480" s="22">
        <v>44161.0</v>
      </c>
      <c r="N1480" s="32" t="s">
        <v>4732</v>
      </c>
      <c r="O1480" s="10" t="s">
        <v>3321</v>
      </c>
      <c r="P1480" s="10" t="s">
        <v>4693</v>
      </c>
      <c r="Q1480" s="2"/>
      <c r="R1480" s="10">
        <v>60.0</v>
      </c>
      <c r="S1480" s="14">
        <v>44161.0</v>
      </c>
      <c r="T1480" s="14">
        <v>45987.0</v>
      </c>
      <c r="U1480" s="10">
        <f t="shared" si="123"/>
        <v>-104</v>
      </c>
      <c r="V1480" s="2"/>
      <c r="W1480" s="15"/>
      <c r="X1480" s="15"/>
      <c r="Y1480" s="15"/>
      <c r="Z1480" s="15"/>
      <c r="AA1480" s="1"/>
      <c r="AB1480" s="15"/>
      <c r="AC1480" s="15"/>
      <c r="AD1480" s="15"/>
      <c r="AE1480" s="15"/>
      <c r="AF1480" s="2"/>
      <c r="AG1480" s="10" t="s">
        <v>290</v>
      </c>
      <c r="AH1480" s="10" t="s">
        <v>318</v>
      </c>
      <c r="AI1480" s="10" t="s">
        <v>319</v>
      </c>
      <c r="AJ1480" s="10" t="s">
        <v>291</v>
      </c>
      <c r="AK1480" s="16" t="s">
        <v>45</v>
      </c>
      <c r="AL1480" s="10" t="s">
        <v>49</v>
      </c>
      <c r="AM1480" s="10" t="s">
        <v>508</v>
      </c>
      <c r="AN1480" s="10" t="s">
        <v>50</v>
      </c>
    </row>
    <row r="1481" ht="30.0" customHeight="1">
      <c r="A1481" s="9" t="str">
        <f t="shared" si="48"/>
        <v>Inativo</v>
      </c>
      <c r="B1481" s="9" t="str">
        <f t="shared" si="49"/>
        <v>N/I</v>
      </c>
      <c r="C1481" s="9" t="str">
        <f t="shared" si="80"/>
        <v>N/I</v>
      </c>
      <c r="D1481" s="10" t="s">
        <v>4686</v>
      </c>
      <c r="E1481" s="11" t="s">
        <v>4687</v>
      </c>
      <c r="F1481" s="11" t="s">
        <v>4733</v>
      </c>
      <c r="G1481" s="12" t="s">
        <v>94</v>
      </c>
      <c r="H1481" s="36" t="s">
        <v>4734</v>
      </c>
      <c r="I1481" s="12" t="s">
        <v>4735</v>
      </c>
      <c r="J1481" s="10" t="s">
        <v>222</v>
      </c>
      <c r="K1481" s="10" t="s">
        <v>40</v>
      </c>
      <c r="L1481" s="10" t="s">
        <v>4</v>
      </c>
      <c r="M1481" s="22">
        <v>44161.0</v>
      </c>
      <c r="N1481" s="32" t="s">
        <v>4736</v>
      </c>
      <c r="O1481" s="10" t="s">
        <v>4737</v>
      </c>
      <c r="P1481" s="10" t="s">
        <v>4693</v>
      </c>
      <c r="Q1481" s="2"/>
      <c r="R1481" s="10">
        <v>60.0</v>
      </c>
      <c r="S1481" s="14">
        <v>44161.0</v>
      </c>
      <c r="T1481" s="14">
        <v>45987.0</v>
      </c>
      <c r="U1481" s="10">
        <f t="shared" si="123"/>
        <v>-104</v>
      </c>
      <c r="V1481" s="2"/>
      <c r="W1481" s="15"/>
      <c r="X1481" s="15"/>
      <c r="Y1481" s="15"/>
      <c r="Z1481" s="15"/>
      <c r="AA1481" s="1"/>
      <c r="AB1481" s="15"/>
      <c r="AC1481" s="15"/>
      <c r="AD1481" s="15"/>
      <c r="AE1481" s="15"/>
      <c r="AF1481" s="2"/>
      <c r="AG1481" s="10" t="s">
        <v>290</v>
      </c>
      <c r="AH1481" s="10" t="s">
        <v>318</v>
      </c>
      <c r="AI1481" s="10" t="s">
        <v>319</v>
      </c>
      <c r="AJ1481" s="10" t="s">
        <v>291</v>
      </c>
      <c r="AK1481" s="16" t="s">
        <v>45</v>
      </c>
      <c r="AL1481" s="10" t="s">
        <v>49</v>
      </c>
      <c r="AM1481" s="10" t="s">
        <v>508</v>
      </c>
      <c r="AN1481" s="10" t="s">
        <v>50</v>
      </c>
    </row>
    <row r="1482" ht="30.0" customHeight="1">
      <c r="A1482" s="9" t="str">
        <f t="shared" si="48"/>
        <v>Inativo</v>
      </c>
      <c r="B1482" s="9" t="str">
        <f t="shared" si="49"/>
        <v>N/I</v>
      </c>
      <c r="C1482" s="9" t="str">
        <f t="shared" si="80"/>
        <v>N/I</v>
      </c>
      <c r="D1482" s="10" t="s">
        <v>4686</v>
      </c>
      <c r="E1482" s="11" t="s">
        <v>4687</v>
      </c>
      <c r="F1482" s="11" t="s">
        <v>4738</v>
      </c>
      <c r="G1482" s="12" t="s">
        <v>94</v>
      </c>
      <c r="H1482" s="36" t="s">
        <v>4739</v>
      </c>
      <c r="I1482" s="12" t="s">
        <v>463</v>
      </c>
      <c r="J1482" s="10" t="s">
        <v>222</v>
      </c>
      <c r="K1482" s="10" t="s">
        <v>40</v>
      </c>
      <c r="L1482" s="10" t="s">
        <v>4</v>
      </c>
      <c r="M1482" s="22">
        <v>44161.0</v>
      </c>
      <c r="N1482" s="32" t="s">
        <v>4740</v>
      </c>
      <c r="O1482" s="10" t="s">
        <v>4741</v>
      </c>
      <c r="P1482" s="10" t="s">
        <v>4693</v>
      </c>
      <c r="Q1482" s="2"/>
      <c r="R1482" s="10">
        <v>60.0</v>
      </c>
      <c r="S1482" s="14">
        <v>44161.0</v>
      </c>
      <c r="T1482" s="14">
        <v>45987.0</v>
      </c>
      <c r="U1482" s="10">
        <f t="shared" si="123"/>
        <v>-104</v>
      </c>
      <c r="V1482" s="2"/>
      <c r="W1482" s="15"/>
      <c r="X1482" s="15"/>
      <c r="Y1482" s="15"/>
      <c r="Z1482" s="15"/>
      <c r="AA1482" s="1"/>
      <c r="AB1482" s="15"/>
      <c r="AC1482" s="15"/>
      <c r="AD1482" s="15"/>
      <c r="AE1482" s="15"/>
      <c r="AF1482" s="2"/>
      <c r="AG1482" s="10" t="s">
        <v>290</v>
      </c>
      <c r="AH1482" s="10" t="s">
        <v>318</v>
      </c>
      <c r="AI1482" s="10" t="s">
        <v>319</v>
      </c>
      <c r="AJ1482" s="10" t="s">
        <v>291</v>
      </c>
      <c r="AK1482" s="16" t="s">
        <v>45</v>
      </c>
      <c r="AL1482" s="10" t="s">
        <v>49</v>
      </c>
      <c r="AM1482" s="10" t="s">
        <v>508</v>
      </c>
      <c r="AN1482" s="10" t="s">
        <v>50</v>
      </c>
    </row>
    <row r="1483" ht="30.0" customHeight="1">
      <c r="A1483" s="9" t="str">
        <f t="shared" si="48"/>
        <v>Ativo</v>
      </c>
      <c r="B1483" s="9" t="str">
        <f t="shared" si="49"/>
        <v>N/I</v>
      </c>
      <c r="C1483" s="9" t="str">
        <f t="shared" si="80"/>
        <v>N/I</v>
      </c>
      <c r="D1483" s="10" t="s">
        <v>4686</v>
      </c>
      <c r="E1483" s="11" t="s">
        <v>4687</v>
      </c>
      <c r="F1483" s="11" t="s">
        <v>4742</v>
      </c>
      <c r="G1483" s="12" t="s">
        <v>3579</v>
      </c>
      <c r="H1483" s="27" t="s">
        <v>4743</v>
      </c>
      <c r="I1483" s="12" t="s">
        <v>463</v>
      </c>
      <c r="J1483" s="10" t="s">
        <v>222</v>
      </c>
      <c r="K1483" s="10" t="s">
        <v>40</v>
      </c>
      <c r="L1483" s="10" t="s">
        <v>4</v>
      </c>
      <c r="M1483" s="14">
        <v>45961.0</v>
      </c>
      <c r="N1483" s="32" t="s">
        <v>4744</v>
      </c>
      <c r="O1483" s="10" t="s">
        <v>4745</v>
      </c>
      <c r="P1483" s="10" t="s">
        <v>4746</v>
      </c>
      <c r="Q1483" s="2"/>
      <c r="R1483" s="10">
        <v>24.0</v>
      </c>
      <c r="S1483" s="14">
        <v>45961.0</v>
      </c>
      <c r="T1483" s="14">
        <v>46691.0</v>
      </c>
      <c r="U1483" s="10">
        <f t="shared" si="123"/>
        <v>600</v>
      </c>
      <c r="V1483" s="2"/>
      <c r="W1483" s="15"/>
      <c r="X1483" s="15"/>
      <c r="Y1483" s="15"/>
      <c r="Z1483" s="15"/>
      <c r="AA1483" s="1"/>
      <c r="AB1483" s="15"/>
      <c r="AC1483" s="15"/>
      <c r="AD1483" s="15"/>
      <c r="AE1483" s="15"/>
      <c r="AF1483" s="2"/>
      <c r="AG1483" s="16" t="s">
        <v>45</v>
      </c>
      <c r="AH1483" s="12" t="s">
        <v>46</v>
      </c>
      <c r="AI1483" s="10" t="s">
        <v>226</v>
      </c>
      <c r="AJ1483" s="10" t="s">
        <v>390</v>
      </c>
      <c r="AK1483" s="16" t="s">
        <v>45</v>
      </c>
      <c r="AL1483" s="10" t="s">
        <v>49</v>
      </c>
      <c r="AM1483" s="16" t="s">
        <v>45</v>
      </c>
      <c r="AN1483" s="10" t="s">
        <v>320</v>
      </c>
    </row>
    <row r="1484" ht="30.0" customHeight="1">
      <c r="A1484" s="9" t="str">
        <f t="shared" si="48"/>
        <v>Ativo</v>
      </c>
      <c r="B1484" s="9" t="str">
        <f t="shared" si="49"/>
        <v>N/I</v>
      </c>
      <c r="C1484" s="9" t="str">
        <f t="shared" si="80"/>
        <v>N/I</v>
      </c>
      <c r="D1484" s="10" t="s">
        <v>4686</v>
      </c>
      <c r="E1484" s="11" t="s">
        <v>4687</v>
      </c>
      <c r="F1484" s="11" t="s">
        <v>4747</v>
      </c>
      <c r="G1484" s="12" t="s">
        <v>3579</v>
      </c>
      <c r="H1484" s="27" t="s">
        <v>4748</v>
      </c>
      <c r="I1484" s="12" t="s">
        <v>463</v>
      </c>
      <c r="J1484" s="10" t="s">
        <v>222</v>
      </c>
      <c r="K1484" s="10" t="s">
        <v>40</v>
      </c>
      <c r="L1484" s="10" t="s">
        <v>4</v>
      </c>
      <c r="M1484" s="14">
        <v>45961.0</v>
      </c>
      <c r="N1484" s="32" t="s">
        <v>4749</v>
      </c>
      <c r="O1484" s="10" t="s">
        <v>4750</v>
      </c>
      <c r="P1484" s="10" t="s">
        <v>4746</v>
      </c>
      <c r="Q1484" s="2"/>
      <c r="R1484" s="10">
        <v>24.0</v>
      </c>
      <c r="S1484" s="14">
        <v>45961.0</v>
      </c>
      <c r="T1484" s="14">
        <v>46691.0</v>
      </c>
      <c r="U1484" s="10">
        <f t="shared" si="123"/>
        <v>600</v>
      </c>
      <c r="V1484" s="2"/>
      <c r="W1484" s="15"/>
      <c r="X1484" s="15"/>
      <c r="Y1484" s="15"/>
      <c r="Z1484" s="15"/>
      <c r="AA1484" s="1"/>
      <c r="AB1484" s="15"/>
      <c r="AC1484" s="15"/>
      <c r="AD1484" s="15"/>
      <c r="AE1484" s="15"/>
      <c r="AF1484" s="2"/>
      <c r="AG1484" s="16" t="s">
        <v>45</v>
      </c>
      <c r="AH1484" s="12" t="s">
        <v>46</v>
      </c>
      <c r="AI1484" s="10" t="s">
        <v>226</v>
      </c>
      <c r="AJ1484" s="10" t="s">
        <v>390</v>
      </c>
      <c r="AK1484" s="16" t="s">
        <v>45</v>
      </c>
      <c r="AL1484" s="10" t="s">
        <v>49</v>
      </c>
      <c r="AM1484" s="16" t="s">
        <v>45</v>
      </c>
      <c r="AN1484" s="10" t="s">
        <v>320</v>
      </c>
    </row>
    <row r="1485" ht="30.0" customHeight="1">
      <c r="A1485" s="9" t="str">
        <f t="shared" si="48"/>
        <v>Ativo</v>
      </c>
      <c r="B1485" s="9" t="str">
        <f t="shared" si="49"/>
        <v>N/I</v>
      </c>
      <c r="C1485" s="9" t="str">
        <f t="shared" si="80"/>
        <v>N/I</v>
      </c>
      <c r="D1485" s="10" t="s">
        <v>4686</v>
      </c>
      <c r="E1485" s="11" t="s">
        <v>4687</v>
      </c>
      <c r="F1485" s="11" t="s">
        <v>4751</v>
      </c>
      <c r="G1485" s="12" t="s">
        <v>3579</v>
      </c>
      <c r="H1485" s="27" t="s">
        <v>4752</v>
      </c>
      <c r="I1485" s="12" t="s">
        <v>463</v>
      </c>
      <c r="J1485" s="10" t="s">
        <v>222</v>
      </c>
      <c r="K1485" s="10" t="s">
        <v>40</v>
      </c>
      <c r="L1485" s="10" t="s">
        <v>4</v>
      </c>
      <c r="M1485" s="14">
        <v>45961.0</v>
      </c>
      <c r="N1485" s="32" t="s">
        <v>4753</v>
      </c>
      <c r="O1485" s="10" t="s">
        <v>4754</v>
      </c>
      <c r="P1485" s="10" t="s">
        <v>4746</v>
      </c>
      <c r="Q1485" s="2"/>
      <c r="R1485" s="10">
        <v>24.0</v>
      </c>
      <c r="S1485" s="14">
        <v>45961.0</v>
      </c>
      <c r="T1485" s="14">
        <v>46691.0</v>
      </c>
      <c r="U1485" s="10">
        <f t="shared" si="123"/>
        <v>600</v>
      </c>
      <c r="V1485" s="2"/>
      <c r="W1485" s="15"/>
      <c r="X1485" s="15"/>
      <c r="Y1485" s="15"/>
      <c r="Z1485" s="15"/>
      <c r="AA1485" s="1"/>
      <c r="AB1485" s="15"/>
      <c r="AC1485" s="15"/>
      <c r="AD1485" s="15"/>
      <c r="AE1485" s="15"/>
      <c r="AF1485" s="2"/>
      <c r="AG1485" s="16" t="s">
        <v>45</v>
      </c>
      <c r="AH1485" s="12" t="s">
        <v>46</v>
      </c>
      <c r="AI1485" s="10" t="s">
        <v>226</v>
      </c>
      <c r="AJ1485" s="10" t="s">
        <v>390</v>
      </c>
      <c r="AK1485" s="16" t="s">
        <v>45</v>
      </c>
      <c r="AL1485" s="10" t="s">
        <v>49</v>
      </c>
      <c r="AM1485" s="16" t="s">
        <v>45</v>
      </c>
      <c r="AN1485" s="10" t="s">
        <v>320</v>
      </c>
    </row>
    <row r="1486" ht="30.0" customHeight="1">
      <c r="A1486" s="9" t="str">
        <f t="shared" si="48"/>
        <v>Ativo</v>
      </c>
      <c r="B1486" s="9" t="str">
        <f t="shared" si="49"/>
        <v>N/I</v>
      </c>
      <c r="C1486" s="9" t="str">
        <f t="shared" si="80"/>
        <v>N/I</v>
      </c>
      <c r="D1486" s="10" t="s">
        <v>4686</v>
      </c>
      <c r="E1486" s="11" t="s">
        <v>4687</v>
      </c>
      <c r="F1486" s="11" t="s">
        <v>4755</v>
      </c>
      <c r="G1486" s="12" t="s">
        <v>3579</v>
      </c>
      <c r="H1486" s="27" t="s">
        <v>4756</v>
      </c>
      <c r="I1486" s="12" t="s">
        <v>463</v>
      </c>
      <c r="J1486" s="10" t="s">
        <v>222</v>
      </c>
      <c r="K1486" s="10" t="s">
        <v>40</v>
      </c>
      <c r="L1486" s="10" t="s">
        <v>4</v>
      </c>
      <c r="M1486" s="14">
        <v>45962.0</v>
      </c>
      <c r="N1486" s="32" t="s">
        <v>4740</v>
      </c>
      <c r="O1486" s="10" t="s">
        <v>4757</v>
      </c>
      <c r="P1486" s="10" t="s">
        <v>4746</v>
      </c>
      <c r="Q1486" s="2"/>
      <c r="R1486" s="10">
        <v>24.0</v>
      </c>
      <c r="S1486" s="14">
        <v>45962.0</v>
      </c>
      <c r="T1486" s="14">
        <v>46692.0</v>
      </c>
      <c r="U1486" s="10">
        <f t="shared" si="123"/>
        <v>601</v>
      </c>
      <c r="V1486" s="2"/>
      <c r="W1486" s="15"/>
      <c r="X1486" s="15"/>
      <c r="Y1486" s="15"/>
      <c r="Z1486" s="15"/>
      <c r="AA1486" s="1"/>
      <c r="AB1486" s="15"/>
      <c r="AC1486" s="15"/>
      <c r="AD1486" s="15"/>
      <c r="AE1486" s="15"/>
      <c r="AF1486" s="2"/>
      <c r="AG1486" s="16" t="s">
        <v>45</v>
      </c>
      <c r="AH1486" s="12" t="s">
        <v>46</v>
      </c>
      <c r="AI1486" s="10" t="s">
        <v>226</v>
      </c>
      <c r="AJ1486" s="10" t="s">
        <v>390</v>
      </c>
      <c r="AK1486" s="16" t="s">
        <v>45</v>
      </c>
      <c r="AL1486" s="10" t="s">
        <v>49</v>
      </c>
      <c r="AM1486" s="16" t="s">
        <v>45</v>
      </c>
      <c r="AN1486" s="10" t="s">
        <v>320</v>
      </c>
    </row>
    <row r="1487" ht="30.0" customHeight="1">
      <c r="A1487" s="9" t="str">
        <f t="shared" si="48"/>
        <v>Ativo</v>
      </c>
      <c r="B1487" s="9" t="str">
        <f t="shared" si="49"/>
        <v>N/I</v>
      </c>
      <c r="C1487" s="9" t="str">
        <f t="shared" si="80"/>
        <v>N/I</v>
      </c>
      <c r="D1487" s="10" t="s">
        <v>4686</v>
      </c>
      <c r="E1487" s="11" t="s">
        <v>4687</v>
      </c>
      <c r="F1487" s="11" t="s">
        <v>4758</v>
      </c>
      <c r="G1487" s="12" t="s">
        <v>3579</v>
      </c>
      <c r="H1487" s="27" t="s">
        <v>4759</v>
      </c>
      <c r="I1487" s="12" t="s">
        <v>463</v>
      </c>
      <c r="J1487" s="10" t="s">
        <v>222</v>
      </c>
      <c r="K1487" s="10" t="s">
        <v>40</v>
      </c>
      <c r="L1487" s="10" t="s">
        <v>4</v>
      </c>
      <c r="M1487" s="14">
        <v>45962.0</v>
      </c>
      <c r="N1487" s="32" t="s">
        <v>4760</v>
      </c>
      <c r="O1487" s="10" t="s">
        <v>4754</v>
      </c>
      <c r="P1487" s="10" t="s">
        <v>4746</v>
      </c>
      <c r="Q1487" s="2"/>
      <c r="R1487" s="10">
        <v>24.0</v>
      </c>
      <c r="S1487" s="14">
        <v>45962.0</v>
      </c>
      <c r="T1487" s="14">
        <v>46692.0</v>
      </c>
      <c r="U1487" s="10">
        <f t="shared" si="123"/>
        <v>601</v>
      </c>
      <c r="V1487" s="2"/>
      <c r="W1487" s="15"/>
      <c r="X1487" s="15"/>
      <c r="Y1487" s="15"/>
      <c r="Z1487" s="15"/>
      <c r="AA1487" s="1"/>
      <c r="AB1487" s="15"/>
      <c r="AC1487" s="15"/>
      <c r="AD1487" s="15"/>
      <c r="AE1487" s="15"/>
      <c r="AF1487" s="2"/>
      <c r="AG1487" s="16" t="s">
        <v>45</v>
      </c>
      <c r="AH1487" s="12" t="s">
        <v>46</v>
      </c>
      <c r="AI1487" s="10" t="s">
        <v>4637</v>
      </c>
      <c r="AJ1487" s="10" t="s">
        <v>291</v>
      </c>
      <c r="AK1487" s="16" t="s">
        <v>45</v>
      </c>
      <c r="AL1487" s="10" t="s">
        <v>49</v>
      </c>
      <c r="AM1487" s="16" t="s">
        <v>45</v>
      </c>
      <c r="AN1487" s="10" t="s">
        <v>320</v>
      </c>
    </row>
    <row r="1488" ht="30.0" customHeight="1">
      <c r="A1488" s="9" t="str">
        <f t="shared" si="48"/>
        <v>Ativo</v>
      </c>
      <c r="B1488" s="9" t="str">
        <f t="shared" si="49"/>
        <v>N/I</v>
      </c>
      <c r="C1488" s="9" t="str">
        <f t="shared" si="80"/>
        <v>N/I</v>
      </c>
      <c r="D1488" s="10" t="s">
        <v>4686</v>
      </c>
      <c r="E1488" s="11" t="s">
        <v>4687</v>
      </c>
      <c r="F1488" s="11" t="s">
        <v>4758</v>
      </c>
      <c r="G1488" s="12" t="s">
        <v>3579</v>
      </c>
      <c r="H1488" s="27" t="s">
        <v>4761</v>
      </c>
      <c r="I1488" s="12" t="s">
        <v>463</v>
      </c>
      <c r="J1488" s="10" t="s">
        <v>222</v>
      </c>
      <c r="K1488" s="10" t="s">
        <v>40</v>
      </c>
      <c r="L1488" s="10" t="s">
        <v>4</v>
      </c>
      <c r="M1488" s="14">
        <v>45962.0</v>
      </c>
      <c r="N1488" s="32" t="s">
        <v>4740</v>
      </c>
      <c r="O1488" s="10" t="s">
        <v>4757</v>
      </c>
      <c r="P1488" s="10" t="s">
        <v>4746</v>
      </c>
      <c r="Q1488" s="2"/>
      <c r="R1488" s="10">
        <v>24.0</v>
      </c>
      <c r="S1488" s="14">
        <v>45962.0</v>
      </c>
      <c r="T1488" s="14">
        <v>46692.0</v>
      </c>
      <c r="U1488" s="10">
        <f t="shared" si="123"/>
        <v>601</v>
      </c>
      <c r="V1488" s="2"/>
      <c r="W1488" s="15"/>
      <c r="X1488" s="15"/>
      <c r="Y1488" s="15"/>
      <c r="Z1488" s="15"/>
      <c r="AA1488" s="1"/>
      <c r="AB1488" s="15"/>
      <c r="AC1488" s="15"/>
      <c r="AD1488" s="15"/>
      <c r="AE1488" s="15"/>
      <c r="AF1488" s="2"/>
      <c r="AG1488" s="16" t="s">
        <v>45</v>
      </c>
      <c r="AH1488" s="12" t="s">
        <v>46</v>
      </c>
      <c r="AI1488" s="10" t="s">
        <v>4637</v>
      </c>
      <c r="AJ1488" s="10" t="s">
        <v>291</v>
      </c>
      <c r="AK1488" s="16" t="s">
        <v>45</v>
      </c>
      <c r="AL1488" s="10" t="s">
        <v>49</v>
      </c>
      <c r="AM1488" s="16" t="s">
        <v>45</v>
      </c>
      <c r="AN1488" s="10" t="s">
        <v>320</v>
      </c>
    </row>
    <row r="1489" ht="30.0" customHeight="1">
      <c r="A1489" s="9" t="str">
        <f t="shared" si="48"/>
        <v>Ativo</v>
      </c>
      <c r="B1489" s="9" t="str">
        <f t="shared" si="49"/>
        <v>N/I</v>
      </c>
      <c r="C1489" s="9" t="str">
        <f t="shared" si="80"/>
        <v>N/I</v>
      </c>
      <c r="D1489" s="10" t="s">
        <v>4686</v>
      </c>
      <c r="E1489" s="11" t="s">
        <v>4687</v>
      </c>
      <c r="F1489" s="11" t="s">
        <v>4762</v>
      </c>
      <c r="G1489" s="12" t="s">
        <v>3579</v>
      </c>
      <c r="H1489" s="27" t="s">
        <v>4763</v>
      </c>
      <c r="I1489" s="12" t="s">
        <v>3365</v>
      </c>
      <c r="J1489" s="10" t="s">
        <v>222</v>
      </c>
      <c r="K1489" s="10" t="s">
        <v>40</v>
      </c>
      <c r="L1489" s="10" t="s">
        <v>4</v>
      </c>
      <c r="M1489" s="14">
        <v>45965.0</v>
      </c>
      <c r="N1489" s="32" t="s">
        <v>4764</v>
      </c>
      <c r="O1489" s="10" t="s">
        <v>4765</v>
      </c>
      <c r="P1489" s="10" t="s">
        <v>4746</v>
      </c>
      <c r="Q1489" s="2"/>
      <c r="R1489" s="10">
        <v>24.0</v>
      </c>
      <c r="S1489" s="14">
        <v>45965.0</v>
      </c>
      <c r="T1489" s="14">
        <v>46695.0</v>
      </c>
      <c r="U1489" s="10">
        <f t="shared" si="123"/>
        <v>604</v>
      </c>
      <c r="V1489" s="2"/>
      <c r="W1489" s="15"/>
      <c r="X1489" s="15"/>
      <c r="Y1489" s="15"/>
      <c r="Z1489" s="15"/>
      <c r="AA1489" s="1"/>
      <c r="AB1489" s="15"/>
      <c r="AC1489" s="15"/>
      <c r="AD1489" s="15"/>
      <c r="AE1489" s="15"/>
      <c r="AF1489" s="2"/>
      <c r="AG1489" s="16" t="s">
        <v>45</v>
      </c>
      <c r="AH1489" s="12" t="s">
        <v>46</v>
      </c>
      <c r="AI1489" s="10" t="s">
        <v>4637</v>
      </c>
      <c r="AJ1489" s="10" t="s">
        <v>291</v>
      </c>
      <c r="AK1489" s="16" t="s">
        <v>45</v>
      </c>
      <c r="AL1489" s="10" t="s">
        <v>49</v>
      </c>
      <c r="AM1489" s="16" t="s">
        <v>45</v>
      </c>
      <c r="AN1489" s="10" t="s">
        <v>320</v>
      </c>
    </row>
    <row r="1490" ht="30.0" customHeight="1">
      <c r="A1490" s="9" t="str">
        <f t="shared" si="48"/>
        <v>Ativo</v>
      </c>
      <c r="B1490" s="9" t="str">
        <f t="shared" si="49"/>
        <v>N/I</v>
      </c>
      <c r="C1490" s="9" t="str">
        <f t="shared" si="80"/>
        <v>N/I</v>
      </c>
      <c r="D1490" s="10" t="s">
        <v>4686</v>
      </c>
      <c r="E1490" s="11" t="s">
        <v>4687</v>
      </c>
      <c r="F1490" s="11" t="s">
        <v>4766</v>
      </c>
      <c r="G1490" s="12" t="s">
        <v>3579</v>
      </c>
      <c r="H1490" s="27" t="s">
        <v>4767</v>
      </c>
      <c r="I1490" s="12" t="s">
        <v>4768</v>
      </c>
      <c r="J1490" s="10" t="s">
        <v>222</v>
      </c>
      <c r="K1490" s="10" t="s">
        <v>40</v>
      </c>
      <c r="L1490" s="10" t="s">
        <v>4</v>
      </c>
      <c r="M1490" s="14">
        <v>45966.0</v>
      </c>
      <c r="N1490" s="32" t="s">
        <v>4769</v>
      </c>
      <c r="O1490" s="10" t="s">
        <v>4770</v>
      </c>
      <c r="P1490" s="10" t="s">
        <v>4746</v>
      </c>
      <c r="Q1490" s="2"/>
      <c r="R1490" s="10">
        <v>24.0</v>
      </c>
      <c r="S1490" s="14">
        <v>45966.0</v>
      </c>
      <c r="T1490" s="14">
        <v>46696.0</v>
      </c>
      <c r="U1490" s="10">
        <f t="shared" si="123"/>
        <v>605</v>
      </c>
      <c r="V1490" s="2"/>
      <c r="W1490" s="15"/>
      <c r="X1490" s="15"/>
      <c r="Y1490" s="15"/>
      <c r="Z1490" s="15"/>
      <c r="AA1490" s="1"/>
      <c r="AB1490" s="15"/>
      <c r="AC1490" s="15"/>
      <c r="AD1490" s="15"/>
      <c r="AE1490" s="15"/>
      <c r="AF1490" s="2"/>
      <c r="AG1490" s="16" t="s">
        <v>45</v>
      </c>
      <c r="AH1490" s="12" t="s">
        <v>46</v>
      </c>
      <c r="AI1490" s="10" t="s">
        <v>4637</v>
      </c>
      <c r="AJ1490" s="10" t="s">
        <v>291</v>
      </c>
      <c r="AK1490" s="16" t="s">
        <v>45</v>
      </c>
      <c r="AL1490" s="10" t="s">
        <v>49</v>
      </c>
      <c r="AM1490" s="16" t="s">
        <v>45</v>
      </c>
      <c r="AN1490" s="10" t="s">
        <v>320</v>
      </c>
    </row>
    <row r="1491" ht="30.0" customHeight="1">
      <c r="A1491" s="9" t="str">
        <f t="shared" si="48"/>
        <v>Ativo</v>
      </c>
      <c r="B1491" s="9" t="str">
        <f t="shared" si="49"/>
        <v>N/I</v>
      </c>
      <c r="C1491" s="9" t="str">
        <f t="shared" si="80"/>
        <v>N/I</v>
      </c>
      <c r="D1491" s="10" t="s">
        <v>4686</v>
      </c>
      <c r="E1491" s="11" t="s">
        <v>4687</v>
      </c>
      <c r="F1491" s="11" t="s">
        <v>4771</v>
      </c>
      <c r="G1491" s="12" t="s">
        <v>3579</v>
      </c>
      <c r="H1491" s="27" t="s">
        <v>4772</v>
      </c>
      <c r="I1491" s="12" t="s">
        <v>463</v>
      </c>
      <c r="J1491" s="10" t="s">
        <v>222</v>
      </c>
      <c r="K1491" s="10" t="s">
        <v>40</v>
      </c>
      <c r="L1491" s="10" t="s">
        <v>4</v>
      </c>
      <c r="M1491" s="14">
        <v>45961.0</v>
      </c>
      <c r="N1491" s="32" t="s">
        <v>4773</v>
      </c>
      <c r="O1491" s="10" t="s">
        <v>4757</v>
      </c>
      <c r="P1491" s="10" t="s">
        <v>4746</v>
      </c>
      <c r="Q1491" s="2"/>
      <c r="R1491" s="10">
        <v>24.0</v>
      </c>
      <c r="S1491" s="14">
        <v>45961.0</v>
      </c>
      <c r="T1491" s="14">
        <v>46691.0</v>
      </c>
      <c r="U1491" s="10">
        <f t="shared" si="123"/>
        <v>600</v>
      </c>
      <c r="V1491" s="2"/>
      <c r="W1491" s="15"/>
      <c r="X1491" s="15"/>
      <c r="Y1491" s="15"/>
      <c r="Z1491" s="15"/>
      <c r="AA1491" s="1"/>
      <c r="AB1491" s="15"/>
      <c r="AC1491" s="15"/>
      <c r="AD1491" s="15"/>
      <c r="AE1491" s="15"/>
      <c r="AF1491" s="2"/>
      <c r="AG1491" s="16" t="s">
        <v>45</v>
      </c>
      <c r="AH1491" s="12" t="s">
        <v>46</v>
      </c>
      <c r="AI1491" s="10" t="s">
        <v>4637</v>
      </c>
      <c r="AJ1491" s="10" t="s">
        <v>291</v>
      </c>
      <c r="AK1491" s="16" t="s">
        <v>45</v>
      </c>
      <c r="AL1491" s="10" t="s">
        <v>49</v>
      </c>
      <c r="AM1491" s="16" t="s">
        <v>45</v>
      </c>
      <c r="AN1491" s="10" t="s">
        <v>320</v>
      </c>
    </row>
    <row r="1492" ht="30.0" customHeight="1">
      <c r="A1492" s="9" t="str">
        <f t="shared" si="48"/>
        <v>#VALUE!</v>
      </c>
      <c r="B1492" s="9" t="str">
        <f t="shared" si="49"/>
        <v>N/I</v>
      </c>
      <c r="C1492" s="9" t="str">
        <f t="shared" si="80"/>
        <v>N/I</v>
      </c>
      <c r="D1492" s="10" t="s">
        <v>4686</v>
      </c>
      <c r="E1492" s="11" t="s">
        <v>4687</v>
      </c>
      <c r="F1492" s="11" t="s">
        <v>4742</v>
      </c>
      <c r="G1492" s="12" t="s">
        <v>3579</v>
      </c>
      <c r="H1492" s="25" t="s">
        <v>187</v>
      </c>
      <c r="I1492" s="12" t="s">
        <v>463</v>
      </c>
      <c r="J1492" s="10" t="s">
        <v>222</v>
      </c>
      <c r="K1492" s="10" t="s">
        <v>40</v>
      </c>
      <c r="L1492" s="10" t="s">
        <v>4</v>
      </c>
      <c r="M1492" s="24" t="s">
        <v>193</v>
      </c>
      <c r="N1492" s="32" t="s">
        <v>4744</v>
      </c>
      <c r="O1492" s="10" t="s">
        <v>4745</v>
      </c>
      <c r="P1492" s="10" t="s">
        <v>4746</v>
      </c>
      <c r="Q1492" s="2"/>
      <c r="R1492" s="10">
        <v>24.0</v>
      </c>
      <c r="S1492" s="49" t="s">
        <v>1489</v>
      </c>
      <c r="T1492" s="49" t="s">
        <v>1489</v>
      </c>
      <c r="U1492" s="10" t="str">
        <f t="shared" si="123"/>
        <v>#VALUE!</v>
      </c>
      <c r="V1492" s="2"/>
      <c r="W1492" s="15"/>
      <c r="X1492" s="15"/>
      <c r="Y1492" s="15"/>
      <c r="Z1492" s="15"/>
      <c r="AA1492" s="1"/>
      <c r="AB1492" s="15"/>
      <c r="AC1492" s="15"/>
      <c r="AD1492" s="15"/>
      <c r="AE1492" s="15"/>
      <c r="AF1492" s="2"/>
      <c r="AG1492" s="16" t="s">
        <v>45</v>
      </c>
      <c r="AH1492" s="12" t="s">
        <v>46</v>
      </c>
      <c r="AI1492" s="10" t="s">
        <v>4637</v>
      </c>
      <c r="AJ1492" s="10" t="s">
        <v>291</v>
      </c>
      <c r="AK1492" s="16" t="s">
        <v>45</v>
      </c>
      <c r="AL1492" s="10" t="s">
        <v>49</v>
      </c>
      <c r="AM1492" s="16" t="s">
        <v>45</v>
      </c>
      <c r="AN1492" s="10" t="s">
        <v>320</v>
      </c>
    </row>
    <row r="1493" ht="30.0" customHeight="1">
      <c r="A1493" s="9" t="str">
        <f t="shared" si="48"/>
        <v>Inativo</v>
      </c>
      <c r="B1493" s="9" t="str">
        <f t="shared" si="49"/>
        <v>N/I</v>
      </c>
      <c r="C1493" s="9" t="str">
        <f t="shared" si="80"/>
        <v>N/I</v>
      </c>
      <c r="D1493" s="10" t="s">
        <v>4686</v>
      </c>
      <c r="E1493" s="11" t="s">
        <v>4687</v>
      </c>
      <c r="F1493" s="11" t="s">
        <v>4774</v>
      </c>
      <c r="G1493" s="12" t="s">
        <v>94</v>
      </c>
      <c r="H1493" s="36" t="s">
        <v>4775</v>
      </c>
      <c r="I1493" s="12" t="s">
        <v>4776</v>
      </c>
      <c r="J1493" s="10" t="s">
        <v>222</v>
      </c>
      <c r="K1493" s="10" t="s">
        <v>40</v>
      </c>
      <c r="L1493" s="10" t="s">
        <v>4</v>
      </c>
      <c r="M1493" s="22">
        <v>44161.0</v>
      </c>
      <c r="N1493" s="32" t="s">
        <v>4777</v>
      </c>
      <c r="O1493" s="10" t="s">
        <v>4778</v>
      </c>
      <c r="P1493" s="10" t="s">
        <v>4693</v>
      </c>
      <c r="Q1493" s="2"/>
      <c r="R1493" s="10">
        <v>60.0</v>
      </c>
      <c r="S1493" s="14">
        <v>44161.0</v>
      </c>
      <c r="T1493" s="14">
        <v>45987.0</v>
      </c>
      <c r="U1493" s="10">
        <f t="shared" si="123"/>
        <v>-104</v>
      </c>
      <c r="V1493" s="2"/>
      <c r="W1493" s="15"/>
      <c r="X1493" s="15"/>
      <c r="Y1493" s="15"/>
      <c r="Z1493" s="15"/>
      <c r="AA1493" s="1"/>
      <c r="AB1493" s="15"/>
      <c r="AC1493" s="15"/>
      <c r="AD1493" s="15"/>
      <c r="AE1493" s="15"/>
      <c r="AF1493" s="2"/>
      <c r="AG1493" s="10" t="s">
        <v>290</v>
      </c>
      <c r="AH1493" s="10" t="s">
        <v>318</v>
      </c>
      <c r="AI1493" s="10" t="s">
        <v>319</v>
      </c>
      <c r="AJ1493" s="10" t="s">
        <v>291</v>
      </c>
      <c r="AK1493" s="16" t="s">
        <v>45</v>
      </c>
      <c r="AL1493" s="10" t="s">
        <v>49</v>
      </c>
      <c r="AM1493" s="10" t="s">
        <v>508</v>
      </c>
      <c r="AN1493" s="10" t="s">
        <v>50</v>
      </c>
    </row>
    <row r="1494" ht="30.0" customHeight="1">
      <c r="A1494" s="9" t="str">
        <f t="shared" si="48"/>
        <v>Ativo</v>
      </c>
      <c r="B1494" s="9" t="str">
        <f t="shared" si="49"/>
        <v>N/I</v>
      </c>
      <c r="C1494" s="9" t="str">
        <f t="shared" si="80"/>
        <v>N/I</v>
      </c>
      <c r="D1494" s="10" t="s">
        <v>4686</v>
      </c>
      <c r="E1494" s="11" t="s">
        <v>4687</v>
      </c>
      <c r="F1494" s="11" t="s">
        <v>4779</v>
      </c>
      <c r="G1494" s="12" t="s">
        <v>94</v>
      </c>
      <c r="H1494" s="34" t="s">
        <v>4780</v>
      </c>
      <c r="I1494" s="12" t="s">
        <v>4781</v>
      </c>
      <c r="J1494" s="10" t="s">
        <v>222</v>
      </c>
      <c r="K1494" s="10" t="s">
        <v>40</v>
      </c>
      <c r="L1494" s="10" t="s">
        <v>4</v>
      </c>
      <c r="M1494" s="22">
        <v>45440.0</v>
      </c>
      <c r="N1494" s="32" t="s">
        <v>4782</v>
      </c>
      <c r="O1494" s="10" t="s">
        <v>4783</v>
      </c>
      <c r="P1494" s="10" t="s">
        <v>4699</v>
      </c>
      <c r="Q1494" s="2"/>
      <c r="R1494" s="10">
        <v>60.0</v>
      </c>
      <c r="S1494" s="14">
        <v>45440.0</v>
      </c>
      <c r="T1494" s="14">
        <v>47266.0</v>
      </c>
      <c r="U1494" s="10">
        <f t="shared" si="123"/>
        <v>1175</v>
      </c>
      <c r="V1494" s="2"/>
      <c r="W1494" s="15"/>
      <c r="X1494" s="15"/>
      <c r="Y1494" s="15"/>
      <c r="Z1494" s="15"/>
      <c r="AA1494" s="1"/>
      <c r="AB1494" s="15"/>
      <c r="AC1494" s="15"/>
      <c r="AD1494" s="15"/>
      <c r="AE1494" s="15"/>
      <c r="AF1494" s="2"/>
      <c r="AG1494" s="10" t="s">
        <v>290</v>
      </c>
      <c r="AH1494" s="10" t="s">
        <v>318</v>
      </c>
      <c r="AI1494" s="10" t="s">
        <v>319</v>
      </c>
      <c r="AJ1494" s="10" t="s">
        <v>291</v>
      </c>
      <c r="AK1494" s="16" t="s">
        <v>45</v>
      </c>
      <c r="AL1494" s="10" t="s">
        <v>49</v>
      </c>
      <c r="AM1494" s="10" t="s">
        <v>508</v>
      </c>
      <c r="AN1494" s="10" t="s">
        <v>50</v>
      </c>
    </row>
    <row r="1495" ht="30.0" customHeight="1">
      <c r="A1495" s="9" t="str">
        <f t="shared" si="48"/>
        <v>Ativo</v>
      </c>
      <c r="B1495" s="9" t="str">
        <f t="shared" si="49"/>
        <v>N/I</v>
      </c>
      <c r="C1495" s="9" t="str">
        <f t="shared" si="80"/>
        <v>N/I</v>
      </c>
      <c r="D1495" s="10" t="s">
        <v>4686</v>
      </c>
      <c r="E1495" s="11" t="s">
        <v>4687</v>
      </c>
      <c r="F1495" s="11" t="s">
        <v>4784</v>
      </c>
      <c r="G1495" s="12" t="s">
        <v>94</v>
      </c>
      <c r="H1495" s="34" t="s">
        <v>4785</v>
      </c>
      <c r="I1495" s="12" t="s">
        <v>4786</v>
      </c>
      <c r="J1495" s="10" t="s">
        <v>222</v>
      </c>
      <c r="K1495" s="10" t="s">
        <v>40</v>
      </c>
      <c r="L1495" s="10" t="s">
        <v>4</v>
      </c>
      <c r="M1495" s="22">
        <v>45511.0</v>
      </c>
      <c r="N1495" s="32" t="s">
        <v>4787</v>
      </c>
      <c r="O1495" s="10" t="s">
        <v>4788</v>
      </c>
      <c r="P1495" s="10" t="s">
        <v>4699</v>
      </c>
      <c r="Q1495" s="2"/>
      <c r="R1495" s="10">
        <v>60.0</v>
      </c>
      <c r="S1495" s="14">
        <v>45511.0</v>
      </c>
      <c r="T1495" s="14">
        <v>47337.0</v>
      </c>
      <c r="U1495" s="10">
        <f t="shared" si="123"/>
        <v>1246</v>
      </c>
      <c r="V1495" s="2"/>
      <c r="W1495" s="15"/>
      <c r="X1495" s="15"/>
      <c r="Y1495" s="15"/>
      <c r="Z1495" s="15"/>
      <c r="AA1495" s="1"/>
      <c r="AB1495" s="15"/>
      <c r="AC1495" s="15"/>
      <c r="AD1495" s="15"/>
      <c r="AE1495" s="15"/>
      <c r="AF1495" s="2"/>
      <c r="AG1495" s="10" t="s">
        <v>290</v>
      </c>
      <c r="AH1495" s="10" t="s">
        <v>318</v>
      </c>
      <c r="AI1495" s="10" t="s">
        <v>319</v>
      </c>
      <c r="AJ1495" s="10" t="s">
        <v>291</v>
      </c>
      <c r="AK1495" s="16" t="s">
        <v>45</v>
      </c>
      <c r="AL1495" s="10" t="s">
        <v>49</v>
      </c>
      <c r="AM1495" s="10" t="s">
        <v>508</v>
      </c>
      <c r="AN1495" s="10" t="s">
        <v>50</v>
      </c>
    </row>
    <row r="1496" ht="30.0" customHeight="1">
      <c r="A1496" s="9" t="str">
        <f t="shared" si="48"/>
        <v>N/I</v>
      </c>
      <c r="B1496" s="9" t="str">
        <f t="shared" si="49"/>
        <v>Ativo</v>
      </c>
      <c r="C1496" s="9" t="str">
        <f t="shared" si="80"/>
        <v>N/I</v>
      </c>
      <c r="D1496" s="10" t="s">
        <v>4789</v>
      </c>
      <c r="E1496" s="11" t="s">
        <v>4790</v>
      </c>
      <c r="F1496" s="32"/>
      <c r="G1496" s="12" t="s">
        <v>448</v>
      </c>
      <c r="H1496" s="36" t="s">
        <v>4791</v>
      </c>
      <c r="I1496" s="12" t="s">
        <v>857</v>
      </c>
      <c r="J1496" s="10" t="s">
        <v>858</v>
      </c>
      <c r="K1496" s="10" t="s">
        <v>41</v>
      </c>
      <c r="L1496" s="10" t="s">
        <v>264</v>
      </c>
      <c r="M1496" s="22">
        <v>44482.0</v>
      </c>
      <c r="N1496" s="32" t="s">
        <v>4792</v>
      </c>
      <c r="O1496" s="10" t="s">
        <v>4793</v>
      </c>
      <c r="P1496" s="10" t="s">
        <v>4794</v>
      </c>
      <c r="Q1496" s="2"/>
      <c r="R1496" s="15"/>
      <c r="S1496" s="15"/>
      <c r="T1496" s="15"/>
      <c r="U1496" s="15"/>
      <c r="V1496" s="2"/>
      <c r="W1496" s="10">
        <v>30.0</v>
      </c>
      <c r="X1496" s="14">
        <v>45635.0</v>
      </c>
      <c r="Y1496" s="14">
        <v>46547.0</v>
      </c>
      <c r="Z1496" s="10">
        <f>Y1496-TODAY()</f>
        <v>456</v>
      </c>
      <c r="AA1496" s="1"/>
      <c r="AB1496" s="15"/>
      <c r="AC1496" s="15"/>
      <c r="AD1496" s="15"/>
      <c r="AE1496" s="15"/>
      <c r="AF1496" s="2"/>
      <c r="AG1496" s="10" t="s">
        <v>354</v>
      </c>
      <c r="AH1496" s="16" t="s">
        <v>45</v>
      </c>
      <c r="AI1496" s="16" t="s">
        <v>45</v>
      </c>
      <c r="AJ1496" s="16" t="s">
        <v>45</v>
      </c>
      <c r="AK1496" s="16" t="s">
        <v>45</v>
      </c>
      <c r="AL1496" s="10" t="s">
        <v>49</v>
      </c>
      <c r="AM1496" s="16" t="s">
        <v>45</v>
      </c>
      <c r="AN1496" s="10" t="s">
        <v>50</v>
      </c>
    </row>
    <row r="1497" ht="30.0" customHeight="1">
      <c r="A1497" s="9" t="str">
        <f t="shared" si="48"/>
        <v>Inativo</v>
      </c>
      <c r="B1497" s="9" t="str">
        <f t="shared" si="49"/>
        <v>N/I</v>
      </c>
      <c r="C1497" s="9" t="str">
        <f t="shared" si="80"/>
        <v>N/I</v>
      </c>
      <c r="D1497" s="10" t="s">
        <v>4795</v>
      </c>
      <c r="E1497" s="11" t="s">
        <v>4796</v>
      </c>
      <c r="F1497" s="32"/>
      <c r="G1497" s="12" t="s">
        <v>94</v>
      </c>
      <c r="H1497" s="36">
        <v>150691.0</v>
      </c>
      <c r="I1497" s="12" t="s">
        <v>4797</v>
      </c>
      <c r="J1497" s="10" t="s">
        <v>870</v>
      </c>
      <c r="K1497" s="10" t="s">
        <v>209</v>
      </c>
      <c r="L1497" s="10" t="s">
        <v>4</v>
      </c>
      <c r="M1497" s="14">
        <v>43049.0</v>
      </c>
      <c r="N1497" s="32" t="s">
        <v>4798</v>
      </c>
      <c r="O1497" s="10" t="s">
        <v>4799</v>
      </c>
      <c r="P1497" s="10" t="s">
        <v>4800</v>
      </c>
      <c r="Q1497" s="2"/>
      <c r="R1497" s="10">
        <v>36.0</v>
      </c>
      <c r="S1497" s="14">
        <v>43049.0</v>
      </c>
      <c r="T1497" s="14">
        <v>44145.0</v>
      </c>
      <c r="U1497" s="10">
        <f t="shared" ref="U1497:U1535" si="124">T1497-TODAY()</f>
        <v>-1946</v>
      </c>
      <c r="V1497" s="2"/>
      <c r="W1497" s="15"/>
      <c r="X1497" s="15"/>
      <c r="Y1497" s="15"/>
      <c r="Z1497" s="15"/>
      <c r="AA1497" s="1"/>
      <c r="AB1497" s="15"/>
      <c r="AC1497" s="15"/>
      <c r="AD1497" s="15"/>
      <c r="AE1497" s="15"/>
      <c r="AF1497" s="2"/>
      <c r="AG1497" s="16" t="s">
        <v>45</v>
      </c>
      <c r="AH1497" s="16" t="s">
        <v>45</v>
      </c>
      <c r="AI1497" s="16" t="s">
        <v>45</v>
      </c>
      <c r="AJ1497" s="16" t="s">
        <v>45</v>
      </c>
      <c r="AK1497" s="16" t="s">
        <v>45</v>
      </c>
      <c r="AL1497" s="10" t="s">
        <v>49</v>
      </c>
      <c r="AM1497" s="16" t="s">
        <v>45</v>
      </c>
      <c r="AN1497" s="16" t="s">
        <v>45</v>
      </c>
    </row>
    <row r="1498" ht="30.0" customHeight="1">
      <c r="A1498" s="9" t="str">
        <f t="shared" si="48"/>
        <v>Inativo</v>
      </c>
      <c r="B1498" s="9" t="str">
        <f t="shared" si="49"/>
        <v>N/I</v>
      </c>
      <c r="C1498" s="9" t="str">
        <f t="shared" si="80"/>
        <v>N/I</v>
      </c>
      <c r="D1498" s="10" t="s">
        <v>4795</v>
      </c>
      <c r="E1498" s="11" t="s">
        <v>4796</v>
      </c>
      <c r="F1498" s="32"/>
      <c r="G1498" s="12" t="s">
        <v>94</v>
      </c>
      <c r="H1498" s="36">
        <v>150665.0</v>
      </c>
      <c r="I1498" s="12" t="s">
        <v>3554</v>
      </c>
      <c r="J1498" s="10" t="s">
        <v>870</v>
      </c>
      <c r="K1498" s="10" t="s">
        <v>209</v>
      </c>
      <c r="L1498" s="10" t="s">
        <v>4</v>
      </c>
      <c r="M1498" s="14">
        <v>43048.0</v>
      </c>
      <c r="N1498" s="32" t="s">
        <v>4801</v>
      </c>
      <c r="O1498" s="10" t="s">
        <v>3556</v>
      </c>
      <c r="P1498" s="10" t="s">
        <v>4800</v>
      </c>
      <c r="Q1498" s="2"/>
      <c r="R1498" s="10">
        <v>36.0</v>
      </c>
      <c r="S1498" s="14">
        <v>43048.0</v>
      </c>
      <c r="T1498" s="14">
        <v>44144.0</v>
      </c>
      <c r="U1498" s="10">
        <f t="shared" si="124"/>
        <v>-1947</v>
      </c>
      <c r="V1498" s="2"/>
      <c r="W1498" s="15"/>
      <c r="X1498" s="15"/>
      <c r="Y1498" s="15"/>
      <c r="Z1498" s="15"/>
      <c r="AA1498" s="1"/>
      <c r="AB1498" s="15"/>
      <c r="AC1498" s="15"/>
      <c r="AD1498" s="15"/>
      <c r="AE1498" s="15"/>
      <c r="AF1498" s="2"/>
      <c r="AG1498" s="16" t="s">
        <v>45</v>
      </c>
      <c r="AH1498" s="16" t="s">
        <v>45</v>
      </c>
      <c r="AI1498" s="16" t="s">
        <v>45</v>
      </c>
      <c r="AJ1498" s="16" t="s">
        <v>45</v>
      </c>
      <c r="AK1498" s="16" t="s">
        <v>45</v>
      </c>
      <c r="AL1498" s="10" t="s">
        <v>49</v>
      </c>
      <c r="AM1498" s="16" t="s">
        <v>45</v>
      </c>
      <c r="AN1498" s="16" t="s">
        <v>45</v>
      </c>
    </row>
    <row r="1499" ht="30.0" customHeight="1">
      <c r="A1499" s="9" t="str">
        <f t="shared" si="48"/>
        <v>Inativo</v>
      </c>
      <c r="B1499" s="9" t="str">
        <f t="shared" si="49"/>
        <v>N/I</v>
      </c>
      <c r="C1499" s="9" t="str">
        <f t="shared" si="80"/>
        <v>N/I</v>
      </c>
      <c r="D1499" s="10" t="s">
        <v>4795</v>
      </c>
      <c r="E1499" s="11" t="s">
        <v>4796</v>
      </c>
      <c r="F1499" s="32"/>
      <c r="G1499" s="12" t="s">
        <v>94</v>
      </c>
      <c r="H1499" s="36">
        <v>150800.0</v>
      </c>
      <c r="I1499" s="12" t="s">
        <v>869</v>
      </c>
      <c r="J1499" s="10" t="s">
        <v>870</v>
      </c>
      <c r="K1499" s="10" t="s">
        <v>209</v>
      </c>
      <c r="L1499" s="10" t="s">
        <v>4</v>
      </c>
      <c r="M1499" s="14">
        <v>43046.0</v>
      </c>
      <c r="N1499" s="32" t="s">
        <v>4802</v>
      </c>
      <c r="O1499" s="10" t="s">
        <v>4803</v>
      </c>
      <c r="P1499" s="10" t="s">
        <v>4800</v>
      </c>
      <c r="Q1499" s="2"/>
      <c r="R1499" s="10">
        <v>36.0</v>
      </c>
      <c r="S1499" s="14">
        <v>43046.0</v>
      </c>
      <c r="T1499" s="14">
        <v>44142.0</v>
      </c>
      <c r="U1499" s="10">
        <f t="shared" si="124"/>
        <v>-1949</v>
      </c>
      <c r="V1499" s="2"/>
      <c r="W1499" s="15"/>
      <c r="X1499" s="15"/>
      <c r="Y1499" s="15"/>
      <c r="Z1499" s="15"/>
      <c r="AA1499" s="1"/>
      <c r="AB1499" s="15"/>
      <c r="AC1499" s="15"/>
      <c r="AD1499" s="15"/>
      <c r="AE1499" s="15"/>
      <c r="AF1499" s="2"/>
      <c r="AG1499" s="16" t="s">
        <v>45</v>
      </c>
      <c r="AH1499" s="16" t="s">
        <v>45</v>
      </c>
      <c r="AI1499" s="16" t="s">
        <v>45</v>
      </c>
      <c r="AJ1499" s="16" t="s">
        <v>45</v>
      </c>
      <c r="AK1499" s="16" t="s">
        <v>45</v>
      </c>
      <c r="AL1499" s="10" t="s">
        <v>49</v>
      </c>
      <c r="AM1499" s="16" t="s">
        <v>45</v>
      </c>
      <c r="AN1499" s="16" t="s">
        <v>45</v>
      </c>
    </row>
    <row r="1500" ht="30.0" customHeight="1">
      <c r="A1500" s="9" t="str">
        <f t="shared" si="48"/>
        <v>Inativo</v>
      </c>
      <c r="B1500" s="9" t="str">
        <f t="shared" si="49"/>
        <v>N/I</v>
      </c>
      <c r="C1500" s="9" t="str">
        <f t="shared" si="80"/>
        <v>N/I</v>
      </c>
      <c r="D1500" s="10" t="s">
        <v>4795</v>
      </c>
      <c r="E1500" s="11" t="s">
        <v>4796</v>
      </c>
      <c r="F1500" s="32"/>
      <c r="G1500" s="12" t="s">
        <v>94</v>
      </c>
      <c r="H1500" s="36">
        <v>150661.0</v>
      </c>
      <c r="I1500" s="12" t="s">
        <v>3568</v>
      </c>
      <c r="J1500" s="10" t="s">
        <v>870</v>
      </c>
      <c r="K1500" s="10" t="s">
        <v>209</v>
      </c>
      <c r="L1500" s="10" t="s">
        <v>4</v>
      </c>
      <c r="M1500" s="14">
        <v>43082.0</v>
      </c>
      <c r="N1500" s="32" t="s">
        <v>4804</v>
      </c>
      <c r="O1500" s="10" t="s">
        <v>3570</v>
      </c>
      <c r="P1500" s="10" t="s">
        <v>4800</v>
      </c>
      <c r="Q1500" s="2"/>
      <c r="R1500" s="10">
        <v>36.0</v>
      </c>
      <c r="S1500" s="14">
        <v>43082.0</v>
      </c>
      <c r="T1500" s="14">
        <v>44178.0</v>
      </c>
      <c r="U1500" s="10">
        <f t="shared" si="124"/>
        <v>-1913</v>
      </c>
      <c r="V1500" s="2"/>
      <c r="W1500" s="15"/>
      <c r="X1500" s="15"/>
      <c r="Y1500" s="15"/>
      <c r="Z1500" s="15"/>
      <c r="AA1500" s="1"/>
      <c r="AB1500" s="15"/>
      <c r="AC1500" s="15"/>
      <c r="AD1500" s="15"/>
      <c r="AE1500" s="15"/>
      <c r="AF1500" s="2"/>
      <c r="AG1500" s="16" t="s">
        <v>45</v>
      </c>
      <c r="AH1500" s="16" t="s">
        <v>45</v>
      </c>
      <c r="AI1500" s="16" t="s">
        <v>45</v>
      </c>
      <c r="AJ1500" s="16" t="s">
        <v>45</v>
      </c>
      <c r="AK1500" s="16" t="s">
        <v>45</v>
      </c>
      <c r="AL1500" s="10" t="s">
        <v>49</v>
      </c>
      <c r="AM1500" s="16" t="s">
        <v>45</v>
      </c>
      <c r="AN1500" s="16" t="s">
        <v>45</v>
      </c>
    </row>
    <row r="1501" ht="30.0" customHeight="1">
      <c r="A1501" s="9" t="str">
        <f t="shared" si="48"/>
        <v>Inativo</v>
      </c>
      <c r="B1501" s="9" t="str">
        <f t="shared" si="49"/>
        <v>N/I</v>
      </c>
      <c r="C1501" s="9" t="str">
        <f t="shared" si="80"/>
        <v>N/I</v>
      </c>
      <c r="D1501" s="10" t="s">
        <v>4805</v>
      </c>
      <c r="E1501" s="11" t="s">
        <v>4806</v>
      </c>
      <c r="F1501" s="11" t="s">
        <v>4807</v>
      </c>
      <c r="G1501" s="12" t="s">
        <v>94</v>
      </c>
      <c r="H1501" s="36" t="s">
        <v>4808</v>
      </c>
      <c r="I1501" s="12" t="s">
        <v>790</v>
      </c>
      <c r="J1501" s="10" t="s">
        <v>791</v>
      </c>
      <c r="K1501" s="10" t="s">
        <v>209</v>
      </c>
      <c r="L1501" s="10" t="s">
        <v>4</v>
      </c>
      <c r="M1501" s="14">
        <v>44230.0</v>
      </c>
      <c r="N1501" s="11" t="s">
        <v>4809</v>
      </c>
      <c r="O1501" s="10" t="s">
        <v>4810</v>
      </c>
      <c r="P1501" s="10" t="s">
        <v>4811</v>
      </c>
      <c r="Q1501" s="2"/>
      <c r="R1501" s="10">
        <v>36.0</v>
      </c>
      <c r="S1501" s="14">
        <v>44230.0</v>
      </c>
      <c r="T1501" s="14">
        <v>45325.0</v>
      </c>
      <c r="U1501" s="10">
        <f t="shared" si="124"/>
        <v>-766</v>
      </c>
      <c r="V1501" s="2"/>
      <c r="W1501" s="15"/>
      <c r="X1501" s="15"/>
      <c r="Y1501" s="15"/>
      <c r="Z1501" s="15"/>
      <c r="AA1501" s="1"/>
      <c r="AB1501" s="15"/>
      <c r="AC1501" s="15"/>
      <c r="AD1501" s="15"/>
      <c r="AE1501" s="15"/>
      <c r="AF1501" s="2"/>
      <c r="AG1501" s="12" t="s">
        <v>4812</v>
      </c>
      <c r="AH1501" s="10" t="s">
        <v>318</v>
      </c>
      <c r="AI1501" s="10" t="s">
        <v>319</v>
      </c>
      <c r="AJ1501" s="10" t="s">
        <v>291</v>
      </c>
      <c r="AK1501" s="16" t="s">
        <v>45</v>
      </c>
      <c r="AL1501" s="10" t="s">
        <v>49</v>
      </c>
      <c r="AM1501" s="16" t="s">
        <v>45</v>
      </c>
      <c r="AN1501" s="10" t="s">
        <v>50</v>
      </c>
    </row>
    <row r="1502" ht="30.0" customHeight="1">
      <c r="A1502" s="9" t="str">
        <f t="shared" si="48"/>
        <v>Inativo</v>
      </c>
      <c r="B1502" s="9" t="str">
        <f t="shared" si="49"/>
        <v>N/I</v>
      </c>
      <c r="C1502" s="9" t="str">
        <f t="shared" si="80"/>
        <v>N/I</v>
      </c>
      <c r="D1502" s="10" t="s">
        <v>4813</v>
      </c>
      <c r="E1502" s="11" t="s">
        <v>4814</v>
      </c>
      <c r="F1502" s="11" t="s">
        <v>4815</v>
      </c>
      <c r="G1502" s="12" t="s">
        <v>94</v>
      </c>
      <c r="H1502" s="16" t="s">
        <v>4816</v>
      </c>
      <c r="I1502" s="12" t="s">
        <v>534</v>
      </c>
      <c r="J1502" s="10" t="s">
        <v>521</v>
      </c>
      <c r="K1502" s="10" t="s">
        <v>263</v>
      </c>
      <c r="L1502" s="10" t="s">
        <v>4</v>
      </c>
      <c r="M1502" s="22">
        <v>43818.0</v>
      </c>
      <c r="N1502" s="32" t="s">
        <v>4817</v>
      </c>
      <c r="O1502" s="10" t="s">
        <v>4818</v>
      </c>
      <c r="P1502" s="10" t="s">
        <v>4819</v>
      </c>
      <c r="Q1502" s="2"/>
      <c r="R1502" s="10">
        <v>60.0</v>
      </c>
      <c r="S1502" s="14">
        <v>43818.0</v>
      </c>
      <c r="T1502" s="14">
        <v>45645.0</v>
      </c>
      <c r="U1502" s="10">
        <f t="shared" si="124"/>
        <v>-446</v>
      </c>
      <c r="V1502" s="2"/>
      <c r="W1502" s="15"/>
      <c r="X1502" s="15"/>
      <c r="Y1502" s="15"/>
      <c r="Z1502" s="15"/>
      <c r="AA1502" s="1"/>
      <c r="AB1502" s="15"/>
      <c r="AC1502" s="15"/>
      <c r="AD1502" s="15"/>
      <c r="AE1502" s="15"/>
      <c r="AF1502" s="2"/>
      <c r="AG1502" s="10" t="s">
        <v>290</v>
      </c>
      <c r="AH1502" s="10" t="s">
        <v>318</v>
      </c>
      <c r="AI1502" s="10" t="s">
        <v>319</v>
      </c>
      <c r="AJ1502" s="10" t="s">
        <v>291</v>
      </c>
      <c r="AK1502" s="16" t="s">
        <v>45</v>
      </c>
      <c r="AL1502" s="10" t="s">
        <v>49</v>
      </c>
      <c r="AM1502" s="16" t="s">
        <v>45</v>
      </c>
      <c r="AN1502" s="10" t="s">
        <v>50</v>
      </c>
    </row>
    <row r="1503" ht="30.0" customHeight="1">
      <c r="A1503" s="9" t="str">
        <f t="shared" si="48"/>
        <v>Inativo</v>
      </c>
      <c r="B1503" s="9" t="str">
        <f t="shared" si="49"/>
        <v>N/I</v>
      </c>
      <c r="C1503" s="9" t="str">
        <f t="shared" si="80"/>
        <v>N/I</v>
      </c>
      <c r="D1503" s="10" t="s">
        <v>4813</v>
      </c>
      <c r="E1503" s="11" t="s">
        <v>4814</v>
      </c>
      <c r="F1503" s="11" t="s">
        <v>4820</v>
      </c>
      <c r="G1503" s="12" t="s">
        <v>94</v>
      </c>
      <c r="H1503" s="36" t="s">
        <v>4821</v>
      </c>
      <c r="I1503" s="12" t="s">
        <v>4822</v>
      </c>
      <c r="J1503" s="10" t="s">
        <v>521</v>
      </c>
      <c r="K1503" s="10" t="s">
        <v>263</v>
      </c>
      <c r="L1503" s="10" t="s">
        <v>4</v>
      </c>
      <c r="M1503" s="22">
        <v>44104.0</v>
      </c>
      <c r="N1503" s="32" t="s">
        <v>4823</v>
      </c>
      <c r="O1503" s="10" t="s">
        <v>4824</v>
      </c>
      <c r="P1503" s="10" t="s">
        <v>4825</v>
      </c>
      <c r="Q1503" s="2"/>
      <c r="R1503" s="10">
        <v>60.0</v>
      </c>
      <c r="S1503" s="14">
        <v>44104.0</v>
      </c>
      <c r="T1503" s="14">
        <v>45930.0</v>
      </c>
      <c r="U1503" s="10">
        <f t="shared" si="124"/>
        <v>-161</v>
      </c>
      <c r="V1503" s="2"/>
      <c r="W1503" s="15"/>
      <c r="X1503" s="15"/>
      <c r="Y1503" s="15"/>
      <c r="Z1503" s="15"/>
      <c r="AA1503" s="1"/>
      <c r="AB1503" s="15"/>
      <c r="AC1503" s="15"/>
      <c r="AD1503" s="15"/>
      <c r="AE1503" s="15"/>
      <c r="AF1503" s="2"/>
      <c r="AG1503" s="10" t="s">
        <v>290</v>
      </c>
      <c r="AH1503" s="10" t="s">
        <v>318</v>
      </c>
      <c r="AI1503" s="10" t="s">
        <v>319</v>
      </c>
      <c r="AJ1503" s="10" t="s">
        <v>291</v>
      </c>
      <c r="AK1503" s="16" t="s">
        <v>45</v>
      </c>
      <c r="AL1503" s="10" t="s">
        <v>49</v>
      </c>
      <c r="AM1503" s="16" t="s">
        <v>45</v>
      </c>
      <c r="AN1503" s="10" t="s">
        <v>50</v>
      </c>
    </row>
    <row r="1504" ht="30.0" customHeight="1">
      <c r="A1504" s="9" t="str">
        <f t="shared" si="48"/>
        <v>Inativo</v>
      </c>
      <c r="B1504" s="9" t="str">
        <f t="shared" si="49"/>
        <v>N/I</v>
      </c>
      <c r="C1504" s="9" t="str">
        <f t="shared" si="80"/>
        <v>N/I</v>
      </c>
      <c r="D1504" s="10" t="s">
        <v>4813</v>
      </c>
      <c r="E1504" s="11" t="s">
        <v>4814</v>
      </c>
      <c r="F1504" s="11" t="s">
        <v>4826</v>
      </c>
      <c r="G1504" s="12" t="s">
        <v>94</v>
      </c>
      <c r="H1504" s="16" t="s">
        <v>4827</v>
      </c>
      <c r="I1504" s="12" t="s">
        <v>4828</v>
      </c>
      <c r="J1504" s="10" t="s">
        <v>521</v>
      </c>
      <c r="K1504" s="10" t="s">
        <v>263</v>
      </c>
      <c r="L1504" s="10" t="s">
        <v>4</v>
      </c>
      <c r="M1504" s="22">
        <v>43815.0</v>
      </c>
      <c r="N1504" s="32" t="s">
        <v>4829</v>
      </c>
      <c r="O1504" s="10" t="s">
        <v>4830</v>
      </c>
      <c r="P1504" s="10" t="s">
        <v>4819</v>
      </c>
      <c r="Q1504" s="2"/>
      <c r="R1504" s="10">
        <v>60.0</v>
      </c>
      <c r="S1504" s="14">
        <v>43815.0</v>
      </c>
      <c r="T1504" s="14">
        <v>45642.0</v>
      </c>
      <c r="U1504" s="10">
        <f t="shared" si="124"/>
        <v>-449</v>
      </c>
      <c r="V1504" s="2"/>
      <c r="W1504" s="15"/>
      <c r="X1504" s="15"/>
      <c r="Y1504" s="15"/>
      <c r="Z1504" s="15"/>
      <c r="AA1504" s="1"/>
      <c r="AB1504" s="15"/>
      <c r="AC1504" s="15"/>
      <c r="AD1504" s="15"/>
      <c r="AE1504" s="15"/>
      <c r="AF1504" s="2"/>
      <c r="AG1504" s="10" t="s">
        <v>290</v>
      </c>
      <c r="AH1504" s="10" t="s">
        <v>318</v>
      </c>
      <c r="AI1504" s="10" t="s">
        <v>319</v>
      </c>
      <c r="AJ1504" s="10" t="s">
        <v>291</v>
      </c>
      <c r="AK1504" s="16" t="s">
        <v>45</v>
      </c>
      <c r="AL1504" s="10" t="s">
        <v>49</v>
      </c>
      <c r="AM1504" s="16" t="s">
        <v>45</v>
      </c>
      <c r="AN1504" s="10" t="s">
        <v>50</v>
      </c>
    </row>
    <row r="1505" ht="30.0" customHeight="1">
      <c r="A1505" s="9" t="str">
        <f t="shared" si="48"/>
        <v>Inativo</v>
      </c>
      <c r="B1505" s="9" t="str">
        <f t="shared" si="49"/>
        <v>N/I</v>
      </c>
      <c r="C1505" s="9" t="str">
        <f t="shared" si="80"/>
        <v>N/I</v>
      </c>
      <c r="D1505" s="10" t="s">
        <v>4813</v>
      </c>
      <c r="E1505" s="11" t="s">
        <v>4814</v>
      </c>
      <c r="F1505" s="11" t="s">
        <v>4831</v>
      </c>
      <c r="G1505" s="12" t="s">
        <v>94</v>
      </c>
      <c r="H1505" s="16" t="s">
        <v>4832</v>
      </c>
      <c r="I1505" s="12" t="s">
        <v>4281</v>
      </c>
      <c r="J1505" s="10" t="s">
        <v>521</v>
      </c>
      <c r="K1505" s="10" t="s">
        <v>263</v>
      </c>
      <c r="L1505" s="10" t="s">
        <v>4</v>
      </c>
      <c r="M1505" s="22">
        <v>43929.0</v>
      </c>
      <c r="N1505" s="59" t="s">
        <v>4282</v>
      </c>
      <c r="O1505" s="12" t="s">
        <v>4283</v>
      </c>
      <c r="P1505" s="10" t="s">
        <v>4833</v>
      </c>
      <c r="Q1505" s="2"/>
      <c r="R1505" s="10">
        <v>60.0</v>
      </c>
      <c r="S1505" s="14">
        <v>43929.0</v>
      </c>
      <c r="T1505" s="14">
        <v>45755.0</v>
      </c>
      <c r="U1505" s="10">
        <f t="shared" si="124"/>
        <v>-336</v>
      </c>
      <c r="V1505" s="2"/>
      <c r="W1505" s="15"/>
      <c r="X1505" s="15"/>
      <c r="Y1505" s="15"/>
      <c r="Z1505" s="15"/>
      <c r="AA1505" s="1"/>
      <c r="AB1505" s="15"/>
      <c r="AC1505" s="15"/>
      <c r="AD1505" s="15"/>
      <c r="AE1505" s="15"/>
      <c r="AF1505" s="2"/>
      <c r="AG1505" s="10" t="s">
        <v>290</v>
      </c>
      <c r="AH1505" s="10" t="s">
        <v>318</v>
      </c>
      <c r="AI1505" s="10" t="s">
        <v>319</v>
      </c>
      <c r="AJ1505" s="10" t="s">
        <v>291</v>
      </c>
      <c r="AK1505" s="16" t="s">
        <v>45</v>
      </c>
      <c r="AL1505" s="10" t="s">
        <v>49</v>
      </c>
      <c r="AM1505" s="16" t="s">
        <v>45</v>
      </c>
      <c r="AN1505" s="10" t="s">
        <v>50</v>
      </c>
    </row>
    <row r="1506" ht="30.0" customHeight="1">
      <c r="A1506" s="9" t="str">
        <f t="shared" si="48"/>
        <v>Inativo</v>
      </c>
      <c r="B1506" s="9" t="str">
        <f t="shared" si="49"/>
        <v>N/I</v>
      </c>
      <c r="C1506" s="9" t="str">
        <f t="shared" si="80"/>
        <v>N/I</v>
      </c>
      <c r="D1506" s="10" t="s">
        <v>4813</v>
      </c>
      <c r="E1506" s="11" t="s">
        <v>4814</v>
      </c>
      <c r="F1506" s="11" t="s">
        <v>4834</v>
      </c>
      <c r="G1506" s="12" t="s">
        <v>94</v>
      </c>
      <c r="H1506" s="16" t="s">
        <v>4835</v>
      </c>
      <c r="I1506" s="12" t="s">
        <v>4836</v>
      </c>
      <c r="J1506" s="10" t="s">
        <v>521</v>
      </c>
      <c r="K1506" s="10" t="s">
        <v>263</v>
      </c>
      <c r="L1506" s="10" t="s">
        <v>4</v>
      </c>
      <c r="M1506" s="22">
        <v>43755.0</v>
      </c>
      <c r="N1506" s="32" t="s">
        <v>4837</v>
      </c>
      <c r="O1506" s="10" t="s">
        <v>4838</v>
      </c>
      <c r="P1506" s="10" t="s">
        <v>4839</v>
      </c>
      <c r="Q1506" s="2"/>
      <c r="R1506" s="10">
        <v>60.0</v>
      </c>
      <c r="S1506" s="14">
        <v>43737.0</v>
      </c>
      <c r="T1506" s="14">
        <v>45564.0</v>
      </c>
      <c r="U1506" s="10">
        <f t="shared" si="124"/>
        <v>-527</v>
      </c>
      <c r="V1506" s="2"/>
      <c r="W1506" s="15"/>
      <c r="X1506" s="15"/>
      <c r="Y1506" s="15"/>
      <c r="Z1506" s="15"/>
      <c r="AA1506" s="1"/>
      <c r="AB1506" s="15"/>
      <c r="AC1506" s="15"/>
      <c r="AD1506" s="15"/>
      <c r="AE1506" s="15"/>
      <c r="AF1506" s="2"/>
      <c r="AG1506" s="10" t="s">
        <v>290</v>
      </c>
      <c r="AH1506" s="10" t="s">
        <v>318</v>
      </c>
      <c r="AI1506" s="10" t="s">
        <v>319</v>
      </c>
      <c r="AJ1506" s="10" t="s">
        <v>291</v>
      </c>
      <c r="AK1506" s="16" t="s">
        <v>45</v>
      </c>
      <c r="AL1506" s="10" t="s">
        <v>49</v>
      </c>
      <c r="AM1506" s="16" t="s">
        <v>45</v>
      </c>
      <c r="AN1506" s="10" t="s">
        <v>50</v>
      </c>
    </row>
    <row r="1507" ht="30.0" customHeight="1">
      <c r="A1507" s="9" t="str">
        <f t="shared" si="48"/>
        <v>Inativo</v>
      </c>
      <c r="B1507" s="9" t="str">
        <f t="shared" si="49"/>
        <v>N/I</v>
      </c>
      <c r="C1507" s="9" t="str">
        <f t="shared" si="80"/>
        <v>N/I</v>
      </c>
      <c r="D1507" s="10" t="s">
        <v>4813</v>
      </c>
      <c r="E1507" s="11" t="s">
        <v>4814</v>
      </c>
      <c r="F1507" s="11" t="s">
        <v>4840</v>
      </c>
      <c r="G1507" s="12" t="s">
        <v>94</v>
      </c>
      <c r="H1507" s="36" t="s">
        <v>4841</v>
      </c>
      <c r="I1507" s="12" t="s">
        <v>4324</v>
      </c>
      <c r="J1507" s="10" t="s">
        <v>521</v>
      </c>
      <c r="K1507" s="10" t="s">
        <v>263</v>
      </c>
      <c r="L1507" s="10" t="s">
        <v>4</v>
      </c>
      <c r="M1507" s="22">
        <v>44103.0</v>
      </c>
      <c r="N1507" s="32" t="s">
        <v>4842</v>
      </c>
      <c r="O1507" s="10" t="s">
        <v>4843</v>
      </c>
      <c r="P1507" s="10" t="s">
        <v>4825</v>
      </c>
      <c r="Q1507" s="2"/>
      <c r="R1507" s="10">
        <v>60.0</v>
      </c>
      <c r="S1507" s="14">
        <v>44103.0</v>
      </c>
      <c r="T1507" s="14">
        <v>45929.0</v>
      </c>
      <c r="U1507" s="10">
        <f t="shared" si="124"/>
        <v>-162</v>
      </c>
      <c r="V1507" s="2"/>
      <c r="W1507" s="15"/>
      <c r="X1507" s="15"/>
      <c r="Y1507" s="15"/>
      <c r="Z1507" s="15"/>
      <c r="AA1507" s="1"/>
      <c r="AB1507" s="15"/>
      <c r="AC1507" s="15"/>
      <c r="AD1507" s="15"/>
      <c r="AE1507" s="15"/>
      <c r="AF1507" s="2"/>
      <c r="AG1507" s="10" t="s">
        <v>290</v>
      </c>
      <c r="AH1507" s="10" t="s">
        <v>318</v>
      </c>
      <c r="AI1507" s="10" t="s">
        <v>319</v>
      </c>
      <c r="AJ1507" s="10" t="s">
        <v>291</v>
      </c>
      <c r="AK1507" s="16" t="s">
        <v>45</v>
      </c>
      <c r="AL1507" s="10" t="s">
        <v>49</v>
      </c>
      <c r="AM1507" s="16" t="s">
        <v>45</v>
      </c>
      <c r="AN1507" s="10" t="s">
        <v>50</v>
      </c>
    </row>
    <row r="1508" ht="30.0" customHeight="1">
      <c r="A1508" s="9" t="str">
        <f t="shared" si="48"/>
        <v>Inativo</v>
      </c>
      <c r="B1508" s="9" t="str">
        <f t="shared" si="49"/>
        <v>N/I</v>
      </c>
      <c r="C1508" s="9" t="str">
        <f t="shared" si="80"/>
        <v>N/I</v>
      </c>
      <c r="D1508" s="10" t="s">
        <v>4813</v>
      </c>
      <c r="E1508" s="11" t="s">
        <v>4814</v>
      </c>
      <c r="F1508" s="11" t="s">
        <v>4844</v>
      </c>
      <c r="G1508" s="12" t="s">
        <v>94</v>
      </c>
      <c r="H1508" s="16" t="s">
        <v>4845</v>
      </c>
      <c r="I1508" s="12" t="s">
        <v>4846</v>
      </c>
      <c r="J1508" s="10" t="s">
        <v>521</v>
      </c>
      <c r="K1508" s="10" t="s">
        <v>263</v>
      </c>
      <c r="L1508" s="10" t="s">
        <v>4</v>
      </c>
      <c r="M1508" s="22">
        <v>43816.0</v>
      </c>
      <c r="N1508" s="32" t="s">
        <v>4847</v>
      </c>
      <c r="O1508" s="10" t="s">
        <v>4848</v>
      </c>
      <c r="P1508" s="10" t="s">
        <v>4819</v>
      </c>
      <c r="Q1508" s="2"/>
      <c r="R1508" s="10">
        <v>60.0</v>
      </c>
      <c r="S1508" s="14">
        <v>43816.0</v>
      </c>
      <c r="T1508" s="14">
        <v>45643.0</v>
      </c>
      <c r="U1508" s="10">
        <f t="shared" si="124"/>
        <v>-448</v>
      </c>
      <c r="V1508" s="2"/>
      <c r="W1508" s="15"/>
      <c r="X1508" s="15"/>
      <c r="Y1508" s="15"/>
      <c r="Z1508" s="15"/>
      <c r="AA1508" s="1"/>
      <c r="AB1508" s="15"/>
      <c r="AC1508" s="15"/>
      <c r="AD1508" s="15"/>
      <c r="AE1508" s="15"/>
      <c r="AF1508" s="2"/>
      <c r="AG1508" s="10" t="s">
        <v>290</v>
      </c>
      <c r="AH1508" s="10" t="s">
        <v>318</v>
      </c>
      <c r="AI1508" s="10" t="s">
        <v>319</v>
      </c>
      <c r="AJ1508" s="10" t="s">
        <v>291</v>
      </c>
      <c r="AK1508" s="16" t="s">
        <v>45</v>
      </c>
      <c r="AL1508" s="10" t="s">
        <v>49</v>
      </c>
      <c r="AM1508" s="16" t="s">
        <v>45</v>
      </c>
      <c r="AN1508" s="10" t="s">
        <v>50</v>
      </c>
    </row>
    <row r="1509" ht="30.0" customHeight="1">
      <c r="A1509" s="9" t="str">
        <f t="shared" si="48"/>
        <v>Inativo</v>
      </c>
      <c r="B1509" s="9" t="str">
        <f t="shared" si="49"/>
        <v>N/I</v>
      </c>
      <c r="C1509" s="9" t="str">
        <f t="shared" si="80"/>
        <v>N/I</v>
      </c>
      <c r="D1509" s="10" t="s">
        <v>4813</v>
      </c>
      <c r="E1509" s="11" t="s">
        <v>4814</v>
      </c>
      <c r="F1509" s="11" t="s">
        <v>4849</v>
      </c>
      <c r="G1509" s="12" t="s">
        <v>94</v>
      </c>
      <c r="H1509" s="16" t="s">
        <v>4850</v>
      </c>
      <c r="I1509" s="12" t="s">
        <v>4851</v>
      </c>
      <c r="J1509" s="10" t="s">
        <v>521</v>
      </c>
      <c r="K1509" s="10" t="s">
        <v>263</v>
      </c>
      <c r="L1509" s="10" t="s">
        <v>4</v>
      </c>
      <c r="M1509" s="22">
        <v>43816.0</v>
      </c>
      <c r="N1509" s="32" t="s">
        <v>4852</v>
      </c>
      <c r="O1509" s="10" t="s">
        <v>4250</v>
      </c>
      <c r="P1509" s="10" t="s">
        <v>4819</v>
      </c>
      <c r="Q1509" s="2"/>
      <c r="R1509" s="10">
        <v>60.0</v>
      </c>
      <c r="S1509" s="14">
        <v>43816.0</v>
      </c>
      <c r="T1509" s="14">
        <v>45643.0</v>
      </c>
      <c r="U1509" s="10">
        <f t="shared" si="124"/>
        <v>-448</v>
      </c>
      <c r="V1509" s="2"/>
      <c r="W1509" s="15"/>
      <c r="X1509" s="15"/>
      <c r="Y1509" s="15"/>
      <c r="Z1509" s="15"/>
      <c r="AA1509" s="1"/>
      <c r="AB1509" s="15"/>
      <c r="AC1509" s="15"/>
      <c r="AD1509" s="15"/>
      <c r="AE1509" s="15"/>
      <c r="AF1509" s="2"/>
      <c r="AG1509" s="10" t="s">
        <v>290</v>
      </c>
      <c r="AH1509" s="10" t="s">
        <v>318</v>
      </c>
      <c r="AI1509" s="10" t="s">
        <v>319</v>
      </c>
      <c r="AJ1509" s="10" t="s">
        <v>291</v>
      </c>
      <c r="AK1509" s="16" t="s">
        <v>45</v>
      </c>
      <c r="AL1509" s="10" t="s">
        <v>49</v>
      </c>
      <c r="AM1509" s="16" t="s">
        <v>45</v>
      </c>
      <c r="AN1509" s="10" t="s">
        <v>50</v>
      </c>
    </row>
    <row r="1510" ht="30.0" customHeight="1">
      <c r="A1510" s="9" t="str">
        <f t="shared" si="48"/>
        <v>Inativo</v>
      </c>
      <c r="B1510" s="9" t="str">
        <f t="shared" si="49"/>
        <v>N/I</v>
      </c>
      <c r="C1510" s="9" t="str">
        <f t="shared" si="80"/>
        <v>N/I</v>
      </c>
      <c r="D1510" s="10" t="s">
        <v>4813</v>
      </c>
      <c r="E1510" s="11" t="s">
        <v>4814</v>
      </c>
      <c r="F1510" s="11" t="s">
        <v>4853</v>
      </c>
      <c r="G1510" s="12" t="s">
        <v>94</v>
      </c>
      <c r="H1510" s="16" t="s">
        <v>4854</v>
      </c>
      <c r="I1510" s="12" t="s">
        <v>4855</v>
      </c>
      <c r="J1510" s="10" t="s">
        <v>521</v>
      </c>
      <c r="K1510" s="10" t="s">
        <v>263</v>
      </c>
      <c r="L1510" s="10" t="s">
        <v>4</v>
      </c>
      <c r="M1510" s="22">
        <v>43816.0</v>
      </c>
      <c r="N1510" s="32" t="s">
        <v>4856</v>
      </c>
      <c r="O1510" s="10" t="s">
        <v>4857</v>
      </c>
      <c r="P1510" s="10" t="s">
        <v>4819</v>
      </c>
      <c r="Q1510" s="2"/>
      <c r="R1510" s="10">
        <v>60.0</v>
      </c>
      <c r="S1510" s="14">
        <v>43816.0</v>
      </c>
      <c r="T1510" s="14">
        <v>45643.0</v>
      </c>
      <c r="U1510" s="10">
        <f t="shared" si="124"/>
        <v>-448</v>
      </c>
      <c r="V1510" s="2"/>
      <c r="W1510" s="15"/>
      <c r="X1510" s="15"/>
      <c r="Y1510" s="15"/>
      <c r="Z1510" s="15"/>
      <c r="AA1510" s="1"/>
      <c r="AB1510" s="15"/>
      <c r="AC1510" s="15"/>
      <c r="AD1510" s="15"/>
      <c r="AE1510" s="15"/>
      <c r="AF1510" s="2"/>
      <c r="AG1510" s="10" t="s">
        <v>290</v>
      </c>
      <c r="AH1510" s="10" t="s">
        <v>318</v>
      </c>
      <c r="AI1510" s="10" t="s">
        <v>319</v>
      </c>
      <c r="AJ1510" s="10" t="s">
        <v>291</v>
      </c>
      <c r="AK1510" s="16" t="s">
        <v>45</v>
      </c>
      <c r="AL1510" s="10" t="s">
        <v>49</v>
      </c>
      <c r="AM1510" s="16" t="s">
        <v>45</v>
      </c>
      <c r="AN1510" s="10" t="s">
        <v>50</v>
      </c>
    </row>
    <row r="1511" ht="30.0" customHeight="1">
      <c r="A1511" s="9" t="str">
        <f t="shared" si="48"/>
        <v>Inativo</v>
      </c>
      <c r="B1511" s="9" t="str">
        <f t="shared" si="49"/>
        <v>N/I</v>
      </c>
      <c r="C1511" s="9" t="str">
        <f t="shared" si="80"/>
        <v>N/I</v>
      </c>
      <c r="D1511" s="10" t="s">
        <v>4813</v>
      </c>
      <c r="E1511" s="11" t="s">
        <v>4814</v>
      </c>
      <c r="F1511" s="11" t="s">
        <v>4858</v>
      </c>
      <c r="G1511" s="12" t="s">
        <v>94</v>
      </c>
      <c r="H1511" s="16" t="s">
        <v>4859</v>
      </c>
      <c r="I1511" s="12" t="s">
        <v>4860</v>
      </c>
      <c r="J1511" s="10" t="s">
        <v>521</v>
      </c>
      <c r="K1511" s="10" t="s">
        <v>263</v>
      </c>
      <c r="L1511" s="10" t="s">
        <v>4</v>
      </c>
      <c r="M1511" s="22">
        <v>43815.0</v>
      </c>
      <c r="N1511" s="32" t="s">
        <v>4861</v>
      </c>
      <c r="O1511" s="10" t="s">
        <v>4862</v>
      </c>
      <c r="P1511" s="10" t="s">
        <v>4819</v>
      </c>
      <c r="Q1511" s="2"/>
      <c r="R1511" s="10">
        <v>60.0</v>
      </c>
      <c r="S1511" s="14">
        <v>43815.0</v>
      </c>
      <c r="T1511" s="14">
        <v>45642.0</v>
      </c>
      <c r="U1511" s="10">
        <f t="shared" si="124"/>
        <v>-449</v>
      </c>
      <c r="V1511" s="2"/>
      <c r="W1511" s="15"/>
      <c r="X1511" s="15"/>
      <c r="Y1511" s="15"/>
      <c r="Z1511" s="15"/>
      <c r="AA1511" s="1"/>
      <c r="AB1511" s="15"/>
      <c r="AC1511" s="15"/>
      <c r="AD1511" s="15"/>
      <c r="AE1511" s="15"/>
      <c r="AF1511" s="2"/>
      <c r="AG1511" s="10" t="s">
        <v>290</v>
      </c>
      <c r="AH1511" s="10" t="s">
        <v>318</v>
      </c>
      <c r="AI1511" s="10" t="s">
        <v>319</v>
      </c>
      <c r="AJ1511" s="10" t="s">
        <v>291</v>
      </c>
      <c r="AK1511" s="16" t="s">
        <v>45</v>
      </c>
      <c r="AL1511" s="10" t="s">
        <v>49</v>
      </c>
      <c r="AM1511" s="16" t="s">
        <v>45</v>
      </c>
      <c r="AN1511" s="10" t="s">
        <v>50</v>
      </c>
    </row>
    <row r="1512" ht="30.0" customHeight="1">
      <c r="A1512" s="9" t="str">
        <f t="shared" si="48"/>
        <v>Inativo</v>
      </c>
      <c r="B1512" s="9" t="str">
        <f t="shared" si="49"/>
        <v>N/I</v>
      </c>
      <c r="C1512" s="9" t="str">
        <f t="shared" si="80"/>
        <v>N/I</v>
      </c>
      <c r="D1512" s="10" t="s">
        <v>4813</v>
      </c>
      <c r="E1512" s="11" t="s">
        <v>4814</v>
      </c>
      <c r="F1512" s="11" t="s">
        <v>4863</v>
      </c>
      <c r="G1512" s="12" t="s">
        <v>94</v>
      </c>
      <c r="H1512" s="16" t="s">
        <v>4864</v>
      </c>
      <c r="I1512" s="12" t="s">
        <v>4865</v>
      </c>
      <c r="J1512" s="10" t="s">
        <v>521</v>
      </c>
      <c r="K1512" s="10" t="s">
        <v>263</v>
      </c>
      <c r="L1512" s="10" t="s">
        <v>4</v>
      </c>
      <c r="M1512" s="22">
        <v>43754.0</v>
      </c>
      <c r="N1512" s="32" t="s">
        <v>4866</v>
      </c>
      <c r="O1512" s="10" t="s">
        <v>4867</v>
      </c>
      <c r="P1512" s="10" t="s">
        <v>4839</v>
      </c>
      <c r="Q1512" s="2"/>
      <c r="R1512" s="10">
        <v>60.0</v>
      </c>
      <c r="S1512" s="14">
        <v>43767.0</v>
      </c>
      <c r="T1512" s="14">
        <v>45594.0</v>
      </c>
      <c r="U1512" s="10">
        <f t="shared" si="124"/>
        <v>-497</v>
      </c>
      <c r="V1512" s="2"/>
      <c r="W1512" s="15"/>
      <c r="X1512" s="15"/>
      <c r="Y1512" s="15"/>
      <c r="Z1512" s="15"/>
      <c r="AA1512" s="1"/>
      <c r="AB1512" s="15"/>
      <c r="AC1512" s="15"/>
      <c r="AD1512" s="15"/>
      <c r="AE1512" s="15"/>
      <c r="AF1512" s="2"/>
      <c r="AG1512" s="10" t="s">
        <v>290</v>
      </c>
      <c r="AH1512" s="10" t="s">
        <v>318</v>
      </c>
      <c r="AI1512" s="10" t="s">
        <v>319</v>
      </c>
      <c r="AJ1512" s="10" t="s">
        <v>291</v>
      </c>
      <c r="AK1512" s="16" t="s">
        <v>45</v>
      </c>
      <c r="AL1512" s="10" t="s">
        <v>49</v>
      </c>
      <c r="AM1512" s="16" t="s">
        <v>45</v>
      </c>
      <c r="AN1512" s="10" t="s">
        <v>50</v>
      </c>
    </row>
    <row r="1513" ht="30.0" customHeight="1">
      <c r="A1513" s="9" t="str">
        <f t="shared" si="48"/>
        <v>Inativo</v>
      </c>
      <c r="B1513" s="9" t="str">
        <f t="shared" si="49"/>
        <v>N/I</v>
      </c>
      <c r="C1513" s="9" t="str">
        <f t="shared" si="80"/>
        <v>N/I</v>
      </c>
      <c r="D1513" s="10" t="s">
        <v>4813</v>
      </c>
      <c r="E1513" s="11" t="s">
        <v>4814</v>
      </c>
      <c r="F1513" s="11" t="s">
        <v>4868</v>
      </c>
      <c r="G1513" s="12" t="s">
        <v>94</v>
      </c>
      <c r="H1513" s="16" t="s">
        <v>4869</v>
      </c>
      <c r="I1513" s="12" t="s">
        <v>615</v>
      </c>
      <c r="J1513" s="10" t="s">
        <v>521</v>
      </c>
      <c r="K1513" s="10" t="s">
        <v>263</v>
      </c>
      <c r="L1513" s="10" t="s">
        <v>4</v>
      </c>
      <c r="M1513" s="22">
        <v>43760.0</v>
      </c>
      <c r="N1513" s="32" t="s">
        <v>4870</v>
      </c>
      <c r="O1513" s="10" t="s">
        <v>4871</v>
      </c>
      <c r="P1513" s="10" t="s">
        <v>4839</v>
      </c>
      <c r="Q1513" s="2"/>
      <c r="R1513" s="10">
        <v>60.0</v>
      </c>
      <c r="S1513" s="14">
        <v>43737.0</v>
      </c>
      <c r="T1513" s="14">
        <v>45564.0</v>
      </c>
      <c r="U1513" s="10">
        <f t="shared" si="124"/>
        <v>-527</v>
      </c>
      <c r="V1513" s="2"/>
      <c r="W1513" s="15"/>
      <c r="X1513" s="15"/>
      <c r="Y1513" s="15"/>
      <c r="Z1513" s="15"/>
      <c r="AA1513" s="1"/>
      <c r="AB1513" s="15"/>
      <c r="AC1513" s="15"/>
      <c r="AD1513" s="15"/>
      <c r="AE1513" s="15"/>
      <c r="AF1513" s="2"/>
      <c r="AG1513" s="10" t="s">
        <v>290</v>
      </c>
      <c r="AH1513" s="10" t="s">
        <v>318</v>
      </c>
      <c r="AI1513" s="10" t="s">
        <v>319</v>
      </c>
      <c r="AJ1513" s="10" t="s">
        <v>291</v>
      </c>
      <c r="AK1513" s="16" t="s">
        <v>45</v>
      </c>
      <c r="AL1513" s="10" t="s">
        <v>49</v>
      </c>
      <c r="AM1513" s="16" t="s">
        <v>45</v>
      </c>
      <c r="AN1513" s="10" t="s">
        <v>50</v>
      </c>
    </row>
    <row r="1514" ht="30.0" customHeight="1">
      <c r="A1514" s="9" t="str">
        <f t="shared" si="48"/>
        <v>Inativo</v>
      </c>
      <c r="B1514" s="9" t="str">
        <f t="shared" si="49"/>
        <v>N/I</v>
      </c>
      <c r="C1514" s="9" t="str">
        <f t="shared" si="80"/>
        <v>N/I</v>
      </c>
      <c r="D1514" s="10" t="s">
        <v>4813</v>
      </c>
      <c r="E1514" s="11" t="s">
        <v>4814</v>
      </c>
      <c r="F1514" s="11" t="s">
        <v>4872</v>
      </c>
      <c r="G1514" s="12" t="s">
        <v>94</v>
      </c>
      <c r="H1514" s="16" t="s">
        <v>4873</v>
      </c>
      <c r="I1514" s="12" t="s">
        <v>1345</v>
      </c>
      <c r="J1514" s="10" t="s">
        <v>521</v>
      </c>
      <c r="K1514" s="10" t="s">
        <v>263</v>
      </c>
      <c r="L1514" s="10" t="s">
        <v>4</v>
      </c>
      <c r="M1514" s="22">
        <v>43755.0</v>
      </c>
      <c r="N1514" s="32" t="s">
        <v>4874</v>
      </c>
      <c r="O1514" s="10" t="s">
        <v>4875</v>
      </c>
      <c r="P1514" s="10" t="s">
        <v>4839</v>
      </c>
      <c r="Q1514" s="2"/>
      <c r="R1514" s="10">
        <v>60.0</v>
      </c>
      <c r="S1514" s="14">
        <v>43737.0</v>
      </c>
      <c r="T1514" s="14">
        <v>45564.0</v>
      </c>
      <c r="U1514" s="10">
        <f t="shared" si="124"/>
        <v>-527</v>
      </c>
      <c r="V1514" s="2"/>
      <c r="W1514" s="15"/>
      <c r="X1514" s="15"/>
      <c r="Y1514" s="15"/>
      <c r="Z1514" s="15"/>
      <c r="AA1514" s="1"/>
      <c r="AB1514" s="15"/>
      <c r="AC1514" s="15"/>
      <c r="AD1514" s="15"/>
      <c r="AE1514" s="15"/>
      <c r="AF1514" s="2"/>
      <c r="AG1514" s="10" t="s">
        <v>290</v>
      </c>
      <c r="AH1514" s="10" t="s">
        <v>318</v>
      </c>
      <c r="AI1514" s="10" t="s">
        <v>319</v>
      </c>
      <c r="AJ1514" s="10" t="s">
        <v>291</v>
      </c>
      <c r="AK1514" s="16" t="s">
        <v>45</v>
      </c>
      <c r="AL1514" s="10" t="s">
        <v>49</v>
      </c>
      <c r="AM1514" s="16" t="s">
        <v>45</v>
      </c>
      <c r="AN1514" s="10" t="s">
        <v>50</v>
      </c>
    </row>
    <row r="1515" ht="30.0" customHeight="1">
      <c r="A1515" s="9" t="str">
        <f t="shared" si="48"/>
        <v>Inativo</v>
      </c>
      <c r="B1515" s="9" t="str">
        <f t="shared" si="49"/>
        <v>N/I</v>
      </c>
      <c r="C1515" s="9" t="str">
        <f t="shared" si="80"/>
        <v>N/I</v>
      </c>
      <c r="D1515" s="10" t="s">
        <v>4813</v>
      </c>
      <c r="E1515" s="11" t="s">
        <v>4814</v>
      </c>
      <c r="F1515" s="11" t="s">
        <v>4872</v>
      </c>
      <c r="G1515" s="12" t="s">
        <v>94</v>
      </c>
      <c r="H1515" s="16" t="s">
        <v>4876</v>
      </c>
      <c r="I1515" s="12" t="s">
        <v>1345</v>
      </c>
      <c r="J1515" s="10" t="s">
        <v>521</v>
      </c>
      <c r="K1515" s="10" t="s">
        <v>263</v>
      </c>
      <c r="L1515" s="10" t="s">
        <v>4</v>
      </c>
      <c r="M1515" s="22">
        <v>43755.0</v>
      </c>
      <c r="N1515" s="32" t="s">
        <v>4874</v>
      </c>
      <c r="O1515" s="10" t="s">
        <v>4875</v>
      </c>
      <c r="P1515" s="10" t="s">
        <v>4839</v>
      </c>
      <c r="Q1515" s="2"/>
      <c r="R1515" s="10">
        <v>60.0</v>
      </c>
      <c r="S1515" s="14">
        <v>43767.0</v>
      </c>
      <c r="T1515" s="14">
        <v>45594.0</v>
      </c>
      <c r="U1515" s="10">
        <f t="shared" si="124"/>
        <v>-497</v>
      </c>
      <c r="V1515" s="2"/>
      <c r="W1515" s="15"/>
      <c r="X1515" s="15"/>
      <c r="Y1515" s="15"/>
      <c r="Z1515" s="15"/>
      <c r="AA1515" s="1"/>
      <c r="AB1515" s="15"/>
      <c r="AC1515" s="15"/>
      <c r="AD1515" s="15"/>
      <c r="AE1515" s="15"/>
      <c r="AF1515" s="2"/>
      <c r="AG1515" s="10" t="s">
        <v>290</v>
      </c>
      <c r="AH1515" s="10" t="s">
        <v>318</v>
      </c>
      <c r="AI1515" s="10" t="s">
        <v>319</v>
      </c>
      <c r="AJ1515" s="10" t="s">
        <v>291</v>
      </c>
      <c r="AK1515" s="16" t="s">
        <v>45</v>
      </c>
      <c r="AL1515" s="10" t="s">
        <v>49</v>
      </c>
      <c r="AM1515" s="16" t="s">
        <v>45</v>
      </c>
      <c r="AN1515" s="10" t="s">
        <v>50</v>
      </c>
    </row>
    <row r="1516" ht="30.0" customHeight="1">
      <c r="A1516" s="9" t="str">
        <f t="shared" si="48"/>
        <v>Inativo</v>
      </c>
      <c r="B1516" s="9" t="str">
        <f t="shared" si="49"/>
        <v>N/I</v>
      </c>
      <c r="C1516" s="9" t="str">
        <f t="shared" si="80"/>
        <v>N/I</v>
      </c>
      <c r="D1516" s="10" t="s">
        <v>4813</v>
      </c>
      <c r="E1516" s="11" t="s">
        <v>4814</v>
      </c>
      <c r="F1516" s="11" t="s">
        <v>4877</v>
      </c>
      <c r="G1516" s="12" t="s">
        <v>94</v>
      </c>
      <c r="H1516" s="16" t="s">
        <v>4878</v>
      </c>
      <c r="I1516" s="12" t="s">
        <v>1345</v>
      </c>
      <c r="J1516" s="10" t="s">
        <v>521</v>
      </c>
      <c r="K1516" s="10" t="s">
        <v>263</v>
      </c>
      <c r="L1516" s="10" t="s">
        <v>4</v>
      </c>
      <c r="M1516" s="22">
        <v>43756.0</v>
      </c>
      <c r="N1516" s="32" t="s">
        <v>4879</v>
      </c>
      <c r="O1516" s="10" t="s">
        <v>4880</v>
      </c>
      <c r="P1516" s="10" t="s">
        <v>4839</v>
      </c>
      <c r="Q1516" s="2"/>
      <c r="R1516" s="10">
        <v>60.0</v>
      </c>
      <c r="S1516" s="14">
        <v>43737.0</v>
      </c>
      <c r="T1516" s="14">
        <v>45564.0</v>
      </c>
      <c r="U1516" s="10">
        <f t="shared" si="124"/>
        <v>-527</v>
      </c>
      <c r="V1516" s="2"/>
      <c r="W1516" s="15"/>
      <c r="X1516" s="15"/>
      <c r="Y1516" s="15"/>
      <c r="Z1516" s="15"/>
      <c r="AA1516" s="1"/>
      <c r="AB1516" s="15"/>
      <c r="AC1516" s="15"/>
      <c r="AD1516" s="15"/>
      <c r="AE1516" s="15"/>
      <c r="AF1516" s="2"/>
      <c r="AG1516" s="10" t="s">
        <v>290</v>
      </c>
      <c r="AH1516" s="10" t="s">
        <v>318</v>
      </c>
      <c r="AI1516" s="10" t="s">
        <v>319</v>
      </c>
      <c r="AJ1516" s="10" t="s">
        <v>291</v>
      </c>
      <c r="AK1516" s="16" t="s">
        <v>45</v>
      </c>
      <c r="AL1516" s="10" t="s">
        <v>49</v>
      </c>
      <c r="AM1516" s="16" t="s">
        <v>45</v>
      </c>
      <c r="AN1516" s="10" t="s">
        <v>50</v>
      </c>
    </row>
    <row r="1517" ht="30.0" customHeight="1">
      <c r="A1517" s="9" t="str">
        <f t="shared" si="48"/>
        <v>Inativo</v>
      </c>
      <c r="B1517" s="9" t="str">
        <f t="shared" si="49"/>
        <v>N/I</v>
      </c>
      <c r="C1517" s="9" t="str">
        <f t="shared" si="80"/>
        <v>N/I</v>
      </c>
      <c r="D1517" s="10" t="s">
        <v>4813</v>
      </c>
      <c r="E1517" s="11" t="s">
        <v>4814</v>
      </c>
      <c r="F1517" s="11" t="s">
        <v>4881</v>
      </c>
      <c r="G1517" s="12" t="s">
        <v>94</v>
      </c>
      <c r="H1517" s="16" t="s">
        <v>4882</v>
      </c>
      <c r="I1517" s="12" t="s">
        <v>1345</v>
      </c>
      <c r="J1517" s="10" t="s">
        <v>521</v>
      </c>
      <c r="K1517" s="10" t="s">
        <v>263</v>
      </c>
      <c r="L1517" s="10" t="s">
        <v>4</v>
      </c>
      <c r="M1517" s="22">
        <v>43759.0</v>
      </c>
      <c r="N1517" s="32" t="s">
        <v>4883</v>
      </c>
      <c r="O1517" s="10" t="s">
        <v>4884</v>
      </c>
      <c r="P1517" s="10" t="s">
        <v>4839</v>
      </c>
      <c r="Q1517" s="2"/>
      <c r="R1517" s="10">
        <v>60.0</v>
      </c>
      <c r="S1517" s="14">
        <v>47448.0</v>
      </c>
      <c r="T1517" s="14">
        <v>45622.0</v>
      </c>
      <c r="U1517" s="10">
        <f t="shared" si="124"/>
        <v>-469</v>
      </c>
      <c r="V1517" s="2"/>
      <c r="W1517" s="15"/>
      <c r="X1517" s="15"/>
      <c r="Y1517" s="15"/>
      <c r="Z1517" s="15"/>
      <c r="AA1517" s="1"/>
      <c r="AB1517" s="15"/>
      <c r="AC1517" s="15"/>
      <c r="AD1517" s="15"/>
      <c r="AE1517" s="15"/>
      <c r="AF1517" s="2"/>
      <c r="AG1517" s="10" t="s">
        <v>290</v>
      </c>
      <c r="AH1517" s="10" t="s">
        <v>318</v>
      </c>
      <c r="AI1517" s="10" t="s">
        <v>319</v>
      </c>
      <c r="AJ1517" s="10" t="s">
        <v>291</v>
      </c>
      <c r="AK1517" s="16" t="s">
        <v>45</v>
      </c>
      <c r="AL1517" s="10" t="s">
        <v>49</v>
      </c>
      <c r="AM1517" s="16" t="s">
        <v>45</v>
      </c>
      <c r="AN1517" s="10" t="s">
        <v>50</v>
      </c>
    </row>
    <row r="1518" ht="30.0" customHeight="1">
      <c r="A1518" s="9" t="str">
        <f t="shared" si="48"/>
        <v>Inativo</v>
      </c>
      <c r="B1518" s="9" t="str">
        <f t="shared" si="49"/>
        <v>N/I</v>
      </c>
      <c r="C1518" s="9" t="str">
        <f t="shared" si="80"/>
        <v>N/I</v>
      </c>
      <c r="D1518" s="10" t="s">
        <v>4813</v>
      </c>
      <c r="E1518" s="11" t="s">
        <v>4814</v>
      </c>
      <c r="F1518" s="11" t="s">
        <v>4885</v>
      </c>
      <c r="G1518" s="12" t="s">
        <v>94</v>
      </c>
      <c r="H1518" s="16" t="s">
        <v>4886</v>
      </c>
      <c r="I1518" s="12" t="s">
        <v>1345</v>
      </c>
      <c r="J1518" s="10" t="s">
        <v>521</v>
      </c>
      <c r="K1518" s="10" t="s">
        <v>263</v>
      </c>
      <c r="L1518" s="10" t="s">
        <v>4</v>
      </c>
      <c r="M1518" s="22">
        <v>43815.0</v>
      </c>
      <c r="N1518" s="32" t="s">
        <v>4887</v>
      </c>
      <c r="O1518" s="10" t="s">
        <v>4888</v>
      </c>
      <c r="P1518" s="10" t="s">
        <v>4819</v>
      </c>
      <c r="Q1518" s="2"/>
      <c r="R1518" s="10">
        <v>60.0</v>
      </c>
      <c r="S1518" s="14">
        <v>43815.0</v>
      </c>
      <c r="T1518" s="14">
        <v>45642.0</v>
      </c>
      <c r="U1518" s="10">
        <f t="shared" si="124"/>
        <v>-449</v>
      </c>
      <c r="V1518" s="2"/>
      <c r="W1518" s="15"/>
      <c r="X1518" s="15"/>
      <c r="Y1518" s="15"/>
      <c r="Z1518" s="15"/>
      <c r="AA1518" s="1"/>
      <c r="AB1518" s="15"/>
      <c r="AC1518" s="15"/>
      <c r="AD1518" s="15"/>
      <c r="AE1518" s="15"/>
      <c r="AF1518" s="2"/>
      <c r="AG1518" s="10" t="s">
        <v>290</v>
      </c>
      <c r="AH1518" s="10" t="s">
        <v>318</v>
      </c>
      <c r="AI1518" s="10" t="s">
        <v>319</v>
      </c>
      <c r="AJ1518" s="10" t="s">
        <v>291</v>
      </c>
      <c r="AK1518" s="16" t="s">
        <v>45</v>
      </c>
      <c r="AL1518" s="10" t="s">
        <v>49</v>
      </c>
      <c r="AM1518" s="16" t="s">
        <v>45</v>
      </c>
      <c r="AN1518" s="10" t="s">
        <v>50</v>
      </c>
    </row>
    <row r="1519" ht="30.0" customHeight="1">
      <c r="A1519" s="9" t="str">
        <f t="shared" si="48"/>
        <v>Inativo</v>
      </c>
      <c r="B1519" s="9" t="str">
        <f t="shared" si="49"/>
        <v>N/I</v>
      </c>
      <c r="C1519" s="9" t="str">
        <f t="shared" si="80"/>
        <v>N/I</v>
      </c>
      <c r="D1519" s="10" t="s">
        <v>4813</v>
      </c>
      <c r="E1519" s="11" t="s">
        <v>4814</v>
      </c>
      <c r="F1519" s="11" t="s">
        <v>4889</v>
      </c>
      <c r="G1519" s="12" t="s">
        <v>94</v>
      </c>
      <c r="H1519" s="16" t="s">
        <v>4890</v>
      </c>
      <c r="I1519" s="12" t="s">
        <v>1345</v>
      </c>
      <c r="J1519" s="10" t="s">
        <v>521</v>
      </c>
      <c r="K1519" s="10" t="s">
        <v>263</v>
      </c>
      <c r="L1519" s="10" t="s">
        <v>4</v>
      </c>
      <c r="M1519" s="22">
        <v>43816.0</v>
      </c>
      <c r="N1519" s="32" t="s">
        <v>4891</v>
      </c>
      <c r="O1519" s="10" t="s">
        <v>4892</v>
      </c>
      <c r="P1519" s="10" t="s">
        <v>4819</v>
      </c>
      <c r="Q1519" s="2"/>
      <c r="R1519" s="10">
        <v>60.0</v>
      </c>
      <c r="S1519" s="14">
        <v>43816.0</v>
      </c>
      <c r="T1519" s="14">
        <v>45643.0</v>
      </c>
      <c r="U1519" s="10">
        <f t="shared" si="124"/>
        <v>-448</v>
      </c>
      <c r="V1519" s="2"/>
      <c r="W1519" s="15"/>
      <c r="X1519" s="15"/>
      <c r="Y1519" s="15"/>
      <c r="Z1519" s="15"/>
      <c r="AA1519" s="1"/>
      <c r="AB1519" s="15"/>
      <c r="AC1519" s="15"/>
      <c r="AD1519" s="15"/>
      <c r="AE1519" s="15"/>
      <c r="AF1519" s="2"/>
      <c r="AG1519" s="10" t="s">
        <v>290</v>
      </c>
      <c r="AH1519" s="10" t="s">
        <v>318</v>
      </c>
      <c r="AI1519" s="10" t="s">
        <v>319</v>
      </c>
      <c r="AJ1519" s="10" t="s">
        <v>291</v>
      </c>
      <c r="AK1519" s="16" t="s">
        <v>45</v>
      </c>
      <c r="AL1519" s="10" t="s">
        <v>49</v>
      </c>
      <c r="AM1519" s="16" t="s">
        <v>45</v>
      </c>
      <c r="AN1519" s="10" t="s">
        <v>50</v>
      </c>
    </row>
    <row r="1520" ht="30.0" customHeight="1">
      <c r="A1520" s="9" t="str">
        <f t="shared" si="48"/>
        <v>Inativo</v>
      </c>
      <c r="B1520" s="9" t="str">
        <f t="shared" si="49"/>
        <v>N/I</v>
      </c>
      <c r="C1520" s="9" t="str">
        <f t="shared" si="80"/>
        <v>N/I</v>
      </c>
      <c r="D1520" s="10" t="s">
        <v>4813</v>
      </c>
      <c r="E1520" s="11" t="s">
        <v>4814</v>
      </c>
      <c r="F1520" s="11" t="s">
        <v>4893</v>
      </c>
      <c r="G1520" s="12" t="s">
        <v>94</v>
      </c>
      <c r="H1520" s="16" t="s">
        <v>4894</v>
      </c>
      <c r="I1520" s="12" t="s">
        <v>520</v>
      </c>
      <c r="J1520" s="10" t="s">
        <v>521</v>
      </c>
      <c r="K1520" s="10" t="s">
        <v>263</v>
      </c>
      <c r="L1520" s="10" t="s">
        <v>4</v>
      </c>
      <c r="M1520" s="22">
        <v>43817.0</v>
      </c>
      <c r="N1520" s="32" t="s">
        <v>4895</v>
      </c>
      <c r="O1520" s="10" t="s">
        <v>4896</v>
      </c>
      <c r="P1520" s="10" t="s">
        <v>4819</v>
      </c>
      <c r="Q1520" s="2"/>
      <c r="R1520" s="10">
        <v>60.0</v>
      </c>
      <c r="S1520" s="14">
        <v>43817.0</v>
      </c>
      <c r="T1520" s="14">
        <v>45644.0</v>
      </c>
      <c r="U1520" s="10">
        <f t="shared" si="124"/>
        <v>-447</v>
      </c>
      <c r="V1520" s="2"/>
      <c r="W1520" s="15"/>
      <c r="X1520" s="15"/>
      <c r="Y1520" s="15"/>
      <c r="Z1520" s="15"/>
      <c r="AA1520" s="1"/>
      <c r="AB1520" s="15"/>
      <c r="AC1520" s="15"/>
      <c r="AD1520" s="15"/>
      <c r="AE1520" s="15"/>
      <c r="AF1520" s="2"/>
      <c r="AG1520" s="10" t="s">
        <v>290</v>
      </c>
      <c r="AH1520" s="10" t="s">
        <v>318</v>
      </c>
      <c r="AI1520" s="10" t="s">
        <v>319</v>
      </c>
      <c r="AJ1520" s="10" t="s">
        <v>291</v>
      </c>
      <c r="AK1520" s="16" t="s">
        <v>45</v>
      </c>
      <c r="AL1520" s="10" t="s">
        <v>49</v>
      </c>
      <c r="AM1520" s="16" t="s">
        <v>45</v>
      </c>
      <c r="AN1520" s="10" t="s">
        <v>50</v>
      </c>
    </row>
    <row r="1521" ht="30.0" customHeight="1">
      <c r="A1521" s="9" t="str">
        <f t="shared" si="48"/>
        <v>Inativo</v>
      </c>
      <c r="B1521" s="9" t="str">
        <f t="shared" si="49"/>
        <v>N/I</v>
      </c>
      <c r="C1521" s="9" t="str">
        <f t="shared" si="80"/>
        <v>N/I</v>
      </c>
      <c r="D1521" s="10" t="s">
        <v>4813</v>
      </c>
      <c r="E1521" s="11" t="s">
        <v>4814</v>
      </c>
      <c r="F1521" s="11" t="s">
        <v>4897</v>
      </c>
      <c r="G1521" s="12" t="s">
        <v>94</v>
      </c>
      <c r="H1521" s="36" t="s">
        <v>4898</v>
      </c>
      <c r="I1521" s="12" t="s">
        <v>4899</v>
      </c>
      <c r="J1521" s="10" t="s">
        <v>521</v>
      </c>
      <c r="K1521" s="10" t="s">
        <v>263</v>
      </c>
      <c r="L1521" s="10" t="s">
        <v>4</v>
      </c>
      <c r="M1521" s="22">
        <v>44103.0</v>
      </c>
      <c r="N1521" s="32" t="s">
        <v>4900</v>
      </c>
      <c r="O1521" s="10" t="s">
        <v>4901</v>
      </c>
      <c r="P1521" s="10" t="s">
        <v>4825</v>
      </c>
      <c r="Q1521" s="2"/>
      <c r="R1521" s="10">
        <v>60.0</v>
      </c>
      <c r="S1521" s="14">
        <v>44103.0</v>
      </c>
      <c r="T1521" s="14">
        <v>45929.0</v>
      </c>
      <c r="U1521" s="10">
        <f t="shared" si="124"/>
        <v>-162</v>
      </c>
      <c r="V1521" s="2"/>
      <c r="W1521" s="15"/>
      <c r="X1521" s="15"/>
      <c r="Y1521" s="15"/>
      <c r="Z1521" s="15"/>
      <c r="AA1521" s="1"/>
      <c r="AB1521" s="15"/>
      <c r="AC1521" s="15"/>
      <c r="AD1521" s="15"/>
      <c r="AE1521" s="15"/>
      <c r="AF1521" s="2"/>
      <c r="AG1521" s="10" t="s">
        <v>290</v>
      </c>
      <c r="AH1521" s="10" t="s">
        <v>318</v>
      </c>
      <c r="AI1521" s="10" t="s">
        <v>319</v>
      </c>
      <c r="AJ1521" s="10" t="s">
        <v>291</v>
      </c>
      <c r="AK1521" s="16" t="s">
        <v>45</v>
      </c>
      <c r="AL1521" s="10" t="s">
        <v>49</v>
      </c>
      <c r="AM1521" s="16" t="s">
        <v>45</v>
      </c>
      <c r="AN1521" s="10" t="s">
        <v>50</v>
      </c>
    </row>
    <row r="1522" ht="30.0" customHeight="1">
      <c r="A1522" s="9" t="str">
        <f t="shared" si="48"/>
        <v>Inativo</v>
      </c>
      <c r="B1522" s="9" t="str">
        <f t="shared" si="49"/>
        <v>N/I</v>
      </c>
      <c r="C1522" s="9" t="str">
        <f t="shared" si="80"/>
        <v>N/I</v>
      </c>
      <c r="D1522" s="10" t="s">
        <v>4813</v>
      </c>
      <c r="E1522" s="11" t="s">
        <v>4814</v>
      </c>
      <c r="F1522" s="11" t="s">
        <v>4902</v>
      </c>
      <c r="G1522" s="12" t="s">
        <v>94</v>
      </c>
      <c r="H1522" s="16" t="s">
        <v>4903</v>
      </c>
      <c r="I1522" s="12" t="s">
        <v>4904</v>
      </c>
      <c r="J1522" s="10" t="s">
        <v>521</v>
      </c>
      <c r="K1522" s="10" t="s">
        <v>263</v>
      </c>
      <c r="L1522" s="10" t="s">
        <v>4</v>
      </c>
      <c r="M1522" s="22">
        <v>43759.0</v>
      </c>
      <c r="N1522" s="32" t="s">
        <v>4905</v>
      </c>
      <c r="O1522" s="10" t="s">
        <v>4906</v>
      </c>
      <c r="P1522" s="10" t="s">
        <v>4839</v>
      </c>
      <c r="Q1522" s="2"/>
      <c r="R1522" s="10">
        <v>60.0</v>
      </c>
      <c r="S1522" s="14">
        <v>43737.0</v>
      </c>
      <c r="T1522" s="14">
        <v>45564.0</v>
      </c>
      <c r="U1522" s="10">
        <f t="shared" si="124"/>
        <v>-527</v>
      </c>
      <c r="V1522" s="2"/>
      <c r="W1522" s="15"/>
      <c r="X1522" s="15"/>
      <c r="Y1522" s="15"/>
      <c r="Z1522" s="15"/>
      <c r="AA1522" s="1"/>
      <c r="AB1522" s="15"/>
      <c r="AC1522" s="15"/>
      <c r="AD1522" s="15"/>
      <c r="AE1522" s="15"/>
      <c r="AF1522" s="2"/>
      <c r="AG1522" s="10" t="s">
        <v>290</v>
      </c>
      <c r="AH1522" s="10" t="s">
        <v>318</v>
      </c>
      <c r="AI1522" s="10" t="s">
        <v>319</v>
      </c>
      <c r="AJ1522" s="10" t="s">
        <v>291</v>
      </c>
      <c r="AK1522" s="16" t="s">
        <v>45</v>
      </c>
      <c r="AL1522" s="10" t="s">
        <v>49</v>
      </c>
      <c r="AM1522" s="16" t="s">
        <v>45</v>
      </c>
      <c r="AN1522" s="10" t="s">
        <v>50</v>
      </c>
    </row>
    <row r="1523" ht="30.0" customHeight="1">
      <c r="A1523" s="9" t="str">
        <f t="shared" si="48"/>
        <v>Inativo</v>
      </c>
      <c r="B1523" s="9" t="str">
        <f t="shared" si="49"/>
        <v>N/I</v>
      </c>
      <c r="C1523" s="9" t="str">
        <f t="shared" si="80"/>
        <v>N/I</v>
      </c>
      <c r="D1523" s="10" t="s">
        <v>4813</v>
      </c>
      <c r="E1523" s="11" t="s">
        <v>4814</v>
      </c>
      <c r="F1523" s="11" t="s">
        <v>4907</v>
      </c>
      <c r="G1523" s="12" t="s">
        <v>94</v>
      </c>
      <c r="H1523" s="36" t="s">
        <v>4908</v>
      </c>
      <c r="I1523" s="12" t="s">
        <v>4909</v>
      </c>
      <c r="J1523" s="10" t="s">
        <v>521</v>
      </c>
      <c r="K1523" s="10" t="s">
        <v>263</v>
      </c>
      <c r="L1523" s="10" t="s">
        <v>4</v>
      </c>
      <c r="M1523" s="22">
        <v>44103.0</v>
      </c>
      <c r="N1523" s="32" t="s">
        <v>4910</v>
      </c>
      <c r="O1523" s="10" t="s">
        <v>4911</v>
      </c>
      <c r="P1523" s="10" t="s">
        <v>4825</v>
      </c>
      <c r="Q1523" s="2"/>
      <c r="R1523" s="10">
        <v>60.0</v>
      </c>
      <c r="S1523" s="14">
        <v>44103.0</v>
      </c>
      <c r="T1523" s="14">
        <v>45929.0</v>
      </c>
      <c r="U1523" s="10">
        <f t="shared" si="124"/>
        <v>-162</v>
      </c>
      <c r="V1523" s="2"/>
      <c r="W1523" s="15"/>
      <c r="X1523" s="15"/>
      <c r="Y1523" s="15"/>
      <c r="Z1523" s="15"/>
      <c r="AA1523" s="1"/>
      <c r="AB1523" s="15"/>
      <c r="AC1523" s="15"/>
      <c r="AD1523" s="15"/>
      <c r="AE1523" s="15"/>
      <c r="AF1523" s="2"/>
      <c r="AG1523" s="10" t="s">
        <v>290</v>
      </c>
      <c r="AH1523" s="10" t="s">
        <v>318</v>
      </c>
      <c r="AI1523" s="10" t="s">
        <v>319</v>
      </c>
      <c r="AJ1523" s="10" t="s">
        <v>291</v>
      </c>
      <c r="AK1523" s="16" t="s">
        <v>45</v>
      </c>
      <c r="AL1523" s="10" t="s">
        <v>49</v>
      </c>
      <c r="AM1523" s="16" t="s">
        <v>45</v>
      </c>
      <c r="AN1523" s="10" t="s">
        <v>50</v>
      </c>
    </row>
    <row r="1524" ht="30.0" customHeight="1">
      <c r="A1524" s="9" t="str">
        <f t="shared" si="48"/>
        <v>Inativo</v>
      </c>
      <c r="B1524" s="9" t="str">
        <f t="shared" si="49"/>
        <v>N/I</v>
      </c>
      <c r="C1524" s="9" t="str">
        <f t="shared" si="80"/>
        <v>N/I</v>
      </c>
      <c r="D1524" s="10" t="s">
        <v>4813</v>
      </c>
      <c r="E1524" s="11" t="s">
        <v>4814</v>
      </c>
      <c r="F1524" s="11" t="s">
        <v>4912</v>
      </c>
      <c r="G1524" s="12" t="s">
        <v>94</v>
      </c>
      <c r="H1524" s="36" t="s">
        <v>4913</v>
      </c>
      <c r="I1524" s="12" t="s">
        <v>4914</v>
      </c>
      <c r="J1524" s="10" t="s">
        <v>521</v>
      </c>
      <c r="K1524" s="10" t="s">
        <v>263</v>
      </c>
      <c r="L1524" s="10" t="s">
        <v>4</v>
      </c>
      <c r="M1524" s="22">
        <v>44104.0</v>
      </c>
      <c r="N1524" s="32" t="s">
        <v>4915</v>
      </c>
      <c r="O1524" s="10" t="s">
        <v>4916</v>
      </c>
      <c r="P1524" s="10" t="s">
        <v>4825</v>
      </c>
      <c r="Q1524" s="2"/>
      <c r="R1524" s="10">
        <v>60.0</v>
      </c>
      <c r="S1524" s="14">
        <v>44104.0</v>
      </c>
      <c r="T1524" s="14">
        <v>45930.0</v>
      </c>
      <c r="U1524" s="10">
        <f t="shared" si="124"/>
        <v>-161</v>
      </c>
      <c r="V1524" s="2"/>
      <c r="W1524" s="15"/>
      <c r="X1524" s="15"/>
      <c r="Y1524" s="15"/>
      <c r="Z1524" s="15"/>
      <c r="AA1524" s="1"/>
      <c r="AB1524" s="15"/>
      <c r="AC1524" s="15"/>
      <c r="AD1524" s="15"/>
      <c r="AE1524" s="15"/>
      <c r="AF1524" s="2"/>
      <c r="AG1524" s="10" t="s">
        <v>290</v>
      </c>
      <c r="AH1524" s="10" t="s">
        <v>318</v>
      </c>
      <c r="AI1524" s="10" t="s">
        <v>319</v>
      </c>
      <c r="AJ1524" s="10" t="s">
        <v>291</v>
      </c>
      <c r="AK1524" s="16" t="s">
        <v>45</v>
      </c>
      <c r="AL1524" s="10" t="s">
        <v>49</v>
      </c>
      <c r="AM1524" s="16" t="s">
        <v>45</v>
      </c>
      <c r="AN1524" s="10" t="s">
        <v>50</v>
      </c>
    </row>
    <row r="1525" ht="30.0" customHeight="1">
      <c r="A1525" s="9" t="str">
        <f t="shared" si="48"/>
        <v>Inativo</v>
      </c>
      <c r="B1525" s="9" t="str">
        <f t="shared" si="49"/>
        <v>N/I</v>
      </c>
      <c r="C1525" s="9" t="str">
        <f t="shared" si="80"/>
        <v>N/I</v>
      </c>
      <c r="D1525" s="10" t="s">
        <v>4813</v>
      </c>
      <c r="E1525" s="11" t="s">
        <v>4814</v>
      </c>
      <c r="F1525" s="11" t="s">
        <v>4917</v>
      </c>
      <c r="G1525" s="12" t="s">
        <v>94</v>
      </c>
      <c r="H1525" s="16" t="s">
        <v>4918</v>
      </c>
      <c r="I1525" s="12" t="s">
        <v>4377</v>
      </c>
      <c r="J1525" s="10" t="s">
        <v>521</v>
      </c>
      <c r="K1525" s="10" t="s">
        <v>263</v>
      </c>
      <c r="L1525" s="10" t="s">
        <v>4</v>
      </c>
      <c r="M1525" s="22">
        <v>43816.0</v>
      </c>
      <c r="N1525" s="32" t="s">
        <v>4919</v>
      </c>
      <c r="O1525" s="10" t="s">
        <v>4920</v>
      </c>
      <c r="P1525" s="10" t="s">
        <v>4819</v>
      </c>
      <c r="Q1525" s="2"/>
      <c r="R1525" s="10">
        <v>60.0</v>
      </c>
      <c r="S1525" s="14">
        <v>43816.0</v>
      </c>
      <c r="T1525" s="14">
        <v>45643.0</v>
      </c>
      <c r="U1525" s="10">
        <f t="shared" si="124"/>
        <v>-448</v>
      </c>
      <c r="V1525" s="2"/>
      <c r="W1525" s="15"/>
      <c r="X1525" s="15"/>
      <c r="Y1525" s="15"/>
      <c r="Z1525" s="15"/>
      <c r="AA1525" s="1"/>
      <c r="AB1525" s="15"/>
      <c r="AC1525" s="15"/>
      <c r="AD1525" s="15"/>
      <c r="AE1525" s="15"/>
      <c r="AF1525" s="2"/>
      <c r="AG1525" s="10" t="s">
        <v>290</v>
      </c>
      <c r="AH1525" s="10" t="s">
        <v>318</v>
      </c>
      <c r="AI1525" s="10" t="s">
        <v>319</v>
      </c>
      <c r="AJ1525" s="10" t="s">
        <v>291</v>
      </c>
      <c r="AK1525" s="16" t="s">
        <v>45</v>
      </c>
      <c r="AL1525" s="10" t="s">
        <v>49</v>
      </c>
      <c r="AM1525" s="16" t="s">
        <v>45</v>
      </c>
      <c r="AN1525" s="10" t="s">
        <v>50</v>
      </c>
    </row>
    <row r="1526" ht="30.0" customHeight="1">
      <c r="A1526" s="9" t="str">
        <f t="shared" si="48"/>
        <v>Inativo</v>
      </c>
      <c r="B1526" s="9" t="str">
        <f t="shared" si="49"/>
        <v>N/I</v>
      </c>
      <c r="C1526" s="9" t="str">
        <f t="shared" si="80"/>
        <v>N/I</v>
      </c>
      <c r="D1526" s="10" t="s">
        <v>4813</v>
      </c>
      <c r="E1526" s="11" t="s">
        <v>4814</v>
      </c>
      <c r="F1526" s="11" t="s">
        <v>4921</v>
      </c>
      <c r="G1526" s="12" t="s">
        <v>94</v>
      </c>
      <c r="H1526" s="16" t="s">
        <v>4922</v>
      </c>
      <c r="I1526" s="12" t="s">
        <v>4923</v>
      </c>
      <c r="J1526" s="10" t="s">
        <v>521</v>
      </c>
      <c r="K1526" s="10" t="s">
        <v>263</v>
      </c>
      <c r="L1526" s="10" t="s">
        <v>4</v>
      </c>
      <c r="M1526" s="22">
        <v>43817.0</v>
      </c>
      <c r="N1526" s="32" t="s">
        <v>4924</v>
      </c>
      <c r="O1526" s="10" t="s">
        <v>4925</v>
      </c>
      <c r="P1526" s="10" t="s">
        <v>4819</v>
      </c>
      <c r="Q1526" s="2"/>
      <c r="R1526" s="10">
        <v>60.0</v>
      </c>
      <c r="S1526" s="14">
        <v>43817.0</v>
      </c>
      <c r="T1526" s="14">
        <v>45644.0</v>
      </c>
      <c r="U1526" s="10">
        <f t="shared" si="124"/>
        <v>-447</v>
      </c>
      <c r="V1526" s="2"/>
      <c r="W1526" s="15"/>
      <c r="X1526" s="15"/>
      <c r="Y1526" s="15"/>
      <c r="Z1526" s="15"/>
      <c r="AA1526" s="1"/>
      <c r="AB1526" s="15"/>
      <c r="AC1526" s="15"/>
      <c r="AD1526" s="15"/>
      <c r="AE1526" s="15"/>
      <c r="AF1526" s="2"/>
      <c r="AG1526" s="10" t="s">
        <v>290</v>
      </c>
      <c r="AH1526" s="10" t="s">
        <v>318</v>
      </c>
      <c r="AI1526" s="10" t="s">
        <v>319</v>
      </c>
      <c r="AJ1526" s="10" t="s">
        <v>291</v>
      </c>
      <c r="AK1526" s="16" t="s">
        <v>45</v>
      </c>
      <c r="AL1526" s="10" t="s">
        <v>49</v>
      </c>
      <c r="AM1526" s="16" t="s">
        <v>45</v>
      </c>
      <c r="AN1526" s="10" t="s">
        <v>50</v>
      </c>
    </row>
    <row r="1527" ht="30.0" customHeight="1">
      <c r="A1527" s="9" t="str">
        <f t="shared" si="48"/>
        <v>Inativo</v>
      </c>
      <c r="B1527" s="9" t="str">
        <f t="shared" si="49"/>
        <v>N/I</v>
      </c>
      <c r="C1527" s="9" t="str">
        <f t="shared" si="80"/>
        <v>N/I</v>
      </c>
      <c r="D1527" s="10" t="s">
        <v>4813</v>
      </c>
      <c r="E1527" s="11" t="s">
        <v>4814</v>
      </c>
      <c r="F1527" s="11" t="s">
        <v>4926</v>
      </c>
      <c r="G1527" s="12" t="s">
        <v>94</v>
      </c>
      <c r="H1527" s="16" t="s">
        <v>4927</v>
      </c>
      <c r="I1527" s="12" t="s">
        <v>4928</v>
      </c>
      <c r="J1527" s="10" t="s">
        <v>521</v>
      </c>
      <c r="K1527" s="10" t="s">
        <v>263</v>
      </c>
      <c r="L1527" s="10" t="s">
        <v>4</v>
      </c>
      <c r="M1527" s="22">
        <v>43817.0</v>
      </c>
      <c r="N1527" s="32" t="s">
        <v>4929</v>
      </c>
      <c r="O1527" s="10" t="s">
        <v>4930</v>
      </c>
      <c r="P1527" s="10" t="s">
        <v>4819</v>
      </c>
      <c r="Q1527" s="2"/>
      <c r="R1527" s="10">
        <v>60.0</v>
      </c>
      <c r="S1527" s="14">
        <v>43817.0</v>
      </c>
      <c r="T1527" s="14">
        <v>45644.0</v>
      </c>
      <c r="U1527" s="10">
        <f t="shared" si="124"/>
        <v>-447</v>
      </c>
      <c r="V1527" s="2"/>
      <c r="W1527" s="15"/>
      <c r="X1527" s="15"/>
      <c r="Y1527" s="15"/>
      <c r="Z1527" s="15"/>
      <c r="AA1527" s="1"/>
      <c r="AB1527" s="15"/>
      <c r="AC1527" s="15"/>
      <c r="AD1527" s="15"/>
      <c r="AE1527" s="15"/>
      <c r="AF1527" s="2"/>
      <c r="AG1527" s="10" t="s">
        <v>290</v>
      </c>
      <c r="AH1527" s="10" t="s">
        <v>318</v>
      </c>
      <c r="AI1527" s="10" t="s">
        <v>319</v>
      </c>
      <c r="AJ1527" s="10" t="s">
        <v>291</v>
      </c>
      <c r="AK1527" s="16" t="s">
        <v>45</v>
      </c>
      <c r="AL1527" s="10" t="s">
        <v>49</v>
      </c>
      <c r="AM1527" s="16" t="s">
        <v>45</v>
      </c>
      <c r="AN1527" s="10" t="s">
        <v>50</v>
      </c>
    </row>
    <row r="1528" ht="30.0" customHeight="1">
      <c r="A1528" s="9" t="str">
        <f t="shared" si="48"/>
        <v>Inativo</v>
      </c>
      <c r="B1528" s="9" t="str">
        <f t="shared" si="49"/>
        <v>N/I</v>
      </c>
      <c r="C1528" s="9" t="str">
        <f t="shared" si="80"/>
        <v>N/I</v>
      </c>
      <c r="D1528" s="10" t="s">
        <v>4813</v>
      </c>
      <c r="E1528" s="11" t="s">
        <v>4814</v>
      </c>
      <c r="F1528" s="11" t="s">
        <v>4931</v>
      </c>
      <c r="G1528" s="12" t="s">
        <v>94</v>
      </c>
      <c r="H1528" s="36" t="s">
        <v>4932</v>
      </c>
      <c r="I1528" s="12" t="s">
        <v>4933</v>
      </c>
      <c r="J1528" s="10" t="s">
        <v>521</v>
      </c>
      <c r="K1528" s="10" t="s">
        <v>263</v>
      </c>
      <c r="L1528" s="10" t="s">
        <v>4</v>
      </c>
      <c r="M1528" s="22">
        <v>44102.0</v>
      </c>
      <c r="N1528" s="32" t="s">
        <v>4934</v>
      </c>
      <c r="O1528" s="10" t="s">
        <v>4935</v>
      </c>
      <c r="P1528" s="10" t="s">
        <v>4825</v>
      </c>
      <c r="Q1528" s="2"/>
      <c r="R1528" s="10">
        <v>60.0</v>
      </c>
      <c r="S1528" s="14">
        <v>44102.0</v>
      </c>
      <c r="T1528" s="14">
        <v>45928.0</v>
      </c>
      <c r="U1528" s="10">
        <f t="shared" si="124"/>
        <v>-163</v>
      </c>
      <c r="V1528" s="2"/>
      <c r="W1528" s="15"/>
      <c r="X1528" s="15"/>
      <c r="Y1528" s="15"/>
      <c r="Z1528" s="15"/>
      <c r="AA1528" s="1"/>
      <c r="AB1528" s="15"/>
      <c r="AC1528" s="15"/>
      <c r="AD1528" s="15"/>
      <c r="AE1528" s="15"/>
      <c r="AF1528" s="2"/>
      <c r="AG1528" s="10" t="s">
        <v>290</v>
      </c>
      <c r="AH1528" s="10" t="s">
        <v>318</v>
      </c>
      <c r="AI1528" s="10" t="s">
        <v>319</v>
      </c>
      <c r="AJ1528" s="10" t="s">
        <v>291</v>
      </c>
      <c r="AK1528" s="16" t="s">
        <v>45</v>
      </c>
      <c r="AL1528" s="10" t="s">
        <v>49</v>
      </c>
      <c r="AM1528" s="16" t="s">
        <v>45</v>
      </c>
      <c r="AN1528" s="10" t="s">
        <v>50</v>
      </c>
    </row>
    <row r="1529" ht="30.0" customHeight="1">
      <c r="A1529" s="9" t="str">
        <f t="shared" si="48"/>
        <v>Inativo</v>
      </c>
      <c r="B1529" s="9" t="str">
        <f t="shared" si="49"/>
        <v>N/I</v>
      </c>
      <c r="C1529" s="9" t="str">
        <f t="shared" si="80"/>
        <v>N/I</v>
      </c>
      <c r="D1529" s="10" t="s">
        <v>4936</v>
      </c>
      <c r="E1529" s="11" t="s">
        <v>4937</v>
      </c>
      <c r="F1529" s="32" t="s">
        <v>4938</v>
      </c>
      <c r="G1529" s="12" t="s">
        <v>448</v>
      </c>
      <c r="H1529" s="36" t="s">
        <v>4939</v>
      </c>
      <c r="I1529" s="12" t="s">
        <v>39</v>
      </c>
      <c r="J1529" s="10" t="s">
        <v>40</v>
      </c>
      <c r="K1529" s="10" t="s">
        <v>41</v>
      </c>
      <c r="L1529" s="10" t="s">
        <v>4</v>
      </c>
      <c r="M1529" s="14">
        <v>44092.0</v>
      </c>
      <c r="N1529" s="11" t="s">
        <v>4940</v>
      </c>
      <c r="O1529" s="10" t="s">
        <v>4941</v>
      </c>
      <c r="P1529" s="10" t="s">
        <v>4942</v>
      </c>
      <c r="Q1529" s="2"/>
      <c r="R1529" s="10">
        <v>24.0</v>
      </c>
      <c r="S1529" s="14">
        <v>44092.0</v>
      </c>
      <c r="T1529" s="14">
        <v>44822.0</v>
      </c>
      <c r="U1529" s="10">
        <f t="shared" si="124"/>
        <v>-1269</v>
      </c>
      <c r="V1529" s="2"/>
      <c r="W1529" s="15"/>
      <c r="X1529" s="15"/>
      <c r="Y1529" s="15"/>
      <c r="Z1529" s="15"/>
      <c r="AA1529" s="1"/>
      <c r="AB1529" s="15"/>
      <c r="AC1529" s="15"/>
      <c r="AD1529" s="15"/>
      <c r="AE1529" s="15"/>
      <c r="AF1529" s="2"/>
      <c r="AG1529" s="10" t="s">
        <v>4943</v>
      </c>
      <c r="AH1529" s="12" t="s">
        <v>46</v>
      </c>
      <c r="AI1529" s="10" t="s">
        <v>227</v>
      </c>
      <c r="AJ1529" s="10" t="s">
        <v>291</v>
      </c>
      <c r="AK1529" s="16" t="s">
        <v>45</v>
      </c>
      <c r="AL1529" s="10" t="s">
        <v>49</v>
      </c>
      <c r="AM1529" s="16" t="s">
        <v>45</v>
      </c>
      <c r="AN1529" s="10" t="s">
        <v>50</v>
      </c>
    </row>
    <row r="1530" ht="30.0" customHeight="1">
      <c r="A1530" s="9" t="str">
        <f t="shared" si="48"/>
        <v>Inativo</v>
      </c>
      <c r="B1530" s="9" t="str">
        <f t="shared" si="49"/>
        <v>N/I</v>
      </c>
      <c r="C1530" s="9" t="str">
        <f t="shared" si="80"/>
        <v>N/I</v>
      </c>
      <c r="D1530" s="10" t="s">
        <v>4936</v>
      </c>
      <c r="E1530" s="11" t="s">
        <v>4944</v>
      </c>
      <c r="F1530" s="59" t="s">
        <v>4945</v>
      </c>
      <c r="G1530" s="12" t="s">
        <v>94</v>
      </c>
      <c r="H1530" s="36" t="s">
        <v>4946</v>
      </c>
      <c r="I1530" s="12" t="s">
        <v>39</v>
      </c>
      <c r="J1530" s="10" t="s">
        <v>40</v>
      </c>
      <c r="K1530" s="10" t="s">
        <v>41</v>
      </c>
      <c r="L1530" s="10" t="s">
        <v>4</v>
      </c>
      <c r="M1530" s="14">
        <v>44782.0</v>
      </c>
      <c r="N1530" s="11" t="s">
        <v>4947</v>
      </c>
      <c r="O1530" s="10" t="s">
        <v>4948</v>
      </c>
      <c r="P1530" s="10" t="s">
        <v>4949</v>
      </c>
      <c r="Q1530" s="2"/>
      <c r="R1530" s="10">
        <v>24.0</v>
      </c>
      <c r="S1530" s="14">
        <v>44782.0</v>
      </c>
      <c r="T1530" s="14">
        <v>45513.0</v>
      </c>
      <c r="U1530" s="10">
        <f t="shared" si="124"/>
        <v>-578</v>
      </c>
      <c r="V1530" s="2"/>
      <c r="W1530" s="15"/>
      <c r="X1530" s="15"/>
      <c r="Y1530" s="15"/>
      <c r="Z1530" s="15"/>
      <c r="AA1530" s="1"/>
      <c r="AB1530" s="15"/>
      <c r="AC1530" s="15"/>
      <c r="AD1530" s="15"/>
      <c r="AE1530" s="15"/>
      <c r="AF1530" s="2"/>
      <c r="AG1530" s="10" t="s">
        <v>4950</v>
      </c>
      <c r="AH1530" s="10" t="s">
        <v>318</v>
      </c>
      <c r="AI1530" s="10" t="s">
        <v>319</v>
      </c>
      <c r="AJ1530" s="10" t="s">
        <v>291</v>
      </c>
      <c r="AK1530" s="16" t="s">
        <v>45</v>
      </c>
      <c r="AL1530" s="10" t="s">
        <v>49</v>
      </c>
      <c r="AM1530" s="16" t="s">
        <v>45</v>
      </c>
      <c r="AN1530" s="10" t="s">
        <v>50</v>
      </c>
    </row>
    <row r="1531" ht="30.0" customHeight="1">
      <c r="A1531" s="9" t="str">
        <f t="shared" si="48"/>
        <v>Inativo</v>
      </c>
      <c r="B1531" s="9" t="str">
        <f t="shared" si="49"/>
        <v>N/I</v>
      </c>
      <c r="C1531" s="9" t="str">
        <f t="shared" si="80"/>
        <v>N/I</v>
      </c>
      <c r="D1531" s="10" t="s">
        <v>4936</v>
      </c>
      <c r="E1531" s="11" t="s">
        <v>4944</v>
      </c>
      <c r="F1531" s="59" t="s">
        <v>4951</v>
      </c>
      <c r="G1531" s="12" t="s">
        <v>94</v>
      </c>
      <c r="H1531" s="36" t="s">
        <v>4952</v>
      </c>
      <c r="I1531" s="12" t="s">
        <v>39</v>
      </c>
      <c r="J1531" s="10" t="s">
        <v>40</v>
      </c>
      <c r="K1531" s="10" t="s">
        <v>41</v>
      </c>
      <c r="L1531" s="10" t="s">
        <v>4</v>
      </c>
      <c r="M1531" s="14">
        <v>44782.0</v>
      </c>
      <c r="N1531" s="11" t="s">
        <v>4953</v>
      </c>
      <c r="O1531" s="10" t="s">
        <v>4954</v>
      </c>
      <c r="P1531" s="10" t="s">
        <v>4949</v>
      </c>
      <c r="Q1531" s="2"/>
      <c r="R1531" s="10">
        <v>24.0</v>
      </c>
      <c r="S1531" s="14">
        <v>44782.0</v>
      </c>
      <c r="T1531" s="14">
        <v>45513.0</v>
      </c>
      <c r="U1531" s="10">
        <f t="shared" si="124"/>
        <v>-578</v>
      </c>
      <c r="V1531" s="2"/>
      <c r="W1531" s="15"/>
      <c r="X1531" s="15"/>
      <c r="Y1531" s="15"/>
      <c r="Z1531" s="15"/>
      <c r="AA1531" s="1"/>
      <c r="AB1531" s="15"/>
      <c r="AC1531" s="15"/>
      <c r="AD1531" s="15"/>
      <c r="AE1531" s="15"/>
      <c r="AF1531" s="2"/>
      <c r="AG1531" s="10" t="s">
        <v>4950</v>
      </c>
      <c r="AH1531" s="10" t="s">
        <v>318</v>
      </c>
      <c r="AI1531" s="10" t="s">
        <v>319</v>
      </c>
      <c r="AJ1531" s="10" t="s">
        <v>291</v>
      </c>
      <c r="AK1531" s="16" t="s">
        <v>45</v>
      </c>
      <c r="AL1531" s="10" t="s">
        <v>49</v>
      </c>
      <c r="AM1531" s="16" t="s">
        <v>45</v>
      </c>
      <c r="AN1531" s="10" t="s">
        <v>50</v>
      </c>
    </row>
    <row r="1532" ht="30.0" customHeight="1">
      <c r="A1532" s="9" t="str">
        <f t="shared" si="48"/>
        <v>Inativo</v>
      </c>
      <c r="B1532" s="9" t="str">
        <f t="shared" si="49"/>
        <v>N/I</v>
      </c>
      <c r="C1532" s="9" t="str">
        <f t="shared" si="80"/>
        <v>N/I</v>
      </c>
      <c r="D1532" s="10" t="s">
        <v>4936</v>
      </c>
      <c r="E1532" s="11" t="s">
        <v>4937</v>
      </c>
      <c r="F1532" s="32" t="s">
        <v>4955</v>
      </c>
      <c r="G1532" s="12" t="s">
        <v>448</v>
      </c>
      <c r="H1532" s="36" t="s">
        <v>4956</v>
      </c>
      <c r="I1532" s="12" t="s">
        <v>4957</v>
      </c>
      <c r="J1532" s="10" t="s">
        <v>40</v>
      </c>
      <c r="K1532" s="10" t="s">
        <v>41</v>
      </c>
      <c r="L1532" s="10" t="s">
        <v>4</v>
      </c>
      <c r="M1532" s="14">
        <v>44084.0</v>
      </c>
      <c r="N1532" s="11" t="s">
        <v>4958</v>
      </c>
      <c r="O1532" s="10" t="s">
        <v>4959</v>
      </c>
      <c r="P1532" s="10" t="s">
        <v>4942</v>
      </c>
      <c r="Q1532" s="2"/>
      <c r="R1532" s="10">
        <v>24.0</v>
      </c>
      <c r="S1532" s="14">
        <v>44084.0</v>
      </c>
      <c r="T1532" s="14">
        <v>44814.0</v>
      </c>
      <c r="U1532" s="10">
        <f t="shared" si="124"/>
        <v>-1277</v>
      </c>
      <c r="V1532" s="2"/>
      <c r="W1532" s="15"/>
      <c r="X1532" s="15"/>
      <c r="Y1532" s="15"/>
      <c r="Z1532" s="15"/>
      <c r="AA1532" s="1"/>
      <c r="AB1532" s="15"/>
      <c r="AC1532" s="15"/>
      <c r="AD1532" s="15"/>
      <c r="AE1532" s="15"/>
      <c r="AF1532" s="2"/>
      <c r="AG1532" s="10" t="s">
        <v>4943</v>
      </c>
      <c r="AH1532" s="12" t="s">
        <v>46</v>
      </c>
      <c r="AI1532" s="10" t="s">
        <v>227</v>
      </c>
      <c r="AJ1532" s="10" t="s">
        <v>291</v>
      </c>
      <c r="AK1532" s="16" t="s">
        <v>45</v>
      </c>
      <c r="AL1532" s="10" t="s">
        <v>49</v>
      </c>
      <c r="AM1532" s="16" t="s">
        <v>45</v>
      </c>
      <c r="AN1532" s="10" t="s">
        <v>50</v>
      </c>
    </row>
    <row r="1533" ht="30.0" customHeight="1">
      <c r="A1533" s="9" t="str">
        <f t="shared" si="48"/>
        <v>Inativo</v>
      </c>
      <c r="B1533" s="9" t="str">
        <f t="shared" si="49"/>
        <v>N/I</v>
      </c>
      <c r="C1533" s="9" t="str">
        <f t="shared" si="80"/>
        <v>N/I</v>
      </c>
      <c r="D1533" s="10" t="s">
        <v>4936</v>
      </c>
      <c r="E1533" s="11" t="s">
        <v>4937</v>
      </c>
      <c r="F1533" s="32" t="s">
        <v>4960</v>
      </c>
      <c r="G1533" s="12" t="s">
        <v>448</v>
      </c>
      <c r="H1533" s="36" t="s">
        <v>4961</v>
      </c>
      <c r="I1533" s="12" t="s">
        <v>4962</v>
      </c>
      <c r="J1533" s="10" t="s">
        <v>40</v>
      </c>
      <c r="K1533" s="10" t="s">
        <v>41</v>
      </c>
      <c r="L1533" s="10" t="s">
        <v>4</v>
      </c>
      <c r="M1533" s="14">
        <v>44083.0</v>
      </c>
      <c r="N1533" s="11" t="s">
        <v>4963</v>
      </c>
      <c r="O1533" s="10" t="s">
        <v>4964</v>
      </c>
      <c r="P1533" s="10" t="s">
        <v>4942</v>
      </c>
      <c r="Q1533" s="2"/>
      <c r="R1533" s="10">
        <v>24.0</v>
      </c>
      <c r="S1533" s="14">
        <v>44083.0</v>
      </c>
      <c r="T1533" s="14">
        <v>44813.0</v>
      </c>
      <c r="U1533" s="10">
        <f t="shared" si="124"/>
        <v>-1278</v>
      </c>
      <c r="V1533" s="2"/>
      <c r="W1533" s="15"/>
      <c r="X1533" s="15"/>
      <c r="Y1533" s="15"/>
      <c r="Z1533" s="15"/>
      <c r="AA1533" s="1"/>
      <c r="AB1533" s="15"/>
      <c r="AC1533" s="15"/>
      <c r="AD1533" s="15"/>
      <c r="AE1533" s="15"/>
      <c r="AF1533" s="2"/>
      <c r="AG1533" s="10" t="s">
        <v>4943</v>
      </c>
      <c r="AH1533" s="12" t="s">
        <v>46</v>
      </c>
      <c r="AI1533" s="10" t="s">
        <v>227</v>
      </c>
      <c r="AJ1533" s="10" t="s">
        <v>291</v>
      </c>
      <c r="AK1533" s="16" t="s">
        <v>45</v>
      </c>
      <c r="AL1533" s="10" t="s">
        <v>49</v>
      </c>
      <c r="AM1533" s="16" t="s">
        <v>45</v>
      </c>
      <c r="AN1533" s="10" t="s">
        <v>50</v>
      </c>
    </row>
    <row r="1534" ht="30.0" customHeight="1">
      <c r="A1534" s="9" t="str">
        <f t="shared" si="48"/>
        <v>Inativo</v>
      </c>
      <c r="B1534" s="9" t="str">
        <f t="shared" si="49"/>
        <v>N/I</v>
      </c>
      <c r="C1534" s="9" t="str">
        <f t="shared" si="80"/>
        <v>N/I</v>
      </c>
      <c r="D1534" s="10" t="s">
        <v>4936</v>
      </c>
      <c r="E1534" s="11" t="s">
        <v>4937</v>
      </c>
      <c r="F1534" s="32" t="s">
        <v>4965</v>
      </c>
      <c r="G1534" s="12" t="s">
        <v>448</v>
      </c>
      <c r="H1534" s="36" t="s">
        <v>4966</v>
      </c>
      <c r="I1534" s="12" t="s">
        <v>4962</v>
      </c>
      <c r="J1534" s="10" t="s">
        <v>40</v>
      </c>
      <c r="K1534" s="10" t="s">
        <v>41</v>
      </c>
      <c r="L1534" s="10" t="s">
        <v>4</v>
      </c>
      <c r="M1534" s="14">
        <v>44138.0</v>
      </c>
      <c r="N1534" s="32" t="s">
        <v>4967</v>
      </c>
      <c r="O1534" s="10" t="s">
        <v>4964</v>
      </c>
      <c r="P1534" s="10" t="s">
        <v>4968</v>
      </c>
      <c r="Q1534" s="2"/>
      <c r="R1534" s="10">
        <v>24.0</v>
      </c>
      <c r="S1534" s="14">
        <v>44138.0</v>
      </c>
      <c r="T1534" s="14">
        <v>44868.0</v>
      </c>
      <c r="U1534" s="10">
        <f t="shared" si="124"/>
        <v>-1223</v>
      </c>
      <c r="V1534" s="2"/>
      <c r="W1534" s="15"/>
      <c r="X1534" s="15"/>
      <c r="Y1534" s="15"/>
      <c r="Z1534" s="15"/>
      <c r="AA1534" s="1"/>
      <c r="AB1534" s="15"/>
      <c r="AC1534" s="15"/>
      <c r="AD1534" s="15"/>
      <c r="AE1534" s="15"/>
      <c r="AF1534" s="2"/>
      <c r="AG1534" s="10" t="s">
        <v>4943</v>
      </c>
      <c r="AH1534" s="16" t="s">
        <v>45</v>
      </c>
      <c r="AI1534" s="10" t="s">
        <v>227</v>
      </c>
      <c r="AJ1534" s="16" t="s">
        <v>45</v>
      </c>
      <c r="AK1534" s="16" t="s">
        <v>45</v>
      </c>
      <c r="AL1534" s="10" t="s">
        <v>49</v>
      </c>
      <c r="AM1534" s="16" t="s">
        <v>45</v>
      </c>
      <c r="AN1534" s="10" t="s">
        <v>50</v>
      </c>
    </row>
    <row r="1535" ht="30.0" customHeight="1">
      <c r="A1535" s="9" t="str">
        <f t="shared" si="48"/>
        <v>Inativo</v>
      </c>
      <c r="B1535" s="9" t="str">
        <f t="shared" si="49"/>
        <v>N/I</v>
      </c>
      <c r="C1535" s="9" t="str">
        <f t="shared" si="80"/>
        <v>N/I</v>
      </c>
      <c r="D1535" s="10" t="s">
        <v>4936</v>
      </c>
      <c r="E1535" s="11" t="s">
        <v>4937</v>
      </c>
      <c r="F1535" s="32" t="s">
        <v>4969</v>
      </c>
      <c r="G1535" s="12" t="s">
        <v>448</v>
      </c>
      <c r="H1535" s="36" t="s">
        <v>4970</v>
      </c>
      <c r="I1535" s="12" t="s">
        <v>4971</v>
      </c>
      <c r="J1535" s="10" t="s">
        <v>40</v>
      </c>
      <c r="K1535" s="10" t="s">
        <v>41</v>
      </c>
      <c r="L1535" s="10" t="s">
        <v>4</v>
      </c>
      <c r="M1535" s="14">
        <v>44085.0</v>
      </c>
      <c r="N1535" s="11" t="s">
        <v>4972</v>
      </c>
      <c r="O1535" s="10" t="s">
        <v>4973</v>
      </c>
      <c r="P1535" s="10" t="s">
        <v>4942</v>
      </c>
      <c r="Q1535" s="2"/>
      <c r="R1535" s="10">
        <v>24.0</v>
      </c>
      <c r="S1535" s="14">
        <v>44085.0</v>
      </c>
      <c r="T1535" s="14">
        <v>44815.0</v>
      </c>
      <c r="U1535" s="10">
        <f t="shared" si="124"/>
        <v>-1276</v>
      </c>
      <c r="V1535" s="2"/>
      <c r="W1535" s="15"/>
      <c r="X1535" s="15"/>
      <c r="Y1535" s="15"/>
      <c r="Z1535" s="15"/>
      <c r="AA1535" s="1"/>
      <c r="AB1535" s="15"/>
      <c r="AC1535" s="15"/>
      <c r="AD1535" s="15"/>
      <c r="AE1535" s="15"/>
      <c r="AF1535" s="2"/>
      <c r="AG1535" s="10" t="s">
        <v>4943</v>
      </c>
      <c r="AH1535" s="12" t="s">
        <v>46</v>
      </c>
      <c r="AI1535" s="10" t="s">
        <v>227</v>
      </c>
      <c r="AJ1535" s="10" t="s">
        <v>291</v>
      </c>
      <c r="AK1535" s="16" t="s">
        <v>45</v>
      </c>
      <c r="AL1535" s="10" t="s">
        <v>49</v>
      </c>
      <c r="AM1535" s="16" t="s">
        <v>45</v>
      </c>
      <c r="AN1535" s="10" t="s">
        <v>50</v>
      </c>
    </row>
    <row r="1536" ht="30.0" customHeight="1">
      <c r="A1536" s="9" t="str">
        <f t="shared" si="48"/>
        <v>N/I</v>
      </c>
      <c r="B1536" s="9" t="str">
        <f t="shared" si="49"/>
        <v>N/I</v>
      </c>
      <c r="C1536" s="9" t="str">
        <f t="shared" si="80"/>
        <v>Inativo</v>
      </c>
      <c r="D1536" s="10" t="s">
        <v>4974</v>
      </c>
      <c r="E1536" s="11" t="s">
        <v>4975</v>
      </c>
      <c r="F1536" s="11" t="s">
        <v>2573</v>
      </c>
      <c r="G1536" s="12" t="s">
        <v>52</v>
      </c>
      <c r="H1536" s="27" t="s">
        <v>323</v>
      </c>
      <c r="I1536" s="12" t="s">
        <v>2575</v>
      </c>
      <c r="J1536" s="10" t="s">
        <v>197</v>
      </c>
      <c r="K1536" s="10" t="s">
        <v>40</v>
      </c>
      <c r="L1536" s="10" t="s">
        <v>6</v>
      </c>
      <c r="M1536" s="14">
        <v>43721.0</v>
      </c>
      <c r="N1536" s="11" t="s">
        <v>4976</v>
      </c>
      <c r="O1536" s="10" t="s">
        <v>4977</v>
      </c>
      <c r="P1536" s="10" t="s">
        <v>4978</v>
      </c>
      <c r="Q1536" s="2"/>
      <c r="R1536" s="15"/>
      <c r="S1536" s="15"/>
      <c r="T1536" s="15"/>
      <c r="U1536" s="15"/>
      <c r="V1536" s="2"/>
      <c r="W1536" s="15"/>
      <c r="X1536" s="15"/>
      <c r="Y1536" s="15"/>
      <c r="Z1536" s="15"/>
      <c r="AA1536" s="1"/>
      <c r="AB1536" s="10">
        <v>24.0</v>
      </c>
      <c r="AC1536" s="14">
        <v>43721.0</v>
      </c>
      <c r="AD1536" s="14">
        <v>44452.0</v>
      </c>
      <c r="AE1536" s="10">
        <f t="shared" ref="AE1536:AE1537" si="125">AD1536-TODAY()</f>
        <v>-1639</v>
      </c>
      <c r="AF1536" s="2"/>
      <c r="AG1536" s="16" t="s">
        <v>45</v>
      </c>
      <c r="AH1536" s="10" t="s">
        <v>318</v>
      </c>
      <c r="AI1536" s="10" t="s">
        <v>319</v>
      </c>
      <c r="AJ1536" s="10" t="s">
        <v>227</v>
      </c>
      <c r="AK1536" s="16" t="s">
        <v>45</v>
      </c>
      <c r="AL1536" s="10" t="s">
        <v>49</v>
      </c>
      <c r="AM1536" s="16" t="s">
        <v>45</v>
      </c>
      <c r="AN1536" s="16" t="s">
        <v>45</v>
      </c>
    </row>
    <row r="1537" ht="30.0" customHeight="1">
      <c r="A1537" s="9" t="str">
        <f t="shared" si="48"/>
        <v>N/I</v>
      </c>
      <c r="B1537" s="9" t="str">
        <f t="shared" si="49"/>
        <v>N/I</v>
      </c>
      <c r="C1537" s="9" t="str">
        <f t="shared" si="80"/>
        <v>Inativo</v>
      </c>
      <c r="D1537" s="10" t="s">
        <v>4974</v>
      </c>
      <c r="E1537" s="11" t="s">
        <v>4975</v>
      </c>
      <c r="F1537" s="32" t="s">
        <v>2573</v>
      </c>
      <c r="G1537" s="12" t="s">
        <v>52</v>
      </c>
      <c r="H1537" s="36" t="s">
        <v>4979</v>
      </c>
      <c r="I1537" s="12" t="s">
        <v>2575</v>
      </c>
      <c r="J1537" s="10" t="s">
        <v>197</v>
      </c>
      <c r="K1537" s="10" t="s">
        <v>40</v>
      </c>
      <c r="L1537" s="10" t="s">
        <v>6</v>
      </c>
      <c r="M1537" s="14">
        <v>44600.0</v>
      </c>
      <c r="N1537" s="32" t="s">
        <v>4976</v>
      </c>
      <c r="O1537" s="10" t="s">
        <v>4977</v>
      </c>
      <c r="P1537" s="10" t="s">
        <v>4980</v>
      </c>
      <c r="Q1537" s="2"/>
      <c r="R1537" s="15"/>
      <c r="S1537" s="15"/>
      <c r="T1537" s="15"/>
      <c r="U1537" s="15"/>
      <c r="V1537" s="2"/>
      <c r="W1537" s="15"/>
      <c r="X1537" s="15"/>
      <c r="Y1537" s="15"/>
      <c r="Z1537" s="15"/>
      <c r="AA1537" s="1"/>
      <c r="AB1537" s="10">
        <v>24.0</v>
      </c>
      <c r="AC1537" s="14">
        <v>44600.0</v>
      </c>
      <c r="AD1537" s="14">
        <v>45330.0</v>
      </c>
      <c r="AE1537" s="10">
        <f t="shared" si="125"/>
        <v>-761</v>
      </c>
      <c r="AF1537" s="2"/>
      <c r="AG1537" s="16" t="s">
        <v>45</v>
      </c>
      <c r="AH1537" s="10" t="s">
        <v>318</v>
      </c>
      <c r="AI1537" s="10" t="s">
        <v>319</v>
      </c>
      <c r="AJ1537" s="10" t="s">
        <v>227</v>
      </c>
      <c r="AK1537" s="16" t="s">
        <v>45</v>
      </c>
      <c r="AL1537" s="10" t="s">
        <v>49</v>
      </c>
      <c r="AM1537" s="16" t="s">
        <v>45</v>
      </c>
      <c r="AN1537" s="16" t="s">
        <v>45</v>
      </c>
    </row>
    <row r="1538" ht="30.0" customHeight="1">
      <c r="A1538" s="9" t="str">
        <f t="shared" si="48"/>
        <v>Ativo</v>
      </c>
      <c r="B1538" s="9" t="str">
        <f t="shared" si="49"/>
        <v>N/I</v>
      </c>
      <c r="C1538" s="9" t="str">
        <f t="shared" si="80"/>
        <v>N/I</v>
      </c>
      <c r="D1538" s="10" t="s">
        <v>4974</v>
      </c>
      <c r="E1538" s="11" t="s">
        <v>4981</v>
      </c>
      <c r="F1538" s="32" t="s">
        <v>2573</v>
      </c>
      <c r="G1538" s="12" t="s">
        <v>52</v>
      </c>
      <c r="H1538" s="27" t="s">
        <v>4982</v>
      </c>
      <c r="I1538" s="12" t="s">
        <v>2575</v>
      </c>
      <c r="J1538" s="10" t="s">
        <v>197</v>
      </c>
      <c r="K1538" s="10" t="s">
        <v>40</v>
      </c>
      <c r="L1538" s="10" t="s">
        <v>4</v>
      </c>
      <c r="M1538" s="14">
        <v>45838.0</v>
      </c>
      <c r="N1538" s="11" t="s">
        <v>4976</v>
      </c>
      <c r="O1538" s="10" t="s">
        <v>4977</v>
      </c>
      <c r="P1538" s="10" t="s">
        <v>4983</v>
      </c>
      <c r="Q1538" s="2"/>
      <c r="R1538" s="10">
        <v>24.0</v>
      </c>
      <c r="S1538" s="14">
        <v>45838.0</v>
      </c>
      <c r="T1538" s="14">
        <v>46567.0</v>
      </c>
      <c r="U1538" s="10">
        <f>T1538-TODAY()</f>
        <v>476</v>
      </c>
      <c r="V1538" s="2"/>
      <c r="W1538" s="15"/>
      <c r="X1538" s="15"/>
      <c r="Y1538" s="15"/>
      <c r="Z1538" s="15"/>
      <c r="AA1538" s="1"/>
      <c r="AB1538" s="15"/>
      <c r="AC1538" s="15"/>
      <c r="AD1538" s="15"/>
      <c r="AE1538" s="15"/>
      <c r="AF1538" s="2"/>
      <c r="AG1538" s="16" t="s">
        <v>45</v>
      </c>
      <c r="AH1538" s="12" t="s">
        <v>46</v>
      </c>
      <c r="AI1538" s="10" t="s">
        <v>717</v>
      </c>
      <c r="AJ1538" s="10" t="s">
        <v>227</v>
      </c>
      <c r="AK1538" s="16" t="s">
        <v>45</v>
      </c>
      <c r="AL1538" s="10" t="s">
        <v>49</v>
      </c>
      <c r="AM1538" s="16" t="s">
        <v>45</v>
      </c>
      <c r="AN1538" s="16" t="s">
        <v>45</v>
      </c>
    </row>
    <row r="1539" ht="30.0" customHeight="1">
      <c r="A1539" s="9" t="str">
        <f t="shared" si="48"/>
        <v>N/I</v>
      </c>
      <c r="B1539" s="9" t="str">
        <f t="shared" si="49"/>
        <v>N/I</v>
      </c>
      <c r="C1539" s="9" t="str">
        <f t="shared" si="80"/>
        <v>Inativo</v>
      </c>
      <c r="D1539" s="10" t="s">
        <v>4974</v>
      </c>
      <c r="E1539" s="11" t="s">
        <v>4981</v>
      </c>
      <c r="F1539" s="11" t="s">
        <v>2632</v>
      </c>
      <c r="G1539" s="12" t="s">
        <v>52</v>
      </c>
      <c r="H1539" s="27" t="s">
        <v>2633</v>
      </c>
      <c r="I1539" s="12" t="s">
        <v>2634</v>
      </c>
      <c r="J1539" s="10" t="s">
        <v>216</v>
      </c>
      <c r="K1539" s="10" t="s">
        <v>40</v>
      </c>
      <c r="L1539" s="10" t="s">
        <v>6</v>
      </c>
      <c r="M1539" s="14">
        <v>44509.0</v>
      </c>
      <c r="N1539" s="11" t="s">
        <v>4984</v>
      </c>
      <c r="O1539" s="10" t="s">
        <v>2636</v>
      </c>
      <c r="P1539" s="10" t="s">
        <v>4985</v>
      </c>
      <c r="Q1539" s="2"/>
      <c r="R1539" s="15"/>
      <c r="S1539" s="15"/>
      <c r="T1539" s="15"/>
      <c r="U1539" s="15"/>
      <c r="V1539" s="2"/>
      <c r="W1539" s="15"/>
      <c r="X1539" s="15"/>
      <c r="Y1539" s="15"/>
      <c r="Z1539" s="15"/>
      <c r="AA1539" s="1"/>
      <c r="AB1539" s="10">
        <v>36.0</v>
      </c>
      <c r="AC1539" s="14">
        <v>44509.0</v>
      </c>
      <c r="AD1539" s="14">
        <v>45604.0</v>
      </c>
      <c r="AE1539" s="10">
        <f t="shared" ref="AE1539:AE1540" si="126">AD1539-TODAY()</f>
        <v>-487</v>
      </c>
      <c r="AF1539" s="2"/>
      <c r="AG1539" s="16" t="s">
        <v>45</v>
      </c>
      <c r="AH1539" s="12" t="s">
        <v>46</v>
      </c>
      <c r="AI1539" s="10" t="s">
        <v>227</v>
      </c>
      <c r="AJ1539" s="10" t="s">
        <v>4986</v>
      </c>
      <c r="AK1539" s="16" t="s">
        <v>45</v>
      </c>
      <c r="AL1539" s="10" t="s">
        <v>49</v>
      </c>
      <c r="AM1539" s="16" t="s">
        <v>45</v>
      </c>
      <c r="AN1539" s="16" t="s">
        <v>45</v>
      </c>
    </row>
    <row r="1540" ht="30.0" customHeight="1">
      <c r="A1540" s="9" t="str">
        <f t="shared" si="48"/>
        <v>N/I</v>
      </c>
      <c r="B1540" s="9" t="str">
        <f t="shared" si="49"/>
        <v>N/I</v>
      </c>
      <c r="C1540" s="9" t="str">
        <f t="shared" si="80"/>
        <v>Inativo</v>
      </c>
      <c r="D1540" s="10" t="s">
        <v>4974</v>
      </c>
      <c r="E1540" s="11" t="s">
        <v>4975</v>
      </c>
      <c r="F1540" s="32" t="s">
        <v>4987</v>
      </c>
      <c r="G1540" s="12" t="s">
        <v>52</v>
      </c>
      <c r="H1540" s="36" t="s">
        <v>2684</v>
      </c>
      <c r="I1540" s="12" t="s">
        <v>2990</v>
      </c>
      <c r="J1540" s="10" t="s">
        <v>197</v>
      </c>
      <c r="K1540" s="10" t="s">
        <v>40</v>
      </c>
      <c r="L1540" s="10" t="s">
        <v>6</v>
      </c>
      <c r="M1540" s="14">
        <v>44600.0</v>
      </c>
      <c r="N1540" s="32" t="s">
        <v>4988</v>
      </c>
      <c r="O1540" s="10" t="s">
        <v>4989</v>
      </c>
      <c r="P1540" s="10" t="s">
        <v>4980</v>
      </c>
      <c r="Q1540" s="2"/>
      <c r="R1540" s="15"/>
      <c r="S1540" s="15"/>
      <c r="T1540" s="15"/>
      <c r="U1540" s="15"/>
      <c r="V1540" s="2"/>
      <c r="W1540" s="15"/>
      <c r="X1540" s="15"/>
      <c r="Y1540" s="15"/>
      <c r="Z1540" s="15"/>
      <c r="AA1540" s="1"/>
      <c r="AB1540" s="10">
        <v>24.0</v>
      </c>
      <c r="AC1540" s="14">
        <v>44600.0</v>
      </c>
      <c r="AD1540" s="14">
        <v>45330.0</v>
      </c>
      <c r="AE1540" s="10">
        <f t="shared" si="126"/>
        <v>-761</v>
      </c>
      <c r="AF1540" s="2"/>
      <c r="AG1540" s="16" t="s">
        <v>45</v>
      </c>
      <c r="AH1540" s="10" t="s">
        <v>318</v>
      </c>
      <c r="AI1540" s="10" t="s">
        <v>319</v>
      </c>
      <c r="AJ1540" s="10" t="s">
        <v>227</v>
      </c>
      <c r="AK1540" s="16" t="s">
        <v>45</v>
      </c>
      <c r="AL1540" s="10" t="s">
        <v>49</v>
      </c>
      <c r="AM1540" s="16" t="s">
        <v>45</v>
      </c>
      <c r="AN1540" s="16" t="s">
        <v>45</v>
      </c>
    </row>
    <row r="1541" ht="30.0" customHeight="1">
      <c r="A1541" s="9" t="str">
        <f t="shared" si="48"/>
        <v>Ativo</v>
      </c>
      <c r="B1541" s="9" t="str">
        <f t="shared" si="49"/>
        <v>N/I</v>
      </c>
      <c r="C1541" s="9" t="str">
        <f t="shared" si="80"/>
        <v>N/I</v>
      </c>
      <c r="D1541" s="10" t="s">
        <v>4990</v>
      </c>
      <c r="E1541" s="11" t="s">
        <v>4991</v>
      </c>
      <c r="F1541" s="32" t="s">
        <v>4992</v>
      </c>
      <c r="G1541" s="12" t="s">
        <v>94</v>
      </c>
      <c r="H1541" s="19" t="s">
        <v>4993</v>
      </c>
      <c r="I1541" s="12" t="s">
        <v>370</v>
      </c>
      <c r="J1541" s="10" t="s">
        <v>89</v>
      </c>
      <c r="K1541" s="10" t="s">
        <v>41</v>
      </c>
      <c r="L1541" s="10" t="s">
        <v>4</v>
      </c>
      <c r="M1541" s="14">
        <v>45308.0</v>
      </c>
      <c r="N1541" s="32" t="s">
        <v>4994</v>
      </c>
      <c r="O1541" s="10" t="s">
        <v>4995</v>
      </c>
      <c r="P1541" s="10" t="s">
        <v>4996</v>
      </c>
      <c r="Q1541" s="2"/>
      <c r="R1541" s="10">
        <v>60.0</v>
      </c>
      <c r="S1541" s="14">
        <v>45308.0</v>
      </c>
      <c r="T1541" s="14">
        <v>47135.0</v>
      </c>
      <c r="U1541" s="10">
        <f t="shared" ref="U1541:U1556" si="127">T1541-TODAY()</f>
        <v>1044</v>
      </c>
      <c r="V1541" s="2"/>
      <c r="W1541" s="15"/>
      <c r="X1541" s="15"/>
      <c r="Y1541" s="15"/>
      <c r="Z1541" s="15"/>
      <c r="AA1541" s="1"/>
      <c r="AB1541" s="15"/>
      <c r="AC1541" s="15"/>
      <c r="AD1541" s="15"/>
      <c r="AE1541" s="15"/>
      <c r="AF1541" s="2"/>
      <c r="AG1541" s="16" t="s">
        <v>45</v>
      </c>
      <c r="AH1541" s="10" t="s">
        <v>318</v>
      </c>
      <c r="AI1541" s="10" t="s">
        <v>319</v>
      </c>
      <c r="AJ1541" s="10" t="s">
        <v>291</v>
      </c>
      <c r="AK1541" s="16" t="s">
        <v>45</v>
      </c>
      <c r="AL1541" s="10" t="s">
        <v>49</v>
      </c>
      <c r="AM1541" s="10" t="s">
        <v>2423</v>
      </c>
      <c r="AN1541" s="10" t="s">
        <v>320</v>
      </c>
    </row>
    <row r="1542" ht="30.0" customHeight="1">
      <c r="A1542" s="9" t="str">
        <f t="shared" si="48"/>
        <v>Ativo</v>
      </c>
      <c r="B1542" s="9" t="str">
        <f t="shared" si="49"/>
        <v>N/I</v>
      </c>
      <c r="C1542" s="9" t="str">
        <f t="shared" si="80"/>
        <v>N/I</v>
      </c>
      <c r="D1542" s="10" t="s">
        <v>4990</v>
      </c>
      <c r="E1542" s="11" t="s">
        <v>4991</v>
      </c>
      <c r="F1542" s="32" t="s">
        <v>4992</v>
      </c>
      <c r="G1542" s="12" t="s">
        <v>94</v>
      </c>
      <c r="H1542" s="19" t="s">
        <v>4997</v>
      </c>
      <c r="I1542" s="12" t="s">
        <v>370</v>
      </c>
      <c r="J1542" s="10" t="s">
        <v>89</v>
      </c>
      <c r="K1542" s="10" t="s">
        <v>41</v>
      </c>
      <c r="L1542" s="10" t="s">
        <v>4</v>
      </c>
      <c r="M1542" s="14">
        <v>45309.0</v>
      </c>
      <c r="N1542" s="32" t="s">
        <v>4994</v>
      </c>
      <c r="O1542" s="10" t="s">
        <v>4995</v>
      </c>
      <c r="P1542" s="10" t="s">
        <v>4996</v>
      </c>
      <c r="Q1542" s="2"/>
      <c r="R1542" s="10">
        <v>60.0</v>
      </c>
      <c r="S1542" s="14">
        <v>45309.0</v>
      </c>
      <c r="T1542" s="14">
        <v>47136.0</v>
      </c>
      <c r="U1542" s="10">
        <f t="shared" si="127"/>
        <v>1045</v>
      </c>
      <c r="V1542" s="2"/>
      <c r="W1542" s="15"/>
      <c r="X1542" s="15"/>
      <c r="Y1542" s="15"/>
      <c r="Z1542" s="15"/>
      <c r="AA1542" s="1"/>
      <c r="AB1542" s="15"/>
      <c r="AC1542" s="15"/>
      <c r="AD1542" s="15"/>
      <c r="AE1542" s="15"/>
      <c r="AF1542" s="2"/>
      <c r="AG1542" s="16" t="s">
        <v>45</v>
      </c>
      <c r="AH1542" s="10" t="s">
        <v>318</v>
      </c>
      <c r="AI1542" s="10" t="s">
        <v>319</v>
      </c>
      <c r="AJ1542" s="10" t="s">
        <v>291</v>
      </c>
      <c r="AK1542" s="16" t="s">
        <v>45</v>
      </c>
      <c r="AL1542" s="10" t="s">
        <v>49</v>
      </c>
      <c r="AM1542" s="10" t="s">
        <v>2423</v>
      </c>
      <c r="AN1542" s="10" t="s">
        <v>320</v>
      </c>
    </row>
    <row r="1543" ht="30.0" customHeight="1">
      <c r="A1543" s="9" t="str">
        <f t="shared" si="48"/>
        <v>Ativo</v>
      </c>
      <c r="B1543" s="9" t="str">
        <f t="shared" si="49"/>
        <v>N/I</v>
      </c>
      <c r="C1543" s="9" t="str">
        <f t="shared" si="80"/>
        <v>N/I</v>
      </c>
      <c r="D1543" s="10" t="s">
        <v>4998</v>
      </c>
      <c r="E1543" s="11" t="s">
        <v>4999</v>
      </c>
      <c r="F1543" s="11" t="s">
        <v>5000</v>
      </c>
      <c r="G1543" s="12" t="s">
        <v>94</v>
      </c>
      <c r="H1543" s="13" t="s">
        <v>5001</v>
      </c>
      <c r="I1543" s="12" t="s">
        <v>582</v>
      </c>
      <c r="J1543" s="10" t="s">
        <v>583</v>
      </c>
      <c r="K1543" s="10" t="s">
        <v>41</v>
      </c>
      <c r="L1543" s="10" t="s">
        <v>4</v>
      </c>
      <c r="M1543" s="14">
        <v>45322.0</v>
      </c>
      <c r="N1543" s="32" t="s">
        <v>5002</v>
      </c>
      <c r="O1543" s="10" t="s">
        <v>5003</v>
      </c>
      <c r="P1543" s="10" t="s">
        <v>5004</v>
      </c>
      <c r="Q1543" s="2"/>
      <c r="R1543" s="10">
        <v>60.0</v>
      </c>
      <c r="S1543" s="14">
        <v>45349.0</v>
      </c>
      <c r="T1543" s="14">
        <v>47176.0</v>
      </c>
      <c r="U1543" s="10">
        <f t="shared" si="127"/>
        <v>1085</v>
      </c>
      <c r="V1543" s="2"/>
      <c r="W1543" s="15"/>
      <c r="X1543" s="15"/>
      <c r="Y1543" s="15"/>
      <c r="Z1543" s="15"/>
      <c r="AA1543" s="1"/>
      <c r="AB1543" s="15"/>
      <c r="AC1543" s="15"/>
      <c r="AD1543" s="15"/>
      <c r="AE1543" s="15"/>
      <c r="AF1543" s="2"/>
      <c r="AG1543" s="16" t="s">
        <v>45</v>
      </c>
      <c r="AH1543" s="10" t="s">
        <v>318</v>
      </c>
      <c r="AI1543" s="10" t="s">
        <v>319</v>
      </c>
      <c r="AJ1543" s="10" t="s">
        <v>291</v>
      </c>
      <c r="AK1543" s="16" t="s">
        <v>45</v>
      </c>
      <c r="AL1543" s="10" t="s">
        <v>49</v>
      </c>
      <c r="AM1543" s="10" t="s">
        <v>2423</v>
      </c>
      <c r="AN1543" s="10" t="s">
        <v>320</v>
      </c>
    </row>
    <row r="1544" ht="30.0" customHeight="1">
      <c r="A1544" s="9" t="str">
        <f t="shared" si="48"/>
        <v>Ativo</v>
      </c>
      <c r="B1544" s="9" t="str">
        <f t="shared" si="49"/>
        <v>N/I</v>
      </c>
      <c r="C1544" s="9" t="str">
        <f t="shared" si="80"/>
        <v>N/I</v>
      </c>
      <c r="D1544" s="10" t="s">
        <v>4998</v>
      </c>
      <c r="E1544" s="11" t="s">
        <v>4999</v>
      </c>
      <c r="F1544" s="11" t="s">
        <v>5005</v>
      </c>
      <c r="G1544" s="12" t="s">
        <v>94</v>
      </c>
      <c r="H1544" s="13" t="s">
        <v>5006</v>
      </c>
      <c r="I1544" s="12" t="s">
        <v>643</v>
      </c>
      <c r="J1544" s="10" t="s">
        <v>583</v>
      </c>
      <c r="K1544" s="10" t="s">
        <v>41</v>
      </c>
      <c r="L1544" s="10" t="s">
        <v>4</v>
      </c>
      <c r="M1544" s="14">
        <v>45322.0</v>
      </c>
      <c r="N1544" s="32" t="s">
        <v>5007</v>
      </c>
      <c r="O1544" s="10" t="s">
        <v>5008</v>
      </c>
      <c r="P1544" s="10" t="s">
        <v>5004</v>
      </c>
      <c r="Q1544" s="2"/>
      <c r="R1544" s="10">
        <v>60.0</v>
      </c>
      <c r="S1544" s="14">
        <v>45349.0</v>
      </c>
      <c r="T1544" s="14">
        <v>47176.0</v>
      </c>
      <c r="U1544" s="10">
        <f t="shared" si="127"/>
        <v>1085</v>
      </c>
      <c r="V1544" s="2"/>
      <c r="W1544" s="15"/>
      <c r="X1544" s="15"/>
      <c r="Y1544" s="15"/>
      <c r="Z1544" s="15"/>
      <c r="AA1544" s="1"/>
      <c r="AB1544" s="15"/>
      <c r="AC1544" s="15"/>
      <c r="AD1544" s="15"/>
      <c r="AE1544" s="15"/>
      <c r="AF1544" s="2"/>
      <c r="AG1544" s="16" t="s">
        <v>45</v>
      </c>
      <c r="AH1544" s="10" t="s">
        <v>318</v>
      </c>
      <c r="AI1544" s="10" t="s">
        <v>319</v>
      </c>
      <c r="AJ1544" s="10" t="s">
        <v>291</v>
      </c>
      <c r="AK1544" s="16" t="s">
        <v>45</v>
      </c>
      <c r="AL1544" s="10" t="s">
        <v>49</v>
      </c>
      <c r="AM1544" s="10" t="s">
        <v>2423</v>
      </c>
      <c r="AN1544" s="10" t="s">
        <v>320</v>
      </c>
    </row>
    <row r="1545" ht="30.0" customHeight="1">
      <c r="A1545" s="9" t="str">
        <f t="shared" si="48"/>
        <v>Ativo</v>
      </c>
      <c r="B1545" s="9" t="str">
        <f t="shared" si="49"/>
        <v>N/I</v>
      </c>
      <c r="C1545" s="9" t="str">
        <f t="shared" si="80"/>
        <v>N/I</v>
      </c>
      <c r="D1545" s="10" t="s">
        <v>4998</v>
      </c>
      <c r="E1545" s="11" t="s">
        <v>4999</v>
      </c>
      <c r="F1545" s="11" t="s">
        <v>5009</v>
      </c>
      <c r="G1545" s="12" t="s">
        <v>94</v>
      </c>
      <c r="H1545" s="13" t="s">
        <v>5010</v>
      </c>
      <c r="I1545" s="12" t="s">
        <v>643</v>
      </c>
      <c r="J1545" s="10" t="s">
        <v>583</v>
      </c>
      <c r="K1545" s="10" t="s">
        <v>41</v>
      </c>
      <c r="L1545" s="10" t="s">
        <v>4</v>
      </c>
      <c r="M1545" s="14">
        <v>45323.0</v>
      </c>
      <c r="N1545" s="32" t="s">
        <v>5011</v>
      </c>
      <c r="O1545" s="10" t="s">
        <v>5003</v>
      </c>
      <c r="P1545" s="10" t="s">
        <v>5004</v>
      </c>
      <c r="Q1545" s="2"/>
      <c r="R1545" s="10">
        <v>60.0</v>
      </c>
      <c r="S1545" s="14">
        <v>45349.0</v>
      </c>
      <c r="T1545" s="14">
        <v>47176.0</v>
      </c>
      <c r="U1545" s="10">
        <f t="shared" si="127"/>
        <v>1085</v>
      </c>
      <c r="V1545" s="2"/>
      <c r="W1545" s="15"/>
      <c r="X1545" s="15"/>
      <c r="Y1545" s="15"/>
      <c r="Z1545" s="15"/>
      <c r="AA1545" s="1"/>
      <c r="AB1545" s="15"/>
      <c r="AC1545" s="15"/>
      <c r="AD1545" s="15"/>
      <c r="AE1545" s="15"/>
      <c r="AF1545" s="2"/>
      <c r="AG1545" s="16" t="s">
        <v>45</v>
      </c>
      <c r="AH1545" s="10" t="s">
        <v>318</v>
      </c>
      <c r="AI1545" s="10" t="s">
        <v>319</v>
      </c>
      <c r="AJ1545" s="10" t="s">
        <v>291</v>
      </c>
      <c r="AK1545" s="10" t="s">
        <v>2423</v>
      </c>
      <c r="AL1545" s="10" t="s">
        <v>49</v>
      </c>
      <c r="AM1545" s="10" t="s">
        <v>2423</v>
      </c>
      <c r="AN1545" s="10" t="s">
        <v>320</v>
      </c>
    </row>
    <row r="1546" ht="30.0" customHeight="1">
      <c r="A1546" s="9" t="str">
        <f t="shared" si="48"/>
        <v>Inativo</v>
      </c>
      <c r="B1546" s="9" t="str">
        <f t="shared" si="49"/>
        <v>N/I</v>
      </c>
      <c r="C1546" s="9" t="str">
        <f t="shared" si="80"/>
        <v>N/I</v>
      </c>
      <c r="D1546" s="10" t="s">
        <v>5012</v>
      </c>
      <c r="E1546" s="11" t="s">
        <v>5013</v>
      </c>
      <c r="F1546" s="11" t="s">
        <v>5014</v>
      </c>
      <c r="G1546" s="12" t="s">
        <v>448</v>
      </c>
      <c r="H1546" s="16" t="s">
        <v>5015</v>
      </c>
      <c r="I1546" s="12" t="s">
        <v>463</v>
      </c>
      <c r="J1546" s="10" t="s">
        <v>222</v>
      </c>
      <c r="K1546" s="10" t="s">
        <v>40</v>
      </c>
      <c r="L1546" s="10" t="s">
        <v>4</v>
      </c>
      <c r="M1546" s="14">
        <v>44104.0</v>
      </c>
      <c r="N1546" s="11" t="s">
        <v>5016</v>
      </c>
      <c r="O1546" s="10" t="s">
        <v>5017</v>
      </c>
      <c r="P1546" s="10" t="s">
        <v>5018</v>
      </c>
      <c r="Q1546" s="2"/>
      <c r="R1546" s="10">
        <v>48.0</v>
      </c>
      <c r="S1546" s="14">
        <v>44104.0</v>
      </c>
      <c r="T1546" s="14">
        <v>45565.0</v>
      </c>
      <c r="U1546" s="10">
        <f t="shared" si="127"/>
        <v>-526</v>
      </c>
      <c r="V1546" s="2"/>
      <c r="W1546" s="15"/>
      <c r="X1546" s="15"/>
      <c r="Y1546" s="15"/>
      <c r="Z1546" s="15"/>
      <c r="AA1546" s="1"/>
      <c r="AB1546" s="15"/>
      <c r="AC1546" s="15"/>
      <c r="AD1546" s="15"/>
      <c r="AE1546" s="15"/>
      <c r="AF1546" s="2"/>
      <c r="AG1546" s="10" t="s">
        <v>354</v>
      </c>
      <c r="AH1546" s="16" t="s">
        <v>45</v>
      </c>
      <c r="AI1546" s="16" t="s">
        <v>45</v>
      </c>
      <c r="AJ1546" s="16" t="s">
        <v>45</v>
      </c>
      <c r="AK1546" s="16" t="s">
        <v>45</v>
      </c>
      <c r="AL1546" s="10" t="s">
        <v>49</v>
      </c>
      <c r="AM1546" s="16" t="s">
        <v>45</v>
      </c>
      <c r="AN1546" s="16" t="s">
        <v>45</v>
      </c>
    </row>
    <row r="1547" ht="30.0" customHeight="1">
      <c r="A1547" s="9" t="str">
        <f t="shared" si="48"/>
        <v>Inativo</v>
      </c>
      <c r="B1547" s="9" t="str">
        <f t="shared" si="49"/>
        <v>N/I</v>
      </c>
      <c r="C1547" s="9" t="str">
        <f t="shared" si="80"/>
        <v>N/I</v>
      </c>
      <c r="D1547" s="10" t="s">
        <v>5012</v>
      </c>
      <c r="E1547" s="11" t="s">
        <v>5013</v>
      </c>
      <c r="F1547" s="11" t="s">
        <v>5014</v>
      </c>
      <c r="G1547" s="12" t="s">
        <v>448</v>
      </c>
      <c r="H1547" s="16" t="s">
        <v>5019</v>
      </c>
      <c r="I1547" s="12" t="s">
        <v>463</v>
      </c>
      <c r="J1547" s="10" t="s">
        <v>222</v>
      </c>
      <c r="K1547" s="10" t="s">
        <v>40</v>
      </c>
      <c r="L1547" s="10" t="s">
        <v>4</v>
      </c>
      <c r="M1547" s="14">
        <v>44104.0</v>
      </c>
      <c r="N1547" s="11" t="s">
        <v>5016</v>
      </c>
      <c r="O1547" s="10" t="s">
        <v>5017</v>
      </c>
      <c r="P1547" s="10" t="s">
        <v>5018</v>
      </c>
      <c r="Q1547" s="2"/>
      <c r="R1547" s="10">
        <v>48.0</v>
      </c>
      <c r="S1547" s="14">
        <v>44104.0</v>
      </c>
      <c r="T1547" s="14">
        <v>45565.0</v>
      </c>
      <c r="U1547" s="10">
        <f t="shared" si="127"/>
        <v>-526</v>
      </c>
      <c r="V1547" s="2"/>
      <c r="W1547" s="15"/>
      <c r="X1547" s="15"/>
      <c r="Y1547" s="15"/>
      <c r="Z1547" s="15"/>
      <c r="AA1547" s="1"/>
      <c r="AB1547" s="15"/>
      <c r="AC1547" s="15"/>
      <c r="AD1547" s="15"/>
      <c r="AE1547" s="15"/>
      <c r="AF1547" s="2"/>
      <c r="AG1547" s="10" t="s">
        <v>354</v>
      </c>
      <c r="AH1547" s="16" t="s">
        <v>45</v>
      </c>
      <c r="AI1547" s="16" t="s">
        <v>45</v>
      </c>
      <c r="AJ1547" s="16" t="s">
        <v>45</v>
      </c>
      <c r="AK1547" s="16" t="s">
        <v>45</v>
      </c>
      <c r="AL1547" s="10" t="s">
        <v>49</v>
      </c>
      <c r="AM1547" s="16" t="s">
        <v>45</v>
      </c>
      <c r="AN1547" s="16" t="s">
        <v>45</v>
      </c>
    </row>
    <row r="1548" ht="30.0" customHeight="1">
      <c r="A1548" s="9" t="str">
        <f t="shared" si="48"/>
        <v>Inativo</v>
      </c>
      <c r="B1548" s="9" t="str">
        <f t="shared" si="49"/>
        <v>N/I</v>
      </c>
      <c r="C1548" s="9" t="str">
        <f t="shared" si="80"/>
        <v>N/I</v>
      </c>
      <c r="D1548" s="10" t="s">
        <v>5012</v>
      </c>
      <c r="E1548" s="11" t="s">
        <v>5013</v>
      </c>
      <c r="F1548" s="11" t="s">
        <v>5020</v>
      </c>
      <c r="G1548" s="12" t="s">
        <v>448</v>
      </c>
      <c r="H1548" s="16" t="s">
        <v>5021</v>
      </c>
      <c r="I1548" s="12" t="s">
        <v>463</v>
      </c>
      <c r="J1548" s="10" t="s">
        <v>222</v>
      </c>
      <c r="K1548" s="10" t="s">
        <v>40</v>
      </c>
      <c r="L1548" s="10" t="s">
        <v>4</v>
      </c>
      <c r="M1548" s="14">
        <v>44104.0</v>
      </c>
      <c r="N1548" s="11" t="s">
        <v>5022</v>
      </c>
      <c r="O1548" s="10" t="s">
        <v>5023</v>
      </c>
      <c r="P1548" s="10" t="s">
        <v>5018</v>
      </c>
      <c r="Q1548" s="2"/>
      <c r="R1548" s="10">
        <v>48.0</v>
      </c>
      <c r="S1548" s="14">
        <v>44104.0</v>
      </c>
      <c r="T1548" s="14">
        <v>45565.0</v>
      </c>
      <c r="U1548" s="10">
        <f t="shared" si="127"/>
        <v>-526</v>
      </c>
      <c r="V1548" s="2"/>
      <c r="W1548" s="15"/>
      <c r="X1548" s="15"/>
      <c r="Y1548" s="15"/>
      <c r="Z1548" s="15"/>
      <c r="AA1548" s="1"/>
      <c r="AB1548" s="15"/>
      <c r="AC1548" s="15"/>
      <c r="AD1548" s="15"/>
      <c r="AE1548" s="15"/>
      <c r="AF1548" s="2"/>
      <c r="AG1548" s="10" t="s">
        <v>354</v>
      </c>
      <c r="AH1548" s="16" t="s">
        <v>45</v>
      </c>
      <c r="AI1548" s="16" t="s">
        <v>45</v>
      </c>
      <c r="AJ1548" s="16" t="s">
        <v>45</v>
      </c>
      <c r="AK1548" s="16" t="s">
        <v>45</v>
      </c>
      <c r="AL1548" s="10" t="s">
        <v>49</v>
      </c>
      <c r="AM1548" s="16" t="s">
        <v>45</v>
      </c>
      <c r="AN1548" s="16" t="s">
        <v>45</v>
      </c>
    </row>
    <row r="1549" ht="30.0" customHeight="1">
      <c r="A1549" s="9" t="str">
        <f t="shared" si="48"/>
        <v>Inativo</v>
      </c>
      <c r="B1549" s="9" t="str">
        <f t="shared" si="49"/>
        <v>N/I</v>
      </c>
      <c r="C1549" s="9" t="str">
        <f t="shared" si="80"/>
        <v>N/I</v>
      </c>
      <c r="D1549" s="10" t="s">
        <v>5012</v>
      </c>
      <c r="E1549" s="11" t="s">
        <v>5013</v>
      </c>
      <c r="F1549" s="11" t="s">
        <v>5024</v>
      </c>
      <c r="G1549" s="12" t="s">
        <v>448</v>
      </c>
      <c r="H1549" s="16" t="s">
        <v>5025</v>
      </c>
      <c r="I1549" s="12" t="s">
        <v>463</v>
      </c>
      <c r="J1549" s="10" t="s">
        <v>222</v>
      </c>
      <c r="K1549" s="10" t="s">
        <v>40</v>
      </c>
      <c r="L1549" s="10" t="s">
        <v>4</v>
      </c>
      <c r="M1549" s="14">
        <v>44104.0</v>
      </c>
      <c r="N1549" s="11" t="s">
        <v>5026</v>
      </c>
      <c r="O1549" s="10" t="s">
        <v>4745</v>
      </c>
      <c r="P1549" s="10" t="s">
        <v>5018</v>
      </c>
      <c r="Q1549" s="2"/>
      <c r="R1549" s="10">
        <v>48.0</v>
      </c>
      <c r="S1549" s="14">
        <v>44104.0</v>
      </c>
      <c r="T1549" s="14">
        <v>45565.0</v>
      </c>
      <c r="U1549" s="10">
        <f t="shared" si="127"/>
        <v>-526</v>
      </c>
      <c r="V1549" s="2"/>
      <c r="W1549" s="15"/>
      <c r="X1549" s="15"/>
      <c r="Y1549" s="15"/>
      <c r="Z1549" s="15"/>
      <c r="AA1549" s="1"/>
      <c r="AB1549" s="15"/>
      <c r="AC1549" s="15"/>
      <c r="AD1549" s="15"/>
      <c r="AE1549" s="15"/>
      <c r="AF1549" s="2"/>
      <c r="AG1549" s="10" t="s">
        <v>354</v>
      </c>
      <c r="AH1549" s="12" t="s">
        <v>46</v>
      </c>
      <c r="AI1549" s="16" t="s">
        <v>45</v>
      </c>
      <c r="AJ1549" s="16" t="s">
        <v>45</v>
      </c>
      <c r="AK1549" s="16" t="s">
        <v>45</v>
      </c>
      <c r="AL1549" s="10" t="s">
        <v>49</v>
      </c>
      <c r="AM1549" s="16" t="s">
        <v>45</v>
      </c>
      <c r="AN1549" s="16" t="s">
        <v>45</v>
      </c>
    </row>
    <row r="1550" ht="30.0" customHeight="1">
      <c r="A1550" s="9" t="str">
        <f t="shared" si="48"/>
        <v>Inativo</v>
      </c>
      <c r="B1550" s="9" t="str">
        <f t="shared" si="49"/>
        <v>N/I</v>
      </c>
      <c r="C1550" s="9" t="str">
        <f t="shared" si="80"/>
        <v>N/I</v>
      </c>
      <c r="D1550" s="10" t="s">
        <v>5027</v>
      </c>
      <c r="E1550" s="11" t="s">
        <v>5028</v>
      </c>
      <c r="F1550" s="32" t="s">
        <v>5029</v>
      </c>
      <c r="G1550" s="12" t="s">
        <v>448</v>
      </c>
      <c r="H1550" s="16" t="s">
        <v>5030</v>
      </c>
      <c r="I1550" s="12" t="s">
        <v>5031</v>
      </c>
      <c r="J1550" s="10" t="s">
        <v>610</v>
      </c>
      <c r="K1550" s="10" t="s">
        <v>190</v>
      </c>
      <c r="L1550" s="10" t="s">
        <v>4</v>
      </c>
      <c r="M1550" s="22">
        <v>44118.0</v>
      </c>
      <c r="N1550" s="11" t="s">
        <v>5032</v>
      </c>
      <c r="O1550" s="10" t="s">
        <v>5033</v>
      </c>
      <c r="P1550" s="10" t="s">
        <v>5034</v>
      </c>
      <c r="Q1550" s="2"/>
      <c r="R1550" s="10">
        <v>48.0</v>
      </c>
      <c r="S1550" s="14">
        <v>44118.0</v>
      </c>
      <c r="T1550" s="14">
        <v>45578.0</v>
      </c>
      <c r="U1550" s="10">
        <f t="shared" si="127"/>
        <v>-513</v>
      </c>
      <c r="V1550" s="2"/>
      <c r="W1550" s="15"/>
      <c r="X1550" s="15"/>
      <c r="Y1550" s="15"/>
      <c r="Z1550" s="15"/>
      <c r="AA1550" s="1"/>
      <c r="AB1550" s="15"/>
      <c r="AC1550" s="15"/>
      <c r="AD1550" s="15"/>
      <c r="AE1550" s="15"/>
      <c r="AF1550" s="2"/>
      <c r="AG1550" s="10" t="s">
        <v>706</v>
      </c>
      <c r="AH1550" s="12" t="s">
        <v>46</v>
      </c>
      <c r="AI1550" s="16" t="s">
        <v>45</v>
      </c>
      <c r="AJ1550" s="30" t="s">
        <v>5035</v>
      </c>
      <c r="AK1550" s="16" t="s">
        <v>45</v>
      </c>
      <c r="AL1550" s="10" t="s">
        <v>49</v>
      </c>
      <c r="AM1550" s="16" t="s">
        <v>45</v>
      </c>
      <c r="AN1550" s="10" t="s">
        <v>50</v>
      </c>
    </row>
    <row r="1551" ht="30.0" customHeight="1">
      <c r="A1551" s="9" t="str">
        <f t="shared" si="48"/>
        <v>Inativo</v>
      </c>
      <c r="B1551" s="9" t="str">
        <f t="shared" si="49"/>
        <v>N/I</v>
      </c>
      <c r="C1551" s="9" t="str">
        <f t="shared" si="80"/>
        <v>N/I</v>
      </c>
      <c r="D1551" s="10" t="s">
        <v>5027</v>
      </c>
      <c r="E1551" s="11" t="s">
        <v>5028</v>
      </c>
      <c r="F1551" s="32" t="s">
        <v>5036</v>
      </c>
      <c r="G1551" s="12" t="s">
        <v>448</v>
      </c>
      <c r="H1551" s="16" t="s">
        <v>5037</v>
      </c>
      <c r="I1551" s="12"/>
      <c r="J1551" s="10" t="s">
        <v>247</v>
      </c>
      <c r="K1551" s="10" t="s">
        <v>190</v>
      </c>
      <c r="L1551" s="10" t="s">
        <v>4</v>
      </c>
      <c r="M1551" s="22">
        <v>43881.0</v>
      </c>
      <c r="N1551" s="11" t="s">
        <v>5038</v>
      </c>
      <c r="O1551" s="10" t="s">
        <v>5039</v>
      </c>
      <c r="P1551" s="10" t="s">
        <v>5034</v>
      </c>
      <c r="Q1551" s="2"/>
      <c r="R1551" s="10">
        <v>48.0</v>
      </c>
      <c r="S1551" s="14">
        <v>43881.0</v>
      </c>
      <c r="T1551" s="14">
        <v>45341.0</v>
      </c>
      <c r="U1551" s="10">
        <f t="shared" si="127"/>
        <v>-750</v>
      </c>
      <c r="V1551" s="2"/>
      <c r="W1551" s="15"/>
      <c r="X1551" s="15"/>
      <c r="Y1551" s="15"/>
      <c r="Z1551" s="15"/>
      <c r="AA1551" s="1"/>
      <c r="AB1551" s="15"/>
      <c r="AC1551" s="15"/>
      <c r="AD1551" s="15"/>
      <c r="AE1551" s="15"/>
      <c r="AF1551" s="2"/>
      <c r="AG1551" s="10" t="s">
        <v>706</v>
      </c>
      <c r="AH1551" s="12" t="s">
        <v>46</v>
      </c>
      <c r="AI1551" s="16" t="s">
        <v>45</v>
      </c>
      <c r="AJ1551" s="30" t="s">
        <v>5035</v>
      </c>
      <c r="AK1551" s="16" t="s">
        <v>45</v>
      </c>
      <c r="AL1551" s="10" t="s">
        <v>49</v>
      </c>
      <c r="AM1551" s="16" t="s">
        <v>45</v>
      </c>
      <c r="AN1551" s="10" t="s">
        <v>50</v>
      </c>
    </row>
    <row r="1552" ht="30.0" customHeight="1">
      <c r="A1552" s="9" t="str">
        <f t="shared" si="48"/>
        <v>Inativo</v>
      </c>
      <c r="B1552" s="9" t="str">
        <f t="shared" si="49"/>
        <v>N/I</v>
      </c>
      <c r="C1552" s="9" t="str">
        <f t="shared" si="80"/>
        <v>N/I</v>
      </c>
      <c r="D1552" s="10" t="s">
        <v>5027</v>
      </c>
      <c r="E1552" s="11" t="s">
        <v>5028</v>
      </c>
      <c r="F1552" s="32" t="s">
        <v>5036</v>
      </c>
      <c r="G1552" s="12" t="s">
        <v>448</v>
      </c>
      <c r="H1552" s="16" t="s">
        <v>5040</v>
      </c>
      <c r="I1552" s="12"/>
      <c r="J1552" s="10" t="s">
        <v>247</v>
      </c>
      <c r="K1552" s="10" t="s">
        <v>190</v>
      </c>
      <c r="L1552" s="10" t="s">
        <v>4</v>
      </c>
      <c r="M1552" s="22">
        <v>43881.0</v>
      </c>
      <c r="N1552" s="11" t="s">
        <v>5038</v>
      </c>
      <c r="O1552" s="10" t="s">
        <v>5039</v>
      </c>
      <c r="P1552" s="10" t="s">
        <v>5034</v>
      </c>
      <c r="Q1552" s="2"/>
      <c r="R1552" s="10">
        <v>48.0</v>
      </c>
      <c r="S1552" s="14">
        <v>43881.0</v>
      </c>
      <c r="T1552" s="14">
        <v>45341.0</v>
      </c>
      <c r="U1552" s="10">
        <f t="shared" si="127"/>
        <v>-750</v>
      </c>
      <c r="V1552" s="2"/>
      <c r="W1552" s="15"/>
      <c r="X1552" s="15"/>
      <c r="Y1552" s="15"/>
      <c r="Z1552" s="15"/>
      <c r="AA1552" s="1"/>
      <c r="AB1552" s="15"/>
      <c r="AC1552" s="15"/>
      <c r="AD1552" s="15"/>
      <c r="AE1552" s="15"/>
      <c r="AF1552" s="2"/>
      <c r="AG1552" s="10" t="s">
        <v>706</v>
      </c>
      <c r="AH1552" s="12" t="s">
        <v>46</v>
      </c>
      <c r="AI1552" s="16" t="s">
        <v>45</v>
      </c>
      <c r="AJ1552" s="30" t="s">
        <v>5035</v>
      </c>
      <c r="AK1552" s="16" t="s">
        <v>45</v>
      </c>
      <c r="AL1552" s="10" t="s">
        <v>49</v>
      </c>
      <c r="AM1552" s="16" t="s">
        <v>45</v>
      </c>
      <c r="AN1552" s="10" t="s">
        <v>50</v>
      </c>
    </row>
    <row r="1553" ht="30.0" customHeight="1">
      <c r="A1553" s="9" t="str">
        <f t="shared" si="48"/>
        <v>Inativo</v>
      </c>
      <c r="B1553" s="9" t="str">
        <f t="shared" si="49"/>
        <v>N/I</v>
      </c>
      <c r="C1553" s="9" t="str">
        <f t="shared" si="80"/>
        <v>N/I</v>
      </c>
      <c r="D1553" s="10" t="s">
        <v>5027</v>
      </c>
      <c r="E1553" s="11" t="s">
        <v>5028</v>
      </c>
      <c r="F1553" s="32" t="s">
        <v>5041</v>
      </c>
      <c r="G1553" s="12" t="s">
        <v>448</v>
      </c>
      <c r="H1553" s="16" t="s">
        <v>5042</v>
      </c>
      <c r="I1553" s="12"/>
      <c r="J1553" s="10" t="s">
        <v>247</v>
      </c>
      <c r="K1553" s="10" t="s">
        <v>190</v>
      </c>
      <c r="L1553" s="10" t="s">
        <v>4</v>
      </c>
      <c r="M1553" s="22">
        <v>43882.0</v>
      </c>
      <c r="N1553" s="11" t="s">
        <v>5032</v>
      </c>
      <c r="O1553" s="10" t="s">
        <v>5033</v>
      </c>
      <c r="P1553" s="10" t="s">
        <v>5034</v>
      </c>
      <c r="Q1553" s="2"/>
      <c r="R1553" s="10">
        <v>48.0</v>
      </c>
      <c r="S1553" s="14">
        <v>43882.0</v>
      </c>
      <c r="T1553" s="14">
        <v>45342.0</v>
      </c>
      <c r="U1553" s="10">
        <f t="shared" si="127"/>
        <v>-749</v>
      </c>
      <c r="V1553" s="2"/>
      <c r="W1553" s="15"/>
      <c r="X1553" s="15"/>
      <c r="Y1553" s="15"/>
      <c r="Z1553" s="15"/>
      <c r="AA1553" s="1"/>
      <c r="AB1553" s="15"/>
      <c r="AC1553" s="15"/>
      <c r="AD1553" s="15"/>
      <c r="AE1553" s="15"/>
      <c r="AF1553" s="2"/>
      <c r="AG1553" s="10" t="s">
        <v>706</v>
      </c>
      <c r="AH1553" s="12" t="s">
        <v>46</v>
      </c>
      <c r="AI1553" s="16" t="s">
        <v>45</v>
      </c>
      <c r="AJ1553" s="30" t="s">
        <v>5035</v>
      </c>
      <c r="AK1553" s="16" t="s">
        <v>45</v>
      </c>
      <c r="AL1553" s="10" t="s">
        <v>49</v>
      </c>
      <c r="AM1553" s="16" t="s">
        <v>45</v>
      </c>
      <c r="AN1553" s="10" t="s">
        <v>50</v>
      </c>
    </row>
    <row r="1554" ht="30.0" customHeight="1">
      <c r="A1554" s="9" t="str">
        <f t="shared" si="48"/>
        <v>Inativo</v>
      </c>
      <c r="B1554" s="9" t="str">
        <f t="shared" si="49"/>
        <v>N/I</v>
      </c>
      <c r="C1554" s="9" t="str">
        <f t="shared" si="80"/>
        <v>N/I</v>
      </c>
      <c r="D1554" s="10" t="s">
        <v>5027</v>
      </c>
      <c r="E1554" s="11" t="s">
        <v>5028</v>
      </c>
      <c r="F1554" s="32" t="s">
        <v>5043</v>
      </c>
      <c r="G1554" s="12" t="s">
        <v>448</v>
      </c>
      <c r="H1554" s="16" t="s">
        <v>5044</v>
      </c>
      <c r="I1554" s="12"/>
      <c r="J1554" s="10" t="s">
        <v>247</v>
      </c>
      <c r="K1554" s="10" t="s">
        <v>190</v>
      </c>
      <c r="L1554" s="10" t="s">
        <v>4</v>
      </c>
      <c r="M1554" s="22">
        <v>44013.0</v>
      </c>
      <c r="N1554" s="11" t="s">
        <v>5045</v>
      </c>
      <c r="O1554" s="10" t="s">
        <v>5046</v>
      </c>
      <c r="P1554" s="10" t="s">
        <v>5034</v>
      </c>
      <c r="Q1554" s="2"/>
      <c r="R1554" s="10">
        <v>48.0</v>
      </c>
      <c r="S1554" s="14">
        <v>44013.0</v>
      </c>
      <c r="T1554" s="14">
        <v>45473.0</v>
      </c>
      <c r="U1554" s="10">
        <f t="shared" si="127"/>
        <v>-618</v>
      </c>
      <c r="V1554" s="2"/>
      <c r="W1554" s="15"/>
      <c r="X1554" s="15"/>
      <c r="Y1554" s="15"/>
      <c r="Z1554" s="15"/>
      <c r="AA1554" s="1"/>
      <c r="AB1554" s="15"/>
      <c r="AC1554" s="15"/>
      <c r="AD1554" s="15"/>
      <c r="AE1554" s="15"/>
      <c r="AF1554" s="2"/>
      <c r="AG1554" s="10" t="s">
        <v>706</v>
      </c>
      <c r="AH1554" s="12" t="s">
        <v>46</v>
      </c>
      <c r="AI1554" s="16" t="s">
        <v>45</v>
      </c>
      <c r="AJ1554" s="30" t="s">
        <v>5035</v>
      </c>
      <c r="AK1554" s="16" t="s">
        <v>45</v>
      </c>
      <c r="AL1554" s="10" t="s">
        <v>49</v>
      </c>
      <c r="AM1554" s="16" t="s">
        <v>45</v>
      </c>
      <c r="AN1554" s="10" t="s">
        <v>50</v>
      </c>
    </row>
    <row r="1555" ht="30.0" customHeight="1">
      <c r="A1555" s="9" t="str">
        <f t="shared" si="48"/>
        <v>Inativo</v>
      </c>
      <c r="B1555" s="9" t="str">
        <f t="shared" si="49"/>
        <v>N/I</v>
      </c>
      <c r="C1555" s="9" t="str">
        <f t="shared" si="80"/>
        <v>N/I</v>
      </c>
      <c r="D1555" s="10" t="s">
        <v>5027</v>
      </c>
      <c r="E1555" s="11" t="s">
        <v>5028</v>
      </c>
      <c r="F1555" s="32" t="s">
        <v>5041</v>
      </c>
      <c r="G1555" s="12" t="s">
        <v>448</v>
      </c>
      <c r="H1555" s="16" t="s">
        <v>5047</v>
      </c>
      <c r="I1555" s="12"/>
      <c r="J1555" s="10" t="s">
        <v>247</v>
      </c>
      <c r="K1555" s="10" t="s">
        <v>190</v>
      </c>
      <c r="L1555" s="10" t="s">
        <v>4</v>
      </c>
      <c r="M1555" s="22">
        <v>44179.0</v>
      </c>
      <c r="N1555" s="11" t="s">
        <v>5048</v>
      </c>
      <c r="O1555" s="10" t="s">
        <v>5049</v>
      </c>
      <c r="P1555" s="10" t="s">
        <v>5034</v>
      </c>
      <c r="Q1555" s="2"/>
      <c r="R1555" s="10">
        <v>48.0</v>
      </c>
      <c r="S1555" s="14">
        <v>44179.0</v>
      </c>
      <c r="T1555" s="14">
        <v>45639.0</v>
      </c>
      <c r="U1555" s="10">
        <f t="shared" si="127"/>
        <v>-452</v>
      </c>
      <c r="V1555" s="2"/>
      <c r="W1555" s="15"/>
      <c r="X1555" s="15"/>
      <c r="Y1555" s="15"/>
      <c r="Z1555" s="15"/>
      <c r="AA1555" s="1"/>
      <c r="AB1555" s="15"/>
      <c r="AC1555" s="15"/>
      <c r="AD1555" s="15"/>
      <c r="AE1555" s="15"/>
      <c r="AF1555" s="2"/>
      <c r="AG1555" s="10" t="s">
        <v>706</v>
      </c>
      <c r="AH1555" s="12" t="s">
        <v>46</v>
      </c>
      <c r="AI1555" s="16" t="s">
        <v>45</v>
      </c>
      <c r="AJ1555" s="30" t="s">
        <v>5035</v>
      </c>
      <c r="AK1555" s="16" t="s">
        <v>45</v>
      </c>
      <c r="AL1555" s="10" t="s">
        <v>49</v>
      </c>
      <c r="AM1555" s="16" t="s">
        <v>45</v>
      </c>
      <c r="AN1555" s="10" t="s">
        <v>50</v>
      </c>
    </row>
    <row r="1556" ht="30.0" customHeight="1">
      <c r="A1556" s="9" t="str">
        <f t="shared" si="48"/>
        <v>Inativo</v>
      </c>
      <c r="B1556" s="9" t="str">
        <f t="shared" si="49"/>
        <v>N/I</v>
      </c>
      <c r="C1556" s="9" t="str">
        <f t="shared" si="80"/>
        <v>N/I</v>
      </c>
      <c r="D1556" s="10" t="s">
        <v>5027</v>
      </c>
      <c r="E1556" s="11" t="s">
        <v>5028</v>
      </c>
      <c r="F1556" s="32" t="s">
        <v>5050</v>
      </c>
      <c r="G1556" s="12" t="s">
        <v>448</v>
      </c>
      <c r="H1556" s="16" t="s">
        <v>5051</v>
      </c>
      <c r="I1556" s="12"/>
      <c r="J1556" s="10" t="s">
        <v>247</v>
      </c>
      <c r="K1556" s="10" t="s">
        <v>190</v>
      </c>
      <c r="L1556" s="10" t="s">
        <v>4</v>
      </c>
      <c r="M1556" s="22">
        <v>44179.0</v>
      </c>
      <c r="N1556" s="11" t="s">
        <v>5052</v>
      </c>
      <c r="O1556" s="10" t="s">
        <v>5053</v>
      </c>
      <c r="P1556" s="10" t="s">
        <v>5034</v>
      </c>
      <c r="Q1556" s="2"/>
      <c r="R1556" s="10">
        <v>48.0</v>
      </c>
      <c r="S1556" s="14">
        <v>44179.0</v>
      </c>
      <c r="T1556" s="14">
        <v>45639.0</v>
      </c>
      <c r="U1556" s="10">
        <f t="shared" si="127"/>
        <v>-452</v>
      </c>
      <c r="V1556" s="2"/>
      <c r="W1556" s="15"/>
      <c r="X1556" s="15"/>
      <c r="Y1556" s="15"/>
      <c r="Z1556" s="15"/>
      <c r="AA1556" s="1"/>
      <c r="AB1556" s="15"/>
      <c r="AC1556" s="15"/>
      <c r="AD1556" s="15"/>
      <c r="AE1556" s="15"/>
      <c r="AF1556" s="2"/>
      <c r="AG1556" s="10" t="s">
        <v>706</v>
      </c>
      <c r="AH1556" s="12" t="s">
        <v>46</v>
      </c>
      <c r="AI1556" s="16" t="s">
        <v>45</v>
      </c>
      <c r="AJ1556" s="30" t="s">
        <v>5035</v>
      </c>
      <c r="AK1556" s="16" t="s">
        <v>45</v>
      </c>
      <c r="AL1556" s="10" t="s">
        <v>49</v>
      </c>
      <c r="AM1556" s="16" t="s">
        <v>45</v>
      </c>
      <c r="AN1556" s="10" t="s">
        <v>50</v>
      </c>
    </row>
    <row r="1557" ht="30.0" customHeight="1">
      <c r="A1557" s="9" t="str">
        <f t="shared" si="48"/>
        <v>N/I</v>
      </c>
      <c r="B1557" s="9" t="str">
        <f t="shared" si="49"/>
        <v>N/I</v>
      </c>
      <c r="C1557" s="9" t="str">
        <f t="shared" si="80"/>
        <v>N/I</v>
      </c>
      <c r="D1557" s="10" t="s">
        <v>5027</v>
      </c>
      <c r="E1557" s="11" t="s">
        <v>5028</v>
      </c>
      <c r="F1557" s="32" t="s">
        <v>5054</v>
      </c>
      <c r="G1557" s="12" t="s">
        <v>448</v>
      </c>
      <c r="H1557" s="62" t="s">
        <v>187</v>
      </c>
      <c r="I1557" s="12"/>
      <c r="J1557" s="10" t="s">
        <v>247</v>
      </c>
      <c r="K1557" s="10" t="s">
        <v>190</v>
      </c>
      <c r="L1557" s="10" t="s">
        <v>4</v>
      </c>
      <c r="M1557" s="24" t="s">
        <v>193</v>
      </c>
      <c r="N1557" s="11"/>
      <c r="O1557" s="10"/>
      <c r="P1557" s="10" t="s">
        <v>5034</v>
      </c>
      <c r="Q1557" s="2"/>
      <c r="R1557" s="10">
        <v>48.0</v>
      </c>
      <c r="S1557" s="45" t="s">
        <v>187</v>
      </c>
      <c r="T1557" s="45" t="s">
        <v>187</v>
      </c>
      <c r="U1557" s="45"/>
      <c r="V1557" s="2"/>
      <c r="W1557" s="15"/>
      <c r="X1557" s="15"/>
      <c r="Y1557" s="15"/>
      <c r="Z1557" s="15"/>
      <c r="AA1557" s="1"/>
      <c r="AB1557" s="15"/>
      <c r="AC1557" s="15"/>
      <c r="AD1557" s="15"/>
      <c r="AE1557" s="15"/>
      <c r="AF1557" s="2"/>
      <c r="AG1557" s="10" t="s">
        <v>706</v>
      </c>
      <c r="AH1557" s="12" t="s">
        <v>46</v>
      </c>
      <c r="AI1557" s="16" t="s">
        <v>45</v>
      </c>
      <c r="AJ1557" s="30" t="s">
        <v>5035</v>
      </c>
      <c r="AK1557" s="16" t="s">
        <v>45</v>
      </c>
      <c r="AL1557" s="10" t="s">
        <v>49</v>
      </c>
      <c r="AM1557" s="16" t="s">
        <v>45</v>
      </c>
      <c r="AN1557" s="10" t="s">
        <v>50</v>
      </c>
    </row>
    <row r="1558" ht="30.0" customHeight="1">
      <c r="A1558" s="9" t="str">
        <f t="shared" si="48"/>
        <v>N/I</v>
      </c>
      <c r="B1558" s="9" t="str">
        <f t="shared" si="49"/>
        <v>N/I</v>
      </c>
      <c r="C1558" s="9" t="str">
        <f t="shared" si="80"/>
        <v>N/I</v>
      </c>
      <c r="D1558" s="10" t="s">
        <v>5027</v>
      </c>
      <c r="E1558" s="11" t="s">
        <v>5028</v>
      </c>
      <c r="F1558" s="32" t="s">
        <v>5055</v>
      </c>
      <c r="G1558" s="12" t="s">
        <v>448</v>
      </c>
      <c r="H1558" s="62" t="s">
        <v>187</v>
      </c>
      <c r="I1558" s="12"/>
      <c r="J1558" s="10" t="s">
        <v>247</v>
      </c>
      <c r="K1558" s="10" t="s">
        <v>190</v>
      </c>
      <c r="L1558" s="10" t="s">
        <v>4</v>
      </c>
      <c r="M1558" s="24" t="s">
        <v>193</v>
      </c>
      <c r="N1558" s="11"/>
      <c r="O1558" s="10"/>
      <c r="P1558" s="10" t="s">
        <v>5034</v>
      </c>
      <c r="Q1558" s="2"/>
      <c r="R1558" s="10">
        <v>48.0</v>
      </c>
      <c r="S1558" s="45" t="s">
        <v>187</v>
      </c>
      <c r="T1558" s="45" t="s">
        <v>187</v>
      </c>
      <c r="U1558" s="45"/>
      <c r="V1558" s="2"/>
      <c r="W1558" s="15"/>
      <c r="X1558" s="15"/>
      <c r="Y1558" s="15"/>
      <c r="Z1558" s="15"/>
      <c r="AA1558" s="1"/>
      <c r="AB1558" s="15"/>
      <c r="AC1558" s="15"/>
      <c r="AD1558" s="15"/>
      <c r="AE1558" s="15"/>
      <c r="AF1558" s="2"/>
      <c r="AG1558" s="10" t="s">
        <v>706</v>
      </c>
      <c r="AH1558" s="12" t="s">
        <v>46</v>
      </c>
      <c r="AI1558" s="16" t="s">
        <v>45</v>
      </c>
      <c r="AJ1558" s="30" t="s">
        <v>5035</v>
      </c>
      <c r="AK1558" s="16" t="s">
        <v>45</v>
      </c>
      <c r="AL1558" s="10" t="s">
        <v>49</v>
      </c>
      <c r="AM1558" s="16" t="s">
        <v>45</v>
      </c>
      <c r="AN1558" s="10" t="s">
        <v>50</v>
      </c>
    </row>
    <row r="1559" ht="30.0" customHeight="1">
      <c r="A1559" s="9" t="str">
        <f t="shared" si="48"/>
        <v>N/I</v>
      </c>
      <c r="B1559" s="9" t="str">
        <f t="shared" si="49"/>
        <v>N/I</v>
      </c>
      <c r="C1559" s="9" t="str">
        <f t="shared" si="80"/>
        <v>N/I</v>
      </c>
      <c r="D1559" s="10" t="s">
        <v>5027</v>
      </c>
      <c r="E1559" s="11" t="s">
        <v>5028</v>
      </c>
      <c r="F1559" s="32" t="s">
        <v>5056</v>
      </c>
      <c r="G1559" s="12" t="s">
        <v>448</v>
      </c>
      <c r="H1559" s="62" t="s">
        <v>187</v>
      </c>
      <c r="I1559" s="12"/>
      <c r="J1559" s="10" t="s">
        <v>247</v>
      </c>
      <c r="K1559" s="10" t="s">
        <v>190</v>
      </c>
      <c r="L1559" s="10" t="s">
        <v>4</v>
      </c>
      <c r="M1559" s="24" t="s">
        <v>193</v>
      </c>
      <c r="N1559" s="11"/>
      <c r="O1559" s="10"/>
      <c r="P1559" s="10" t="s">
        <v>5034</v>
      </c>
      <c r="Q1559" s="2"/>
      <c r="R1559" s="10">
        <v>48.0</v>
      </c>
      <c r="S1559" s="45" t="s">
        <v>187</v>
      </c>
      <c r="T1559" s="45" t="s">
        <v>187</v>
      </c>
      <c r="U1559" s="45"/>
      <c r="V1559" s="2"/>
      <c r="W1559" s="15"/>
      <c r="X1559" s="15"/>
      <c r="Y1559" s="15"/>
      <c r="Z1559" s="15"/>
      <c r="AA1559" s="1"/>
      <c r="AB1559" s="15"/>
      <c r="AC1559" s="15"/>
      <c r="AD1559" s="15"/>
      <c r="AE1559" s="15"/>
      <c r="AF1559" s="2"/>
      <c r="AG1559" s="10" t="s">
        <v>706</v>
      </c>
      <c r="AH1559" s="12" t="s">
        <v>46</v>
      </c>
      <c r="AI1559" s="16" t="s">
        <v>45</v>
      </c>
      <c r="AJ1559" s="30" t="s">
        <v>5035</v>
      </c>
      <c r="AK1559" s="16" t="s">
        <v>45</v>
      </c>
      <c r="AL1559" s="10" t="s">
        <v>49</v>
      </c>
      <c r="AM1559" s="16" t="s">
        <v>45</v>
      </c>
      <c r="AN1559" s="10" t="s">
        <v>50</v>
      </c>
    </row>
    <row r="1560" ht="30.0" customHeight="1">
      <c r="A1560" s="9" t="str">
        <f t="shared" si="48"/>
        <v>N/I</v>
      </c>
      <c r="B1560" s="9" t="str">
        <f t="shared" si="49"/>
        <v>N/I</v>
      </c>
      <c r="C1560" s="9" t="str">
        <f t="shared" si="80"/>
        <v>N/I</v>
      </c>
      <c r="D1560" s="10" t="s">
        <v>5027</v>
      </c>
      <c r="E1560" s="11" t="s">
        <v>5028</v>
      </c>
      <c r="F1560" s="32" t="s">
        <v>5057</v>
      </c>
      <c r="G1560" s="12" t="s">
        <v>448</v>
      </c>
      <c r="H1560" s="62" t="s">
        <v>187</v>
      </c>
      <c r="I1560" s="12"/>
      <c r="J1560" s="10" t="s">
        <v>247</v>
      </c>
      <c r="K1560" s="10" t="s">
        <v>190</v>
      </c>
      <c r="L1560" s="10" t="s">
        <v>4</v>
      </c>
      <c r="M1560" s="24" t="s">
        <v>193</v>
      </c>
      <c r="N1560" s="11"/>
      <c r="O1560" s="10"/>
      <c r="P1560" s="10" t="s">
        <v>5034</v>
      </c>
      <c r="Q1560" s="2"/>
      <c r="R1560" s="10">
        <v>48.0</v>
      </c>
      <c r="S1560" s="45" t="s">
        <v>187</v>
      </c>
      <c r="T1560" s="45" t="s">
        <v>187</v>
      </c>
      <c r="U1560" s="45"/>
      <c r="V1560" s="2"/>
      <c r="W1560" s="15"/>
      <c r="X1560" s="15"/>
      <c r="Y1560" s="15"/>
      <c r="Z1560" s="15"/>
      <c r="AA1560" s="1"/>
      <c r="AB1560" s="15"/>
      <c r="AC1560" s="15"/>
      <c r="AD1560" s="15"/>
      <c r="AE1560" s="15"/>
      <c r="AF1560" s="2"/>
      <c r="AG1560" s="10" t="s">
        <v>706</v>
      </c>
      <c r="AH1560" s="12" t="s">
        <v>46</v>
      </c>
      <c r="AI1560" s="16" t="s">
        <v>45</v>
      </c>
      <c r="AJ1560" s="30" t="s">
        <v>5035</v>
      </c>
      <c r="AK1560" s="16" t="s">
        <v>45</v>
      </c>
      <c r="AL1560" s="10" t="s">
        <v>49</v>
      </c>
      <c r="AM1560" s="16" t="s">
        <v>45</v>
      </c>
      <c r="AN1560" s="10" t="s">
        <v>50</v>
      </c>
    </row>
    <row r="1561" ht="30.0" customHeight="1">
      <c r="A1561" s="9" t="str">
        <f t="shared" si="48"/>
        <v>N/I</v>
      </c>
      <c r="B1561" s="9" t="str">
        <f t="shared" si="49"/>
        <v>N/I</v>
      </c>
      <c r="C1561" s="9" t="str">
        <f t="shared" si="80"/>
        <v>N/I</v>
      </c>
      <c r="D1561" s="10" t="s">
        <v>5027</v>
      </c>
      <c r="E1561" s="11" t="s">
        <v>5028</v>
      </c>
      <c r="F1561" s="32" t="s">
        <v>5058</v>
      </c>
      <c r="G1561" s="12" t="s">
        <v>448</v>
      </c>
      <c r="H1561" s="62" t="s">
        <v>187</v>
      </c>
      <c r="I1561" s="12"/>
      <c r="J1561" s="10" t="s">
        <v>247</v>
      </c>
      <c r="K1561" s="10" t="s">
        <v>190</v>
      </c>
      <c r="L1561" s="10" t="s">
        <v>4</v>
      </c>
      <c r="M1561" s="24" t="s">
        <v>193</v>
      </c>
      <c r="N1561" s="11"/>
      <c r="O1561" s="10"/>
      <c r="P1561" s="10" t="s">
        <v>5034</v>
      </c>
      <c r="Q1561" s="2"/>
      <c r="R1561" s="10">
        <v>48.0</v>
      </c>
      <c r="S1561" s="45" t="s">
        <v>187</v>
      </c>
      <c r="T1561" s="45" t="s">
        <v>187</v>
      </c>
      <c r="U1561" s="45"/>
      <c r="V1561" s="2"/>
      <c r="W1561" s="15"/>
      <c r="X1561" s="15"/>
      <c r="Y1561" s="15"/>
      <c r="Z1561" s="15"/>
      <c r="AA1561" s="1"/>
      <c r="AB1561" s="15"/>
      <c r="AC1561" s="15"/>
      <c r="AD1561" s="15"/>
      <c r="AE1561" s="15"/>
      <c r="AF1561" s="2"/>
      <c r="AG1561" s="10" t="s">
        <v>706</v>
      </c>
      <c r="AH1561" s="12" t="s">
        <v>46</v>
      </c>
      <c r="AI1561" s="16" t="s">
        <v>45</v>
      </c>
      <c r="AJ1561" s="30" t="s">
        <v>5035</v>
      </c>
      <c r="AK1561" s="16" t="s">
        <v>45</v>
      </c>
      <c r="AL1561" s="10" t="s">
        <v>49</v>
      </c>
      <c r="AM1561" s="16" t="s">
        <v>45</v>
      </c>
      <c r="AN1561" s="10" t="s">
        <v>50</v>
      </c>
    </row>
    <row r="1562" ht="30.0" customHeight="1">
      <c r="A1562" s="9" t="str">
        <f t="shared" si="48"/>
        <v>Ativo</v>
      </c>
      <c r="B1562" s="9" t="str">
        <f t="shared" si="49"/>
        <v>N/I</v>
      </c>
      <c r="C1562" s="9" t="str">
        <f t="shared" si="80"/>
        <v>N/I</v>
      </c>
      <c r="D1562" s="10" t="s">
        <v>5059</v>
      </c>
      <c r="E1562" s="11" t="s">
        <v>5060</v>
      </c>
      <c r="F1562" s="32" t="s">
        <v>5061</v>
      </c>
      <c r="G1562" s="12" t="s">
        <v>94</v>
      </c>
      <c r="H1562" s="34" t="s">
        <v>5062</v>
      </c>
      <c r="I1562" s="12" t="s">
        <v>332</v>
      </c>
      <c r="J1562" s="10" t="s">
        <v>197</v>
      </c>
      <c r="K1562" s="10" t="s">
        <v>40</v>
      </c>
      <c r="L1562" s="10" t="s">
        <v>4</v>
      </c>
      <c r="M1562" s="22">
        <v>45463.0</v>
      </c>
      <c r="N1562" s="32" t="s">
        <v>5063</v>
      </c>
      <c r="O1562" s="10" t="s">
        <v>5064</v>
      </c>
      <c r="P1562" s="10" t="s">
        <v>5065</v>
      </c>
      <c r="Q1562" s="2"/>
      <c r="R1562" s="10">
        <v>60.0</v>
      </c>
      <c r="S1562" s="14">
        <v>45301.0</v>
      </c>
      <c r="T1562" s="14">
        <v>47127.0</v>
      </c>
      <c r="U1562" s="10">
        <f t="shared" ref="U1562:U1601" si="128">T1562-TODAY()</f>
        <v>1036</v>
      </c>
      <c r="V1562" s="2"/>
      <c r="W1562" s="15"/>
      <c r="X1562" s="15"/>
      <c r="Y1562" s="15"/>
      <c r="Z1562" s="15"/>
      <c r="AA1562" s="1"/>
      <c r="AB1562" s="15"/>
      <c r="AC1562" s="15"/>
      <c r="AD1562" s="15"/>
      <c r="AE1562" s="15"/>
      <c r="AF1562" s="2"/>
      <c r="AG1562" s="16" t="s">
        <v>45</v>
      </c>
      <c r="AH1562" s="12" t="s">
        <v>46</v>
      </c>
      <c r="AI1562" s="10" t="s">
        <v>226</v>
      </c>
      <c r="AJ1562" s="10" t="s">
        <v>390</v>
      </c>
      <c r="AK1562" s="16" t="s">
        <v>45</v>
      </c>
      <c r="AL1562" s="10" t="s">
        <v>49</v>
      </c>
      <c r="AM1562" s="16" t="s">
        <v>45</v>
      </c>
      <c r="AN1562" s="10" t="s">
        <v>320</v>
      </c>
    </row>
    <row r="1563" ht="30.0" customHeight="1">
      <c r="A1563" s="9" t="str">
        <f t="shared" si="48"/>
        <v>Ativo</v>
      </c>
      <c r="B1563" s="9" t="str">
        <f t="shared" si="49"/>
        <v>N/I</v>
      </c>
      <c r="C1563" s="9" t="str">
        <f t="shared" si="80"/>
        <v>N/I</v>
      </c>
      <c r="D1563" s="10" t="s">
        <v>5059</v>
      </c>
      <c r="E1563" s="11" t="s">
        <v>5060</v>
      </c>
      <c r="F1563" s="32" t="s">
        <v>5061</v>
      </c>
      <c r="G1563" s="12" t="s">
        <v>94</v>
      </c>
      <c r="H1563" s="34" t="s">
        <v>5066</v>
      </c>
      <c r="I1563" s="12" t="s">
        <v>332</v>
      </c>
      <c r="J1563" s="10" t="s">
        <v>197</v>
      </c>
      <c r="K1563" s="10" t="s">
        <v>40</v>
      </c>
      <c r="L1563" s="10" t="s">
        <v>4</v>
      </c>
      <c r="M1563" s="22">
        <v>45463.0</v>
      </c>
      <c r="N1563" s="32" t="s">
        <v>5067</v>
      </c>
      <c r="O1563" s="10" t="s">
        <v>5068</v>
      </c>
      <c r="P1563" s="10" t="s">
        <v>5065</v>
      </c>
      <c r="Q1563" s="2"/>
      <c r="R1563" s="10">
        <v>60.0</v>
      </c>
      <c r="S1563" s="14">
        <v>45301.0</v>
      </c>
      <c r="T1563" s="14">
        <v>47127.0</v>
      </c>
      <c r="U1563" s="10">
        <f t="shared" si="128"/>
        <v>1036</v>
      </c>
      <c r="V1563" s="2"/>
      <c r="W1563" s="15"/>
      <c r="X1563" s="15"/>
      <c r="Y1563" s="15"/>
      <c r="Z1563" s="15"/>
      <c r="AA1563" s="1"/>
      <c r="AB1563" s="15"/>
      <c r="AC1563" s="15"/>
      <c r="AD1563" s="15"/>
      <c r="AE1563" s="15"/>
      <c r="AF1563" s="2"/>
      <c r="AG1563" s="16" t="s">
        <v>45</v>
      </c>
      <c r="AH1563" s="12" t="s">
        <v>46</v>
      </c>
      <c r="AI1563" s="10" t="s">
        <v>226</v>
      </c>
      <c r="AJ1563" s="10" t="s">
        <v>390</v>
      </c>
      <c r="AK1563" s="16" t="s">
        <v>45</v>
      </c>
      <c r="AL1563" s="10" t="s">
        <v>49</v>
      </c>
      <c r="AM1563" s="16" t="s">
        <v>45</v>
      </c>
      <c r="AN1563" s="10" t="s">
        <v>320</v>
      </c>
    </row>
    <row r="1564" ht="30.0" customHeight="1">
      <c r="A1564" s="9" t="str">
        <f t="shared" si="48"/>
        <v>Ativo</v>
      </c>
      <c r="B1564" s="9" t="str">
        <f t="shared" si="49"/>
        <v>N/I</v>
      </c>
      <c r="C1564" s="9" t="str">
        <f t="shared" si="80"/>
        <v>N/I</v>
      </c>
      <c r="D1564" s="10" t="s">
        <v>5059</v>
      </c>
      <c r="E1564" s="11" t="s">
        <v>5060</v>
      </c>
      <c r="F1564" s="32" t="s">
        <v>5061</v>
      </c>
      <c r="G1564" s="12" t="s">
        <v>94</v>
      </c>
      <c r="H1564" s="34" t="s">
        <v>5069</v>
      </c>
      <c r="I1564" s="12" t="s">
        <v>332</v>
      </c>
      <c r="J1564" s="10" t="s">
        <v>197</v>
      </c>
      <c r="K1564" s="10" t="s">
        <v>40</v>
      </c>
      <c r="L1564" s="10" t="s">
        <v>4</v>
      </c>
      <c r="M1564" s="22">
        <v>45464.0</v>
      </c>
      <c r="N1564" s="32" t="s">
        <v>5070</v>
      </c>
      <c r="O1564" s="10" t="s">
        <v>5071</v>
      </c>
      <c r="P1564" s="10" t="s">
        <v>5065</v>
      </c>
      <c r="Q1564" s="2"/>
      <c r="R1564" s="10">
        <v>60.0</v>
      </c>
      <c r="S1564" s="14">
        <v>45301.0</v>
      </c>
      <c r="T1564" s="14">
        <v>47127.0</v>
      </c>
      <c r="U1564" s="10">
        <f t="shared" si="128"/>
        <v>1036</v>
      </c>
      <c r="V1564" s="2"/>
      <c r="W1564" s="15"/>
      <c r="X1564" s="15"/>
      <c r="Y1564" s="15"/>
      <c r="Z1564" s="15"/>
      <c r="AA1564" s="1"/>
      <c r="AB1564" s="15"/>
      <c r="AC1564" s="15"/>
      <c r="AD1564" s="15"/>
      <c r="AE1564" s="15"/>
      <c r="AF1564" s="2"/>
      <c r="AG1564" s="16" t="s">
        <v>45</v>
      </c>
      <c r="AH1564" s="12" t="s">
        <v>46</v>
      </c>
      <c r="AI1564" s="10" t="s">
        <v>226</v>
      </c>
      <c r="AJ1564" s="10" t="s">
        <v>390</v>
      </c>
      <c r="AK1564" s="16" t="s">
        <v>45</v>
      </c>
      <c r="AL1564" s="10" t="s">
        <v>49</v>
      </c>
      <c r="AM1564" s="16" t="s">
        <v>45</v>
      </c>
      <c r="AN1564" s="10" t="s">
        <v>320</v>
      </c>
    </row>
    <row r="1565" ht="30.0" customHeight="1">
      <c r="A1565" s="9" t="str">
        <f t="shared" si="48"/>
        <v>Ativo</v>
      </c>
      <c r="B1565" s="9" t="str">
        <f t="shared" si="49"/>
        <v>N/I</v>
      </c>
      <c r="C1565" s="9" t="str">
        <f t="shared" si="80"/>
        <v>N/I</v>
      </c>
      <c r="D1565" s="10" t="s">
        <v>5059</v>
      </c>
      <c r="E1565" s="11" t="s">
        <v>5060</v>
      </c>
      <c r="F1565" s="32" t="s">
        <v>5072</v>
      </c>
      <c r="G1565" s="12" t="s">
        <v>94</v>
      </c>
      <c r="H1565" s="34" t="s">
        <v>5073</v>
      </c>
      <c r="I1565" s="12" t="s">
        <v>332</v>
      </c>
      <c r="J1565" s="10" t="s">
        <v>197</v>
      </c>
      <c r="K1565" s="10" t="s">
        <v>40</v>
      </c>
      <c r="L1565" s="10" t="s">
        <v>4</v>
      </c>
      <c r="M1565" s="22">
        <v>45643.0</v>
      </c>
      <c r="N1565" s="32" t="s">
        <v>5074</v>
      </c>
      <c r="O1565" s="10" t="s">
        <v>5068</v>
      </c>
      <c r="P1565" s="10" t="s">
        <v>5065</v>
      </c>
      <c r="Q1565" s="2"/>
      <c r="R1565" s="10">
        <v>60.0</v>
      </c>
      <c r="S1565" s="14">
        <v>45301.0</v>
      </c>
      <c r="T1565" s="14">
        <v>47127.0</v>
      </c>
      <c r="U1565" s="10">
        <f t="shared" si="128"/>
        <v>1036</v>
      </c>
      <c r="V1565" s="2"/>
      <c r="W1565" s="15"/>
      <c r="X1565" s="15"/>
      <c r="Y1565" s="15"/>
      <c r="Z1565" s="15"/>
      <c r="AA1565" s="1"/>
      <c r="AB1565" s="15"/>
      <c r="AC1565" s="15"/>
      <c r="AD1565" s="15"/>
      <c r="AE1565" s="15"/>
      <c r="AF1565" s="2"/>
      <c r="AG1565" s="16" t="s">
        <v>45</v>
      </c>
      <c r="AH1565" s="12" t="s">
        <v>46</v>
      </c>
      <c r="AI1565" s="10" t="s">
        <v>226</v>
      </c>
      <c r="AJ1565" s="10" t="s">
        <v>390</v>
      </c>
      <c r="AK1565" s="16" t="s">
        <v>45</v>
      </c>
      <c r="AL1565" s="10" t="s">
        <v>49</v>
      </c>
      <c r="AM1565" s="16" t="s">
        <v>45</v>
      </c>
      <c r="AN1565" s="10" t="s">
        <v>320</v>
      </c>
    </row>
    <row r="1566" ht="30.0" customHeight="1">
      <c r="A1566" s="9" t="str">
        <f t="shared" si="48"/>
        <v>Ativo</v>
      </c>
      <c r="B1566" s="9" t="str">
        <f t="shared" si="49"/>
        <v>N/I</v>
      </c>
      <c r="C1566" s="9" t="str">
        <f t="shared" si="80"/>
        <v>N/I</v>
      </c>
      <c r="D1566" s="10" t="s">
        <v>5059</v>
      </c>
      <c r="E1566" s="11" t="s">
        <v>5060</v>
      </c>
      <c r="F1566" s="32" t="s">
        <v>5075</v>
      </c>
      <c r="G1566" s="12" t="s">
        <v>94</v>
      </c>
      <c r="H1566" s="34" t="s">
        <v>5076</v>
      </c>
      <c r="I1566" s="12" t="s">
        <v>2990</v>
      </c>
      <c r="J1566" s="10" t="s">
        <v>197</v>
      </c>
      <c r="K1566" s="10" t="s">
        <v>40</v>
      </c>
      <c r="L1566" s="10" t="s">
        <v>4</v>
      </c>
      <c r="M1566" s="22">
        <v>45294.0</v>
      </c>
      <c r="N1566" s="32" t="s">
        <v>5077</v>
      </c>
      <c r="O1566" s="10" t="s">
        <v>5078</v>
      </c>
      <c r="P1566" s="10" t="s">
        <v>5065</v>
      </c>
      <c r="Q1566" s="2"/>
      <c r="R1566" s="10">
        <v>60.0</v>
      </c>
      <c r="S1566" s="14">
        <v>45301.0</v>
      </c>
      <c r="T1566" s="14">
        <v>47127.0</v>
      </c>
      <c r="U1566" s="10">
        <f t="shared" si="128"/>
        <v>1036</v>
      </c>
      <c r="V1566" s="2"/>
      <c r="W1566" s="15"/>
      <c r="X1566" s="15"/>
      <c r="Y1566" s="15"/>
      <c r="Z1566" s="15"/>
      <c r="AA1566" s="1"/>
      <c r="AB1566" s="15"/>
      <c r="AC1566" s="15"/>
      <c r="AD1566" s="15"/>
      <c r="AE1566" s="15"/>
      <c r="AF1566" s="2"/>
      <c r="AG1566" s="16" t="s">
        <v>45</v>
      </c>
      <c r="AH1566" s="12" t="s">
        <v>46</v>
      </c>
      <c r="AI1566" s="10" t="s">
        <v>226</v>
      </c>
      <c r="AJ1566" s="10" t="s">
        <v>390</v>
      </c>
      <c r="AK1566" s="16" t="s">
        <v>45</v>
      </c>
      <c r="AL1566" s="10" t="s">
        <v>49</v>
      </c>
      <c r="AM1566" s="16" t="s">
        <v>45</v>
      </c>
      <c r="AN1566" s="10" t="s">
        <v>320</v>
      </c>
    </row>
    <row r="1567" ht="30.0" customHeight="1">
      <c r="A1567" s="9" t="str">
        <f t="shared" si="48"/>
        <v>Inativo</v>
      </c>
      <c r="B1567" s="9" t="str">
        <f t="shared" si="49"/>
        <v>N/I</v>
      </c>
      <c r="C1567" s="9" t="str">
        <f t="shared" si="80"/>
        <v>N/I</v>
      </c>
      <c r="D1567" s="10" t="s">
        <v>5079</v>
      </c>
      <c r="E1567" s="11" t="s">
        <v>5080</v>
      </c>
      <c r="F1567" s="32"/>
      <c r="G1567" s="12" t="s">
        <v>448</v>
      </c>
      <c r="H1567" s="34" t="s">
        <v>5081</v>
      </c>
      <c r="I1567" s="12" t="s">
        <v>233</v>
      </c>
      <c r="J1567" s="10" t="s">
        <v>234</v>
      </c>
      <c r="K1567" s="10" t="s">
        <v>40</v>
      </c>
      <c r="L1567" s="10" t="s">
        <v>4</v>
      </c>
      <c r="M1567" s="22">
        <v>44849.0</v>
      </c>
      <c r="N1567" s="32" t="s">
        <v>5082</v>
      </c>
      <c r="O1567" s="10" t="s">
        <v>5083</v>
      </c>
      <c r="P1567" s="10" t="s">
        <v>5084</v>
      </c>
      <c r="Q1567" s="2"/>
      <c r="R1567" s="10">
        <v>12.0</v>
      </c>
      <c r="S1567" s="14">
        <v>44849.0</v>
      </c>
      <c r="T1567" s="14">
        <v>45214.0</v>
      </c>
      <c r="U1567" s="10">
        <f t="shared" si="128"/>
        <v>-877</v>
      </c>
      <c r="V1567" s="2"/>
      <c r="W1567" s="15"/>
      <c r="X1567" s="15"/>
      <c r="Y1567" s="15"/>
      <c r="Z1567" s="15"/>
      <c r="AA1567" s="1"/>
      <c r="AB1567" s="15"/>
      <c r="AC1567" s="15"/>
      <c r="AD1567" s="15"/>
      <c r="AE1567" s="15"/>
      <c r="AF1567" s="2"/>
      <c r="AG1567" s="10" t="s">
        <v>5085</v>
      </c>
      <c r="AH1567" s="16" t="s">
        <v>45</v>
      </c>
      <c r="AI1567" s="10" t="s">
        <v>291</v>
      </c>
      <c r="AJ1567" s="16" t="s">
        <v>45</v>
      </c>
      <c r="AK1567" s="16" t="s">
        <v>45</v>
      </c>
      <c r="AL1567" s="16" t="s">
        <v>45</v>
      </c>
      <c r="AM1567" s="16" t="s">
        <v>45</v>
      </c>
      <c r="AN1567" s="10" t="s">
        <v>50</v>
      </c>
    </row>
    <row r="1568" ht="30.0" customHeight="1">
      <c r="A1568" s="9" t="str">
        <f t="shared" si="48"/>
        <v>Inativo</v>
      </c>
      <c r="B1568" s="9" t="str">
        <f t="shared" si="49"/>
        <v>N/I</v>
      </c>
      <c r="C1568" s="9" t="str">
        <f t="shared" si="80"/>
        <v>N/I</v>
      </c>
      <c r="D1568" s="10" t="s">
        <v>5079</v>
      </c>
      <c r="E1568" s="11" t="s">
        <v>5080</v>
      </c>
      <c r="F1568" s="32"/>
      <c r="G1568" s="12" t="s">
        <v>448</v>
      </c>
      <c r="H1568" s="34" t="s">
        <v>5086</v>
      </c>
      <c r="I1568" s="12" t="s">
        <v>233</v>
      </c>
      <c r="J1568" s="10" t="s">
        <v>234</v>
      </c>
      <c r="K1568" s="10" t="s">
        <v>40</v>
      </c>
      <c r="L1568" s="10" t="s">
        <v>4</v>
      </c>
      <c r="M1568" s="22">
        <v>44849.0</v>
      </c>
      <c r="N1568" s="32" t="s">
        <v>5082</v>
      </c>
      <c r="O1568" s="10" t="s">
        <v>5083</v>
      </c>
      <c r="P1568" s="10" t="s">
        <v>5084</v>
      </c>
      <c r="Q1568" s="2"/>
      <c r="R1568" s="10">
        <v>12.0</v>
      </c>
      <c r="S1568" s="14">
        <v>44849.0</v>
      </c>
      <c r="T1568" s="14">
        <v>45214.0</v>
      </c>
      <c r="U1568" s="10">
        <f t="shared" si="128"/>
        <v>-877</v>
      </c>
      <c r="V1568" s="2"/>
      <c r="W1568" s="15"/>
      <c r="X1568" s="15"/>
      <c r="Y1568" s="15"/>
      <c r="Z1568" s="15"/>
      <c r="AA1568" s="1"/>
      <c r="AB1568" s="15"/>
      <c r="AC1568" s="15"/>
      <c r="AD1568" s="15"/>
      <c r="AE1568" s="15"/>
      <c r="AF1568" s="2"/>
      <c r="AG1568" s="10" t="s">
        <v>5085</v>
      </c>
      <c r="AH1568" s="16" t="s">
        <v>45</v>
      </c>
      <c r="AI1568" s="10" t="s">
        <v>291</v>
      </c>
      <c r="AJ1568" s="16" t="s">
        <v>45</v>
      </c>
      <c r="AK1568" s="16" t="s">
        <v>45</v>
      </c>
      <c r="AL1568" s="16" t="s">
        <v>45</v>
      </c>
      <c r="AM1568" s="16" t="s">
        <v>45</v>
      </c>
      <c r="AN1568" s="10" t="s">
        <v>50</v>
      </c>
    </row>
    <row r="1569" ht="30.0" customHeight="1">
      <c r="A1569" s="9" t="str">
        <f t="shared" si="48"/>
        <v>Inativo</v>
      </c>
      <c r="B1569" s="9" t="str">
        <f t="shared" si="49"/>
        <v>N/I</v>
      </c>
      <c r="C1569" s="9" t="str">
        <f t="shared" si="80"/>
        <v>N/I</v>
      </c>
      <c r="D1569" s="10" t="s">
        <v>5079</v>
      </c>
      <c r="E1569" s="11" t="s">
        <v>5080</v>
      </c>
      <c r="F1569" s="32"/>
      <c r="G1569" s="12" t="s">
        <v>448</v>
      </c>
      <c r="H1569" s="34" t="s">
        <v>5087</v>
      </c>
      <c r="I1569" s="12" t="s">
        <v>233</v>
      </c>
      <c r="J1569" s="10" t="s">
        <v>234</v>
      </c>
      <c r="K1569" s="10" t="s">
        <v>40</v>
      </c>
      <c r="L1569" s="10" t="s">
        <v>4</v>
      </c>
      <c r="M1569" s="22">
        <v>44849.0</v>
      </c>
      <c r="N1569" s="32" t="s">
        <v>5082</v>
      </c>
      <c r="O1569" s="10" t="s">
        <v>5083</v>
      </c>
      <c r="P1569" s="10" t="s">
        <v>5084</v>
      </c>
      <c r="Q1569" s="2"/>
      <c r="R1569" s="10">
        <v>12.0</v>
      </c>
      <c r="S1569" s="14">
        <v>44849.0</v>
      </c>
      <c r="T1569" s="14">
        <v>45214.0</v>
      </c>
      <c r="U1569" s="10">
        <f t="shared" si="128"/>
        <v>-877</v>
      </c>
      <c r="V1569" s="2"/>
      <c r="W1569" s="15"/>
      <c r="X1569" s="15"/>
      <c r="Y1569" s="15"/>
      <c r="Z1569" s="15"/>
      <c r="AA1569" s="1"/>
      <c r="AB1569" s="15"/>
      <c r="AC1569" s="15"/>
      <c r="AD1569" s="15"/>
      <c r="AE1569" s="15"/>
      <c r="AF1569" s="2"/>
      <c r="AG1569" s="10" t="s">
        <v>5085</v>
      </c>
      <c r="AH1569" s="16" t="s">
        <v>45</v>
      </c>
      <c r="AI1569" s="10" t="s">
        <v>291</v>
      </c>
      <c r="AJ1569" s="16" t="s">
        <v>45</v>
      </c>
      <c r="AK1569" s="16" t="s">
        <v>45</v>
      </c>
      <c r="AL1569" s="16" t="s">
        <v>45</v>
      </c>
      <c r="AM1569" s="16" t="s">
        <v>45</v>
      </c>
      <c r="AN1569" s="10" t="s">
        <v>50</v>
      </c>
    </row>
    <row r="1570" ht="30.0" customHeight="1">
      <c r="A1570" s="9" t="str">
        <f t="shared" si="48"/>
        <v>Inativo</v>
      </c>
      <c r="B1570" s="9" t="str">
        <f t="shared" si="49"/>
        <v>N/I</v>
      </c>
      <c r="C1570" s="9" t="str">
        <f t="shared" si="80"/>
        <v>N/I</v>
      </c>
      <c r="D1570" s="10" t="s">
        <v>5079</v>
      </c>
      <c r="E1570" s="11" t="s">
        <v>5080</v>
      </c>
      <c r="F1570" s="32"/>
      <c r="G1570" s="12" t="s">
        <v>448</v>
      </c>
      <c r="H1570" s="34" t="s">
        <v>5088</v>
      </c>
      <c r="I1570" s="12" t="s">
        <v>233</v>
      </c>
      <c r="J1570" s="10" t="s">
        <v>234</v>
      </c>
      <c r="K1570" s="10" t="s">
        <v>40</v>
      </c>
      <c r="L1570" s="10" t="s">
        <v>4</v>
      </c>
      <c r="M1570" s="22">
        <v>44849.0</v>
      </c>
      <c r="N1570" s="32" t="s">
        <v>5082</v>
      </c>
      <c r="O1570" s="10" t="s">
        <v>5083</v>
      </c>
      <c r="P1570" s="10" t="s">
        <v>5084</v>
      </c>
      <c r="Q1570" s="2"/>
      <c r="R1570" s="10">
        <v>12.0</v>
      </c>
      <c r="S1570" s="14">
        <v>44849.0</v>
      </c>
      <c r="T1570" s="14">
        <v>45214.0</v>
      </c>
      <c r="U1570" s="10">
        <f t="shared" si="128"/>
        <v>-877</v>
      </c>
      <c r="V1570" s="2"/>
      <c r="W1570" s="15"/>
      <c r="X1570" s="15"/>
      <c r="Y1570" s="15"/>
      <c r="Z1570" s="15"/>
      <c r="AA1570" s="1"/>
      <c r="AB1570" s="15"/>
      <c r="AC1570" s="15"/>
      <c r="AD1570" s="15"/>
      <c r="AE1570" s="15"/>
      <c r="AF1570" s="2"/>
      <c r="AG1570" s="10" t="s">
        <v>5085</v>
      </c>
      <c r="AH1570" s="16" t="s">
        <v>45</v>
      </c>
      <c r="AI1570" s="10" t="s">
        <v>291</v>
      </c>
      <c r="AJ1570" s="16" t="s">
        <v>45</v>
      </c>
      <c r="AK1570" s="16" t="s">
        <v>45</v>
      </c>
      <c r="AL1570" s="16" t="s">
        <v>45</v>
      </c>
      <c r="AM1570" s="16" t="s">
        <v>45</v>
      </c>
      <c r="AN1570" s="10" t="s">
        <v>50</v>
      </c>
    </row>
    <row r="1571" ht="30.0" customHeight="1">
      <c r="A1571" s="9" t="str">
        <f t="shared" si="48"/>
        <v>Inativo</v>
      </c>
      <c r="B1571" s="9" t="str">
        <f t="shared" si="49"/>
        <v>N/I</v>
      </c>
      <c r="C1571" s="9" t="str">
        <f t="shared" si="80"/>
        <v>N/I</v>
      </c>
      <c r="D1571" s="10" t="s">
        <v>5089</v>
      </c>
      <c r="E1571" s="11" t="s">
        <v>5090</v>
      </c>
      <c r="F1571" s="32"/>
      <c r="G1571" s="12" t="s">
        <v>448</v>
      </c>
      <c r="H1571" s="27" t="s">
        <v>5091</v>
      </c>
      <c r="I1571" s="12" t="s">
        <v>561</v>
      </c>
      <c r="J1571" s="10" t="s">
        <v>562</v>
      </c>
      <c r="K1571" s="10" t="s">
        <v>190</v>
      </c>
      <c r="L1571" s="10" t="s">
        <v>4</v>
      </c>
      <c r="M1571" s="22">
        <v>44147.0</v>
      </c>
      <c r="N1571" s="32" t="s">
        <v>5092</v>
      </c>
      <c r="O1571" s="10" t="s">
        <v>5093</v>
      </c>
      <c r="P1571" s="10" t="s">
        <v>5094</v>
      </c>
      <c r="Q1571" s="2"/>
      <c r="R1571" s="10">
        <v>24.0</v>
      </c>
      <c r="S1571" s="14">
        <v>44147.0</v>
      </c>
      <c r="T1571" s="14">
        <v>44876.0</v>
      </c>
      <c r="U1571" s="10">
        <f t="shared" si="128"/>
        <v>-1215</v>
      </c>
      <c r="V1571" s="2"/>
      <c r="W1571" s="15"/>
      <c r="X1571" s="15"/>
      <c r="Y1571" s="15"/>
      <c r="Z1571" s="15"/>
      <c r="AA1571" s="1"/>
      <c r="AB1571" s="15"/>
      <c r="AC1571" s="15"/>
      <c r="AD1571" s="15"/>
      <c r="AE1571" s="15"/>
      <c r="AF1571" s="2"/>
      <c r="AG1571" s="10" t="s">
        <v>706</v>
      </c>
      <c r="AH1571" s="10" t="s">
        <v>318</v>
      </c>
      <c r="AI1571" s="10" t="s">
        <v>319</v>
      </c>
      <c r="AJ1571" s="12" t="s">
        <v>5095</v>
      </c>
      <c r="AK1571" s="10" t="s">
        <v>508</v>
      </c>
      <c r="AL1571" s="10" t="s">
        <v>49</v>
      </c>
      <c r="AM1571" s="16" t="s">
        <v>45</v>
      </c>
      <c r="AN1571" s="16" t="s">
        <v>45</v>
      </c>
    </row>
    <row r="1572" ht="30.0" customHeight="1">
      <c r="A1572" s="9" t="str">
        <f t="shared" si="48"/>
        <v>Inativo</v>
      </c>
      <c r="B1572" s="9" t="str">
        <f t="shared" si="49"/>
        <v>N/I</v>
      </c>
      <c r="C1572" s="9" t="str">
        <f t="shared" si="80"/>
        <v>N/I</v>
      </c>
      <c r="D1572" s="10" t="s">
        <v>5089</v>
      </c>
      <c r="E1572" s="11" t="s">
        <v>5090</v>
      </c>
      <c r="F1572" s="32"/>
      <c r="G1572" s="12" t="s">
        <v>448</v>
      </c>
      <c r="H1572" s="27" t="s">
        <v>5096</v>
      </c>
      <c r="I1572" s="12" t="s">
        <v>561</v>
      </c>
      <c r="J1572" s="10" t="s">
        <v>562</v>
      </c>
      <c r="K1572" s="10" t="s">
        <v>190</v>
      </c>
      <c r="L1572" s="10" t="s">
        <v>4</v>
      </c>
      <c r="M1572" s="22">
        <v>44148.0</v>
      </c>
      <c r="N1572" s="32" t="s">
        <v>5092</v>
      </c>
      <c r="O1572" s="10" t="s">
        <v>5093</v>
      </c>
      <c r="P1572" s="10" t="s">
        <v>5094</v>
      </c>
      <c r="Q1572" s="2"/>
      <c r="R1572" s="10">
        <v>24.0</v>
      </c>
      <c r="S1572" s="14">
        <v>44148.0</v>
      </c>
      <c r="T1572" s="14">
        <v>44877.0</v>
      </c>
      <c r="U1572" s="10">
        <f t="shared" si="128"/>
        <v>-1214</v>
      </c>
      <c r="V1572" s="2"/>
      <c r="W1572" s="15"/>
      <c r="X1572" s="15"/>
      <c r="Y1572" s="15"/>
      <c r="Z1572" s="15"/>
      <c r="AA1572" s="1"/>
      <c r="AB1572" s="15"/>
      <c r="AC1572" s="15"/>
      <c r="AD1572" s="15"/>
      <c r="AE1572" s="15"/>
      <c r="AF1572" s="2"/>
      <c r="AG1572" s="10" t="s">
        <v>706</v>
      </c>
      <c r="AH1572" s="10" t="s">
        <v>318</v>
      </c>
      <c r="AI1572" s="10" t="s">
        <v>319</v>
      </c>
      <c r="AJ1572" s="12" t="s">
        <v>5095</v>
      </c>
      <c r="AK1572" s="10" t="s">
        <v>508</v>
      </c>
      <c r="AL1572" s="10" t="s">
        <v>49</v>
      </c>
      <c r="AM1572" s="16" t="s">
        <v>45</v>
      </c>
      <c r="AN1572" s="16" t="s">
        <v>45</v>
      </c>
    </row>
    <row r="1573" ht="30.0" customHeight="1">
      <c r="A1573" s="9" t="str">
        <f t="shared" si="48"/>
        <v>Inativo</v>
      </c>
      <c r="B1573" s="9" t="str">
        <f t="shared" si="49"/>
        <v>N/I</v>
      </c>
      <c r="C1573" s="9" t="str">
        <f t="shared" si="80"/>
        <v>N/I</v>
      </c>
      <c r="D1573" s="10" t="s">
        <v>5089</v>
      </c>
      <c r="E1573" s="11" t="s">
        <v>5090</v>
      </c>
      <c r="F1573" s="32"/>
      <c r="G1573" s="12" t="s">
        <v>448</v>
      </c>
      <c r="H1573" s="27" t="s">
        <v>5097</v>
      </c>
      <c r="I1573" s="12" t="s">
        <v>561</v>
      </c>
      <c r="J1573" s="10" t="s">
        <v>562</v>
      </c>
      <c r="K1573" s="10" t="s">
        <v>190</v>
      </c>
      <c r="L1573" s="10" t="s">
        <v>4</v>
      </c>
      <c r="M1573" s="22">
        <v>44148.0</v>
      </c>
      <c r="N1573" s="32" t="s">
        <v>5092</v>
      </c>
      <c r="O1573" s="10" t="s">
        <v>5093</v>
      </c>
      <c r="P1573" s="10" t="s">
        <v>5094</v>
      </c>
      <c r="Q1573" s="2"/>
      <c r="R1573" s="10">
        <v>24.0</v>
      </c>
      <c r="S1573" s="14">
        <v>44148.0</v>
      </c>
      <c r="T1573" s="14">
        <v>44877.0</v>
      </c>
      <c r="U1573" s="10">
        <f t="shared" si="128"/>
        <v>-1214</v>
      </c>
      <c r="V1573" s="2"/>
      <c r="W1573" s="15"/>
      <c r="X1573" s="15"/>
      <c r="Y1573" s="15"/>
      <c r="Z1573" s="15"/>
      <c r="AA1573" s="1"/>
      <c r="AB1573" s="15"/>
      <c r="AC1573" s="15"/>
      <c r="AD1573" s="15"/>
      <c r="AE1573" s="15"/>
      <c r="AF1573" s="2"/>
      <c r="AG1573" s="10" t="s">
        <v>706</v>
      </c>
      <c r="AH1573" s="10" t="s">
        <v>318</v>
      </c>
      <c r="AI1573" s="10" t="s">
        <v>319</v>
      </c>
      <c r="AJ1573" s="12" t="s">
        <v>5095</v>
      </c>
      <c r="AK1573" s="10" t="s">
        <v>508</v>
      </c>
      <c r="AL1573" s="10" t="s">
        <v>49</v>
      </c>
      <c r="AM1573" s="16" t="s">
        <v>45</v>
      </c>
      <c r="AN1573" s="16" t="s">
        <v>45</v>
      </c>
    </row>
    <row r="1574" ht="30.0" customHeight="1">
      <c r="A1574" s="9" t="str">
        <f t="shared" si="48"/>
        <v>Inativo</v>
      </c>
      <c r="B1574" s="9" t="str">
        <f t="shared" si="49"/>
        <v>N/I</v>
      </c>
      <c r="C1574" s="9" t="str">
        <f t="shared" si="80"/>
        <v>N/I</v>
      </c>
      <c r="D1574" s="10" t="s">
        <v>5098</v>
      </c>
      <c r="E1574" s="11" t="s">
        <v>5099</v>
      </c>
      <c r="F1574" s="11" t="s">
        <v>5100</v>
      </c>
      <c r="G1574" s="12" t="s">
        <v>448</v>
      </c>
      <c r="H1574" s="16" t="s">
        <v>5101</v>
      </c>
      <c r="I1574" s="12" t="s">
        <v>100</v>
      </c>
      <c r="J1574" s="10" t="s">
        <v>101</v>
      </c>
      <c r="K1574" s="10" t="s">
        <v>41</v>
      </c>
      <c r="L1574" s="10" t="s">
        <v>4</v>
      </c>
      <c r="M1574" s="14">
        <v>44095.0</v>
      </c>
      <c r="N1574" s="11" t="s">
        <v>5102</v>
      </c>
      <c r="O1574" s="10" t="s">
        <v>5103</v>
      </c>
      <c r="P1574" s="10" t="s">
        <v>5104</v>
      </c>
      <c r="Q1574" s="2"/>
      <c r="R1574" s="10">
        <v>48.0</v>
      </c>
      <c r="S1574" s="14">
        <v>44095.0</v>
      </c>
      <c r="T1574" s="14">
        <v>45555.0</v>
      </c>
      <c r="U1574" s="10">
        <f t="shared" si="128"/>
        <v>-536</v>
      </c>
      <c r="V1574" s="2"/>
      <c r="W1574" s="15"/>
      <c r="X1574" s="15"/>
      <c r="Y1574" s="15"/>
      <c r="Z1574" s="15"/>
      <c r="AA1574" s="1"/>
      <c r="AB1574" s="15"/>
      <c r="AC1574" s="15"/>
      <c r="AD1574" s="15"/>
      <c r="AE1574" s="15"/>
      <c r="AF1574" s="2"/>
      <c r="AG1574" s="10" t="s">
        <v>706</v>
      </c>
      <c r="AH1574" s="16" t="s">
        <v>45</v>
      </c>
      <c r="AI1574" s="16" t="s">
        <v>45</v>
      </c>
      <c r="AJ1574" s="16" t="s">
        <v>45</v>
      </c>
      <c r="AK1574" s="16" t="s">
        <v>45</v>
      </c>
      <c r="AL1574" s="10" t="s">
        <v>49</v>
      </c>
      <c r="AM1574" s="16" t="s">
        <v>45</v>
      </c>
      <c r="AN1574" s="16" t="s">
        <v>45</v>
      </c>
    </row>
    <row r="1575" ht="30.0" customHeight="1">
      <c r="A1575" s="9" t="str">
        <f t="shared" si="48"/>
        <v>Inativo</v>
      </c>
      <c r="B1575" s="9" t="str">
        <f t="shared" si="49"/>
        <v>N/I</v>
      </c>
      <c r="C1575" s="9" t="str">
        <f t="shared" si="80"/>
        <v>N/I</v>
      </c>
      <c r="D1575" s="10" t="s">
        <v>5098</v>
      </c>
      <c r="E1575" s="11" t="s">
        <v>5099</v>
      </c>
      <c r="F1575" s="11" t="s">
        <v>5105</v>
      </c>
      <c r="G1575" s="12" t="s">
        <v>448</v>
      </c>
      <c r="H1575" s="16" t="s">
        <v>5106</v>
      </c>
      <c r="I1575" s="12" t="s">
        <v>100</v>
      </c>
      <c r="J1575" s="10" t="s">
        <v>101</v>
      </c>
      <c r="K1575" s="10" t="s">
        <v>41</v>
      </c>
      <c r="L1575" s="10" t="s">
        <v>4</v>
      </c>
      <c r="M1575" s="14">
        <v>44095.0</v>
      </c>
      <c r="N1575" s="11" t="s">
        <v>5102</v>
      </c>
      <c r="O1575" s="10" t="s">
        <v>5103</v>
      </c>
      <c r="P1575" s="10" t="s">
        <v>5104</v>
      </c>
      <c r="Q1575" s="2"/>
      <c r="R1575" s="10">
        <v>48.0</v>
      </c>
      <c r="S1575" s="14">
        <v>44095.0</v>
      </c>
      <c r="T1575" s="14">
        <v>45555.0</v>
      </c>
      <c r="U1575" s="10">
        <f t="shared" si="128"/>
        <v>-536</v>
      </c>
      <c r="V1575" s="2"/>
      <c r="W1575" s="15"/>
      <c r="X1575" s="15"/>
      <c r="Y1575" s="15"/>
      <c r="Z1575" s="15"/>
      <c r="AA1575" s="1"/>
      <c r="AB1575" s="15"/>
      <c r="AC1575" s="15"/>
      <c r="AD1575" s="15"/>
      <c r="AE1575" s="15"/>
      <c r="AF1575" s="2"/>
      <c r="AG1575" s="10" t="s">
        <v>706</v>
      </c>
      <c r="AH1575" s="16" t="s">
        <v>45</v>
      </c>
      <c r="AI1575" s="16" t="s">
        <v>45</v>
      </c>
      <c r="AJ1575" s="16" t="s">
        <v>45</v>
      </c>
      <c r="AK1575" s="16" t="s">
        <v>45</v>
      </c>
      <c r="AL1575" s="10" t="s">
        <v>49</v>
      </c>
      <c r="AM1575" s="16" t="s">
        <v>45</v>
      </c>
      <c r="AN1575" s="16" t="s">
        <v>45</v>
      </c>
    </row>
    <row r="1576" ht="30.0" customHeight="1">
      <c r="A1576" s="9" t="str">
        <f t="shared" si="48"/>
        <v>Ativo</v>
      </c>
      <c r="B1576" s="9" t="str">
        <f t="shared" si="49"/>
        <v>N/I</v>
      </c>
      <c r="C1576" s="9" t="str">
        <f t="shared" si="80"/>
        <v>N/I</v>
      </c>
      <c r="D1576" s="10" t="s">
        <v>5107</v>
      </c>
      <c r="E1576" s="11" t="s">
        <v>5108</v>
      </c>
      <c r="F1576" s="11" t="s">
        <v>5109</v>
      </c>
      <c r="G1576" s="12" t="s">
        <v>448</v>
      </c>
      <c r="H1576" s="27" t="s">
        <v>5110</v>
      </c>
      <c r="I1576" s="12" t="s">
        <v>5111</v>
      </c>
      <c r="J1576" s="10" t="s">
        <v>197</v>
      </c>
      <c r="K1576" s="10" t="s">
        <v>40</v>
      </c>
      <c r="L1576" s="10" t="s">
        <v>4</v>
      </c>
      <c r="M1576" s="14">
        <v>45638.0</v>
      </c>
      <c r="N1576" s="32" t="s">
        <v>5112</v>
      </c>
      <c r="O1576" s="10" t="s">
        <v>5113</v>
      </c>
      <c r="P1576" s="10" t="s">
        <v>5114</v>
      </c>
      <c r="Q1576" s="2"/>
      <c r="R1576" s="10">
        <v>36.0</v>
      </c>
      <c r="S1576" s="14">
        <v>45638.0</v>
      </c>
      <c r="T1576" s="14">
        <v>46733.0</v>
      </c>
      <c r="U1576" s="10">
        <f t="shared" si="128"/>
        <v>642</v>
      </c>
      <c r="V1576" s="2"/>
      <c r="W1576" s="15"/>
      <c r="X1576" s="15"/>
      <c r="Y1576" s="15"/>
      <c r="Z1576" s="15"/>
      <c r="AA1576" s="1"/>
      <c r="AB1576" s="15"/>
      <c r="AC1576" s="15"/>
      <c r="AD1576" s="15"/>
      <c r="AE1576" s="15"/>
      <c r="AF1576" s="2"/>
      <c r="AG1576" s="16" t="s">
        <v>45</v>
      </c>
      <c r="AH1576" s="12" t="s">
        <v>355</v>
      </c>
      <c r="AI1576" s="10" t="s">
        <v>227</v>
      </c>
      <c r="AJ1576" s="10" t="s">
        <v>291</v>
      </c>
      <c r="AK1576" s="16" t="s">
        <v>45</v>
      </c>
      <c r="AL1576" s="10" t="s">
        <v>49</v>
      </c>
      <c r="AM1576" s="16" t="s">
        <v>45</v>
      </c>
      <c r="AN1576" s="10" t="s">
        <v>50</v>
      </c>
    </row>
    <row r="1577" ht="30.0" customHeight="1">
      <c r="A1577" s="9" t="str">
        <f t="shared" si="48"/>
        <v>Ativo</v>
      </c>
      <c r="B1577" s="9" t="str">
        <f t="shared" si="49"/>
        <v>N/I</v>
      </c>
      <c r="C1577" s="9" t="str">
        <f t="shared" si="80"/>
        <v>N/I</v>
      </c>
      <c r="D1577" s="10" t="s">
        <v>5107</v>
      </c>
      <c r="E1577" s="11" t="s">
        <v>5108</v>
      </c>
      <c r="F1577" s="11" t="s">
        <v>5115</v>
      </c>
      <c r="G1577" s="12" t="s">
        <v>94</v>
      </c>
      <c r="H1577" s="27" t="s">
        <v>5116</v>
      </c>
      <c r="I1577" s="12" t="s">
        <v>5117</v>
      </c>
      <c r="J1577" s="10" t="s">
        <v>197</v>
      </c>
      <c r="K1577" s="10" t="s">
        <v>40</v>
      </c>
      <c r="L1577" s="10" t="s">
        <v>4</v>
      </c>
      <c r="M1577" s="14">
        <v>45637.0</v>
      </c>
      <c r="N1577" s="32" t="s">
        <v>5118</v>
      </c>
      <c r="O1577" s="10" t="s">
        <v>5119</v>
      </c>
      <c r="P1577" s="10" t="s">
        <v>5114</v>
      </c>
      <c r="Q1577" s="2"/>
      <c r="R1577" s="10">
        <v>36.0</v>
      </c>
      <c r="S1577" s="14">
        <v>45637.0</v>
      </c>
      <c r="T1577" s="14">
        <v>46732.0</v>
      </c>
      <c r="U1577" s="10">
        <f t="shared" si="128"/>
        <v>641</v>
      </c>
      <c r="V1577" s="2"/>
      <c r="W1577" s="15"/>
      <c r="X1577" s="15"/>
      <c r="Y1577" s="15"/>
      <c r="Z1577" s="15"/>
      <c r="AA1577" s="1"/>
      <c r="AB1577" s="15"/>
      <c r="AC1577" s="15"/>
      <c r="AD1577" s="15"/>
      <c r="AE1577" s="15"/>
      <c r="AF1577" s="2"/>
      <c r="AG1577" s="16" t="s">
        <v>45</v>
      </c>
      <c r="AH1577" s="12" t="s">
        <v>355</v>
      </c>
      <c r="AI1577" s="10" t="s">
        <v>227</v>
      </c>
      <c r="AJ1577" s="10" t="s">
        <v>291</v>
      </c>
      <c r="AK1577" s="16" t="s">
        <v>45</v>
      </c>
      <c r="AL1577" s="10" t="s">
        <v>49</v>
      </c>
      <c r="AM1577" s="16" t="s">
        <v>45</v>
      </c>
      <c r="AN1577" s="10" t="s">
        <v>50</v>
      </c>
    </row>
    <row r="1578" ht="30.0" customHeight="1">
      <c r="A1578" s="9" t="str">
        <f t="shared" si="48"/>
        <v>Ativo</v>
      </c>
      <c r="B1578" s="9" t="str">
        <f t="shared" si="49"/>
        <v>N/I</v>
      </c>
      <c r="C1578" s="9" t="str">
        <f t="shared" si="80"/>
        <v>N/I</v>
      </c>
      <c r="D1578" s="10" t="s">
        <v>5107</v>
      </c>
      <c r="E1578" s="11" t="s">
        <v>5108</v>
      </c>
      <c r="F1578" s="11" t="s">
        <v>5120</v>
      </c>
      <c r="G1578" s="12" t="s">
        <v>448</v>
      </c>
      <c r="H1578" s="27" t="s">
        <v>5121</v>
      </c>
      <c r="I1578" s="12" t="s">
        <v>799</v>
      </c>
      <c r="J1578" s="10" t="s">
        <v>197</v>
      </c>
      <c r="K1578" s="10" t="s">
        <v>40</v>
      </c>
      <c r="L1578" s="10" t="s">
        <v>4</v>
      </c>
      <c r="M1578" s="14">
        <v>45693.0</v>
      </c>
      <c r="N1578" s="32" t="s">
        <v>5122</v>
      </c>
      <c r="O1578" s="10" t="s">
        <v>5123</v>
      </c>
      <c r="P1578" s="10" t="s">
        <v>5114</v>
      </c>
      <c r="Q1578" s="2"/>
      <c r="R1578" s="10">
        <v>36.0</v>
      </c>
      <c r="S1578" s="14">
        <v>45693.0</v>
      </c>
      <c r="T1578" s="14">
        <v>46788.0</v>
      </c>
      <c r="U1578" s="10">
        <f t="shared" si="128"/>
        <v>697</v>
      </c>
      <c r="V1578" s="2"/>
      <c r="W1578" s="15"/>
      <c r="X1578" s="15"/>
      <c r="Y1578" s="15"/>
      <c r="Z1578" s="15"/>
      <c r="AA1578" s="1"/>
      <c r="AB1578" s="15"/>
      <c r="AC1578" s="15"/>
      <c r="AD1578" s="15"/>
      <c r="AE1578" s="15"/>
      <c r="AF1578" s="2"/>
      <c r="AG1578" s="16" t="s">
        <v>45</v>
      </c>
      <c r="AH1578" s="12" t="s">
        <v>355</v>
      </c>
      <c r="AI1578" s="10" t="s">
        <v>227</v>
      </c>
      <c r="AJ1578" s="10" t="s">
        <v>291</v>
      </c>
      <c r="AK1578" s="16" t="s">
        <v>45</v>
      </c>
      <c r="AL1578" s="10" t="s">
        <v>49</v>
      </c>
      <c r="AM1578" s="16" t="s">
        <v>45</v>
      </c>
      <c r="AN1578" s="10" t="s">
        <v>50</v>
      </c>
    </row>
    <row r="1579" ht="30.0" customHeight="1">
      <c r="A1579" s="9" t="str">
        <f t="shared" si="48"/>
        <v>Ativo</v>
      </c>
      <c r="B1579" s="9" t="str">
        <f t="shared" si="49"/>
        <v>N/I</v>
      </c>
      <c r="C1579" s="9" t="str">
        <f t="shared" si="80"/>
        <v>N/I</v>
      </c>
      <c r="D1579" s="10" t="s">
        <v>5107</v>
      </c>
      <c r="E1579" s="11" t="s">
        <v>5108</v>
      </c>
      <c r="F1579" s="11" t="s">
        <v>5124</v>
      </c>
      <c r="G1579" s="12" t="s">
        <v>448</v>
      </c>
      <c r="H1579" s="27" t="s">
        <v>5125</v>
      </c>
      <c r="I1579" s="12" t="s">
        <v>5126</v>
      </c>
      <c r="J1579" s="10" t="s">
        <v>197</v>
      </c>
      <c r="K1579" s="10" t="s">
        <v>40</v>
      </c>
      <c r="L1579" s="10" t="s">
        <v>4</v>
      </c>
      <c r="M1579" s="14">
        <v>45637.0</v>
      </c>
      <c r="N1579" s="32" t="s">
        <v>5127</v>
      </c>
      <c r="O1579" s="10" t="s">
        <v>5128</v>
      </c>
      <c r="P1579" s="10" t="s">
        <v>5114</v>
      </c>
      <c r="Q1579" s="2"/>
      <c r="R1579" s="10">
        <v>36.0</v>
      </c>
      <c r="S1579" s="14">
        <v>45637.0</v>
      </c>
      <c r="T1579" s="14">
        <v>46732.0</v>
      </c>
      <c r="U1579" s="10">
        <f t="shared" si="128"/>
        <v>641</v>
      </c>
      <c r="V1579" s="2"/>
      <c r="W1579" s="15"/>
      <c r="X1579" s="15"/>
      <c r="Y1579" s="15"/>
      <c r="Z1579" s="15"/>
      <c r="AA1579" s="1"/>
      <c r="AB1579" s="15"/>
      <c r="AC1579" s="15"/>
      <c r="AD1579" s="15"/>
      <c r="AE1579" s="15"/>
      <c r="AF1579" s="2"/>
      <c r="AG1579" s="16" t="s">
        <v>45</v>
      </c>
      <c r="AH1579" s="12" t="s">
        <v>355</v>
      </c>
      <c r="AI1579" s="10" t="s">
        <v>227</v>
      </c>
      <c r="AJ1579" s="10" t="s">
        <v>291</v>
      </c>
      <c r="AK1579" s="16" t="s">
        <v>45</v>
      </c>
      <c r="AL1579" s="10" t="s">
        <v>49</v>
      </c>
      <c r="AM1579" s="16" t="s">
        <v>45</v>
      </c>
      <c r="AN1579" s="10" t="s">
        <v>50</v>
      </c>
    </row>
    <row r="1580" ht="30.0" customHeight="1">
      <c r="A1580" s="9" t="str">
        <f t="shared" si="48"/>
        <v>Ativo</v>
      </c>
      <c r="B1580" s="9" t="str">
        <f t="shared" si="49"/>
        <v>N/I</v>
      </c>
      <c r="C1580" s="9" t="str">
        <f t="shared" si="80"/>
        <v>N/I</v>
      </c>
      <c r="D1580" s="10" t="s">
        <v>5107</v>
      </c>
      <c r="E1580" s="11" t="s">
        <v>5108</v>
      </c>
      <c r="F1580" s="11" t="s">
        <v>5129</v>
      </c>
      <c r="G1580" s="12" t="s">
        <v>448</v>
      </c>
      <c r="H1580" s="27" t="s">
        <v>5130</v>
      </c>
      <c r="I1580" s="12" t="s">
        <v>2045</v>
      </c>
      <c r="J1580" s="10" t="s">
        <v>197</v>
      </c>
      <c r="K1580" s="10" t="s">
        <v>40</v>
      </c>
      <c r="L1580" s="10" t="s">
        <v>4</v>
      </c>
      <c r="M1580" s="14">
        <v>45667.0</v>
      </c>
      <c r="N1580" s="32" t="s">
        <v>5131</v>
      </c>
      <c r="O1580" s="10" t="s">
        <v>5132</v>
      </c>
      <c r="P1580" s="10" t="s">
        <v>5114</v>
      </c>
      <c r="Q1580" s="2"/>
      <c r="R1580" s="10">
        <v>36.0</v>
      </c>
      <c r="S1580" s="14">
        <v>45667.0</v>
      </c>
      <c r="T1580" s="14">
        <v>46762.0</v>
      </c>
      <c r="U1580" s="10">
        <f t="shared" si="128"/>
        <v>671</v>
      </c>
      <c r="V1580" s="2"/>
      <c r="W1580" s="15"/>
      <c r="X1580" s="15"/>
      <c r="Y1580" s="15"/>
      <c r="Z1580" s="15"/>
      <c r="AA1580" s="1"/>
      <c r="AB1580" s="15"/>
      <c r="AC1580" s="15"/>
      <c r="AD1580" s="15"/>
      <c r="AE1580" s="15"/>
      <c r="AF1580" s="2"/>
      <c r="AG1580" s="16" t="s">
        <v>45</v>
      </c>
      <c r="AH1580" s="12" t="s">
        <v>355</v>
      </c>
      <c r="AI1580" s="10" t="s">
        <v>227</v>
      </c>
      <c r="AJ1580" s="10" t="s">
        <v>291</v>
      </c>
      <c r="AK1580" s="16" t="s">
        <v>45</v>
      </c>
      <c r="AL1580" s="10" t="s">
        <v>49</v>
      </c>
      <c r="AM1580" s="16" t="s">
        <v>45</v>
      </c>
      <c r="AN1580" s="10" t="s">
        <v>50</v>
      </c>
    </row>
    <row r="1581" ht="30.0" customHeight="1">
      <c r="A1581" s="9" t="str">
        <f t="shared" si="48"/>
        <v>Ativo</v>
      </c>
      <c r="B1581" s="9" t="str">
        <f t="shared" si="49"/>
        <v>N/I</v>
      </c>
      <c r="C1581" s="9" t="str">
        <f t="shared" si="80"/>
        <v>N/I</v>
      </c>
      <c r="D1581" s="10" t="s">
        <v>5133</v>
      </c>
      <c r="E1581" s="11" t="s">
        <v>5134</v>
      </c>
      <c r="F1581" s="32"/>
      <c r="G1581" s="12" t="s">
        <v>448</v>
      </c>
      <c r="H1581" s="27" t="s">
        <v>5135</v>
      </c>
      <c r="I1581" s="12" t="s">
        <v>188</v>
      </c>
      <c r="J1581" s="10" t="s">
        <v>189</v>
      </c>
      <c r="K1581" s="10" t="s">
        <v>190</v>
      </c>
      <c r="L1581" s="10" t="s">
        <v>4</v>
      </c>
      <c r="M1581" s="14">
        <v>43160.0</v>
      </c>
      <c r="N1581" s="11" t="s">
        <v>5136</v>
      </c>
      <c r="O1581" s="10" t="s">
        <v>5137</v>
      </c>
      <c r="P1581" s="10" t="s">
        <v>5138</v>
      </c>
      <c r="Q1581" s="2"/>
      <c r="R1581" s="10">
        <v>60.0</v>
      </c>
      <c r="S1581" s="14">
        <v>45082.0</v>
      </c>
      <c r="T1581" s="14">
        <v>46909.0</v>
      </c>
      <c r="U1581" s="10">
        <f t="shared" si="128"/>
        <v>818</v>
      </c>
      <c r="V1581" s="2"/>
      <c r="W1581" s="15"/>
      <c r="X1581" s="15"/>
      <c r="Y1581" s="15"/>
      <c r="Z1581" s="15"/>
      <c r="AA1581" s="1"/>
      <c r="AB1581" s="15"/>
      <c r="AC1581" s="15"/>
      <c r="AD1581" s="15"/>
      <c r="AE1581" s="15"/>
      <c r="AF1581" s="2"/>
      <c r="AG1581" s="16" t="s">
        <v>45</v>
      </c>
      <c r="AH1581" s="10" t="s">
        <v>318</v>
      </c>
      <c r="AI1581" s="10" t="s">
        <v>319</v>
      </c>
      <c r="AJ1581" s="10" t="s">
        <v>291</v>
      </c>
      <c r="AK1581" s="16" t="s">
        <v>45</v>
      </c>
      <c r="AL1581" s="10" t="s">
        <v>49</v>
      </c>
      <c r="AM1581" s="16" t="s">
        <v>45</v>
      </c>
      <c r="AN1581" s="10" t="s">
        <v>320</v>
      </c>
    </row>
    <row r="1582" ht="30.0" customHeight="1">
      <c r="A1582" s="9" t="str">
        <f t="shared" si="48"/>
        <v>Ativo</v>
      </c>
      <c r="B1582" s="9" t="str">
        <f t="shared" si="49"/>
        <v>N/I</v>
      </c>
      <c r="C1582" s="9" t="str">
        <f t="shared" si="80"/>
        <v>N/I</v>
      </c>
      <c r="D1582" s="10" t="s">
        <v>5139</v>
      </c>
      <c r="E1582" s="11" t="s">
        <v>5140</v>
      </c>
      <c r="F1582" s="11" t="s">
        <v>5141</v>
      </c>
      <c r="G1582" s="12" t="s">
        <v>94</v>
      </c>
      <c r="H1582" s="34" t="s">
        <v>5142</v>
      </c>
      <c r="I1582" s="12" t="s">
        <v>4846</v>
      </c>
      <c r="J1582" s="10" t="s">
        <v>521</v>
      </c>
      <c r="K1582" s="10" t="s">
        <v>263</v>
      </c>
      <c r="L1582" s="10" t="s">
        <v>4</v>
      </c>
      <c r="M1582" s="14">
        <v>45084.0</v>
      </c>
      <c r="N1582" s="32" t="s">
        <v>5143</v>
      </c>
      <c r="O1582" s="10" t="s">
        <v>5144</v>
      </c>
      <c r="P1582" s="10" t="s">
        <v>5145</v>
      </c>
      <c r="Q1582" s="2"/>
      <c r="R1582" s="10">
        <v>60.0</v>
      </c>
      <c r="S1582" s="14">
        <v>45084.0</v>
      </c>
      <c r="T1582" s="14">
        <v>46911.0</v>
      </c>
      <c r="U1582" s="10">
        <f t="shared" si="128"/>
        <v>820</v>
      </c>
      <c r="V1582" s="2"/>
      <c r="W1582" s="15"/>
      <c r="X1582" s="15"/>
      <c r="Y1582" s="15"/>
      <c r="Z1582" s="15"/>
      <c r="AA1582" s="1"/>
      <c r="AB1582" s="15"/>
      <c r="AC1582" s="15"/>
      <c r="AD1582" s="15"/>
      <c r="AE1582" s="15"/>
      <c r="AF1582" s="2"/>
      <c r="AG1582" s="16" t="s">
        <v>45</v>
      </c>
      <c r="AH1582" s="10" t="s">
        <v>318</v>
      </c>
      <c r="AI1582" s="10" t="s">
        <v>319</v>
      </c>
      <c r="AJ1582" s="10" t="s">
        <v>291</v>
      </c>
      <c r="AK1582" s="16" t="s">
        <v>45</v>
      </c>
      <c r="AL1582" s="10" t="s">
        <v>49</v>
      </c>
      <c r="AM1582" s="16" t="s">
        <v>45</v>
      </c>
      <c r="AN1582" s="10" t="s">
        <v>320</v>
      </c>
    </row>
    <row r="1583" ht="30.0" customHeight="1">
      <c r="A1583" s="9" t="str">
        <f t="shared" si="48"/>
        <v>Ativo</v>
      </c>
      <c r="B1583" s="9" t="str">
        <f t="shared" si="49"/>
        <v>N/I</v>
      </c>
      <c r="C1583" s="9" t="str">
        <f t="shared" si="80"/>
        <v>N/I</v>
      </c>
      <c r="D1583" s="10" t="s">
        <v>5139</v>
      </c>
      <c r="E1583" s="11" t="s">
        <v>5140</v>
      </c>
      <c r="F1583" s="11" t="s">
        <v>5146</v>
      </c>
      <c r="G1583" s="12" t="s">
        <v>94</v>
      </c>
      <c r="H1583" s="34" t="s">
        <v>5147</v>
      </c>
      <c r="I1583" s="12" t="s">
        <v>615</v>
      </c>
      <c r="J1583" s="10" t="s">
        <v>521</v>
      </c>
      <c r="K1583" s="10" t="s">
        <v>263</v>
      </c>
      <c r="L1583" s="10" t="s">
        <v>4</v>
      </c>
      <c r="M1583" s="14">
        <v>45083.0</v>
      </c>
      <c r="N1583" s="32" t="s">
        <v>5148</v>
      </c>
      <c r="O1583" s="10" t="s">
        <v>5149</v>
      </c>
      <c r="P1583" s="10" t="s">
        <v>5145</v>
      </c>
      <c r="Q1583" s="2"/>
      <c r="R1583" s="10">
        <v>60.0</v>
      </c>
      <c r="S1583" s="14">
        <v>45084.0</v>
      </c>
      <c r="T1583" s="14">
        <v>46911.0</v>
      </c>
      <c r="U1583" s="10">
        <f t="shared" si="128"/>
        <v>820</v>
      </c>
      <c r="V1583" s="2"/>
      <c r="W1583" s="15"/>
      <c r="X1583" s="15"/>
      <c r="Y1583" s="15"/>
      <c r="Z1583" s="15"/>
      <c r="AA1583" s="1"/>
      <c r="AB1583" s="15"/>
      <c r="AC1583" s="15"/>
      <c r="AD1583" s="15"/>
      <c r="AE1583" s="15"/>
      <c r="AF1583" s="2"/>
      <c r="AG1583" s="16" t="s">
        <v>45</v>
      </c>
      <c r="AH1583" s="10" t="s">
        <v>318</v>
      </c>
      <c r="AI1583" s="10" t="s">
        <v>319</v>
      </c>
      <c r="AJ1583" s="10" t="s">
        <v>291</v>
      </c>
      <c r="AK1583" s="16" t="s">
        <v>45</v>
      </c>
      <c r="AL1583" s="10" t="s">
        <v>49</v>
      </c>
      <c r="AM1583" s="16" t="s">
        <v>45</v>
      </c>
      <c r="AN1583" s="10" t="s">
        <v>320</v>
      </c>
    </row>
    <row r="1584" ht="30.0" customHeight="1">
      <c r="A1584" s="9" t="str">
        <f t="shared" si="48"/>
        <v>Ativo</v>
      </c>
      <c r="B1584" s="9" t="str">
        <f t="shared" si="49"/>
        <v>N/I</v>
      </c>
      <c r="C1584" s="9" t="str">
        <f t="shared" si="80"/>
        <v>N/I</v>
      </c>
      <c r="D1584" s="10" t="s">
        <v>5139</v>
      </c>
      <c r="E1584" s="11" t="s">
        <v>5140</v>
      </c>
      <c r="F1584" s="11" t="s">
        <v>5150</v>
      </c>
      <c r="G1584" s="12" t="s">
        <v>94</v>
      </c>
      <c r="H1584" s="34" t="s">
        <v>5151</v>
      </c>
      <c r="I1584" s="12" t="s">
        <v>1345</v>
      </c>
      <c r="J1584" s="10" t="s">
        <v>521</v>
      </c>
      <c r="K1584" s="10" t="s">
        <v>263</v>
      </c>
      <c r="L1584" s="10" t="s">
        <v>4</v>
      </c>
      <c r="M1584" s="14">
        <v>45082.0</v>
      </c>
      <c r="N1584" s="32" t="s">
        <v>5152</v>
      </c>
      <c r="O1584" s="10" t="s">
        <v>5153</v>
      </c>
      <c r="P1584" s="10" t="s">
        <v>5145</v>
      </c>
      <c r="Q1584" s="2"/>
      <c r="R1584" s="10">
        <v>60.0</v>
      </c>
      <c r="S1584" s="14">
        <v>45083.0</v>
      </c>
      <c r="T1584" s="14">
        <v>46910.0</v>
      </c>
      <c r="U1584" s="10">
        <f t="shared" si="128"/>
        <v>819</v>
      </c>
      <c r="V1584" s="2"/>
      <c r="W1584" s="15"/>
      <c r="X1584" s="15"/>
      <c r="Y1584" s="15"/>
      <c r="Z1584" s="15"/>
      <c r="AA1584" s="1"/>
      <c r="AB1584" s="15"/>
      <c r="AC1584" s="15"/>
      <c r="AD1584" s="15"/>
      <c r="AE1584" s="15"/>
      <c r="AF1584" s="2"/>
      <c r="AG1584" s="16" t="s">
        <v>45</v>
      </c>
      <c r="AH1584" s="10" t="s">
        <v>318</v>
      </c>
      <c r="AI1584" s="10" t="s">
        <v>319</v>
      </c>
      <c r="AJ1584" s="10" t="s">
        <v>291</v>
      </c>
      <c r="AK1584" s="16" t="s">
        <v>45</v>
      </c>
      <c r="AL1584" s="10" t="s">
        <v>49</v>
      </c>
      <c r="AM1584" s="16" t="s">
        <v>45</v>
      </c>
      <c r="AN1584" s="10" t="s">
        <v>320</v>
      </c>
    </row>
    <row r="1585" ht="30.0" customHeight="1">
      <c r="A1585" s="9" t="str">
        <f t="shared" si="48"/>
        <v>Inativo</v>
      </c>
      <c r="B1585" s="9" t="str">
        <f t="shared" si="49"/>
        <v>N/I</v>
      </c>
      <c r="C1585" s="9" t="str">
        <f t="shared" si="80"/>
        <v>N/I</v>
      </c>
      <c r="D1585" s="10" t="s">
        <v>5154</v>
      </c>
      <c r="E1585" s="11" t="s">
        <v>5155</v>
      </c>
      <c r="F1585" s="11" t="s">
        <v>5156</v>
      </c>
      <c r="G1585" s="12" t="s">
        <v>94</v>
      </c>
      <c r="H1585" s="16">
        <v>150678.0</v>
      </c>
      <c r="I1585" s="12" t="s">
        <v>3416</v>
      </c>
      <c r="J1585" s="10" t="s">
        <v>89</v>
      </c>
      <c r="K1585" s="10" t="s">
        <v>41</v>
      </c>
      <c r="L1585" s="10" t="s">
        <v>4</v>
      </c>
      <c r="M1585" s="22">
        <v>43202.0</v>
      </c>
      <c r="N1585" s="32" t="s">
        <v>5157</v>
      </c>
      <c r="O1585" s="10" t="s">
        <v>5158</v>
      </c>
      <c r="P1585" s="10" t="s">
        <v>5159</v>
      </c>
      <c r="Q1585" s="2"/>
      <c r="R1585" s="10">
        <v>24.0</v>
      </c>
      <c r="S1585" s="14">
        <v>43202.0</v>
      </c>
      <c r="T1585" s="14">
        <v>43933.0</v>
      </c>
      <c r="U1585" s="10">
        <f t="shared" si="128"/>
        <v>-2158</v>
      </c>
      <c r="V1585" s="2"/>
      <c r="W1585" s="15"/>
      <c r="X1585" s="15"/>
      <c r="Y1585" s="15"/>
      <c r="Z1585" s="15"/>
      <c r="AA1585" s="1"/>
      <c r="AB1585" s="15"/>
      <c r="AC1585" s="15"/>
      <c r="AD1585" s="15"/>
      <c r="AE1585" s="15"/>
      <c r="AF1585" s="2"/>
      <c r="AG1585" s="10" t="s">
        <v>5160</v>
      </c>
      <c r="AH1585" s="12" t="s">
        <v>46</v>
      </c>
      <c r="AI1585" s="10" t="s">
        <v>227</v>
      </c>
      <c r="AJ1585" s="16" t="s">
        <v>45</v>
      </c>
      <c r="AK1585" s="16" t="s">
        <v>45</v>
      </c>
      <c r="AL1585" s="10" t="s">
        <v>49</v>
      </c>
      <c r="AM1585" s="10" t="s">
        <v>508</v>
      </c>
      <c r="AN1585" s="10" t="s">
        <v>320</v>
      </c>
    </row>
    <row r="1586" ht="30.0" customHeight="1">
      <c r="A1586" s="9" t="str">
        <f t="shared" si="48"/>
        <v>Inativo</v>
      </c>
      <c r="B1586" s="9" t="str">
        <f t="shared" si="49"/>
        <v>N/I</v>
      </c>
      <c r="C1586" s="9" t="str">
        <f t="shared" si="80"/>
        <v>N/I</v>
      </c>
      <c r="D1586" s="10" t="s">
        <v>5154</v>
      </c>
      <c r="E1586" s="11" t="s">
        <v>5155</v>
      </c>
      <c r="F1586" s="11" t="s">
        <v>5161</v>
      </c>
      <c r="G1586" s="12" t="s">
        <v>94</v>
      </c>
      <c r="H1586" s="16">
        <v>150531.0</v>
      </c>
      <c r="I1586" s="12" t="s">
        <v>5162</v>
      </c>
      <c r="J1586" s="10" t="s">
        <v>89</v>
      </c>
      <c r="K1586" s="10" t="s">
        <v>41</v>
      </c>
      <c r="L1586" s="10" t="s">
        <v>4</v>
      </c>
      <c r="M1586" s="22">
        <v>43215.0</v>
      </c>
      <c r="N1586" s="32" t="s">
        <v>5163</v>
      </c>
      <c r="O1586" s="10" t="s">
        <v>5164</v>
      </c>
      <c r="P1586" s="10" t="s">
        <v>5159</v>
      </c>
      <c r="Q1586" s="2"/>
      <c r="R1586" s="10">
        <v>24.0</v>
      </c>
      <c r="S1586" s="14">
        <v>43215.0</v>
      </c>
      <c r="T1586" s="14">
        <v>43946.0</v>
      </c>
      <c r="U1586" s="10">
        <f t="shared" si="128"/>
        <v>-2145</v>
      </c>
      <c r="V1586" s="2"/>
      <c r="W1586" s="15"/>
      <c r="X1586" s="15"/>
      <c r="Y1586" s="15"/>
      <c r="Z1586" s="15"/>
      <c r="AA1586" s="1"/>
      <c r="AB1586" s="15"/>
      <c r="AC1586" s="15"/>
      <c r="AD1586" s="15"/>
      <c r="AE1586" s="15"/>
      <c r="AF1586" s="2"/>
      <c r="AG1586" s="10" t="s">
        <v>5160</v>
      </c>
      <c r="AH1586" s="12" t="s">
        <v>46</v>
      </c>
      <c r="AI1586" s="10" t="s">
        <v>227</v>
      </c>
      <c r="AJ1586" s="16" t="s">
        <v>45</v>
      </c>
      <c r="AK1586" s="16" t="s">
        <v>45</v>
      </c>
      <c r="AL1586" s="10" t="s">
        <v>49</v>
      </c>
      <c r="AM1586" s="10" t="s">
        <v>508</v>
      </c>
      <c r="AN1586" s="10" t="s">
        <v>320</v>
      </c>
    </row>
    <row r="1587" ht="30.0" customHeight="1">
      <c r="A1587" s="9" t="str">
        <f t="shared" si="48"/>
        <v>Inativo</v>
      </c>
      <c r="B1587" s="9" t="str">
        <f t="shared" si="49"/>
        <v>N/I</v>
      </c>
      <c r="C1587" s="9" t="str">
        <f t="shared" si="80"/>
        <v>N/I</v>
      </c>
      <c r="D1587" s="10" t="s">
        <v>5154</v>
      </c>
      <c r="E1587" s="11" t="s">
        <v>5155</v>
      </c>
      <c r="F1587" s="11" t="s">
        <v>5165</v>
      </c>
      <c r="G1587" s="12" t="s">
        <v>94</v>
      </c>
      <c r="H1587" s="16">
        <v>150636.0</v>
      </c>
      <c r="I1587" s="12" t="s">
        <v>370</v>
      </c>
      <c r="J1587" s="10" t="s">
        <v>89</v>
      </c>
      <c r="K1587" s="10" t="s">
        <v>41</v>
      </c>
      <c r="L1587" s="10" t="s">
        <v>4</v>
      </c>
      <c r="M1587" s="22">
        <v>43139.0</v>
      </c>
      <c r="N1587" s="32" t="s">
        <v>5166</v>
      </c>
      <c r="O1587" s="10" t="s">
        <v>5167</v>
      </c>
      <c r="P1587" s="10" t="s">
        <v>5159</v>
      </c>
      <c r="Q1587" s="2"/>
      <c r="R1587" s="10">
        <v>24.0</v>
      </c>
      <c r="S1587" s="14">
        <v>43139.0</v>
      </c>
      <c r="T1587" s="14">
        <v>43869.0</v>
      </c>
      <c r="U1587" s="10">
        <f t="shared" si="128"/>
        <v>-2222</v>
      </c>
      <c r="V1587" s="2"/>
      <c r="W1587" s="15"/>
      <c r="X1587" s="15"/>
      <c r="Y1587" s="15"/>
      <c r="Z1587" s="15"/>
      <c r="AA1587" s="1"/>
      <c r="AB1587" s="15"/>
      <c r="AC1587" s="15"/>
      <c r="AD1587" s="15"/>
      <c r="AE1587" s="15"/>
      <c r="AF1587" s="2"/>
      <c r="AG1587" s="10" t="s">
        <v>5160</v>
      </c>
      <c r="AH1587" s="12" t="s">
        <v>46</v>
      </c>
      <c r="AI1587" s="10" t="s">
        <v>227</v>
      </c>
      <c r="AJ1587" s="16" t="s">
        <v>45</v>
      </c>
      <c r="AK1587" s="16" t="s">
        <v>45</v>
      </c>
      <c r="AL1587" s="10" t="s">
        <v>49</v>
      </c>
      <c r="AM1587" s="10" t="s">
        <v>508</v>
      </c>
      <c r="AN1587" s="10" t="s">
        <v>320</v>
      </c>
    </row>
    <row r="1588" ht="30.0" customHeight="1">
      <c r="A1588" s="9" t="str">
        <f t="shared" si="48"/>
        <v>Inativo</v>
      </c>
      <c r="B1588" s="9" t="str">
        <f t="shared" si="49"/>
        <v>N/I</v>
      </c>
      <c r="C1588" s="9" t="str">
        <f t="shared" si="80"/>
        <v>N/I</v>
      </c>
      <c r="D1588" s="10" t="s">
        <v>5154</v>
      </c>
      <c r="E1588" s="11" t="s">
        <v>5155</v>
      </c>
      <c r="F1588" s="11" t="s">
        <v>5165</v>
      </c>
      <c r="G1588" s="12" t="s">
        <v>94</v>
      </c>
      <c r="H1588" s="16">
        <v>150654.0</v>
      </c>
      <c r="I1588" s="12" t="s">
        <v>370</v>
      </c>
      <c r="J1588" s="10" t="s">
        <v>89</v>
      </c>
      <c r="K1588" s="10" t="s">
        <v>41</v>
      </c>
      <c r="L1588" s="10" t="s">
        <v>4</v>
      </c>
      <c r="M1588" s="22">
        <v>43139.0</v>
      </c>
      <c r="N1588" s="32" t="s">
        <v>5166</v>
      </c>
      <c r="O1588" s="10" t="s">
        <v>5167</v>
      </c>
      <c r="P1588" s="10" t="s">
        <v>5159</v>
      </c>
      <c r="Q1588" s="2"/>
      <c r="R1588" s="10">
        <v>24.0</v>
      </c>
      <c r="S1588" s="14">
        <v>43139.0</v>
      </c>
      <c r="T1588" s="14">
        <v>43869.0</v>
      </c>
      <c r="U1588" s="10">
        <f t="shared" si="128"/>
        <v>-2222</v>
      </c>
      <c r="V1588" s="2"/>
      <c r="W1588" s="15"/>
      <c r="X1588" s="15"/>
      <c r="Y1588" s="15"/>
      <c r="Z1588" s="15"/>
      <c r="AA1588" s="1"/>
      <c r="AB1588" s="15"/>
      <c r="AC1588" s="15"/>
      <c r="AD1588" s="15"/>
      <c r="AE1588" s="15"/>
      <c r="AF1588" s="2"/>
      <c r="AG1588" s="10" t="s">
        <v>5160</v>
      </c>
      <c r="AH1588" s="12" t="s">
        <v>46</v>
      </c>
      <c r="AI1588" s="10" t="s">
        <v>227</v>
      </c>
      <c r="AJ1588" s="16" t="s">
        <v>45</v>
      </c>
      <c r="AK1588" s="16" t="s">
        <v>45</v>
      </c>
      <c r="AL1588" s="10" t="s">
        <v>49</v>
      </c>
      <c r="AM1588" s="10" t="s">
        <v>508</v>
      </c>
      <c r="AN1588" s="10" t="s">
        <v>320</v>
      </c>
    </row>
    <row r="1589" ht="30.0" customHeight="1">
      <c r="A1589" s="9" t="str">
        <f t="shared" si="48"/>
        <v>Inativo</v>
      </c>
      <c r="B1589" s="9" t="str">
        <f t="shared" si="49"/>
        <v>N/I</v>
      </c>
      <c r="C1589" s="9" t="str">
        <f t="shared" si="80"/>
        <v>N/I</v>
      </c>
      <c r="D1589" s="10" t="s">
        <v>5154</v>
      </c>
      <c r="E1589" s="11" t="s">
        <v>5155</v>
      </c>
      <c r="F1589" s="11" t="s">
        <v>5168</v>
      </c>
      <c r="G1589" s="12" t="s">
        <v>94</v>
      </c>
      <c r="H1589" s="16">
        <v>150676.0</v>
      </c>
      <c r="I1589" s="12" t="s">
        <v>370</v>
      </c>
      <c r="J1589" s="10" t="s">
        <v>89</v>
      </c>
      <c r="K1589" s="10" t="s">
        <v>41</v>
      </c>
      <c r="L1589" s="10" t="s">
        <v>4</v>
      </c>
      <c r="M1589" s="22">
        <v>43139.0</v>
      </c>
      <c r="N1589" s="32" t="s">
        <v>5169</v>
      </c>
      <c r="O1589" s="10" t="s">
        <v>5170</v>
      </c>
      <c r="P1589" s="10" t="s">
        <v>5159</v>
      </c>
      <c r="Q1589" s="2"/>
      <c r="R1589" s="10">
        <v>24.0</v>
      </c>
      <c r="S1589" s="14">
        <v>43139.0</v>
      </c>
      <c r="T1589" s="14">
        <v>43869.0</v>
      </c>
      <c r="U1589" s="10">
        <f t="shared" si="128"/>
        <v>-2222</v>
      </c>
      <c r="V1589" s="2"/>
      <c r="W1589" s="15"/>
      <c r="X1589" s="15"/>
      <c r="Y1589" s="15"/>
      <c r="Z1589" s="15"/>
      <c r="AA1589" s="1"/>
      <c r="AB1589" s="15"/>
      <c r="AC1589" s="15"/>
      <c r="AD1589" s="15"/>
      <c r="AE1589" s="15"/>
      <c r="AF1589" s="2"/>
      <c r="AG1589" s="10" t="s">
        <v>5160</v>
      </c>
      <c r="AH1589" s="12" t="s">
        <v>46</v>
      </c>
      <c r="AI1589" s="10" t="s">
        <v>227</v>
      </c>
      <c r="AJ1589" s="16" t="s">
        <v>45</v>
      </c>
      <c r="AK1589" s="16" t="s">
        <v>45</v>
      </c>
      <c r="AL1589" s="10" t="s">
        <v>49</v>
      </c>
      <c r="AM1589" s="10" t="s">
        <v>508</v>
      </c>
      <c r="AN1589" s="10" t="s">
        <v>320</v>
      </c>
    </row>
    <row r="1590" ht="30.0" customHeight="1">
      <c r="A1590" s="9" t="str">
        <f t="shared" si="48"/>
        <v>Inativo</v>
      </c>
      <c r="B1590" s="9" t="str">
        <f t="shared" si="49"/>
        <v>N/I</v>
      </c>
      <c r="C1590" s="9" t="str">
        <f t="shared" si="80"/>
        <v>N/I</v>
      </c>
      <c r="D1590" s="10" t="s">
        <v>5154</v>
      </c>
      <c r="E1590" s="11" t="s">
        <v>5155</v>
      </c>
      <c r="F1590" s="11" t="s">
        <v>5171</v>
      </c>
      <c r="G1590" s="12" t="s">
        <v>94</v>
      </c>
      <c r="H1590" s="16">
        <v>150712.0</v>
      </c>
      <c r="I1590" s="12" t="s">
        <v>370</v>
      </c>
      <c r="J1590" s="10" t="s">
        <v>89</v>
      </c>
      <c r="K1590" s="10" t="s">
        <v>41</v>
      </c>
      <c r="L1590" s="10" t="s">
        <v>4</v>
      </c>
      <c r="M1590" s="22">
        <v>43139.0</v>
      </c>
      <c r="N1590" s="32" t="s">
        <v>5172</v>
      </c>
      <c r="O1590" s="10" t="s">
        <v>5173</v>
      </c>
      <c r="P1590" s="10" t="s">
        <v>5159</v>
      </c>
      <c r="Q1590" s="2"/>
      <c r="R1590" s="10">
        <v>24.0</v>
      </c>
      <c r="S1590" s="14">
        <v>43139.0</v>
      </c>
      <c r="T1590" s="14">
        <v>43869.0</v>
      </c>
      <c r="U1590" s="10">
        <f t="shared" si="128"/>
        <v>-2222</v>
      </c>
      <c r="V1590" s="2"/>
      <c r="W1590" s="15"/>
      <c r="X1590" s="15"/>
      <c r="Y1590" s="15"/>
      <c r="Z1590" s="15"/>
      <c r="AA1590" s="1"/>
      <c r="AB1590" s="15"/>
      <c r="AC1590" s="15"/>
      <c r="AD1590" s="15"/>
      <c r="AE1590" s="15"/>
      <c r="AF1590" s="2"/>
      <c r="AG1590" s="10" t="s">
        <v>5160</v>
      </c>
      <c r="AH1590" s="12" t="s">
        <v>46</v>
      </c>
      <c r="AI1590" s="10" t="s">
        <v>227</v>
      </c>
      <c r="AJ1590" s="16" t="s">
        <v>45</v>
      </c>
      <c r="AK1590" s="16" t="s">
        <v>45</v>
      </c>
      <c r="AL1590" s="10" t="s">
        <v>49</v>
      </c>
      <c r="AM1590" s="10" t="s">
        <v>508</v>
      </c>
      <c r="AN1590" s="10" t="s">
        <v>320</v>
      </c>
    </row>
    <row r="1591" ht="30.0" customHeight="1">
      <c r="A1591" s="9" t="str">
        <f t="shared" si="48"/>
        <v>Inativo</v>
      </c>
      <c r="B1591" s="9" t="str">
        <f t="shared" si="49"/>
        <v>N/I</v>
      </c>
      <c r="C1591" s="9" t="str">
        <f t="shared" si="80"/>
        <v>N/I</v>
      </c>
      <c r="D1591" s="10" t="s">
        <v>5154</v>
      </c>
      <c r="E1591" s="11" t="s">
        <v>5155</v>
      </c>
      <c r="F1591" s="11" t="s">
        <v>5174</v>
      </c>
      <c r="G1591" s="12" t="s">
        <v>94</v>
      </c>
      <c r="H1591" s="16">
        <v>150714.0</v>
      </c>
      <c r="I1591" s="12" t="s">
        <v>370</v>
      </c>
      <c r="J1591" s="10" t="s">
        <v>89</v>
      </c>
      <c r="K1591" s="10" t="s">
        <v>41</v>
      </c>
      <c r="L1591" s="10" t="s">
        <v>4</v>
      </c>
      <c r="M1591" s="22">
        <v>43139.0</v>
      </c>
      <c r="N1591" s="32" t="s">
        <v>5175</v>
      </c>
      <c r="O1591" s="10" t="s">
        <v>5176</v>
      </c>
      <c r="P1591" s="10" t="s">
        <v>5159</v>
      </c>
      <c r="Q1591" s="2"/>
      <c r="R1591" s="10">
        <v>24.0</v>
      </c>
      <c r="S1591" s="14">
        <v>43139.0</v>
      </c>
      <c r="T1591" s="14">
        <v>43869.0</v>
      </c>
      <c r="U1591" s="10">
        <f t="shared" si="128"/>
        <v>-2222</v>
      </c>
      <c r="V1591" s="2"/>
      <c r="W1591" s="15"/>
      <c r="X1591" s="15"/>
      <c r="Y1591" s="15"/>
      <c r="Z1591" s="15"/>
      <c r="AA1591" s="1"/>
      <c r="AB1591" s="15"/>
      <c r="AC1591" s="15"/>
      <c r="AD1591" s="15"/>
      <c r="AE1591" s="15"/>
      <c r="AF1591" s="2"/>
      <c r="AG1591" s="10" t="s">
        <v>5160</v>
      </c>
      <c r="AH1591" s="12" t="s">
        <v>46</v>
      </c>
      <c r="AI1591" s="10" t="s">
        <v>227</v>
      </c>
      <c r="AJ1591" s="16" t="s">
        <v>45</v>
      </c>
      <c r="AK1591" s="16" t="s">
        <v>45</v>
      </c>
      <c r="AL1591" s="10" t="s">
        <v>49</v>
      </c>
      <c r="AM1591" s="10" t="s">
        <v>508</v>
      </c>
      <c r="AN1591" s="10" t="s">
        <v>320</v>
      </c>
    </row>
    <row r="1592" ht="30.0" customHeight="1">
      <c r="A1592" s="9" t="str">
        <f t="shared" si="48"/>
        <v>Inativo</v>
      </c>
      <c r="B1592" s="9" t="str">
        <f t="shared" si="49"/>
        <v>N/I</v>
      </c>
      <c r="C1592" s="9" t="str">
        <f t="shared" si="80"/>
        <v>N/I</v>
      </c>
      <c r="D1592" s="10" t="s">
        <v>5154</v>
      </c>
      <c r="E1592" s="11" t="s">
        <v>5155</v>
      </c>
      <c r="F1592" s="11" t="s">
        <v>5177</v>
      </c>
      <c r="G1592" s="12" t="s">
        <v>94</v>
      </c>
      <c r="H1592" s="16">
        <v>150529.0</v>
      </c>
      <c r="I1592" s="12" t="s">
        <v>88</v>
      </c>
      <c r="J1592" s="10" t="s">
        <v>89</v>
      </c>
      <c r="K1592" s="10" t="s">
        <v>41</v>
      </c>
      <c r="L1592" s="10" t="s">
        <v>4</v>
      </c>
      <c r="M1592" s="22">
        <v>43137.0</v>
      </c>
      <c r="N1592" s="32" t="s">
        <v>5178</v>
      </c>
      <c r="O1592" s="10" t="s">
        <v>5179</v>
      </c>
      <c r="P1592" s="10" t="s">
        <v>5159</v>
      </c>
      <c r="Q1592" s="2"/>
      <c r="R1592" s="10">
        <v>24.0</v>
      </c>
      <c r="S1592" s="14">
        <v>43137.0</v>
      </c>
      <c r="T1592" s="14">
        <v>43867.0</v>
      </c>
      <c r="U1592" s="10">
        <f t="shared" si="128"/>
        <v>-2224</v>
      </c>
      <c r="V1592" s="2"/>
      <c r="W1592" s="15"/>
      <c r="X1592" s="15"/>
      <c r="Y1592" s="15"/>
      <c r="Z1592" s="15"/>
      <c r="AA1592" s="1"/>
      <c r="AB1592" s="15"/>
      <c r="AC1592" s="15"/>
      <c r="AD1592" s="15"/>
      <c r="AE1592" s="15"/>
      <c r="AF1592" s="2"/>
      <c r="AG1592" s="10" t="s">
        <v>5160</v>
      </c>
      <c r="AH1592" s="12" t="s">
        <v>46</v>
      </c>
      <c r="AI1592" s="10" t="s">
        <v>227</v>
      </c>
      <c r="AJ1592" s="16" t="s">
        <v>45</v>
      </c>
      <c r="AK1592" s="16" t="s">
        <v>45</v>
      </c>
      <c r="AL1592" s="10" t="s">
        <v>49</v>
      </c>
      <c r="AM1592" s="10" t="s">
        <v>508</v>
      </c>
      <c r="AN1592" s="10" t="s">
        <v>320</v>
      </c>
    </row>
    <row r="1593" ht="30.0" customHeight="1">
      <c r="A1593" s="9" t="str">
        <f t="shared" si="48"/>
        <v>Inativo</v>
      </c>
      <c r="B1593" s="9" t="str">
        <f t="shared" si="49"/>
        <v>N/I</v>
      </c>
      <c r="C1593" s="9" t="str">
        <f t="shared" si="80"/>
        <v>N/I</v>
      </c>
      <c r="D1593" s="10" t="s">
        <v>5154</v>
      </c>
      <c r="E1593" s="11" t="s">
        <v>5155</v>
      </c>
      <c r="F1593" s="11" t="s">
        <v>5180</v>
      </c>
      <c r="G1593" s="12" t="s">
        <v>94</v>
      </c>
      <c r="H1593" s="16">
        <v>150718.0</v>
      </c>
      <c r="I1593" s="12" t="s">
        <v>5181</v>
      </c>
      <c r="J1593" s="10" t="s">
        <v>89</v>
      </c>
      <c r="K1593" s="10" t="s">
        <v>41</v>
      </c>
      <c r="L1593" s="10" t="s">
        <v>4</v>
      </c>
      <c r="M1593" s="22">
        <v>43215.0</v>
      </c>
      <c r="N1593" s="32" t="s">
        <v>5182</v>
      </c>
      <c r="O1593" s="10" t="s">
        <v>5183</v>
      </c>
      <c r="P1593" s="10" t="s">
        <v>5159</v>
      </c>
      <c r="Q1593" s="2"/>
      <c r="R1593" s="10">
        <v>24.0</v>
      </c>
      <c r="S1593" s="14">
        <v>43215.0</v>
      </c>
      <c r="T1593" s="14">
        <v>43946.0</v>
      </c>
      <c r="U1593" s="10">
        <f t="shared" si="128"/>
        <v>-2145</v>
      </c>
      <c r="V1593" s="2"/>
      <c r="W1593" s="15"/>
      <c r="X1593" s="15"/>
      <c r="Y1593" s="15"/>
      <c r="Z1593" s="15"/>
      <c r="AA1593" s="1"/>
      <c r="AB1593" s="15"/>
      <c r="AC1593" s="15"/>
      <c r="AD1593" s="15"/>
      <c r="AE1593" s="15"/>
      <c r="AF1593" s="2"/>
      <c r="AG1593" s="10" t="s">
        <v>5160</v>
      </c>
      <c r="AH1593" s="12" t="s">
        <v>46</v>
      </c>
      <c r="AI1593" s="10" t="s">
        <v>227</v>
      </c>
      <c r="AJ1593" s="16" t="s">
        <v>45</v>
      </c>
      <c r="AK1593" s="16" t="s">
        <v>45</v>
      </c>
      <c r="AL1593" s="10" t="s">
        <v>49</v>
      </c>
      <c r="AM1593" s="10" t="s">
        <v>508</v>
      </c>
      <c r="AN1593" s="10" t="s">
        <v>320</v>
      </c>
    </row>
    <row r="1594" ht="30.0" customHeight="1">
      <c r="A1594" s="9" t="str">
        <f t="shared" si="48"/>
        <v>Inativo</v>
      </c>
      <c r="B1594" s="9" t="str">
        <f t="shared" si="49"/>
        <v>N/I</v>
      </c>
      <c r="C1594" s="9" t="str">
        <f t="shared" si="80"/>
        <v>N/I</v>
      </c>
      <c r="D1594" s="10" t="s">
        <v>5154</v>
      </c>
      <c r="E1594" s="11" t="s">
        <v>5155</v>
      </c>
      <c r="F1594" s="11" t="s">
        <v>5184</v>
      </c>
      <c r="G1594" s="12" t="s">
        <v>94</v>
      </c>
      <c r="H1594" s="16">
        <v>150651.0</v>
      </c>
      <c r="I1594" s="12" t="s">
        <v>5185</v>
      </c>
      <c r="J1594" s="10" t="s">
        <v>89</v>
      </c>
      <c r="K1594" s="10" t="s">
        <v>41</v>
      </c>
      <c r="L1594" s="10" t="s">
        <v>4</v>
      </c>
      <c r="M1594" s="22">
        <v>43203.0</v>
      </c>
      <c r="N1594" s="32" t="s">
        <v>5186</v>
      </c>
      <c r="O1594" s="10" t="s">
        <v>5187</v>
      </c>
      <c r="P1594" s="10" t="s">
        <v>5159</v>
      </c>
      <c r="Q1594" s="2"/>
      <c r="R1594" s="10">
        <v>24.0</v>
      </c>
      <c r="S1594" s="14">
        <v>43203.0</v>
      </c>
      <c r="T1594" s="14">
        <v>43934.0</v>
      </c>
      <c r="U1594" s="10">
        <f t="shared" si="128"/>
        <v>-2157</v>
      </c>
      <c r="V1594" s="2"/>
      <c r="W1594" s="15"/>
      <c r="X1594" s="15"/>
      <c r="Y1594" s="15"/>
      <c r="Z1594" s="15"/>
      <c r="AA1594" s="1"/>
      <c r="AB1594" s="15"/>
      <c r="AC1594" s="15"/>
      <c r="AD1594" s="15"/>
      <c r="AE1594" s="15"/>
      <c r="AF1594" s="2"/>
      <c r="AG1594" s="10" t="s">
        <v>5160</v>
      </c>
      <c r="AH1594" s="12" t="s">
        <v>46</v>
      </c>
      <c r="AI1594" s="10" t="s">
        <v>227</v>
      </c>
      <c r="AJ1594" s="16" t="s">
        <v>45</v>
      </c>
      <c r="AK1594" s="16" t="s">
        <v>45</v>
      </c>
      <c r="AL1594" s="10" t="s">
        <v>49</v>
      </c>
      <c r="AM1594" s="10" t="s">
        <v>508</v>
      </c>
      <c r="AN1594" s="10" t="s">
        <v>320</v>
      </c>
    </row>
    <row r="1595" ht="30.0" customHeight="1">
      <c r="A1595" s="9" t="str">
        <f t="shared" si="48"/>
        <v>Inativo</v>
      </c>
      <c r="B1595" s="9" t="str">
        <f t="shared" si="49"/>
        <v>N/I</v>
      </c>
      <c r="C1595" s="9" t="str">
        <f t="shared" si="80"/>
        <v>N/I</v>
      </c>
      <c r="D1595" s="10" t="s">
        <v>5188</v>
      </c>
      <c r="E1595" s="11" t="s">
        <v>5189</v>
      </c>
      <c r="F1595" s="11" t="s">
        <v>5190</v>
      </c>
      <c r="G1595" s="12" t="s">
        <v>448</v>
      </c>
      <c r="H1595" s="34" t="s">
        <v>5191</v>
      </c>
      <c r="I1595" s="12" t="s">
        <v>1503</v>
      </c>
      <c r="J1595" s="10" t="s">
        <v>283</v>
      </c>
      <c r="K1595" s="10" t="s">
        <v>263</v>
      </c>
      <c r="L1595" s="10" t="s">
        <v>4</v>
      </c>
      <c r="M1595" s="22">
        <v>45257.0</v>
      </c>
      <c r="N1595" s="32" t="s">
        <v>5192</v>
      </c>
      <c r="O1595" s="10" t="s">
        <v>5193</v>
      </c>
      <c r="P1595" s="10" t="s">
        <v>5194</v>
      </c>
      <c r="Q1595" s="2"/>
      <c r="R1595" s="10">
        <v>24.0</v>
      </c>
      <c r="S1595" s="14">
        <v>45257.0</v>
      </c>
      <c r="T1595" s="14">
        <v>45988.0</v>
      </c>
      <c r="U1595" s="10">
        <f t="shared" si="128"/>
        <v>-103</v>
      </c>
      <c r="V1595" s="2"/>
      <c r="W1595" s="15"/>
      <c r="X1595" s="15"/>
      <c r="Y1595" s="15"/>
      <c r="Z1595" s="15"/>
      <c r="AA1595" s="1"/>
      <c r="AB1595" s="15"/>
      <c r="AC1595" s="15"/>
      <c r="AD1595" s="15"/>
      <c r="AE1595" s="15"/>
      <c r="AF1595" s="2"/>
      <c r="AG1595" s="16" t="s">
        <v>45</v>
      </c>
      <c r="AH1595" s="12" t="s">
        <v>46</v>
      </c>
      <c r="AI1595" s="10" t="s">
        <v>226</v>
      </c>
      <c r="AJ1595" s="10" t="s">
        <v>390</v>
      </c>
      <c r="AK1595" s="16" t="s">
        <v>45</v>
      </c>
      <c r="AL1595" s="16" t="s">
        <v>45</v>
      </c>
      <c r="AM1595" s="16" t="s">
        <v>45</v>
      </c>
      <c r="AN1595" s="10" t="s">
        <v>320</v>
      </c>
    </row>
    <row r="1596" ht="30.0" customHeight="1">
      <c r="A1596" s="9" t="str">
        <f t="shared" si="48"/>
        <v>Inativo</v>
      </c>
      <c r="B1596" s="9" t="str">
        <f t="shared" si="49"/>
        <v>N/I</v>
      </c>
      <c r="C1596" s="9" t="str">
        <f t="shared" si="80"/>
        <v>N/I</v>
      </c>
      <c r="D1596" s="10" t="s">
        <v>5188</v>
      </c>
      <c r="E1596" s="11" t="s">
        <v>5189</v>
      </c>
      <c r="F1596" s="11" t="s">
        <v>5195</v>
      </c>
      <c r="G1596" s="12" t="s">
        <v>448</v>
      </c>
      <c r="H1596" s="34" t="s">
        <v>5196</v>
      </c>
      <c r="I1596" s="12" t="s">
        <v>541</v>
      </c>
      <c r="J1596" s="10" t="s">
        <v>283</v>
      </c>
      <c r="K1596" s="10" t="s">
        <v>263</v>
      </c>
      <c r="L1596" s="10" t="s">
        <v>4</v>
      </c>
      <c r="M1596" s="22">
        <v>45258.0</v>
      </c>
      <c r="N1596" s="32" t="s">
        <v>5197</v>
      </c>
      <c r="O1596" s="10" t="s">
        <v>5198</v>
      </c>
      <c r="P1596" s="10" t="s">
        <v>5194</v>
      </c>
      <c r="Q1596" s="2"/>
      <c r="R1596" s="10">
        <v>24.0</v>
      </c>
      <c r="S1596" s="14">
        <v>45258.0</v>
      </c>
      <c r="T1596" s="14">
        <v>45989.0</v>
      </c>
      <c r="U1596" s="10">
        <f t="shared" si="128"/>
        <v>-102</v>
      </c>
      <c r="V1596" s="2"/>
      <c r="W1596" s="15"/>
      <c r="X1596" s="15"/>
      <c r="Y1596" s="15"/>
      <c r="Z1596" s="15"/>
      <c r="AA1596" s="1"/>
      <c r="AB1596" s="15"/>
      <c r="AC1596" s="15"/>
      <c r="AD1596" s="15"/>
      <c r="AE1596" s="15"/>
      <c r="AF1596" s="2"/>
      <c r="AG1596" s="16" t="s">
        <v>45</v>
      </c>
      <c r="AH1596" s="12" t="s">
        <v>46</v>
      </c>
      <c r="AI1596" s="10" t="s">
        <v>226</v>
      </c>
      <c r="AJ1596" s="10" t="s">
        <v>390</v>
      </c>
      <c r="AK1596" s="16" t="s">
        <v>45</v>
      </c>
      <c r="AL1596" s="16" t="s">
        <v>45</v>
      </c>
      <c r="AM1596" s="16" t="s">
        <v>45</v>
      </c>
      <c r="AN1596" s="10" t="s">
        <v>320</v>
      </c>
    </row>
    <row r="1597" ht="30.0" customHeight="1">
      <c r="A1597" s="9" t="str">
        <f t="shared" si="48"/>
        <v>Inativo</v>
      </c>
      <c r="B1597" s="9" t="str">
        <f t="shared" si="49"/>
        <v>N/I</v>
      </c>
      <c r="C1597" s="9" t="str">
        <f t="shared" si="80"/>
        <v>N/I</v>
      </c>
      <c r="D1597" s="10" t="s">
        <v>5188</v>
      </c>
      <c r="E1597" s="11" t="s">
        <v>5189</v>
      </c>
      <c r="F1597" s="11" t="s">
        <v>5199</v>
      </c>
      <c r="G1597" s="12" t="s">
        <v>448</v>
      </c>
      <c r="H1597" s="34" t="s">
        <v>5200</v>
      </c>
      <c r="I1597" s="12" t="s">
        <v>596</v>
      </c>
      <c r="J1597" s="10" t="s">
        <v>283</v>
      </c>
      <c r="K1597" s="10" t="s">
        <v>263</v>
      </c>
      <c r="L1597" s="10" t="s">
        <v>4</v>
      </c>
      <c r="M1597" s="22">
        <v>45231.0</v>
      </c>
      <c r="N1597" s="32" t="s">
        <v>5201</v>
      </c>
      <c r="O1597" s="10" t="s">
        <v>5202</v>
      </c>
      <c r="P1597" s="10" t="s">
        <v>5194</v>
      </c>
      <c r="Q1597" s="2"/>
      <c r="R1597" s="10">
        <v>24.0</v>
      </c>
      <c r="S1597" s="14">
        <v>45231.0</v>
      </c>
      <c r="T1597" s="14">
        <v>45962.0</v>
      </c>
      <c r="U1597" s="10">
        <f t="shared" si="128"/>
        <v>-129</v>
      </c>
      <c r="V1597" s="2"/>
      <c r="W1597" s="15"/>
      <c r="X1597" s="15"/>
      <c r="Y1597" s="15"/>
      <c r="Z1597" s="15"/>
      <c r="AA1597" s="1"/>
      <c r="AB1597" s="15"/>
      <c r="AC1597" s="15"/>
      <c r="AD1597" s="15"/>
      <c r="AE1597" s="15"/>
      <c r="AF1597" s="2"/>
      <c r="AG1597" s="16" t="s">
        <v>45</v>
      </c>
      <c r="AH1597" s="12" t="s">
        <v>46</v>
      </c>
      <c r="AI1597" s="10" t="s">
        <v>226</v>
      </c>
      <c r="AJ1597" s="10" t="s">
        <v>390</v>
      </c>
      <c r="AK1597" s="16" t="s">
        <v>45</v>
      </c>
      <c r="AL1597" s="16" t="s">
        <v>45</v>
      </c>
      <c r="AM1597" s="16" t="s">
        <v>45</v>
      </c>
      <c r="AN1597" s="10" t="s">
        <v>320</v>
      </c>
    </row>
    <row r="1598" ht="30.0" customHeight="1">
      <c r="A1598" s="9" t="str">
        <f t="shared" si="48"/>
        <v>Inativo</v>
      </c>
      <c r="B1598" s="9" t="str">
        <f t="shared" si="49"/>
        <v>N/I</v>
      </c>
      <c r="C1598" s="9" t="str">
        <f t="shared" si="80"/>
        <v>N/I</v>
      </c>
      <c r="D1598" s="10" t="s">
        <v>5188</v>
      </c>
      <c r="E1598" s="11" t="s">
        <v>5189</v>
      </c>
      <c r="F1598" s="11" t="s">
        <v>5203</v>
      </c>
      <c r="G1598" s="12" t="s">
        <v>448</v>
      </c>
      <c r="H1598" s="34" t="s">
        <v>5204</v>
      </c>
      <c r="I1598" s="12" t="s">
        <v>1597</v>
      </c>
      <c r="J1598" s="10" t="s">
        <v>283</v>
      </c>
      <c r="K1598" s="10" t="s">
        <v>263</v>
      </c>
      <c r="L1598" s="10" t="s">
        <v>4</v>
      </c>
      <c r="M1598" s="22">
        <v>45259.0</v>
      </c>
      <c r="N1598" s="32" t="s">
        <v>5205</v>
      </c>
      <c r="O1598" s="10" t="s">
        <v>5206</v>
      </c>
      <c r="P1598" s="10" t="s">
        <v>5194</v>
      </c>
      <c r="Q1598" s="2"/>
      <c r="R1598" s="10">
        <v>24.0</v>
      </c>
      <c r="S1598" s="14">
        <v>45259.0</v>
      </c>
      <c r="T1598" s="14">
        <v>45990.0</v>
      </c>
      <c r="U1598" s="10">
        <f t="shared" si="128"/>
        <v>-101</v>
      </c>
      <c r="V1598" s="2"/>
      <c r="W1598" s="15"/>
      <c r="X1598" s="15"/>
      <c r="Y1598" s="15"/>
      <c r="Z1598" s="15"/>
      <c r="AA1598" s="1"/>
      <c r="AB1598" s="15"/>
      <c r="AC1598" s="15"/>
      <c r="AD1598" s="15"/>
      <c r="AE1598" s="15"/>
      <c r="AF1598" s="2"/>
      <c r="AG1598" s="16" t="s">
        <v>45</v>
      </c>
      <c r="AH1598" s="12" t="s">
        <v>46</v>
      </c>
      <c r="AI1598" s="10" t="s">
        <v>226</v>
      </c>
      <c r="AJ1598" s="10" t="s">
        <v>390</v>
      </c>
      <c r="AK1598" s="16" t="s">
        <v>45</v>
      </c>
      <c r="AL1598" s="16" t="s">
        <v>45</v>
      </c>
      <c r="AM1598" s="16" t="s">
        <v>45</v>
      </c>
      <c r="AN1598" s="10" t="s">
        <v>320</v>
      </c>
    </row>
    <row r="1599" ht="30.0" customHeight="1">
      <c r="A1599" s="9" t="str">
        <f t="shared" si="48"/>
        <v>Inativo</v>
      </c>
      <c r="B1599" s="9" t="str">
        <f t="shared" si="49"/>
        <v>N/I</v>
      </c>
      <c r="C1599" s="9" t="str">
        <f t="shared" si="80"/>
        <v>N/I</v>
      </c>
      <c r="D1599" s="10" t="s">
        <v>5188</v>
      </c>
      <c r="E1599" s="11" t="s">
        <v>5189</v>
      </c>
      <c r="F1599" s="11" t="s">
        <v>5207</v>
      </c>
      <c r="G1599" s="12" t="s">
        <v>448</v>
      </c>
      <c r="H1599" s="34" t="s">
        <v>5208</v>
      </c>
      <c r="I1599" s="12" t="s">
        <v>282</v>
      </c>
      <c r="J1599" s="10" t="s">
        <v>283</v>
      </c>
      <c r="K1599" s="10" t="s">
        <v>263</v>
      </c>
      <c r="L1599" s="10" t="s">
        <v>4</v>
      </c>
      <c r="M1599" s="22">
        <v>45271.0</v>
      </c>
      <c r="N1599" s="32" t="s">
        <v>5209</v>
      </c>
      <c r="O1599" s="10" t="s">
        <v>5210</v>
      </c>
      <c r="P1599" s="10" t="s">
        <v>5194</v>
      </c>
      <c r="Q1599" s="2"/>
      <c r="R1599" s="10">
        <v>24.0</v>
      </c>
      <c r="S1599" s="14">
        <v>45271.0</v>
      </c>
      <c r="T1599" s="14">
        <v>46002.0</v>
      </c>
      <c r="U1599" s="10">
        <f t="shared" si="128"/>
        <v>-89</v>
      </c>
      <c r="V1599" s="2"/>
      <c r="W1599" s="15"/>
      <c r="X1599" s="15"/>
      <c r="Y1599" s="15"/>
      <c r="Z1599" s="15"/>
      <c r="AA1599" s="1"/>
      <c r="AB1599" s="15"/>
      <c r="AC1599" s="15"/>
      <c r="AD1599" s="15"/>
      <c r="AE1599" s="15"/>
      <c r="AF1599" s="2"/>
      <c r="AG1599" s="16" t="s">
        <v>45</v>
      </c>
      <c r="AH1599" s="12" t="s">
        <v>46</v>
      </c>
      <c r="AI1599" s="10" t="s">
        <v>226</v>
      </c>
      <c r="AJ1599" s="10" t="s">
        <v>390</v>
      </c>
      <c r="AK1599" s="16" t="s">
        <v>45</v>
      </c>
      <c r="AL1599" s="16" t="s">
        <v>45</v>
      </c>
      <c r="AM1599" s="16" t="s">
        <v>45</v>
      </c>
      <c r="AN1599" s="10" t="s">
        <v>320</v>
      </c>
    </row>
    <row r="1600" ht="30.0" customHeight="1">
      <c r="A1600" s="9" t="str">
        <f t="shared" si="48"/>
        <v>Inativo</v>
      </c>
      <c r="B1600" s="9" t="str">
        <f t="shared" si="49"/>
        <v>N/I</v>
      </c>
      <c r="C1600" s="9" t="str">
        <f t="shared" si="80"/>
        <v>N/I</v>
      </c>
      <c r="D1600" s="10" t="s">
        <v>5188</v>
      </c>
      <c r="E1600" s="11" t="s">
        <v>5189</v>
      </c>
      <c r="F1600" s="11" t="s">
        <v>5211</v>
      </c>
      <c r="G1600" s="12" t="s">
        <v>448</v>
      </c>
      <c r="H1600" s="34" t="s">
        <v>5212</v>
      </c>
      <c r="I1600" s="12" t="s">
        <v>1626</v>
      </c>
      <c r="J1600" s="10" t="s">
        <v>283</v>
      </c>
      <c r="K1600" s="10" t="s">
        <v>263</v>
      </c>
      <c r="L1600" s="10" t="s">
        <v>4</v>
      </c>
      <c r="M1600" s="22">
        <v>45259.0</v>
      </c>
      <c r="N1600" s="32" t="s">
        <v>5213</v>
      </c>
      <c r="O1600" s="10" t="s">
        <v>5214</v>
      </c>
      <c r="P1600" s="10" t="s">
        <v>5194</v>
      </c>
      <c r="Q1600" s="2"/>
      <c r="R1600" s="10">
        <v>24.0</v>
      </c>
      <c r="S1600" s="14">
        <v>45259.0</v>
      </c>
      <c r="T1600" s="14">
        <v>45990.0</v>
      </c>
      <c r="U1600" s="10">
        <f t="shared" si="128"/>
        <v>-101</v>
      </c>
      <c r="V1600" s="2"/>
      <c r="W1600" s="15"/>
      <c r="X1600" s="15"/>
      <c r="Y1600" s="15"/>
      <c r="Z1600" s="15"/>
      <c r="AA1600" s="1"/>
      <c r="AB1600" s="15"/>
      <c r="AC1600" s="15"/>
      <c r="AD1600" s="15"/>
      <c r="AE1600" s="15"/>
      <c r="AF1600" s="2"/>
      <c r="AG1600" s="16" t="s">
        <v>45</v>
      </c>
      <c r="AH1600" s="12" t="s">
        <v>46</v>
      </c>
      <c r="AI1600" s="10" t="s">
        <v>226</v>
      </c>
      <c r="AJ1600" s="10" t="s">
        <v>390</v>
      </c>
      <c r="AK1600" s="16" t="s">
        <v>45</v>
      </c>
      <c r="AL1600" s="16" t="s">
        <v>45</v>
      </c>
      <c r="AM1600" s="16" t="s">
        <v>45</v>
      </c>
      <c r="AN1600" s="10" t="s">
        <v>320</v>
      </c>
    </row>
    <row r="1601" ht="30.0" customHeight="1">
      <c r="A1601" s="9" t="str">
        <f t="shared" si="48"/>
        <v>Inativo</v>
      </c>
      <c r="B1601" s="9" t="str">
        <f t="shared" si="49"/>
        <v>N/I</v>
      </c>
      <c r="C1601" s="9" t="str">
        <f t="shared" si="80"/>
        <v>N/I</v>
      </c>
      <c r="D1601" s="10" t="s">
        <v>5188</v>
      </c>
      <c r="E1601" s="11" t="s">
        <v>5189</v>
      </c>
      <c r="F1601" s="11" t="s">
        <v>2778</v>
      </c>
      <c r="G1601" s="12" t="s">
        <v>448</v>
      </c>
      <c r="H1601" s="34" t="s">
        <v>5215</v>
      </c>
      <c r="I1601" s="12" t="s">
        <v>627</v>
      </c>
      <c r="J1601" s="10" t="s">
        <v>283</v>
      </c>
      <c r="K1601" s="10" t="s">
        <v>263</v>
      </c>
      <c r="L1601" s="10" t="s">
        <v>4</v>
      </c>
      <c r="M1601" s="22">
        <v>45254.0</v>
      </c>
      <c r="N1601" s="32" t="s">
        <v>5216</v>
      </c>
      <c r="O1601" s="10" t="s">
        <v>5217</v>
      </c>
      <c r="P1601" s="10" t="s">
        <v>5194</v>
      </c>
      <c r="Q1601" s="2"/>
      <c r="R1601" s="10">
        <v>24.0</v>
      </c>
      <c r="S1601" s="14">
        <v>45254.0</v>
      </c>
      <c r="T1601" s="14">
        <v>45985.0</v>
      </c>
      <c r="U1601" s="10">
        <f t="shared" si="128"/>
        <v>-106</v>
      </c>
      <c r="V1601" s="2"/>
      <c r="W1601" s="15"/>
      <c r="X1601" s="15"/>
      <c r="Y1601" s="15"/>
      <c r="Z1601" s="15"/>
      <c r="AA1601" s="1"/>
      <c r="AB1601" s="15"/>
      <c r="AC1601" s="15"/>
      <c r="AD1601" s="15"/>
      <c r="AE1601" s="15"/>
      <c r="AF1601" s="2"/>
      <c r="AG1601" s="16" t="s">
        <v>45</v>
      </c>
      <c r="AH1601" s="12" t="s">
        <v>46</v>
      </c>
      <c r="AI1601" s="10" t="s">
        <v>226</v>
      </c>
      <c r="AJ1601" s="10" t="s">
        <v>390</v>
      </c>
      <c r="AK1601" s="16" t="s">
        <v>45</v>
      </c>
      <c r="AL1601" s="16" t="s">
        <v>45</v>
      </c>
      <c r="AM1601" s="16" t="s">
        <v>45</v>
      </c>
      <c r="AN1601" s="10" t="s">
        <v>320</v>
      </c>
    </row>
    <row r="1602" ht="30.0" customHeight="1">
      <c r="A1602" s="9" t="str">
        <f t="shared" si="48"/>
        <v>N/I</v>
      </c>
      <c r="B1602" s="9" t="str">
        <f t="shared" si="49"/>
        <v>Inativo</v>
      </c>
      <c r="C1602" s="9" t="str">
        <f t="shared" si="80"/>
        <v>N/I</v>
      </c>
      <c r="D1602" s="10" t="s">
        <v>5218</v>
      </c>
      <c r="E1602" s="11" t="s">
        <v>5219</v>
      </c>
      <c r="F1602" s="32" t="s">
        <v>398</v>
      </c>
      <c r="G1602" s="12" t="s">
        <v>55</v>
      </c>
      <c r="H1602" s="16">
        <v>100561.0</v>
      </c>
      <c r="I1602" s="12" t="s">
        <v>332</v>
      </c>
      <c r="J1602" s="10" t="s">
        <v>197</v>
      </c>
      <c r="K1602" s="10" t="s">
        <v>40</v>
      </c>
      <c r="L1602" s="10" t="s">
        <v>264</v>
      </c>
      <c r="M1602" s="14">
        <v>42370.0</v>
      </c>
      <c r="N1602" s="11" t="s">
        <v>5220</v>
      </c>
      <c r="O1602" s="10" t="s">
        <v>401</v>
      </c>
      <c r="P1602" s="10" t="s">
        <v>5221</v>
      </c>
      <c r="Q1602" s="2"/>
      <c r="R1602" s="15"/>
      <c r="S1602" s="15"/>
      <c r="T1602" s="15"/>
      <c r="U1602" s="15"/>
      <c r="V1602" s="2"/>
      <c r="W1602" s="10">
        <v>22.0</v>
      </c>
      <c r="X1602" s="14">
        <v>44848.0</v>
      </c>
      <c r="Y1602" s="14">
        <v>45489.0</v>
      </c>
      <c r="Z1602" s="10">
        <f t="shared" ref="Z1602:Z1606" si="129">Y1602-TODAY()</f>
        <v>-602</v>
      </c>
      <c r="AA1602" s="1"/>
      <c r="AB1602" s="15"/>
      <c r="AC1602" s="15"/>
      <c r="AD1602" s="15"/>
      <c r="AE1602" s="15"/>
      <c r="AF1602" s="2"/>
      <c r="AG1602" s="16" t="s">
        <v>45</v>
      </c>
      <c r="AH1602" s="12" t="s">
        <v>46</v>
      </c>
      <c r="AI1602" s="10" t="s">
        <v>227</v>
      </c>
      <c r="AJ1602" s="10" t="s">
        <v>356</v>
      </c>
      <c r="AK1602" s="16" t="s">
        <v>45</v>
      </c>
      <c r="AL1602" s="10" t="s">
        <v>49</v>
      </c>
      <c r="AM1602" s="16" t="s">
        <v>45</v>
      </c>
      <c r="AN1602" s="10" t="s">
        <v>320</v>
      </c>
    </row>
    <row r="1603" ht="30.0" customHeight="1">
      <c r="A1603" s="9" t="str">
        <f t="shared" si="48"/>
        <v>N/I</v>
      </c>
      <c r="B1603" s="9" t="str">
        <f t="shared" si="49"/>
        <v>Inativo</v>
      </c>
      <c r="C1603" s="9" t="str">
        <f t="shared" si="80"/>
        <v>N/I</v>
      </c>
      <c r="D1603" s="10" t="s">
        <v>5218</v>
      </c>
      <c r="E1603" s="11" t="s">
        <v>5219</v>
      </c>
      <c r="F1603" s="32" t="s">
        <v>398</v>
      </c>
      <c r="G1603" s="12" t="s">
        <v>55</v>
      </c>
      <c r="H1603" s="16">
        <v>110102.0</v>
      </c>
      <c r="I1603" s="12" t="s">
        <v>332</v>
      </c>
      <c r="J1603" s="10" t="s">
        <v>197</v>
      </c>
      <c r="K1603" s="10" t="s">
        <v>40</v>
      </c>
      <c r="L1603" s="10" t="s">
        <v>264</v>
      </c>
      <c r="M1603" s="14">
        <v>43416.0</v>
      </c>
      <c r="N1603" s="11" t="s">
        <v>5220</v>
      </c>
      <c r="O1603" s="10" t="s">
        <v>401</v>
      </c>
      <c r="P1603" s="10" t="s">
        <v>5221</v>
      </c>
      <c r="Q1603" s="2"/>
      <c r="R1603" s="15"/>
      <c r="S1603" s="15"/>
      <c r="T1603" s="15"/>
      <c r="U1603" s="15"/>
      <c r="V1603" s="2"/>
      <c r="W1603" s="10">
        <v>22.0</v>
      </c>
      <c r="X1603" s="14">
        <v>44848.0</v>
      </c>
      <c r="Y1603" s="14">
        <v>45489.0</v>
      </c>
      <c r="Z1603" s="10">
        <f t="shared" si="129"/>
        <v>-602</v>
      </c>
      <c r="AA1603" s="1"/>
      <c r="AB1603" s="15"/>
      <c r="AC1603" s="15"/>
      <c r="AD1603" s="15"/>
      <c r="AE1603" s="15"/>
      <c r="AF1603" s="2"/>
      <c r="AG1603" s="16" t="s">
        <v>45</v>
      </c>
      <c r="AH1603" s="12" t="s">
        <v>46</v>
      </c>
      <c r="AI1603" s="10" t="s">
        <v>227</v>
      </c>
      <c r="AJ1603" s="10" t="s">
        <v>356</v>
      </c>
      <c r="AK1603" s="16" t="s">
        <v>45</v>
      </c>
      <c r="AL1603" s="10" t="s">
        <v>49</v>
      </c>
      <c r="AM1603" s="16" t="s">
        <v>45</v>
      </c>
      <c r="AN1603" s="10" t="s">
        <v>320</v>
      </c>
    </row>
    <row r="1604" ht="30.0" customHeight="1">
      <c r="A1604" s="9" t="str">
        <f t="shared" si="48"/>
        <v>N/I</v>
      </c>
      <c r="B1604" s="9" t="str">
        <f t="shared" si="49"/>
        <v>Inativo</v>
      </c>
      <c r="C1604" s="9" t="str">
        <f t="shared" si="80"/>
        <v>N/I</v>
      </c>
      <c r="D1604" s="10" t="s">
        <v>5218</v>
      </c>
      <c r="E1604" s="11" t="s">
        <v>5219</v>
      </c>
      <c r="F1604" s="32" t="s">
        <v>398</v>
      </c>
      <c r="G1604" s="12" t="s">
        <v>55</v>
      </c>
      <c r="H1604" s="16">
        <v>110134.0</v>
      </c>
      <c r="I1604" s="12" t="s">
        <v>332</v>
      </c>
      <c r="J1604" s="10" t="s">
        <v>197</v>
      </c>
      <c r="K1604" s="10" t="s">
        <v>40</v>
      </c>
      <c r="L1604" s="10" t="s">
        <v>264</v>
      </c>
      <c r="M1604" s="14">
        <v>43416.0</v>
      </c>
      <c r="N1604" s="11" t="s">
        <v>5220</v>
      </c>
      <c r="O1604" s="10" t="s">
        <v>401</v>
      </c>
      <c r="P1604" s="10" t="s">
        <v>5221</v>
      </c>
      <c r="Q1604" s="2"/>
      <c r="R1604" s="15"/>
      <c r="S1604" s="15"/>
      <c r="T1604" s="15"/>
      <c r="U1604" s="15"/>
      <c r="V1604" s="2"/>
      <c r="W1604" s="10">
        <v>22.0</v>
      </c>
      <c r="X1604" s="14">
        <v>44848.0</v>
      </c>
      <c r="Y1604" s="14">
        <v>45489.0</v>
      </c>
      <c r="Z1604" s="10">
        <f t="shared" si="129"/>
        <v>-602</v>
      </c>
      <c r="AA1604" s="1"/>
      <c r="AB1604" s="15"/>
      <c r="AC1604" s="15"/>
      <c r="AD1604" s="15"/>
      <c r="AE1604" s="15"/>
      <c r="AF1604" s="2"/>
      <c r="AG1604" s="16" t="s">
        <v>45</v>
      </c>
      <c r="AH1604" s="12" t="s">
        <v>46</v>
      </c>
      <c r="AI1604" s="10" t="s">
        <v>227</v>
      </c>
      <c r="AJ1604" s="10" t="s">
        <v>356</v>
      </c>
      <c r="AK1604" s="16" t="s">
        <v>45</v>
      </c>
      <c r="AL1604" s="10" t="s">
        <v>49</v>
      </c>
      <c r="AM1604" s="16" t="s">
        <v>45</v>
      </c>
      <c r="AN1604" s="10" t="s">
        <v>320</v>
      </c>
    </row>
    <row r="1605" ht="30.0" customHeight="1">
      <c r="A1605" s="9" t="str">
        <f t="shared" si="48"/>
        <v>N/I</v>
      </c>
      <c r="B1605" s="9" t="str">
        <f t="shared" si="49"/>
        <v>Inativo</v>
      </c>
      <c r="C1605" s="9" t="str">
        <f t="shared" si="80"/>
        <v>N/I</v>
      </c>
      <c r="D1605" s="10" t="s">
        <v>5218</v>
      </c>
      <c r="E1605" s="11" t="s">
        <v>5219</v>
      </c>
      <c r="F1605" s="32" t="s">
        <v>398</v>
      </c>
      <c r="G1605" s="12" t="s">
        <v>55</v>
      </c>
      <c r="H1605" s="20" t="s">
        <v>5222</v>
      </c>
      <c r="I1605" s="12" t="s">
        <v>332</v>
      </c>
      <c r="J1605" s="10" t="s">
        <v>197</v>
      </c>
      <c r="K1605" s="10" t="s">
        <v>40</v>
      </c>
      <c r="L1605" s="10" t="s">
        <v>264</v>
      </c>
      <c r="M1605" s="14">
        <v>43466.0</v>
      </c>
      <c r="N1605" s="11" t="s">
        <v>5220</v>
      </c>
      <c r="O1605" s="10" t="s">
        <v>401</v>
      </c>
      <c r="P1605" s="10" t="s">
        <v>5221</v>
      </c>
      <c r="Q1605" s="2"/>
      <c r="R1605" s="15"/>
      <c r="S1605" s="15"/>
      <c r="T1605" s="15"/>
      <c r="U1605" s="15"/>
      <c r="V1605" s="2"/>
      <c r="W1605" s="10">
        <v>22.0</v>
      </c>
      <c r="X1605" s="14">
        <v>44848.0</v>
      </c>
      <c r="Y1605" s="14">
        <v>45489.0</v>
      </c>
      <c r="Z1605" s="10">
        <f t="shared" si="129"/>
        <v>-602</v>
      </c>
      <c r="AA1605" s="1"/>
      <c r="AB1605" s="15"/>
      <c r="AC1605" s="15"/>
      <c r="AD1605" s="15"/>
      <c r="AE1605" s="15"/>
      <c r="AF1605" s="2"/>
      <c r="AG1605" s="16" t="s">
        <v>45</v>
      </c>
      <c r="AH1605" s="12" t="s">
        <v>46</v>
      </c>
      <c r="AI1605" s="10" t="s">
        <v>227</v>
      </c>
      <c r="AJ1605" s="10" t="s">
        <v>356</v>
      </c>
      <c r="AK1605" s="16" t="s">
        <v>45</v>
      </c>
      <c r="AL1605" s="10" t="s">
        <v>49</v>
      </c>
      <c r="AM1605" s="16" t="s">
        <v>45</v>
      </c>
      <c r="AN1605" s="10" t="s">
        <v>320</v>
      </c>
    </row>
    <row r="1606" ht="30.0" customHeight="1">
      <c r="A1606" s="9" t="str">
        <f t="shared" si="48"/>
        <v>N/I</v>
      </c>
      <c r="B1606" s="9" t="str">
        <f t="shared" si="49"/>
        <v>Inativo</v>
      </c>
      <c r="C1606" s="9" t="str">
        <f t="shared" si="80"/>
        <v>N/I</v>
      </c>
      <c r="D1606" s="10" t="s">
        <v>5218</v>
      </c>
      <c r="E1606" s="11" t="s">
        <v>5219</v>
      </c>
      <c r="F1606" s="32" t="s">
        <v>398</v>
      </c>
      <c r="G1606" s="12" t="s">
        <v>55</v>
      </c>
      <c r="H1606" s="16">
        <v>110130.0</v>
      </c>
      <c r="I1606" s="12" t="s">
        <v>332</v>
      </c>
      <c r="J1606" s="10" t="s">
        <v>197</v>
      </c>
      <c r="K1606" s="10" t="s">
        <v>40</v>
      </c>
      <c r="L1606" s="10" t="s">
        <v>264</v>
      </c>
      <c r="M1606" s="14">
        <v>43879.0</v>
      </c>
      <c r="N1606" s="11" t="s">
        <v>5220</v>
      </c>
      <c r="O1606" s="10" t="s">
        <v>401</v>
      </c>
      <c r="P1606" s="10" t="s">
        <v>5221</v>
      </c>
      <c r="Q1606" s="2"/>
      <c r="R1606" s="15"/>
      <c r="S1606" s="15"/>
      <c r="T1606" s="15"/>
      <c r="U1606" s="15"/>
      <c r="V1606" s="2"/>
      <c r="W1606" s="10">
        <v>22.0</v>
      </c>
      <c r="X1606" s="14">
        <v>44848.0</v>
      </c>
      <c r="Y1606" s="14">
        <v>45489.0</v>
      </c>
      <c r="Z1606" s="10">
        <f t="shared" si="129"/>
        <v>-602</v>
      </c>
      <c r="AA1606" s="1"/>
      <c r="AB1606" s="15"/>
      <c r="AC1606" s="15"/>
      <c r="AD1606" s="15"/>
      <c r="AE1606" s="15"/>
      <c r="AF1606" s="2"/>
      <c r="AG1606" s="16" t="s">
        <v>45</v>
      </c>
      <c r="AH1606" s="12" t="s">
        <v>46</v>
      </c>
      <c r="AI1606" s="10" t="s">
        <v>227</v>
      </c>
      <c r="AJ1606" s="10" t="s">
        <v>356</v>
      </c>
      <c r="AK1606" s="16" t="s">
        <v>45</v>
      </c>
      <c r="AL1606" s="10" t="s">
        <v>49</v>
      </c>
      <c r="AM1606" s="16" t="s">
        <v>45</v>
      </c>
      <c r="AN1606" s="10" t="s">
        <v>320</v>
      </c>
    </row>
    <row r="1607" ht="30.0" customHeight="1">
      <c r="A1607" s="9" t="str">
        <f t="shared" si="48"/>
        <v>Inativo</v>
      </c>
      <c r="B1607" s="9" t="str">
        <f t="shared" si="49"/>
        <v>N/I</v>
      </c>
      <c r="C1607" s="9" t="str">
        <f t="shared" si="80"/>
        <v>N/I</v>
      </c>
      <c r="D1607" s="10" t="s">
        <v>5218</v>
      </c>
      <c r="E1607" s="11" t="s">
        <v>5219</v>
      </c>
      <c r="F1607" s="32" t="s">
        <v>398</v>
      </c>
      <c r="G1607" s="12" t="s">
        <v>52</v>
      </c>
      <c r="H1607" s="34" t="s">
        <v>5223</v>
      </c>
      <c r="I1607" s="12" t="s">
        <v>332</v>
      </c>
      <c r="J1607" s="10" t="s">
        <v>197</v>
      </c>
      <c r="K1607" s="10" t="s">
        <v>40</v>
      </c>
      <c r="L1607" s="10" t="s">
        <v>4</v>
      </c>
      <c r="M1607" s="14">
        <v>45259.0</v>
      </c>
      <c r="N1607" s="11" t="s">
        <v>5220</v>
      </c>
      <c r="O1607" s="10" t="s">
        <v>401</v>
      </c>
      <c r="P1607" s="10" t="s">
        <v>5224</v>
      </c>
      <c r="Q1607" s="2"/>
      <c r="R1607" s="10">
        <v>12.0</v>
      </c>
      <c r="S1607" s="14">
        <v>45259.0</v>
      </c>
      <c r="T1607" s="14">
        <v>45624.0</v>
      </c>
      <c r="U1607" s="10">
        <f t="shared" ref="U1607:U1612" si="130">T1607-TODAY()</f>
        <v>-467</v>
      </c>
      <c r="V1607" s="2"/>
      <c r="W1607" s="15"/>
      <c r="X1607" s="15"/>
      <c r="Y1607" s="15"/>
      <c r="Z1607" s="15"/>
      <c r="AA1607" s="1"/>
      <c r="AB1607" s="15"/>
      <c r="AC1607" s="15"/>
      <c r="AD1607" s="15"/>
      <c r="AE1607" s="15"/>
      <c r="AF1607" s="2"/>
      <c r="AG1607" s="16" t="s">
        <v>45</v>
      </c>
      <c r="AH1607" s="16" t="s">
        <v>45</v>
      </c>
      <c r="AI1607" s="16" t="s">
        <v>45</v>
      </c>
      <c r="AJ1607" s="16" t="s">
        <v>45</v>
      </c>
      <c r="AK1607" s="16" t="s">
        <v>45</v>
      </c>
      <c r="AL1607" s="16" t="s">
        <v>45</v>
      </c>
      <c r="AM1607" s="16" t="s">
        <v>45</v>
      </c>
      <c r="AN1607" s="16" t="s">
        <v>45</v>
      </c>
    </row>
    <row r="1608" ht="30.0" customHeight="1">
      <c r="A1608" s="9" t="str">
        <f t="shared" si="48"/>
        <v>Ativo</v>
      </c>
      <c r="B1608" s="9" t="str">
        <f t="shared" si="49"/>
        <v>N/I</v>
      </c>
      <c r="C1608" s="9" t="str">
        <f t="shared" si="80"/>
        <v>N/I</v>
      </c>
      <c r="D1608" s="10" t="s">
        <v>5218</v>
      </c>
      <c r="E1608" s="11" t="s">
        <v>5219</v>
      </c>
      <c r="F1608" s="32" t="s">
        <v>398</v>
      </c>
      <c r="G1608" s="12" t="s">
        <v>52</v>
      </c>
      <c r="H1608" s="34" t="s">
        <v>5225</v>
      </c>
      <c r="I1608" s="12" t="s">
        <v>332</v>
      </c>
      <c r="J1608" s="10" t="s">
        <v>197</v>
      </c>
      <c r="K1608" s="10" t="s">
        <v>40</v>
      </c>
      <c r="L1608" s="10" t="s">
        <v>4</v>
      </c>
      <c r="M1608" s="14">
        <v>45567.0</v>
      </c>
      <c r="N1608" s="11" t="s">
        <v>5226</v>
      </c>
      <c r="O1608" s="10" t="s">
        <v>401</v>
      </c>
      <c r="P1608" s="10" t="s">
        <v>5227</v>
      </c>
      <c r="Q1608" s="2"/>
      <c r="R1608" s="10">
        <v>24.0</v>
      </c>
      <c r="S1608" s="14">
        <v>45567.0</v>
      </c>
      <c r="T1608" s="14">
        <v>46296.0</v>
      </c>
      <c r="U1608" s="10">
        <f t="shared" si="130"/>
        <v>205</v>
      </c>
      <c r="V1608" s="2"/>
      <c r="W1608" s="15"/>
      <c r="X1608" s="15"/>
      <c r="Y1608" s="15"/>
      <c r="Z1608" s="15"/>
      <c r="AA1608" s="1"/>
      <c r="AB1608" s="15"/>
      <c r="AC1608" s="15"/>
      <c r="AD1608" s="15"/>
      <c r="AE1608" s="15"/>
      <c r="AF1608" s="2"/>
      <c r="AG1608" s="16" t="s">
        <v>45</v>
      </c>
      <c r="AH1608" s="16" t="s">
        <v>45</v>
      </c>
      <c r="AI1608" s="16" t="s">
        <v>45</v>
      </c>
      <c r="AJ1608" s="16" t="s">
        <v>45</v>
      </c>
      <c r="AK1608" s="16" t="s">
        <v>45</v>
      </c>
      <c r="AL1608" s="16" t="s">
        <v>45</v>
      </c>
      <c r="AM1608" s="16" t="s">
        <v>45</v>
      </c>
      <c r="AN1608" s="10" t="s">
        <v>320</v>
      </c>
    </row>
    <row r="1609" ht="30.0" customHeight="1">
      <c r="A1609" s="9" t="str">
        <f t="shared" si="48"/>
        <v>Ativo</v>
      </c>
      <c r="B1609" s="9" t="str">
        <f t="shared" si="49"/>
        <v>N/I</v>
      </c>
      <c r="C1609" s="9" t="str">
        <f t="shared" si="80"/>
        <v>N/I</v>
      </c>
      <c r="D1609" s="10" t="s">
        <v>5218</v>
      </c>
      <c r="E1609" s="11" t="s">
        <v>5219</v>
      </c>
      <c r="F1609" s="32" t="s">
        <v>398</v>
      </c>
      <c r="G1609" s="12" t="s">
        <v>52</v>
      </c>
      <c r="H1609" s="34" t="s">
        <v>5228</v>
      </c>
      <c r="I1609" s="12" t="s">
        <v>332</v>
      </c>
      <c r="J1609" s="10" t="s">
        <v>197</v>
      </c>
      <c r="K1609" s="10" t="s">
        <v>40</v>
      </c>
      <c r="L1609" s="10" t="s">
        <v>4</v>
      </c>
      <c r="M1609" s="14">
        <v>45567.0</v>
      </c>
      <c r="N1609" s="11" t="s">
        <v>5226</v>
      </c>
      <c r="O1609" s="10" t="s">
        <v>401</v>
      </c>
      <c r="P1609" s="10" t="s">
        <v>5227</v>
      </c>
      <c r="Q1609" s="2"/>
      <c r="R1609" s="10">
        <v>24.0</v>
      </c>
      <c r="S1609" s="14">
        <v>45567.0</v>
      </c>
      <c r="T1609" s="14">
        <v>46296.0</v>
      </c>
      <c r="U1609" s="10">
        <f t="shared" si="130"/>
        <v>205</v>
      </c>
      <c r="V1609" s="2"/>
      <c r="W1609" s="15"/>
      <c r="X1609" s="15"/>
      <c r="Y1609" s="15"/>
      <c r="Z1609" s="15"/>
      <c r="AA1609" s="1"/>
      <c r="AB1609" s="15"/>
      <c r="AC1609" s="15"/>
      <c r="AD1609" s="15"/>
      <c r="AE1609" s="15"/>
      <c r="AF1609" s="2"/>
      <c r="AG1609" s="16" t="s">
        <v>45</v>
      </c>
      <c r="AH1609" s="16" t="s">
        <v>45</v>
      </c>
      <c r="AI1609" s="16" t="s">
        <v>45</v>
      </c>
      <c r="AJ1609" s="16" t="s">
        <v>45</v>
      </c>
      <c r="AK1609" s="16" t="s">
        <v>45</v>
      </c>
      <c r="AL1609" s="16" t="s">
        <v>45</v>
      </c>
      <c r="AM1609" s="16" t="s">
        <v>45</v>
      </c>
      <c r="AN1609" s="10" t="s">
        <v>320</v>
      </c>
    </row>
    <row r="1610" ht="30.0" customHeight="1">
      <c r="A1610" s="9" t="str">
        <f t="shared" si="48"/>
        <v>Ativo</v>
      </c>
      <c r="B1610" s="9" t="str">
        <f t="shared" si="49"/>
        <v>N/I</v>
      </c>
      <c r="C1610" s="9" t="str">
        <f t="shared" si="80"/>
        <v>N/I</v>
      </c>
      <c r="D1610" s="10" t="s">
        <v>5218</v>
      </c>
      <c r="E1610" s="11" t="s">
        <v>5219</v>
      </c>
      <c r="F1610" s="32" t="s">
        <v>398</v>
      </c>
      <c r="G1610" s="12" t="s">
        <v>52</v>
      </c>
      <c r="H1610" s="27" t="s">
        <v>5229</v>
      </c>
      <c r="I1610" s="12" t="s">
        <v>332</v>
      </c>
      <c r="J1610" s="10" t="s">
        <v>197</v>
      </c>
      <c r="K1610" s="10" t="s">
        <v>40</v>
      </c>
      <c r="L1610" s="10" t="s">
        <v>4</v>
      </c>
      <c r="M1610" s="14">
        <v>45646.0</v>
      </c>
      <c r="N1610" s="11" t="s">
        <v>5226</v>
      </c>
      <c r="O1610" s="10" t="s">
        <v>407</v>
      </c>
      <c r="P1610" s="10" t="s">
        <v>5230</v>
      </c>
      <c r="Q1610" s="2"/>
      <c r="R1610" s="10">
        <v>24.0</v>
      </c>
      <c r="S1610" s="14">
        <v>45646.0</v>
      </c>
      <c r="T1610" s="14">
        <v>46375.0</v>
      </c>
      <c r="U1610" s="10">
        <f t="shared" si="130"/>
        <v>284</v>
      </c>
      <c r="V1610" s="2"/>
      <c r="W1610" s="15"/>
      <c r="X1610" s="15"/>
      <c r="Y1610" s="15"/>
      <c r="Z1610" s="15"/>
      <c r="AA1610" s="1"/>
      <c r="AB1610" s="15"/>
      <c r="AC1610" s="15"/>
      <c r="AD1610" s="15"/>
      <c r="AE1610" s="15"/>
      <c r="AF1610" s="2"/>
      <c r="AG1610" s="16" t="s">
        <v>45</v>
      </c>
      <c r="AH1610" s="16" t="s">
        <v>45</v>
      </c>
      <c r="AI1610" s="16" t="s">
        <v>45</v>
      </c>
      <c r="AJ1610" s="16" t="s">
        <v>45</v>
      </c>
      <c r="AK1610" s="16" t="s">
        <v>45</v>
      </c>
      <c r="AL1610" s="16" t="s">
        <v>45</v>
      </c>
      <c r="AM1610" s="16" t="s">
        <v>45</v>
      </c>
      <c r="AN1610" s="10" t="s">
        <v>50</v>
      </c>
    </row>
    <row r="1611" ht="30.0" customHeight="1">
      <c r="A1611" s="9" t="str">
        <f t="shared" si="48"/>
        <v>Ativo</v>
      </c>
      <c r="B1611" s="9" t="str">
        <f t="shared" si="49"/>
        <v>N/I</v>
      </c>
      <c r="C1611" s="9" t="str">
        <f t="shared" si="80"/>
        <v>N/I</v>
      </c>
      <c r="D1611" s="10" t="s">
        <v>5218</v>
      </c>
      <c r="E1611" s="11" t="s">
        <v>5219</v>
      </c>
      <c r="F1611" s="32" t="s">
        <v>398</v>
      </c>
      <c r="G1611" s="12" t="s">
        <v>52</v>
      </c>
      <c r="H1611" s="27" t="s">
        <v>5231</v>
      </c>
      <c r="I1611" s="12" t="s">
        <v>332</v>
      </c>
      <c r="J1611" s="10" t="s">
        <v>197</v>
      </c>
      <c r="K1611" s="10" t="s">
        <v>40</v>
      </c>
      <c r="L1611" s="10" t="s">
        <v>4</v>
      </c>
      <c r="M1611" s="14">
        <v>45824.0</v>
      </c>
      <c r="N1611" s="11" t="s">
        <v>5226</v>
      </c>
      <c r="O1611" s="10" t="s">
        <v>407</v>
      </c>
      <c r="P1611" s="10" t="s">
        <v>5230</v>
      </c>
      <c r="Q1611" s="2"/>
      <c r="R1611" s="10">
        <v>24.0</v>
      </c>
      <c r="S1611" s="14">
        <v>45824.0</v>
      </c>
      <c r="T1611" s="14">
        <v>46188.0</v>
      </c>
      <c r="U1611" s="10">
        <f t="shared" si="130"/>
        <v>97</v>
      </c>
      <c r="V1611" s="2"/>
      <c r="W1611" s="15"/>
      <c r="X1611" s="15"/>
      <c r="Y1611" s="15"/>
      <c r="Z1611" s="15"/>
      <c r="AA1611" s="1"/>
      <c r="AB1611" s="15"/>
      <c r="AC1611" s="15"/>
      <c r="AD1611" s="15"/>
      <c r="AE1611" s="15"/>
      <c r="AF1611" s="2"/>
      <c r="AG1611" s="16" t="s">
        <v>45</v>
      </c>
      <c r="AH1611" s="16" t="s">
        <v>45</v>
      </c>
      <c r="AI1611" s="16" t="s">
        <v>45</v>
      </c>
      <c r="AJ1611" s="16" t="s">
        <v>45</v>
      </c>
      <c r="AK1611" s="16" t="s">
        <v>45</v>
      </c>
      <c r="AL1611" s="16" t="s">
        <v>45</v>
      </c>
      <c r="AM1611" s="16" t="s">
        <v>45</v>
      </c>
      <c r="AN1611" s="10" t="s">
        <v>50</v>
      </c>
    </row>
    <row r="1612" ht="30.0" customHeight="1">
      <c r="A1612" s="9" t="str">
        <f t="shared" si="48"/>
        <v>Inativo</v>
      </c>
      <c r="B1612" s="9" t="str">
        <f t="shared" si="49"/>
        <v>N/I</v>
      </c>
      <c r="C1612" s="9" t="str">
        <f t="shared" si="80"/>
        <v>N/I</v>
      </c>
      <c r="D1612" s="10" t="s">
        <v>5232</v>
      </c>
      <c r="E1612" s="11" t="s">
        <v>5233</v>
      </c>
      <c r="F1612" s="32"/>
      <c r="G1612" s="12" t="s">
        <v>94</v>
      </c>
      <c r="H1612" s="34" t="s">
        <v>5234</v>
      </c>
      <c r="I1612" s="12" t="s">
        <v>380</v>
      </c>
      <c r="J1612" s="10" t="s">
        <v>197</v>
      </c>
      <c r="K1612" s="10" t="s">
        <v>40</v>
      </c>
      <c r="L1612" s="10" t="s">
        <v>4</v>
      </c>
      <c r="M1612" s="14">
        <v>44991.0</v>
      </c>
      <c r="N1612" s="32" t="s">
        <v>5235</v>
      </c>
      <c r="O1612" s="10" t="s">
        <v>5236</v>
      </c>
      <c r="P1612" s="10" t="s">
        <v>5237</v>
      </c>
      <c r="Q1612" s="2"/>
      <c r="R1612" s="10">
        <v>12.0</v>
      </c>
      <c r="S1612" s="14">
        <v>44991.0</v>
      </c>
      <c r="T1612" s="14">
        <v>45357.0</v>
      </c>
      <c r="U1612" s="10">
        <f t="shared" si="130"/>
        <v>-734</v>
      </c>
      <c r="V1612" s="2"/>
      <c r="W1612" s="15"/>
      <c r="X1612" s="15"/>
      <c r="Y1612" s="15"/>
      <c r="Z1612" s="15"/>
      <c r="AA1612" s="1"/>
      <c r="AB1612" s="15"/>
      <c r="AC1612" s="15"/>
      <c r="AD1612" s="15"/>
      <c r="AE1612" s="15"/>
      <c r="AF1612" s="2"/>
      <c r="AG1612" s="16" t="s">
        <v>45</v>
      </c>
      <c r="AH1612" s="16" t="s">
        <v>45</v>
      </c>
      <c r="AI1612" s="16" t="s">
        <v>45</v>
      </c>
      <c r="AJ1612" s="16" t="s">
        <v>45</v>
      </c>
      <c r="AK1612" s="16" t="s">
        <v>45</v>
      </c>
      <c r="AL1612" s="16" t="s">
        <v>45</v>
      </c>
      <c r="AM1612" s="16" t="s">
        <v>45</v>
      </c>
      <c r="AN1612" s="10" t="s">
        <v>50</v>
      </c>
    </row>
    <row r="1613" ht="30.0" customHeight="1">
      <c r="A1613" s="9" t="str">
        <f t="shared" si="48"/>
        <v>N/I</v>
      </c>
      <c r="B1613" s="9" t="str">
        <f t="shared" si="49"/>
        <v>Inativo</v>
      </c>
      <c r="C1613" s="9" t="str">
        <f t="shared" si="80"/>
        <v>N/I</v>
      </c>
      <c r="D1613" s="10" t="s">
        <v>5238</v>
      </c>
      <c r="E1613" s="11" t="s">
        <v>5239</v>
      </c>
      <c r="F1613" s="32"/>
      <c r="G1613" s="12" t="s">
        <v>94</v>
      </c>
      <c r="H1613" s="16" t="s">
        <v>5240</v>
      </c>
      <c r="I1613" s="12" t="s">
        <v>2729</v>
      </c>
      <c r="J1613" s="10" t="s">
        <v>197</v>
      </c>
      <c r="K1613" s="10" t="s">
        <v>40</v>
      </c>
      <c r="L1613" s="10" t="s">
        <v>264</v>
      </c>
      <c r="M1613" s="14">
        <v>44266.0</v>
      </c>
      <c r="N1613" s="11" t="s">
        <v>5241</v>
      </c>
      <c r="O1613" s="10" t="s">
        <v>5242</v>
      </c>
      <c r="P1613" s="10" t="s">
        <v>5243</v>
      </c>
      <c r="Q1613" s="2"/>
      <c r="R1613" s="15"/>
      <c r="S1613" s="15"/>
      <c r="T1613" s="15"/>
      <c r="U1613" s="15"/>
      <c r="V1613" s="2"/>
      <c r="W1613" s="10">
        <v>24.0</v>
      </c>
      <c r="X1613" s="14">
        <v>45354.0</v>
      </c>
      <c r="Y1613" s="14">
        <v>46084.0</v>
      </c>
      <c r="Z1613" s="10">
        <f>Y1613-TODAY()</f>
        <v>-7</v>
      </c>
      <c r="AA1613" s="1"/>
      <c r="AB1613" s="15"/>
      <c r="AC1613" s="15"/>
      <c r="AD1613" s="15"/>
      <c r="AE1613" s="15"/>
      <c r="AF1613" s="2"/>
      <c r="AG1613" s="10" t="s">
        <v>290</v>
      </c>
      <c r="AH1613" s="12" t="s">
        <v>46</v>
      </c>
      <c r="AI1613" s="10" t="s">
        <v>226</v>
      </c>
      <c r="AJ1613" s="10" t="s">
        <v>227</v>
      </c>
      <c r="AK1613" s="16" t="s">
        <v>45</v>
      </c>
      <c r="AL1613" s="10" t="s">
        <v>49</v>
      </c>
      <c r="AM1613" s="16" t="s">
        <v>45</v>
      </c>
      <c r="AN1613" s="10" t="s">
        <v>50</v>
      </c>
    </row>
    <row r="1614" ht="30.0" customHeight="1">
      <c r="A1614" s="9" t="str">
        <f t="shared" si="48"/>
        <v>N/I</v>
      </c>
      <c r="B1614" s="9" t="str">
        <f t="shared" si="49"/>
        <v>N/I</v>
      </c>
      <c r="C1614" s="9" t="str">
        <f t="shared" si="80"/>
        <v>N/I</v>
      </c>
      <c r="D1614" s="12"/>
      <c r="E1614" s="11" t="s">
        <v>5244</v>
      </c>
      <c r="F1614" s="32" t="s">
        <v>398</v>
      </c>
      <c r="G1614" s="12" t="s">
        <v>52</v>
      </c>
      <c r="H1614" s="25" t="s">
        <v>187</v>
      </c>
      <c r="I1614" s="12" t="s">
        <v>332</v>
      </c>
      <c r="J1614" s="10" t="s">
        <v>197</v>
      </c>
      <c r="K1614" s="10" t="s">
        <v>40</v>
      </c>
      <c r="L1614" s="10" t="s">
        <v>4</v>
      </c>
      <c r="M1614" s="24" t="s">
        <v>193</v>
      </c>
      <c r="N1614" s="11" t="s">
        <v>5245</v>
      </c>
      <c r="O1614" s="10" t="s">
        <v>5246</v>
      </c>
      <c r="P1614" s="10" t="s">
        <v>5247</v>
      </c>
      <c r="Q1614" s="2"/>
      <c r="R1614" s="10"/>
      <c r="S1614" s="49" t="s">
        <v>1489</v>
      </c>
      <c r="T1614" s="49" t="s">
        <v>1489</v>
      </c>
      <c r="U1614" s="10"/>
      <c r="V1614" s="2"/>
      <c r="W1614" s="15"/>
      <c r="X1614" s="15"/>
      <c r="Y1614" s="15"/>
      <c r="Z1614" s="15"/>
      <c r="AA1614" s="1"/>
      <c r="AB1614" s="15"/>
      <c r="AC1614" s="15"/>
      <c r="AD1614" s="15"/>
      <c r="AE1614" s="15"/>
      <c r="AF1614" s="2"/>
      <c r="AG1614" s="10"/>
      <c r="AH1614" s="12" t="s">
        <v>355</v>
      </c>
      <c r="AI1614" s="16" t="s">
        <v>45</v>
      </c>
      <c r="AJ1614" s="10" t="s">
        <v>356</v>
      </c>
      <c r="AK1614" s="16" t="s">
        <v>45</v>
      </c>
      <c r="AL1614" s="10" t="s">
        <v>49</v>
      </c>
      <c r="AM1614" s="16" t="s">
        <v>45</v>
      </c>
      <c r="AN1614" s="10" t="s">
        <v>50</v>
      </c>
    </row>
    <row r="1615" ht="30.0" customHeight="1">
      <c r="A1615" s="9" t="str">
        <f t="shared" si="48"/>
        <v>N/I</v>
      </c>
      <c r="B1615" s="9" t="str">
        <f t="shared" si="49"/>
        <v>N/I</v>
      </c>
      <c r="C1615" s="9" t="str">
        <f t="shared" si="80"/>
        <v>N/I</v>
      </c>
      <c r="D1615" s="12"/>
      <c r="E1615" s="11" t="s">
        <v>5244</v>
      </c>
      <c r="F1615" s="32" t="s">
        <v>398</v>
      </c>
      <c r="G1615" s="12" t="s">
        <v>52</v>
      </c>
      <c r="H1615" s="25" t="s">
        <v>187</v>
      </c>
      <c r="I1615" s="12" t="s">
        <v>332</v>
      </c>
      <c r="J1615" s="10" t="s">
        <v>197</v>
      </c>
      <c r="K1615" s="10" t="s">
        <v>40</v>
      </c>
      <c r="L1615" s="10" t="s">
        <v>4</v>
      </c>
      <c r="M1615" s="24" t="s">
        <v>193</v>
      </c>
      <c r="N1615" s="11" t="s">
        <v>5245</v>
      </c>
      <c r="O1615" s="10" t="s">
        <v>5246</v>
      </c>
      <c r="P1615" s="10" t="s">
        <v>5247</v>
      </c>
      <c r="Q1615" s="2"/>
      <c r="R1615" s="10"/>
      <c r="S1615" s="49" t="s">
        <v>1489</v>
      </c>
      <c r="T1615" s="49" t="s">
        <v>1489</v>
      </c>
      <c r="U1615" s="10"/>
      <c r="V1615" s="2"/>
      <c r="W1615" s="15"/>
      <c r="X1615" s="15"/>
      <c r="Y1615" s="15"/>
      <c r="Z1615" s="15"/>
      <c r="AA1615" s="1"/>
      <c r="AB1615" s="15"/>
      <c r="AC1615" s="15"/>
      <c r="AD1615" s="15"/>
      <c r="AE1615" s="15"/>
      <c r="AF1615" s="2"/>
      <c r="AG1615" s="10"/>
      <c r="AH1615" s="12" t="s">
        <v>355</v>
      </c>
      <c r="AI1615" s="16" t="s">
        <v>45</v>
      </c>
      <c r="AJ1615" s="10" t="s">
        <v>356</v>
      </c>
      <c r="AK1615" s="16" t="s">
        <v>45</v>
      </c>
      <c r="AL1615" s="10" t="s">
        <v>49</v>
      </c>
      <c r="AM1615" s="16" t="s">
        <v>45</v>
      </c>
      <c r="AN1615" s="10" t="s">
        <v>50</v>
      </c>
    </row>
    <row r="1616" ht="30.0" customHeight="1">
      <c r="A1616" s="9" t="str">
        <f t="shared" si="48"/>
        <v>N/I</v>
      </c>
      <c r="B1616" s="9" t="str">
        <f t="shared" si="49"/>
        <v>N/I</v>
      </c>
      <c r="C1616" s="9" t="str">
        <f t="shared" si="80"/>
        <v>N/I</v>
      </c>
      <c r="D1616" s="12"/>
      <c r="E1616" s="11" t="s">
        <v>5244</v>
      </c>
      <c r="F1616" s="32" t="s">
        <v>398</v>
      </c>
      <c r="G1616" s="12" t="s">
        <v>52</v>
      </c>
      <c r="H1616" s="25" t="s">
        <v>187</v>
      </c>
      <c r="I1616" s="12" t="s">
        <v>332</v>
      </c>
      <c r="J1616" s="10" t="s">
        <v>197</v>
      </c>
      <c r="K1616" s="10" t="s">
        <v>40</v>
      </c>
      <c r="L1616" s="10" t="s">
        <v>4</v>
      </c>
      <c r="M1616" s="24" t="s">
        <v>193</v>
      </c>
      <c r="N1616" s="11" t="s">
        <v>5245</v>
      </c>
      <c r="O1616" s="10" t="s">
        <v>5246</v>
      </c>
      <c r="P1616" s="10" t="s">
        <v>5247</v>
      </c>
      <c r="Q1616" s="2"/>
      <c r="R1616" s="10"/>
      <c r="S1616" s="49" t="s">
        <v>1489</v>
      </c>
      <c r="T1616" s="49" t="s">
        <v>1489</v>
      </c>
      <c r="U1616" s="10"/>
      <c r="V1616" s="2"/>
      <c r="W1616" s="15"/>
      <c r="X1616" s="15"/>
      <c r="Y1616" s="15"/>
      <c r="Z1616" s="15"/>
      <c r="AA1616" s="1"/>
      <c r="AB1616" s="15"/>
      <c r="AC1616" s="15"/>
      <c r="AD1616" s="15"/>
      <c r="AE1616" s="15"/>
      <c r="AF1616" s="2"/>
      <c r="AG1616" s="10"/>
      <c r="AH1616" s="12" t="s">
        <v>355</v>
      </c>
      <c r="AI1616" s="16" t="s">
        <v>45</v>
      </c>
      <c r="AJ1616" s="10" t="s">
        <v>356</v>
      </c>
      <c r="AK1616" s="16" t="s">
        <v>45</v>
      </c>
      <c r="AL1616" s="10" t="s">
        <v>49</v>
      </c>
      <c r="AM1616" s="16" t="s">
        <v>45</v>
      </c>
      <c r="AN1616" s="10" t="s">
        <v>50</v>
      </c>
    </row>
    <row r="1617" ht="30.0" customHeight="1">
      <c r="A1617" s="9" t="str">
        <f t="shared" si="48"/>
        <v>N/I</v>
      </c>
      <c r="B1617" s="9" t="str">
        <f t="shared" si="49"/>
        <v>N/I</v>
      </c>
      <c r="C1617" s="9" t="str">
        <f t="shared" si="80"/>
        <v>N/I</v>
      </c>
      <c r="D1617" s="12"/>
      <c r="E1617" s="11" t="s">
        <v>5244</v>
      </c>
      <c r="F1617" s="32" t="s">
        <v>398</v>
      </c>
      <c r="G1617" s="12" t="s">
        <v>52</v>
      </c>
      <c r="H1617" s="25" t="s">
        <v>187</v>
      </c>
      <c r="I1617" s="12" t="s">
        <v>332</v>
      </c>
      <c r="J1617" s="10" t="s">
        <v>197</v>
      </c>
      <c r="K1617" s="10" t="s">
        <v>40</v>
      </c>
      <c r="L1617" s="10" t="s">
        <v>4</v>
      </c>
      <c r="M1617" s="24" t="s">
        <v>193</v>
      </c>
      <c r="N1617" s="11" t="s">
        <v>5245</v>
      </c>
      <c r="O1617" s="10" t="s">
        <v>5246</v>
      </c>
      <c r="P1617" s="10" t="s">
        <v>5247</v>
      </c>
      <c r="Q1617" s="2"/>
      <c r="R1617" s="10"/>
      <c r="S1617" s="49" t="s">
        <v>1489</v>
      </c>
      <c r="T1617" s="49" t="s">
        <v>1489</v>
      </c>
      <c r="U1617" s="10"/>
      <c r="V1617" s="2"/>
      <c r="W1617" s="15"/>
      <c r="X1617" s="15"/>
      <c r="Y1617" s="15"/>
      <c r="Z1617" s="15"/>
      <c r="AA1617" s="1"/>
      <c r="AB1617" s="15"/>
      <c r="AC1617" s="15"/>
      <c r="AD1617" s="15"/>
      <c r="AE1617" s="15"/>
      <c r="AF1617" s="2"/>
      <c r="AG1617" s="10"/>
      <c r="AH1617" s="12" t="s">
        <v>355</v>
      </c>
      <c r="AI1617" s="16" t="s">
        <v>45</v>
      </c>
      <c r="AJ1617" s="10" t="s">
        <v>356</v>
      </c>
      <c r="AK1617" s="16" t="s">
        <v>45</v>
      </c>
      <c r="AL1617" s="10" t="s">
        <v>49</v>
      </c>
      <c r="AM1617" s="16" t="s">
        <v>45</v>
      </c>
      <c r="AN1617" s="10" t="s">
        <v>50</v>
      </c>
    </row>
    <row r="1618" ht="30.0" customHeight="1">
      <c r="A1618" s="9" t="str">
        <f t="shared" si="48"/>
        <v>N/I</v>
      </c>
      <c r="B1618" s="9" t="str">
        <f t="shared" si="49"/>
        <v>N/I</v>
      </c>
      <c r="C1618" s="9" t="str">
        <f t="shared" si="80"/>
        <v>N/I</v>
      </c>
      <c r="D1618" s="12"/>
      <c r="E1618" s="11" t="s">
        <v>5244</v>
      </c>
      <c r="F1618" s="32" t="s">
        <v>398</v>
      </c>
      <c r="G1618" s="12" t="s">
        <v>52</v>
      </c>
      <c r="H1618" s="25" t="s">
        <v>187</v>
      </c>
      <c r="I1618" s="12" t="s">
        <v>332</v>
      </c>
      <c r="J1618" s="10" t="s">
        <v>197</v>
      </c>
      <c r="K1618" s="10" t="s">
        <v>40</v>
      </c>
      <c r="L1618" s="10" t="s">
        <v>4</v>
      </c>
      <c r="M1618" s="24" t="s">
        <v>193</v>
      </c>
      <c r="N1618" s="11" t="s">
        <v>5245</v>
      </c>
      <c r="O1618" s="10" t="s">
        <v>5246</v>
      </c>
      <c r="P1618" s="10" t="s">
        <v>5247</v>
      </c>
      <c r="Q1618" s="2"/>
      <c r="R1618" s="10"/>
      <c r="S1618" s="49" t="s">
        <v>1489</v>
      </c>
      <c r="T1618" s="49" t="s">
        <v>1489</v>
      </c>
      <c r="U1618" s="10"/>
      <c r="V1618" s="2"/>
      <c r="W1618" s="15"/>
      <c r="X1618" s="15"/>
      <c r="Y1618" s="15"/>
      <c r="Z1618" s="15"/>
      <c r="AA1618" s="1"/>
      <c r="AB1618" s="15"/>
      <c r="AC1618" s="15"/>
      <c r="AD1618" s="15"/>
      <c r="AE1618" s="15"/>
      <c r="AF1618" s="2"/>
      <c r="AG1618" s="10"/>
      <c r="AH1618" s="12" t="s">
        <v>355</v>
      </c>
      <c r="AI1618" s="16" t="s">
        <v>45</v>
      </c>
      <c r="AJ1618" s="10" t="s">
        <v>356</v>
      </c>
      <c r="AK1618" s="16" t="s">
        <v>45</v>
      </c>
      <c r="AL1618" s="10" t="s">
        <v>49</v>
      </c>
      <c r="AM1618" s="16" t="s">
        <v>45</v>
      </c>
      <c r="AN1618" s="10" t="s">
        <v>50</v>
      </c>
    </row>
    <row r="1619" ht="30.0" customHeight="1">
      <c r="A1619" s="9" t="str">
        <f t="shared" si="48"/>
        <v>Ativo</v>
      </c>
      <c r="B1619" s="9" t="str">
        <f t="shared" si="49"/>
        <v>N/I</v>
      </c>
      <c r="C1619" s="9" t="str">
        <f t="shared" si="80"/>
        <v>N/I</v>
      </c>
      <c r="D1619" s="10"/>
      <c r="E1619" s="11" t="s">
        <v>5248</v>
      </c>
      <c r="F1619" s="32" t="s">
        <v>5249</v>
      </c>
      <c r="G1619" s="12" t="s">
        <v>94</v>
      </c>
      <c r="H1619" s="27" t="s">
        <v>5250</v>
      </c>
      <c r="I1619" s="12" t="s">
        <v>5251</v>
      </c>
      <c r="J1619" s="10" t="s">
        <v>791</v>
      </c>
      <c r="K1619" s="10" t="s">
        <v>209</v>
      </c>
      <c r="L1619" s="10" t="s">
        <v>4</v>
      </c>
      <c r="M1619" s="14">
        <v>45860.0</v>
      </c>
      <c r="N1619" s="11" t="s">
        <v>5252</v>
      </c>
      <c r="O1619" s="10" t="s">
        <v>5253</v>
      </c>
      <c r="P1619" s="10" t="s">
        <v>5254</v>
      </c>
      <c r="Q1619" s="2"/>
      <c r="R1619" s="10">
        <v>12.0</v>
      </c>
      <c r="S1619" s="14">
        <v>45860.0</v>
      </c>
      <c r="T1619" s="14">
        <v>46225.0</v>
      </c>
      <c r="U1619" s="10">
        <f t="shared" ref="U1619:U1622" si="131">T1619-TODAY()</f>
        <v>134</v>
      </c>
      <c r="V1619" s="2"/>
      <c r="W1619" s="15"/>
      <c r="X1619" s="15"/>
      <c r="Y1619" s="15"/>
      <c r="Z1619" s="15"/>
      <c r="AA1619" s="1"/>
      <c r="AB1619" s="15"/>
      <c r="AC1619" s="15"/>
      <c r="AD1619" s="15"/>
      <c r="AE1619" s="15"/>
      <c r="AF1619" s="2"/>
      <c r="AG1619" s="10" t="s">
        <v>354</v>
      </c>
      <c r="AH1619" s="12" t="s">
        <v>355</v>
      </c>
      <c r="AI1619" s="10" t="s">
        <v>717</v>
      </c>
      <c r="AJ1619" s="10" t="s">
        <v>538</v>
      </c>
      <c r="AK1619" s="16" t="s">
        <v>45</v>
      </c>
      <c r="AL1619" s="10" t="s">
        <v>49</v>
      </c>
      <c r="AM1619" s="16" t="s">
        <v>45</v>
      </c>
      <c r="AN1619" s="10" t="s">
        <v>50</v>
      </c>
    </row>
    <row r="1620" ht="30.0" customHeight="1">
      <c r="A1620" s="9" t="str">
        <f t="shared" si="48"/>
        <v>Ativo</v>
      </c>
      <c r="B1620" s="9" t="str">
        <f t="shared" si="49"/>
        <v>N/I</v>
      </c>
      <c r="C1620" s="9" t="str">
        <f t="shared" si="80"/>
        <v>N/I</v>
      </c>
      <c r="D1620" s="10"/>
      <c r="E1620" s="11" t="s">
        <v>5248</v>
      </c>
      <c r="F1620" s="32" t="s">
        <v>5249</v>
      </c>
      <c r="G1620" s="12" t="s">
        <v>58</v>
      </c>
      <c r="H1620" s="27">
        <v>57078.0</v>
      </c>
      <c r="I1620" s="12" t="s">
        <v>5251</v>
      </c>
      <c r="J1620" s="10" t="s">
        <v>791</v>
      </c>
      <c r="K1620" s="10" t="s">
        <v>209</v>
      </c>
      <c r="L1620" s="10" t="s">
        <v>4</v>
      </c>
      <c r="M1620" s="14">
        <v>45860.0</v>
      </c>
      <c r="N1620" s="11" t="s">
        <v>5252</v>
      </c>
      <c r="O1620" s="10" t="s">
        <v>5253</v>
      </c>
      <c r="P1620" s="10" t="s">
        <v>5254</v>
      </c>
      <c r="Q1620" s="2"/>
      <c r="R1620" s="10">
        <v>12.0</v>
      </c>
      <c r="S1620" s="14">
        <v>45860.0</v>
      </c>
      <c r="T1620" s="14">
        <v>46225.0</v>
      </c>
      <c r="U1620" s="10">
        <f t="shared" si="131"/>
        <v>134</v>
      </c>
      <c r="V1620" s="2"/>
      <c r="W1620" s="15"/>
      <c r="X1620" s="15"/>
      <c r="Y1620" s="15"/>
      <c r="Z1620" s="15"/>
      <c r="AA1620" s="1"/>
      <c r="AB1620" s="15"/>
      <c r="AC1620" s="15"/>
      <c r="AD1620" s="15"/>
      <c r="AE1620" s="15"/>
      <c r="AF1620" s="2"/>
      <c r="AG1620" s="10" t="s">
        <v>354</v>
      </c>
      <c r="AH1620" s="12" t="s">
        <v>355</v>
      </c>
      <c r="AI1620" s="10" t="s">
        <v>717</v>
      </c>
      <c r="AJ1620" s="10" t="s">
        <v>538</v>
      </c>
      <c r="AK1620" s="16" t="s">
        <v>45</v>
      </c>
      <c r="AL1620" s="10" t="s">
        <v>49</v>
      </c>
      <c r="AM1620" s="16" t="s">
        <v>45</v>
      </c>
      <c r="AN1620" s="10" t="s">
        <v>50</v>
      </c>
    </row>
    <row r="1621" ht="30.0" customHeight="1">
      <c r="A1621" s="9" t="str">
        <f t="shared" si="48"/>
        <v>Ativo</v>
      </c>
      <c r="B1621" s="9" t="str">
        <f t="shared" si="49"/>
        <v>N/I</v>
      </c>
      <c r="C1621" s="9" t="str">
        <f t="shared" si="80"/>
        <v>N/I</v>
      </c>
      <c r="D1621" s="10"/>
      <c r="E1621" s="11" t="s">
        <v>5255</v>
      </c>
      <c r="F1621" s="11" t="s">
        <v>363</v>
      </c>
      <c r="G1621" s="12" t="s">
        <v>79</v>
      </c>
      <c r="H1621" s="19" t="s">
        <v>5256</v>
      </c>
      <c r="I1621" s="12" t="s">
        <v>365</v>
      </c>
      <c r="J1621" s="10" t="s">
        <v>216</v>
      </c>
      <c r="K1621" s="10" t="s">
        <v>40</v>
      </c>
      <c r="L1621" s="10" t="s">
        <v>4</v>
      </c>
      <c r="M1621" s="14">
        <v>45390.0</v>
      </c>
      <c r="N1621" s="11" t="s">
        <v>5257</v>
      </c>
      <c r="O1621" s="10" t="s">
        <v>5258</v>
      </c>
      <c r="P1621" s="10" t="s">
        <v>5259</v>
      </c>
      <c r="Q1621" s="2"/>
      <c r="R1621" s="10">
        <v>24.0</v>
      </c>
      <c r="S1621" s="14">
        <v>45390.0</v>
      </c>
      <c r="T1621" s="14">
        <v>46119.0</v>
      </c>
      <c r="U1621" s="10">
        <f t="shared" si="131"/>
        <v>28</v>
      </c>
      <c r="V1621" s="2"/>
      <c r="W1621" s="15"/>
      <c r="X1621" s="15"/>
      <c r="Y1621" s="15"/>
      <c r="Z1621" s="15"/>
      <c r="AA1621" s="1"/>
      <c r="AB1621" s="15"/>
      <c r="AC1621" s="15"/>
      <c r="AD1621" s="15"/>
      <c r="AE1621" s="15"/>
      <c r="AF1621" s="2"/>
      <c r="AG1621" s="16" t="s">
        <v>45</v>
      </c>
      <c r="AH1621" s="12" t="s">
        <v>46</v>
      </c>
      <c r="AI1621" s="10" t="s">
        <v>226</v>
      </c>
      <c r="AJ1621" s="10" t="s">
        <v>387</v>
      </c>
      <c r="AK1621" s="16" t="s">
        <v>45</v>
      </c>
      <c r="AL1621" s="10" t="s">
        <v>49</v>
      </c>
      <c r="AM1621" s="10" t="s">
        <v>5260</v>
      </c>
      <c r="AN1621" s="10" t="s">
        <v>320</v>
      </c>
    </row>
    <row r="1622" ht="30.0" customHeight="1">
      <c r="A1622" s="9" t="str">
        <f t="shared" si="48"/>
        <v>Ativo</v>
      </c>
      <c r="B1622" s="9" t="str">
        <f t="shared" si="49"/>
        <v>N/I</v>
      </c>
      <c r="C1622" s="9" t="str">
        <f t="shared" si="80"/>
        <v>N/I</v>
      </c>
      <c r="D1622" s="10"/>
      <c r="E1622" s="11" t="s">
        <v>5255</v>
      </c>
      <c r="F1622" s="11" t="s">
        <v>363</v>
      </c>
      <c r="G1622" s="12" t="s">
        <v>79</v>
      </c>
      <c r="H1622" s="19" t="s">
        <v>5261</v>
      </c>
      <c r="I1622" s="12" t="s">
        <v>365</v>
      </c>
      <c r="J1622" s="10" t="s">
        <v>216</v>
      </c>
      <c r="K1622" s="10" t="s">
        <v>40</v>
      </c>
      <c r="L1622" s="10" t="s">
        <v>4</v>
      </c>
      <c r="M1622" s="14">
        <v>45390.0</v>
      </c>
      <c r="N1622" s="11" t="s">
        <v>5257</v>
      </c>
      <c r="O1622" s="10" t="s">
        <v>5258</v>
      </c>
      <c r="P1622" s="10" t="s">
        <v>5259</v>
      </c>
      <c r="Q1622" s="2"/>
      <c r="R1622" s="10">
        <v>24.0</v>
      </c>
      <c r="S1622" s="14">
        <v>45390.0</v>
      </c>
      <c r="T1622" s="14">
        <v>46119.0</v>
      </c>
      <c r="U1622" s="10">
        <f t="shared" si="131"/>
        <v>28</v>
      </c>
      <c r="V1622" s="2"/>
      <c r="W1622" s="15"/>
      <c r="X1622" s="15"/>
      <c r="Y1622" s="15"/>
      <c r="Z1622" s="15"/>
      <c r="AA1622" s="1"/>
      <c r="AB1622" s="15"/>
      <c r="AC1622" s="15"/>
      <c r="AD1622" s="15"/>
      <c r="AE1622" s="15"/>
      <c r="AF1622" s="2"/>
      <c r="AG1622" s="16" t="s">
        <v>45</v>
      </c>
      <c r="AH1622" s="12" t="s">
        <v>46</v>
      </c>
      <c r="AI1622" s="10" t="s">
        <v>226</v>
      </c>
      <c r="AJ1622" s="10" t="s">
        <v>387</v>
      </c>
      <c r="AK1622" s="16" t="s">
        <v>45</v>
      </c>
      <c r="AL1622" s="10" t="s">
        <v>49</v>
      </c>
      <c r="AM1622" s="10" t="s">
        <v>5260</v>
      </c>
      <c r="AN1622" s="10" t="s">
        <v>320</v>
      </c>
    </row>
    <row r="1623" ht="30.0" customHeight="1">
      <c r="A1623" s="9" t="str">
        <f t="shared" si="48"/>
        <v>N/I</v>
      </c>
      <c r="B1623" s="9" t="str">
        <f t="shared" si="49"/>
        <v>N/I</v>
      </c>
      <c r="C1623" s="9" t="str">
        <f t="shared" si="80"/>
        <v>Ativo</v>
      </c>
      <c r="D1623" s="10"/>
      <c r="E1623" s="11" t="s">
        <v>5262</v>
      </c>
      <c r="F1623" s="32" t="s">
        <v>5263</v>
      </c>
      <c r="G1623" s="12" t="s">
        <v>68</v>
      </c>
      <c r="H1623" s="42" t="s">
        <v>5264</v>
      </c>
      <c r="I1623" s="12" t="s">
        <v>365</v>
      </c>
      <c r="J1623" s="10" t="s">
        <v>216</v>
      </c>
      <c r="K1623" s="10" t="s">
        <v>40</v>
      </c>
      <c r="L1623" s="10" t="s">
        <v>6</v>
      </c>
      <c r="M1623" s="14">
        <v>45680.0</v>
      </c>
      <c r="N1623" s="11" t="s">
        <v>5265</v>
      </c>
      <c r="O1623" s="10" t="s">
        <v>5266</v>
      </c>
      <c r="P1623" s="10" t="s">
        <v>5267</v>
      </c>
      <c r="Q1623" s="2"/>
      <c r="R1623" s="15"/>
      <c r="S1623" s="15"/>
      <c r="T1623" s="15"/>
      <c r="U1623" s="15"/>
      <c r="V1623" s="1"/>
      <c r="W1623" s="15"/>
      <c r="X1623" s="15"/>
      <c r="Y1623" s="15"/>
      <c r="Z1623" s="15"/>
      <c r="AA1623" s="1"/>
      <c r="AB1623" s="10">
        <v>36.0</v>
      </c>
      <c r="AC1623" s="14">
        <v>45680.0</v>
      </c>
      <c r="AD1623" s="14">
        <v>46775.0</v>
      </c>
      <c r="AE1623" s="10">
        <f>AD1623-TODAY()</f>
        <v>684</v>
      </c>
      <c r="AF1623" s="2"/>
      <c r="AG1623" s="10" t="s">
        <v>354</v>
      </c>
      <c r="AH1623" s="12" t="s">
        <v>355</v>
      </c>
      <c r="AI1623" s="10" t="s">
        <v>717</v>
      </c>
      <c r="AJ1623" s="10" t="s">
        <v>227</v>
      </c>
      <c r="AK1623" s="16" t="s">
        <v>45</v>
      </c>
      <c r="AL1623" s="16" t="s">
        <v>45</v>
      </c>
      <c r="AM1623" s="16" t="s">
        <v>45</v>
      </c>
      <c r="AN1623" s="10" t="s">
        <v>50</v>
      </c>
    </row>
    <row r="1624" ht="30.0" customHeight="1">
      <c r="A1624" s="9" t="str">
        <f t="shared" si="48"/>
        <v>Inativo</v>
      </c>
      <c r="B1624" s="9" t="str">
        <f t="shared" si="49"/>
        <v>N/I</v>
      </c>
      <c r="C1624" s="9" t="str">
        <f t="shared" si="80"/>
        <v>N/I</v>
      </c>
      <c r="D1624" s="10"/>
      <c r="E1624" s="11" t="s">
        <v>5268</v>
      </c>
      <c r="F1624" s="11" t="s">
        <v>5269</v>
      </c>
      <c r="G1624" s="12" t="s">
        <v>711</v>
      </c>
      <c r="H1624" s="23" t="s">
        <v>5270</v>
      </c>
      <c r="I1624" s="12" t="s">
        <v>5271</v>
      </c>
      <c r="J1624" s="10" t="s">
        <v>262</v>
      </c>
      <c r="K1624" s="10" t="s">
        <v>263</v>
      </c>
      <c r="L1624" s="10" t="s">
        <v>4</v>
      </c>
      <c r="M1624" s="14">
        <v>44719.0</v>
      </c>
      <c r="N1624" s="11" t="s">
        <v>5272</v>
      </c>
      <c r="O1624" s="10" t="s">
        <v>5273</v>
      </c>
      <c r="P1624" s="10" t="s">
        <v>5274</v>
      </c>
      <c r="Q1624" s="2"/>
      <c r="R1624" s="10">
        <v>12.0</v>
      </c>
      <c r="S1624" s="14">
        <v>44719.0</v>
      </c>
      <c r="T1624" s="14">
        <v>45084.0</v>
      </c>
      <c r="U1624" s="10">
        <f>T1624-TODAY()</f>
        <v>-1007</v>
      </c>
      <c r="V1624" s="2"/>
      <c r="W1624" s="15"/>
      <c r="X1624" s="15"/>
      <c r="Y1624" s="15"/>
      <c r="Z1624" s="15"/>
      <c r="AA1624" s="1"/>
      <c r="AB1624" s="15"/>
      <c r="AC1624" s="15"/>
      <c r="AD1624" s="15"/>
      <c r="AE1624" s="15"/>
      <c r="AF1624" s="2"/>
      <c r="AG1624" s="16" t="s">
        <v>45</v>
      </c>
      <c r="AH1624" s="10" t="s">
        <v>318</v>
      </c>
      <c r="AI1624" s="10" t="s">
        <v>319</v>
      </c>
      <c r="AJ1624" s="16" t="s">
        <v>45</v>
      </c>
      <c r="AK1624" s="16" t="s">
        <v>45</v>
      </c>
      <c r="AL1624" s="10" t="s">
        <v>49</v>
      </c>
      <c r="AM1624" s="16" t="s">
        <v>45</v>
      </c>
      <c r="AN1624" s="16" t="s">
        <v>45</v>
      </c>
    </row>
    <row r="1625" ht="30.0" customHeight="1">
      <c r="A1625" s="9" t="str">
        <f t="shared" si="48"/>
        <v>N/I</v>
      </c>
      <c r="B1625" s="9" t="str">
        <f t="shared" si="49"/>
        <v>Inativo</v>
      </c>
      <c r="C1625" s="9" t="str">
        <f t="shared" si="80"/>
        <v>N/I</v>
      </c>
      <c r="D1625" s="10"/>
      <c r="E1625" s="11" t="s">
        <v>5275</v>
      </c>
      <c r="F1625" s="32" t="s">
        <v>5276</v>
      </c>
      <c r="G1625" s="12" t="s">
        <v>94</v>
      </c>
      <c r="H1625" s="20" t="s">
        <v>5277</v>
      </c>
      <c r="I1625" s="12" t="s">
        <v>2456</v>
      </c>
      <c r="J1625" s="10" t="s">
        <v>216</v>
      </c>
      <c r="K1625" s="10" t="s">
        <v>40</v>
      </c>
      <c r="L1625" s="10" t="s">
        <v>264</v>
      </c>
      <c r="M1625" s="14">
        <v>42580.0</v>
      </c>
      <c r="N1625" s="32" t="s">
        <v>5278</v>
      </c>
      <c r="O1625" s="10" t="s">
        <v>5279</v>
      </c>
      <c r="P1625" s="10" t="s">
        <v>5280</v>
      </c>
      <c r="Q1625" s="2"/>
      <c r="R1625" s="15"/>
      <c r="S1625" s="15"/>
      <c r="T1625" s="15"/>
      <c r="U1625" s="15"/>
      <c r="V1625" s="2"/>
      <c r="W1625" s="10">
        <v>12.0</v>
      </c>
      <c r="X1625" s="14">
        <v>44870.0</v>
      </c>
      <c r="Y1625" s="14">
        <v>45235.0</v>
      </c>
      <c r="Z1625" s="10">
        <f t="shared" ref="Z1625:Z1626" si="132">Y1625-TODAY()</f>
        <v>-856</v>
      </c>
      <c r="AA1625" s="1"/>
      <c r="AB1625" s="15"/>
      <c r="AC1625" s="15"/>
      <c r="AD1625" s="15"/>
      <c r="AE1625" s="15"/>
      <c r="AF1625" s="2"/>
      <c r="AG1625" s="10" t="s">
        <v>290</v>
      </c>
      <c r="AH1625" s="12" t="s">
        <v>46</v>
      </c>
      <c r="AI1625" s="10" t="s">
        <v>441</v>
      </c>
      <c r="AJ1625" s="10" t="s">
        <v>442</v>
      </c>
      <c r="AK1625" s="16" t="s">
        <v>45</v>
      </c>
      <c r="AL1625" s="10" t="s">
        <v>49</v>
      </c>
      <c r="AM1625" s="10" t="s">
        <v>2893</v>
      </c>
      <c r="AN1625" s="10" t="s">
        <v>50</v>
      </c>
    </row>
    <row r="1626" ht="30.0" customHeight="1">
      <c r="A1626" s="9" t="str">
        <f t="shared" si="48"/>
        <v>N/I</v>
      </c>
      <c r="B1626" s="9" t="str">
        <f t="shared" si="49"/>
        <v>Ativo</v>
      </c>
      <c r="C1626" s="9" t="str">
        <f t="shared" si="80"/>
        <v>N/I</v>
      </c>
      <c r="D1626" s="10"/>
      <c r="E1626" s="11" t="s">
        <v>5281</v>
      </c>
      <c r="F1626" s="32" t="s">
        <v>5282</v>
      </c>
      <c r="G1626" s="12" t="s">
        <v>94</v>
      </c>
      <c r="H1626" s="20" t="s">
        <v>5283</v>
      </c>
      <c r="I1626" s="12" t="s">
        <v>1557</v>
      </c>
      <c r="J1626" s="10" t="s">
        <v>283</v>
      </c>
      <c r="K1626" s="10" t="s">
        <v>263</v>
      </c>
      <c r="L1626" s="10" t="s">
        <v>264</v>
      </c>
      <c r="M1626" s="14">
        <v>43718.0</v>
      </c>
      <c r="N1626" s="32" t="s">
        <v>5284</v>
      </c>
      <c r="O1626" s="10" t="s">
        <v>5285</v>
      </c>
      <c r="P1626" s="10" t="s">
        <v>5286</v>
      </c>
      <c r="Q1626" s="2"/>
      <c r="R1626" s="15"/>
      <c r="S1626" s="15"/>
      <c r="T1626" s="15"/>
      <c r="U1626" s="15"/>
      <c r="V1626" s="2"/>
      <c r="W1626" s="10">
        <v>12.0</v>
      </c>
      <c r="X1626" s="14">
        <v>45766.0</v>
      </c>
      <c r="Y1626" s="14">
        <v>46131.0</v>
      </c>
      <c r="Z1626" s="10">
        <f t="shared" si="132"/>
        <v>40</v>
      </c>
      <c r="AA1626" s="1"/>
      <c r="AB1626" s="15"/>
      <c r="AC1626" s="15"/>
      <c r="AD1626" s="15"/>
      <c r="AE1626" s="15"/>
      <c r="AF1626" s="2"/>
      <c r="AG1626" s="10" t="s">
        <v>290</v>
      </c>
      <c r="AH1626" s="12" t="s">
        <v>46</v>
      </c>
      <c r="AI1626" s="10" t="s">
        <v>441</v>
      </c>
      <c r="AJ1626" s="10" t="s">
        <v>442</v>
      </c>
      <c r="AK1626" s="16" t="s">
        <v>45</v>
      </c>
      <c r="AL1626" s="10" t="s">
        <v>49</v>
      </c>
      <c r="AM1626" s="16" t="s">
        <v>45</v>
      </c>
      <c r="AN1626" s="10" t="s">
        <v>50</v>
      </c>
    </row>
    <row r="1627" ht="30.0" customHeight="1">
      <c r="A1627" s="9" t="str">
        <f t="shared" si="48"/>
        <v>Ativo</v>
      </c>
      <c r="B1627" s="9" t="str">
        <f t="shared" si="49"/>
        <v>N/I</v>
      </c>
      <c r="C1627" s="9" t="str">
        <f t="shared" si="80"/>
        <v>N/I</v>
      </c>
      <c r="D1627" s="10"/>
      <c r="E1627" s="11" t="s">
        <v>5287</v>
      </c>
      <c r="F1627" s="32"/>
      <c r="G1627" s="12" t="s">
        <v>94</v>
      </c>
      <c r="H1627" s="42" t="s">
        <v>5288</v>
      </c>
      <c r="I1627" s="12" t="s">
        <v>5289</v>
      </c>
      <c r="J1627" s="10" t="s">
        <v>197</v>
      </c>
      <c r="K1627" s="10" t="s">
        <v>40</v>
      </c>
      <c r="L1627" s="10" t="s">
        <v>4</v>
      </c>
      <c r="M1627" s="14">
        <v>45635.0</v>
      </c>
      <c r="N1627" s="11" t="s">
        <v>5290</v>
      </c>
      <c r="O1627" s="10" t="s">
        <v>5291</v>
      </c>
      <c r="P1627" s="10" t="s">
        <v>5292</v>
      </c>
      <c r="Q1627" s="2"/>
      <c r="R1627" s="10">
        <v>36.0</v>
      </c>
      <c r="S1627" s="14">
        <v>45635.0</v>
      </c>
      <c r="T1627" s="14">
        <v>46730.0</v>
      </c>
      <c r="U1627" s="10">
        <f t="shared" ref="U1627:U1631" si="133">T1627-TODAY()</f>
        <v>639</v>
      </c>
      <c r="V1627" s="2"/>
      <c r="W1627" s="15"/>
      <c r="X1627" s="15"/>
      <c r="Y1627" s="15"/>
      <c r="Z1627" s="15"/>
      <c r="AA1627" s="1"/>
      <c r="AB1627" s="15"/>
      <c r="AC1627" s="15"/>
      <c r="AD1627" s="15"/>
      <c r="AE1627" s="15"/>
      <c r="AF1627" s="2"/>
      <c r="AG1627" s="10" t="s">
        <v>354</v>
      </c>
      <c r="AH1627" s="10" t="s">
        <v>318</v>
      </c>
      <c r="AI1627" s="10" t="s">
        <v>319</v>
      </c>
      <c r="AJ1627" s="10" t="s">
        <v>291</v>
      </c>
      <c r="AK1627" s="10" t="s">
        <v>2893</v>
      </c>
      <c r="AL1627" s="10" t="s">
        <v>49</v>
      </c>
      <c r="AM1627" s="16" t="s">
        <v>45</v>
      </c>
      <c r="AN1627" s="10" t="s">
        <v>50</v>
      </c>
    </row>
    <row r="1628" ht="30.0" customHeight="1">
      <c r="A1628" s="9" t="str">
        <f t="shared" si="48"/>
        <v>Ativo</v>
      </c>
      <c r="B1628" s="9" t="str">
        <f t="shared" si="49"/>
        <v>N/I</v>
      </c>
      <c r="C1628" s="9" t="str">
        <f t="shared" si="80"/>
        <v>N/I</v>
      </c>
      <c r="D1628" s="10"/>
      <c r="E1628" s="11" t="s">
        <v>5287</v>
      </c>
      <c r="F1628" s="32" t="s">
        <v>5293</v>
      </c>
      <c r="G1628" s="12" t="s">
        <v>94</v>
      </c>
      <c r="H1628" s="42" t="s">
        <v>5294</v>
      </c>
      <c r="I1628" s="12" t="s">
        <v>5289</v>
      </c>
      <c r="J1628" s="10" t="s">
        <v>197</v>
      </c>
      <c r="K1628" s="10" t="s">
        <v>40</v>
      </c>
      <c r="L1628" s="10" t="s">
        <v>4</v>
      </c>
      <c r="M1628" s="14">
        <v>45636.0</v>
      </c>
      <c r="N1628" s="11" t="s">
        <v>5290</v>
      </c>
      <c r="O1628" s="10" t="s">
        <v>5291</v>
      </c>
      <c r="P1628" s="10" t="s">
        <v>5292</v>
      </c>
      <c r="Q1628" s="2"/>
      <c r="R1628" s="10">
        <v>36.0</v>
      </c>
      <c r="S1628" s="14">
        <v>45636.0</v>
      </c>
      <c r="T1628" s="14">
        <v>46731.0</v>
      </c>
      <c r="U1628" s="10">
        <f t="shared" si="133"/>
        <v>640</v>
      </c>
      <c r="V1628" s="2"/>
      <c r="W1628" s="15"/>
      <c r="X1628" s="15"/>
      <c r="Y1628" s="15"/>
      <c r="Z1628" s="15"/>
      <c r="AA1628" s="1"/>
      <c r="AB1628" s="15"/>
      <c r="AC1628" s="15"/>
      <c r="AD1628" s="15"/>
      <c r="AE1628" s="15"/>
      <c r="AF1628" s="2"/>
      <c r="AG1628" s="10" t="s">
        <v>354</v>
      </c>
      <c r="AH1628" s="10" t="s">
        <v>318</v>
      </c>
      <c r="AI1628" s="10" t="s">
        <v>319</v>
      </c>
      <c r="AJ1628" s="10" t="s">
        <v>291</v>
      </c>
      <c r="AK1628" s="10" t="s">
        <v>2893</v>
      </c>
      <c r="AL1628" s="10" t="s">
        <v>49</v>
      </c>
      <c r="AM1628" s="16" t="s">
        <v>45</v>
      </c>
      <c r="AN1628" s="10" t="s">
        <v>50</v>
      </c>
    </row>
    <row r="1629" ht="30.0" customHeight="1">
      <c r="A1629" s="9" t="str">
        <f t="shared" si="48"/>
        <v>Inativo</v>
      </c>
      <c r="B1629" s="9" t="str">
        <f t="shared" si="49"/>
        <v>N/I</v>
      </c>
      <c r="C1629" s="9" t="str">
        <f t="shared" si="80"/>
        <v>N/I</v>
      </c>
      <c r="D1629" s="10"/>
      <c r="E1629" s="11" t="s">
        <v>5295</v>
      </c>
      <c r="F1629" s="11" t="s">
        <v>5296</v>
      </c>
      <c r="G1629" s="12" t="s">
        <v>79</v>
      </c>
      <c r="H1629" s="23">
        <v>180057.0</v>
      </c>
      <c r="I1629" s="12" t="s">
        <v>324</v>
      </c>
      <c r="J1629" s="10" t="s">
        <v>197</v>
      </c>
      <c r="K1629" s="10" t="s">
        <v>40</v>
      </c>
      <c r="L1629" s="10" t="s">
        <v>4</v>
      </c>
      <c r="M1629" s="14">
        <v>43822.0</v>
      </c>
      <c r="N1629" s="11" t="s">
        <v>2664</v>
      </c>
      <c r="O1629" s="10" t="s">
        <v>2282</v>
      </c>
      <c r="P1629" s="10" t="s">
        <v>5297</v>
      </c>
      <c r="Q1629" s="2"/>
      <c r="R1629" s="10">
        <v>12.0</v>
      </c>
      <c r="S1629" s="14">
        <v>43822.0</v>
      </c>
      <c r="T1629" s="14">
        <v>44188.0</v>
      </c>
      <c r="U1629" s="10">
        <f t="shared" si="133"/>
        <v>-1903</v>
      </c>
      <c r="V1629" s="2"/>
      <c r="W1629" s="15"/>
      <c r="X1629" s="15"/>
      <c r="Y1629" s="15"/>
      <c r="Z1629" s="15"/>
      <c r="AA1629" s="1"/>
      <c r="AB1629" s="15"/>
      <c r="AC1629" s="15"/>
      <c r="AD1629" s="15"/>
      <c r="AE1629" s="15"/>
      <c r="AF1629" s="2"/>
      <c r="AG1629" s="16" t="s">
        <v>45</v>
      </c>
      <c r="AH1629" s="10" t="s">
        <v>318</v>
      </c>
      <c r="AI1629" s="10" t="s">
        <v>319</v>
      </c>
      <c r="AJ1629" s="10" t="s">
        <v>291</v>
      </c>
      <c r="AK1629" s="16" t="s">
        <v>45</v>
      </c>
      <c r="AL1629" s="10" t="s">
        <v>49</v>
      </c>
      <c r="AM1629" s="16" t="s">
        <v>45</v>
      </c>
      <c r="AN1629" s="16" t="s">
        <v>45</v>
      </c>
    </row>
    <row r="1630" ht="30.0" customHeight="1">
      <c r="A1630" s="9" t="str">
        <f t="shared" si="48"/>
        <v>Inativo</v>
      </c>
      <c r="B1630" s="9" t="str">
        <f t="shared" si="49"/>
        <v>N/I</v>
      </c>
      <c r="C1630" s="9" t="str">
        <f t="shared" si="80"/>
        <v>N/I</v>
      </c>
      <c r="D1630" s="10"/>
      <c r="E1630" s="11" t="s">
        <v>5295</v>
      </c>
      <c r="F1630" s="11" t="s">
        <v>5296</v>
      </c>
      <c r="G1630" s="12" t="s">
        <v>79</v>
      </c>
      <c r="H1630" s="23">
        <v>180060.0</v>
      </c>
      <c r="I1630" s="12" t="s">
        <v>324</v>
      </c>
      <c r="J1630" s="10" t="s">
        <v>197</v>
      </c>
      <c r="K1630" s="10" t="s">
        <v>40</v>
      </c>
      <c r="L1630" s="10" t="s">
        <v>4</v>
      </c>
      <c r="M1630" s="14">
        <v>43822.0</v>
      </c>
      <c r="N1630" s="11" t="s">
        <v>2664</v>
      </c>
      <c r="O1630" s="10" t="s">
        <v>2282</v>
      </c>
      <c r="P1630" s="10" t="s">
        <v>5297</v>
      </c>
      <c r="Q1630" s="2"/>
      <c r="R1630" s="10">
        <v>12.0</v>
      </c>
      <c r="S1630" s="14">
        <v>43822.0</v>
      </c>
      <c r="T1630" s="14">
        <v>44188.0</v>
      </c>
      <c r="U1630" s="10">
        <f t="shared" si="133"/>
        <v>-1903</v>
      </c>
      <c r="V1630" s="2"/>
      <c r="W1630" s="15"/>
      <c r="X1630" s="15"/>
      <c r="Y1630" s="15"/>
      <c r="Z1630" s="15"/>
      <c r="AA1630" s="1"/>
      <c r="AB1630" s="15"/>
      <c r="AC1630" s="15"/>
      <c r="AD1630" s="15"/>
      <c r="AE1630" s="15"/>
      <c r="AF1630" s="2"/>
      <c r="AG1630" s="16" t="s">
        <v>45</v>
      </c>
      <c r="AH1630" s="10" t="s">
        <v>318</v>
      </c>
      <c r="AI1630" s="10" t="s">
        <v>319</v>
      </c>
      <c r="AJ1630" s="10" t="s">
        <v>291</v>
      </c>
      <c r="AK1630" s="16" t="s">
        <v>45</v>
      </c>
      <c r="AL1630" s="10" t="s">
        <v>49</v>
      </c>
      <c r="AM1630" s="16" t="s">
        <v>45</v>
      </c>
      <c r="AN1630" s="16" t="s">
        <v>45</v>
      </c>
    </row>
    <row r="1631" ht="30.0" customHeight="1">
      <c r="A1631" s="9" t="str">
        <f t="shared" si="48"/>
        <v>Inativo</v>
      </c>
      <c r="B1631" s="9" t="str">
        <f t="shared" si="49"/>
        <v>N/I</v>
      </c>
      <c r="C1631" s="9" t="str">
        <f t="shared" si="80"/>
        <v>N/I</v>
      </c>
      <c r="D1631" s="10"/>
      <c r="E1631" s="11" t="s">
        <v>5295</v>
      </c>
      <c r="F1631" s="11" t="s">
        <v>5296</v>
      </c>
      <c r="G1631" s="12" t="s">
        <v>79</v>
      </c>
      <c r="H1631" s="23">
        <v>180076.0</v>
      </c>
      <c r="I1631" s="12" t="s">
        <v>324</v>
      </c>
      <c r="J1631" s="10" t="s">
        <v>197</v>
      </c>
      <c r="K1631" s="10" t="s">
        <v>40</v>
      </c>
      <c r="L1631" s="10" t="s">
        <v>4</v>
      </c>
      <c r="M1631" s="14">
        <v>43822.0</v>
      </c>
      <c r="N1631" s="11" t="s">
        <v>2664</v>
      </c>
      <c r="O1631" s="10" t="s">
        <v>2282</v>
      </c>
      <c r="P1631" s="10" t="s">
        <v>5297</v>
      </c>
      <c r="Q1631" s="2"/>
      <c r="R1631" s="10">
        <v>12.0</v>
      </c>
      <c r="S1631" s="14">
        <v>43822.0</v>
      </c>
      <c r="T1631" s="14">
        <v>44188.0</v>
      </c>
      <c r="U1631" s="10">
        <f t="shared" si="133"/>
        <v>-1903</v>
      </c>
      <c r="V1631" s="2"/>
      <c r="W1631" s="15"/>
      <c r="X1631" s="15"/>
      <c r="Y1631" s="15"/>
      <c r="Z1631" s="15"/>
      <c r="AA1631" s="1"/>
      <c r="AB1631" s="15"/>
      <c r="AC1631" s="15"/>
      <c r="AD1631" s="15"/>
      <c r="AE1631" s="15"/>
      <c r="AF1631" s="2"/>
      <c r="AG1631" s="16" t="s">
        <v>45</v>
      </c>
      <c r="AH1631" s="10" t="s">
        <v>318</v>
      </c>
      <c r="AI1631" s="10" t="s">
        <v>319</v>
      </c>
      <c r="AJ1631" s="10" t="s">
        <v>291</v>
      </c>
      <c r="AK1631" s="16" t="s">
        <v>45</v>
      </c>
      <c r="AL1631" s="10" t="s">
        <v>49</v>
      </c>
      <c r="AM1631" s="16" t="s">
        <v>45</v>
      </c>
      <c r="AN1631" s="16" t="s">
        <v>45</v>
      </c>
    </row>
    <row r="1632" ht="30.0" customHeight="1">
      <c r="A1632" s="9" t="str">
        <f t="shared" si="48"/>
        <v>N/I</v>
      </c>
      <c r="B1632" s="9" t="str">
        <f t="shared" si="49"/>
        <v>N/I</v>
      </c>
      <c r="C1632" s="9" t="str">
        <f t="shared" si="80"/>
        <v>Inativo</v>
      </c>
      <c r="D1632" s="10"/>
      <c r="E1632" s="11" t="s">
        <v>5295</v>
      </c>
      <c r="F1632" s="11" t="s">
        <v>5296</v>
      </c>
      <c r="G1632" s="12" t="s">
        <v>52</v>
      </c>
      <c r="H1632" s="23" t="s">
        <v>5298</v>
      </c>
      <c r="I1632" s="12" t="s">
        <v>324</v>
      </c>
      <c r="J1632" s="10" t="s">
        <v>197</v>
      </c>
      <c r="K1632" s="10" t="s">
        <v>40</v>
      </c>
      <c r="L1632" s="10" t="s">
        <v>6</v>
      </c>
      <c r="M1632" s="14">
        <v>43930.0</v>
      </c>
      <c r="N1632" s="11" t="s">
        <v>5299</v>
      </c>
      <c r="O1632" s="10" t="s">
        <v>2282</v>
      </c>
      <c r="P1632" s="10" t="s">
        <v>5300</v>
      </c>
      <c r="Q1632" s="2"/>
      <c r="R1632" s="15"/>
      <c r="S1632" s="15"/>
      <c r="T1632" s="15"/>
      <c r="U1632" s="15"/>
      <c r="V1632" s="2"/>
      <c r="W1632" s="15"/>
      <c r="X1632" s="15"/>
      <c r="Y1632" s="15"/>
      <c r="Z1632" s="15"/>
      <c r="AA1632" s="1"/>
      <c r="AB1632" s="10">
        <v>60.0</v>
      </c>
      <c r="AC1632" s="14">
        <v>43930.0</v>
      </c>
      <c r="AD1632" s="14">
        <v>45756.0</v>
      </c>
      <c r="AE1632" s="10">
        <f t="shared" ref="AE1632:AE1633" si="134">AD1632-TODAY()</f>
        <v>-335</v>
      </c>
      <c r="AF1632" s="2"/>
      <c r="AG1632" s="10" t="s">
        <v>680</v>
      </c>
      <c r="AH1632" s="12" t="s">
        <v>355</v>
      </c>
      <c r="AI1632" s="10" t="s">
        <v>227</v>
      </c>
      <c r="AJ1632" s="10" t="s">
        <v>48</v>
      </c>
      <c r="AK1632" s="16" t="s">
        <v>45</v>
      </c>
      <c r="AL1632" s="10" t="s">
        <v>49</v>
      </c>
      <c r="AM1632" s="10" t="s">
        <v>5301</v>
      </c>
      <c r="AN1632" s="10" t="s">
        <v>50</v>
      </c>
    </row>
    <row r="1633" ht="30.0" customHeight="1">
      <c r="A1633" s="9" t="str">
        <f t="shared" si="48"/>
        <v>N/I</v>
      </c>
      <c r="B1633" s="9" t="str">
        <f t="shared" si="49"/>
        <v>N/I</v>
      </c>
      <c r="C1633" s="9" t="str">
        <f t="shared" si="80"/>
        <v>Inativo</v>
      </c>
      <c r="D1633" s="10"/>
      <c r="E1633" s="11" t="s">
        <v>5295</v>
      </c>
      <c r="F1633" s="11" t="s">
        <v>5296</v>
      </c>
      <c r="G1633" s="12" t="s">
        <v>52</v>
      </c>
      <c r="H1633" s="23" t="s">
        <v>5302</v>
      </c>
      <c r="I1633" s="12" t="s">
        <v>324</v>
      </c>
      <c r="J1633" s="10" t="s">
        <v>197</v>
      </c>
      <c r="K1633" s="10" t="s">
        <v>40</v>
      </c>
      <c r="L1633" s="10" t="s">
        <v>6</v>
      </c>
      <c r="M1633" s="14">
        <v>43930.0</v>
      </c>
      <c r="N1633" s="11" t="s">
        <v>5299</v>
      </c>
      <c r="O1633" s="10" t="s">
        <v>2282</v>
      </c>
      <c r="P1633" s="10" t="s">
        <v>5300</v>
      </c>
      <c r="Q1633" s="2"/>
      <c r="R1633" s="15"/>
      <c r="S1633" s="15"/>
      <c r="T1633" s="15"/>
      <c r="U1633" s="15"/>
      <c r="V1633" s="2"/>
      <c r="W1633" s="15"/>
      <c r="X1633" s="15"/>
      <c r="Y1633" s="15"/>
      <c r="Z1633" s="15"/>
      <c r="AA1633" s="1"/>
      <c r="AB1633" s="10">
        <v>60.0</v>
      </c>
      <c r="AC1633" s="14">
        <v>43930.0</v>
      </c>
      <c r="AD1633" s="14">
        <v>45756.0</v>
      </c>
      <c r="AE1633" s="10">
        <f t="shared" si="134"/>
        <v>-335</v>
      </c>
      <c r="AF1633" s="2"/>
      <c r="AG1633" s="10" t="s">
        <v>680</v>
      </c>
      <c r="AH1633" s="12" t="s">
        <v>355</v>
      </c>
      <c r="AI1633" s="10" t="s">
        <v>227</v>
      </c>
      <c r="AJ1633" s="10" t="s">
        <v>48</v>
      </c>
      <c r="AK1633" s="16" t="s">
        <v>45</v>
      </c>
      <c r="AL1633" s="10" t="s">
        <v>49</v>
      </c>
      <c r="AM1633" s="10" t="s">
        <v>5301</v>
      </c>
      <c r="AN1633" s="10" t="s">
        <v>50</v>
      </c>
    </row>
    <row r="1634" ht="30.0" customHeight="1">
      <c r="A1634" s="9" t="str">
        <f t="shared" si="48"/>
        <v>Inativo</v>
      </c>
      <c r="B1634" s="9" t="str">
        <f t="shared" si="49"/>
        <v>N/I</v>
      </c>
      <c r="C1634" s="9" t="str">
        <f t="shared" si="80"/>
        <v>N/I</v>
      </c>
      <c r="D1634" s="10"/>
      <c r="E1634" s="11" t="s">
        <v>5295</v>
      </c>
      <c r="F1634" s="11" t="s">
        <v>5296</v>
      </c>
      <c r="G1634" s="12" t="s">
        <v>52</v>
      </c>
      <c r="H1634" s="19" t="s">
        <v>5303</v>
      </c>
      <c r="I1634" s="12" t="s">
        <v>324</v>
      </c>
      <c r="J1634" s="10" t="s">
        <v>197</v>
      </c>
      <c r="K1634" s="10" t="s">
        <v>40</v>
      </c>
      <c r="L1634" s="10" t="s">
        <v>4</v>
      </c>
      <c r="M1634" s="14">
        <v>45418.0</v>
      </c>
      <c r="N1634" s="11" t="s">
        <v>5299</v>
      </c>
      <c r="O1634" s="10" t="s">
        <v>2282</v>
      </c>
      <c r="P1634" s="10" t="s">
        <v>5304</v>
      </c>
      <c r="Q1634" s="2"/>
      <c r="R1634" s="10">
        <v>12.0</v>
      </c>
      <c r="S1634" s="14">
        <v>45418.0</v>
      </c>
      <c r="T1634" s="14">
        <v>45783.0</v>
      </c>
      <c r="U1634" s="10">
        <f t="shared" ref="U1634:U1637" si="135">T1634-TODAY()</f>
        <v>-308</v>
      </c>
      <c r="V1634" s="2"/>
      <c r="W1634" s="15"/>
      <c r="X1634" s="15"/>
      <c r="Y1634" s="15"/>
      <c r="Z1634" s="15"/>
      <c r="AA1634" s="1"/>
      <c r="AB1634" s="15"/>
      <c r="AC1634" s="15"/>
      <c r="AD1634" s="15"/>
      <c r="AE1634" s="15"/>
      <c r="AF1634" s="2"/>
      <c r="AG1634" s="10" t="s">
        <v>290</v>
      </c>
      <c r="AH1634" s="12" t="s">
        <v>46</v>
      </c>
      <c r="AI1634" s="10" t="s">
        <v>227</v>
      </c>
      <c r="AJ1634" s="12" t="s">
        <v>5305</v>
      </c>
      <c r="AK1634" s="10" t="s">
        <v>2893</v>
      </c>
      <c r="AL1634" s="10" t="s">
        <v>49</v>
      </c>
      <c r="AM1634" s="16" t="s">
        <v>45</v>
      </c>
      <c r="AN1634" s="10" t="s">
        <v>50</v>
      </c>
    </row>
    <row r="1635" ht="30.0" customHeight="1">
      <c r="A1635" s="9" t="str">
        <f t="shared" si="48"/>
        <v>Inativo</v>
      </c>
      <c r="B1635" s="9" t="str">
        <f t="shared" si="49"/>
        <v>N/I</v>
      </c>
      <c r="C1635" s="9" t="str">
        <f t="shared" si="80"/>
        <v>N/I</v>
      </c>
      <c r="D1635" s="10"/>
      <c r="E1635" s="11" t="s">
        <v>5295</v>
      </c>
      <c r="F1635" s="11" t="s">
        <v>5296</v>
      </c>
      <c r="G1635" s="12" t="s">
        <v>52</v>
      </c>
      <c r="H1635" s="19" t="s">
        <v>5306</v>
      </c>
      <c r="I1635" s="12" t="s">
        <v>324</v>
      </c>
      <c r="J1635" s="10" t="s">
        <v>197</v>
      </c>
      <c r="K1635" s="10" t="s">
        <v>40</v>
      </c>
      <c r="L1635" s="10" t="s">
        <v>4</v>
      </c>
      <c r="M1635" s="14">
        <v>45429.0</v>
      </c>
      <c r="N1635" s="11" t="s">
        <v>5299</v>
      </c>
      <c r="O1635" s="10" t="s">
        <v>2282</v>
      </c>
      <c r="P1635" s="10" t="s">
        <v>5304</v>
      </c>
      <c r="Q1635" s="2"/>
      <c r="R1635" s="10">
        <v>12.0</v>
      </c>
      <c r="S1635" s="14">
        <v>45429.0</v>
      </c>
      <c r="T1635" s="14">
        <v>45794.0</v>
      </c>
      <c r="U1635" s="10">
        <f t="shared" si="135"/>
        <v>-297</v>
      </c>
      <c r="V1635" s="2"/>
      <c r="W1635" s="15"/>
      <c r="X1635" s="15"/>
      <c r="Y1635" s="15"/>
      <c r="Z1635" s="15"/>
      <c r="AA1635" s="1"/>
      <c r="AB1635" s="15"/>
      <c r="AC1635" s="15"/>
      <c r="AD1635" s="15"/>
      <c r="AE1635" s="15"/>
      <c r="AF1635" s="2"/>
      <c r="AG1635" s="10" t="s">
        <v>290</v>
      </c>
      <c r="AH1635" s="12" t="s">
        <v>46</v>
      </c>
      <c r="AI1635" s="10" t="s">
        <v>227</v>
      </c>
      <c r="AJ1635" s="12" t="s">
        <v>5305</v>
      </c>
      <c r="AK1635" s="10" t="s">
        <v>2893</v>
      </c>
      <c r="AL1635" s="10" t="s">
        <v>49</v>
      </c>
      <c r="AM1635" s="16" t="s">
        <v>45</v>
      </c>
      <c r="AN1635" s="10" t="s">
        <v>50</v>
      </c>
    </row>
    <row r="1636" ht="30.0" customHeight="1">
      <c r="A1636" s="9" t="str">
        <f t="shared" si="48"/>
        <v>Inativo</v>
      </c>
      <c r="B1636" s="9" t="str">
        <f t="shared" si="49"/>
        <v>N/I</v>
      </c>
      <c r="C1636" s="9" t="str">
        <f t="shared" si="80"/>
        <v>N/I</v>
      </c>
      <c r="D1636" s="10"/>
      <c r="E1636" s="11" t="s">
        <v>5295</v>
      </c>
      <c r="F1636" s="11" t="s">
        <v>5296</v>
      </c>
      <c r="G1636" s="12" t="s">
        <v>52</v>
      </c>
      <c r="H1636" s="19" t="s">
        <v>5307</v>
      </c>
      <c r="I1636" s="12" t="s">
        <v>324</v>
      </c>
      <c r="J1636" s="10" t="s">
        <v>197</v>
      </c>
      <c r="K1636" s="10" t="s">
        <v>40</v>
      </c>
      <c r="L1636" s="10" t="s">
        <v>4</v>
      </c>
      <c r="M1636" s="14">
        <v>45439.0</v>
      </c>
      <c r="N1636" s="11" t="s">
        <v>5299</v>
      </c>
      <c r="O1636" s="10" t="s">
        <v>2282</v>
      </c>
      <c r="P1636" s="10" t="s">
        <v>5304</v>
      </c>
      <c r="Q1636" s="2"/>
      <c r="R1636" s="10">
        <v>12.0</v>
      </c>
      <c r="S1636" s="14">
        <v>45439.0</v>
      </c>
      <c r="T1636" s="14">
        <v>45804.0</v>
      </c>
      <c r="U1636" s="10">
        <f t="shared" si="135"/>
        <v>-287</v>
      </c>
      <c r="V1636" s="2"/>
      <c r="W1636" s="15"/>
      <c r="X1636" s="15"/>
      <c r="Y1636" s="15"/>
      <c r="Z1636" s="15"/>
      <c r="AA1636" s="1"/>
      <c r="AB1636" s="15"/>
      <c r="AC1636" s="15"/>
      <c r="AD1636" s="15"/>
      <c r="AE1636" s="15"/>
      <c r="AF1636" s="2"/>
      <c r="AG1636" s="10" t="s">
        <v>290</v>
      </c>
      <c r="AH1636" s="12" t="s">
        <v>46</v>
      </c>
      <c r="AI1636" s="10" t="s">
        <v>227</v>
      </c>
      <c r="AJ1636" s="12" t="s">
        <v>5305</v>
      </c>
      <c r="AK1636" s="10" t="s">
        <v>2893</v>
      </c>
      <c r="AL1636" s="10" t="s">
        <v>49</v>
      </c>
      <c r="AM1636" s="16" t="s">
        <v>45</v>
      </c>
      <c r="AN1636" s="10" t="s">
        <v>50</v>
      </c>
    </row>
    <row r="1637" ht="30.0" customHeight="1">
      <c r="A1637" s="9" t="str">
        <f t="shared" si="48"/>
        <v>Inativo</v>
      </c>
      <c r="B1637" s="9" t="str">
        <f t="shared" si="49"/>
        <v>N/I</v>
      </c>
      <c r="C1637" s="9" t="str">
        <f t="shared" si="80"/>
        <v>N/I</v>
      </c>
      <c r="D1637" s="10"/>
      <c r="E1637" s="11" t="s">
        <v>5295</v>
      </c>
      <c r="F1637" s="11" t="s">
        <v>5296</v>
      </c>
      <c r="G1637" s="12" t="s">
        <v>52</v>
      </c>
      <c r="H1637" s="19" t="s">
        <v>5308</v>
      </c>
      <c r="I1637" s="12" t="s">
        <v>324</v>
      </c>
      <c r="J1637" s="10" t="s">
        <v>197</v>
      </c>
      <c r="K1637" s="10" t="s">
        <v>40</v>
      </c>
      <c r="L1637" s="10" t="s">
        <v>4</v>
      </c>
      <c r="M1637" s="14">
        <v>45439.0</v>
      </c>
      <c r="N1637" s="11" t="s">
        <v>5299</v>
      </c>
      <c r="O1637" s="10" t="s">
        <v>2282</v>
      </c>
      <c r="P1637" s="10" t="s">
        <v>5304</v>
      </c>
      <c r="Q1637" s="2"/>
      <c r="R1637" s="10">
        <v>12.0</v>
      </c>
      <c r="S1637" s="14">
        <v>45439.0</v>
      </c>
      <c r="T1637" s="14">
        <v>45804.0</v>
      </c>
      <c r="U1637" s="10">
        <f t="shared" si="135"/>
        <v>-287</v>
      </c>
      <c r="V1637" s="2"/>
      <c r="W1637" s="15"/>
      <c r="X1637" s="15"/>
      <c r="Y1637" s="15"/>
      <c r="Z1637" s="15"/>
      <c r="AA1637" s="1"/>
      <c r="AB1637" s="15"/>
      <c r="AC1637" s="15"/>
      <c r="AD1637" s="15"/>
      <c r="AE1637" s="15"/>
      <c r="AF1637" s="2"/>
      <c r="AG1637" s="10" t="s">
        <v>290</v>
      </c>
      <c r="AH1637" s="12" t="s">
        <v>46</v>
      </c>
      <c r="AI1637" s="10" t="s">
        <v>227</v>
      </c>
      <c r="AJ1637" s="12" t="s">
        <v>5305</v>
      </c>
      <c r="AK1637" s="10" t="s">
        <v>2893</v>
      </c>
      <c r="AL1637" s="10" t="s">
        <v>49</v>
      </c>
      <c r="AM1637" s="16" t="s">
        <v>45</v>
      </c>
      <c r="AN1637" s="10" t="s">
        <v>50</v>
      </c>
    </row>
    <row r="1638" ht="30.0" customHeight="1">
      <c r="A1638" s="9" t="str">
        <f t="shared" si="48"/>
        <v>N/I</v>
      </c>
      <c r="B1638" s="9" t="str">
        <f t="shared" si="49"/>
        <v>N/I</v>
      </c>
      <c r="C1638" s="9" t="str">
        <f t="shared" si="80"/>
        <v>Ativo</v>
      </c>
      <c r="D1638" s="10"/>
      <c r="E1638" s="11" t="s">
        <v>5295</v>
      </c>
      <c r="F1638" s="11" t="s">
        <v>5296</v>
      </c>
      <c r="G1638" s="12" t="s">
        <v>167</v>
      </c>
      <c r="H1638" s="27" t="s">
        <v>5309</v>
      </c>
      <c r="I1638" s="12" t="s">
        <v>324</v>
      </c>
      <c r="J1638" s="10" t="s">
        <v>197</v>
      </c>
      <c r="K1638" s="10" t="s">
        <v>40</v>
      </c>
      <c r="L1638" s="10" t="s">
        <v>6</v>
      </c>
      <c r="M1638" s="14">
        <v>45707.0</v>
      </c>
      <c r="N1638" s="11" t="s">
        <v>5299</v>
      </c>
      <c r="O1638" s="10" t="s">
        <v>2282</v>
      </c>
      <c r="P1638" s="10" t="s">
        <v>5310</v>
      </c>
      <c r="Q1638" s="2"/>
      <c r="R1638" s="15"/>
      <c r="S1638" s="15"/>
      <c r="T1638" s="15"/>
      <c r="U1638" s="15"/>
      <c r="V1638" s="2"/>
      <c r="W1638" s="15"/>
      <c r="X1638" s="15"/>
      <c r="Y1638" s="15"/>
      <c r="Z1638" s="15"/>
      <c r="AA1638" s="1"/>
      <c r="AB1638" s="10">
        <v>80.0</v>
      </c>
      <c r="AC1638" s="14">
        <v>45439.0</v>
      </c>
      <c r="AD1638" s="14">
        <v>48139.0</v>
      </c>
      <c r="AE1638" s="10">
        <f t="shared" ref="AE1638:AE1640" si="136">AD1638-TODAY()</f>
        <v>2048</v>
      </c>
      <c r="AF1638" s="2"/>
      <c r="AG1638" s="10" t="s">
        <v>290</v>
      </c>
      <c r="AH1638" s="12" t="s">
        <v>46</v>
      </c>
      <c r="AI1638" s="10" t="s">
        <v>227</v>
      </c>
      <c r="AJ1638" s="12" t="s">
        <v>5305</v>
      </c>
      <c r="AK1638" s="10" t="s">
        <v>2893</v>
      </c>
      <c r="AL1638" s="10" t="s">
        <v>49</v>
      </c>
      <c r="AM1638" s="16" t="s">
        <v>45</v>
      </c>
      <c r="AN1638" s="10" t="s">
        <v>50</v>
      </c>
    </row>
    <row r="1639" ht="30.0" customHeight="1">
      <c r="A1639" s="9" t="str">
        <f t="shared" si="48"/>
        <v>N/I</v>
      </c>
      <c r="B1639" s="9" t="str">
        <f t="shared" si="49"/>
        <v>N/I</v>
      </c>
      <c r="C1639" s="9" t="str">
        <f t="shared" si="80"/>
        <v>Ativo</v>
      </c>
      <c r="D1639" s="10"/>
      <c r="E1639" s="11" t="s">
        <v>5295</v>
      </c>
      <c r="F1639" s="11" t="s">
        <v>5296</v>
      </c>
      <c r="G1639" s="12" t="s">
        <v>167</v>
      </c>
      <c r="H1639" s="27" t="s">
        <v>5311</v>
      </c>
      <c r="I1639" s="12" t="s">
        <v>324</v>
      </c>
      <c r="J1639" s="10" t="s">
        <v>197</v>
      </c>
      <c r="K1639" s="10" t="s">
        <v>40</v>
      </c>
      <c r="L1639" s="10" t="s">
        <v>6</v>
      </c>
      <c r="M1639" s="14">
        <v>45707.0</v>
      </c>
      <c r="N1639" s="11" t="s">
        <v>5299</v>
      </c>
      <c r="O1639" s="10" t="s">
        <v>2282</v>
      </c>
      <c r="P1639" s="10" t="s">
        <v>5310</v>
      </c>
      <c r="Q1639" s="2"/>
      <c r="R1639" s="15"/>
      <c r="S1639" s="15"/>
      <c r="T1639" s="15"/>
      <c r="U1639" s="15"/>
      <c r="V1639" s="2"/>
      <c r="W1639" s="15"/>
      <c r="X1639" s="15"/>
      <c r="Y1639" s="15"/>
      <c r="Z1639" s="15"/>
      <c r="AA1639" s="1"/>
      <c r="AB1639" s="10">
        <v>80.0</v>
      </c>
      <c r="AC1639" s="14">
        <v>45439.0</v>
      </c>
      <c r="AD1639" s="14">
        <v>48139.0</v>
      </c>
      <c r="AE1639" s="10">
        <f t="shared" si="136"/>
        <v>2048</v>
      </c>
      <c r="AF1639" s="2"/>
      <c r="AG1639" s="10" t="s">
        <v>290</v>
      </c>
      <c r="AH1639" s="12" t="s">
        <v>46</v>
      </c>
      <c r="AI1639" s="10" t="s">
        <v>227</v>
      </c>
      <c r="AJ1639" s="12" t="s">
        <v>5305</v>
      </c>
      <c r="AK1639" s="10" t="s">
        <v>2893</v>
      </c>
      <c r="AL1639" s="10" t="s">
        <v>49</v>
      </c>
      <c r="AM1639" s="16" t="s">
        <v>45</v>
      </c>
      <c r="AN1639" s="10" t="s">
        <v>50</v>
      </c>
    </row>
    <row r="1640" ht="30.0" customHeight="1">
      <c r="A1640" s="9" t="str">
        <f t="shared" si="48"/>
        <v>N/I</v>
      </c>
      <c r="B1640" s="9" t="str">
        <f t="shared" si="49"/>
        <v>N/I</v>
      </c>
      <c r="C1640" s="9" t="str">
        <f t="shared" si="80"/>
        <v>Ativo</v>
      </c>
      <c r="D1640" s="10"/>
      <c r="E1640" s="11" t="s">
        <v>5295</v>
      </c>
      <c r="F1640" s="11" t="s">
        <v>5296</v>
      </c>
      <c r="G1640" s="12" t="s">
        <v>167</v>
      </c>
      <c r="H1640" s="27" t="s">
        <v>5312</v>
      </c>
      <c r="I1640" s="12" t="s">
        <v>324</v>
      </c>
      <c r="J1640" s="10" t="s">
        <v>197</v>
      </c>
      <c r="K1640" s="10" t="s">
        <v>40</v>
      </c>
      <c r="L1640" s="10" t="s">
        <v>6</v>
      </c>
      <c r="M1640" s="14">
        <v>45708.0</v>
      </c>
      <c r="N1640" s="11" t="s">
        <v>5299</v>
      </c>
      <c r="O1640" s="10" t="s">
        <v>2282</v>
      </c>
      <c r="P1640" s="10" t="s">
        <v>5310</v>
      </c>
      <c r="Q1640" s="2"/>
      <c r="R1640" s="15"/>
      <c r="S1640" s="15"/>
      <c r="T1640" s="15"/>
      <c r="U1640" s="15"/>
      <c r="V1640" s="2"/>
      <c r="W1640" s="15"/>
      <c r="X1640" s="15"/>
      <c r="Y1640" s="15"/>
      <c r="Z1640" s="15"/>
      <c r="AA1640" s="1"/>
      <c r="AB1640" s="10">
        <v>80.0</v>
      </c>
      <c r="AC1640" s="14">
        <v>45439.0</v>
      </c>
      <c r="AD1640" s="14">
        <v>47898.0</v>
      </c>
      <c r="AE1640" s="10">
        <f t="shared" si="136"/>
        <v>1807</v>
      </c>
      <c r="AF1640" s="2"/>
      <c r="AG1640" s="10" t="s">
        <v>290</v>
      </c>
      <c r="AH1640" s="12" t="s">
        <v>46</v>
      </c>
      <c r="AI1640" s="10" t="s">
        <v>227</v>
      </c>
      <c r="AJ1640" s="12" t="s">
        <v>5305</v>
      </c>
      <c r="AK1640" s="10" t="s">
        <v>2893</v>
      </c>
      <c r="AL1640" s="10" t="s">
        <v>49</v>
      </c>
      <c r="AM1640" s="16" t="s">
        <v>45</v>
      </c>
      <c r="AN1640" s="10" t="s">
        <v>50</v>
      </c>
    </row>
    <row r="1641" ht="30.0" customHeight="1">
      <c r="A1641" s="9" t="str">
        <f t="shared" si="48"/>
        <v>N/I</v>
      </c>
      <c r="B1641" s="9" t="str">
        <f t="shared" si="49"/>
        <v>N/I</v>
      </c>
      <c r="C1641" s="9" t="str">
        <f t="shared" si="80"/>
        <v>N/I</v>
      </c>
      <c r="D1641" s="10"/>
      <c r="E1641" s="11" t="s">
        <v>5295</v>
      </c>
      <c r="F1641" s="11" t="s">
        <v>5296</v>
      </c>
      <c r="G1641" s="12" t="s">
        <v>167</v>
      </c>
      <c r="H1641" s="27" t="s">
        <v>5313</v>
      </c>
      <c r="I1641" s="12" t="s">
        <v>324</v>
      </c>
      <c r="J1641" s="10" t="s">
        <v>197</v>
      </c>
      <c r="K1641" s="10" t="s">
        <v>40</v>
      </c>
      <c r="L1641" s="10" t="s">
        <v>6</v>
      </c>
      <c r="M1641" s="24" t="s">
        <v>193</v>
      </c>
      <c r="N1641" s="11" t="s">
        <v>5299</v>
      </c>
      <c r="O1641" s="10" t="s">
        <v>2282</v>
      </c>
      <c r="P1641" s="10" t="s">
        <v>5310</v>
      </c>
      <c r="Q1641" s="2"/>
      <c r="R1641" s="15"/>
      <c r="S1641" s="15"/>
      <c r="T1641" s="15"/>
      <c r="U1641" s="15"/>
      <c r="V1641" s="2"/>
      <c r="W1641" s="15"/>
      <c r="X1641" s="15"/>
      <c r="Y1641" s="15"/>
      <c r="Z1641" s="15"/>
      <c r="AA1641" s="1"/>
      <c r="AB1641" s="10">
        <v>80.0</v>
      </c>
      <c r="AC1641" s="24" t="s">
        <v>193</v>
      </c>
      <c r="AD1641" s="24" t="s">
        <v>193</v>
      </c>
      <c r="AE1641" s="24"/>
      <c r="AF1641" s="2"/>
      <c r="AG1641" s="10" t="s">
        <v>290</v>
      </c>
      <c r="AH1641" s="12" t="s">
        <v>46</v>
      </c>
      <c r="AI1641" s="10" t="s">
        <v>227</v>
      </c>
      <c r="AJ1641" s="12" t="s">
        <v>5305</v>
      </c>
      <c r="AK1641" s="10" t="s">
        <v>2893</v>
      </c>
      <c r="AL1641" s="10" t="s">
        <v>49</v>
      </c>
      <c r="AM1641" s="16" t="s">
        <v>45</v>
      </c>
      <c r="AN1641" s="10" t="s">
        <v>50</v>
      </c>
    </row>
    <row r="1642" ht="30.0" customHeight="1">
      <c r="A1642" s="9" t="str">
        <f t="shared" si="48"/>
        <v>Inativo</v>
      </c>
      <c r="B1642" s="9" t="str">
        <f t="shared" si="49"/>
        <v>N/I</v>
      </c>
      <c r="C1642" s="9" t="str">
        <f t="shared" si="80"/>
        <v>N/I</v>
      </c>
      <c r="D1642" s="10"/>
      <c r="E1642" s="11" t="s">
        <v>5314</v>
      </c>
      <c r="F1642" s="11" t="s">
        <v>5315</v>
      </c>
      <c r="G1642" s="12" t="s">
        <v>52</v>
      </c>
      <c r="H1642" s="19" t="s">
        <v>5316</v>
      </c>
      <c r="I1642" s="12" t="s">
        <v>720</v>
      </c>
      <c r="J1642" s="10" t="s">
        <v>721</v>
      </c>
      <c r="K1642" s="10" t="s">
        <v>209</v>
      </c>
      <c r="L1642" s="10" t="s">
        <v>4</v>
      </c>
      <c r="M1642" s="14">
        <v>45525.0</v>
      </c>
      <c r="N1642" s="11" t="s">
        <v>5317</v>
      </c>
      <c r="O1642" s="10" t="s">
        <v>5318</v>
      </c>
      <c r="P1642" s="10" t="s">
        <v>5319</v>
      </c>
      <c r="Q1642" s="2"/>
      <c r="R1642" s="10">
        <v>12.0</v>
      </c>
      <c r="S1642" s="14">
        <v>45525.0</v>
      </c>
      <c r="T1642" s="14">
        <v>45890.0</v>
      </c>
      <c r="U1642" s="10">
        <f>T1642-TODAY()</f>
        <v>-201</v>
      </c>
      <c r="V1642" s="2"/>
      <c r="W1642" s="15"/>
      <c r="X1642" s="15"/>
      <c r="Y1642" s="15"/>
      <c r="Z1642" s="15"/>
      <c r="AA1642" s="1"/>
      <c r="AB1642" s="15"/>
      <c r="AC1642" s="15"/>
      <c r="AD1642" s="15"/>
      <c r="AE1642" s="15"/>
      <c r="AF1642" s="2"/>
      <c r="AG1642" s="16" t="s">
        <v>45</v>
      </c>
      <c r="AH1642" s="12" t="s">
        <v>46</v>
      </c>
      <c r="AI1642" s="10" t="s">
        <v>226</v>
      </c>
      <c r="AJ1642" s="10" t="s">
        <v>227</v>
      </c>
      <c r="AK1642" s="16" t="s">
        <v>45</v>
      </c>
      <c r="AL1642" s="16" t="s">
        <v>45</v>
      </c>
      <c r="AM1642" s="16" t="s">
        <v>45</v>
      </c>
      <c r="AN1642" s="16" t="s">
        <v>45</v>
      </c>
    </row>
    <row r="1643" ht="30.0" customHeight="1">
      <c r="A1643" s="9" t="str">
        <f t="shared" si="48"/>
        <v>N/I</v>
      </c>
      <c r="B1643" s="9" t="str">
        <f t="shared" si="49"/>
        <v>Ativo</v>
      </c>
      <c r="C1643" s="9" t="str">
        <f t="shared" si="80"/>
        <v>N/I</v>
      </c>
      <c r="D1643" s="10"/>
      <c r="E1643" s="11" t="s">
        <v>5320</v>
      </c>
      <c r="F1643" s="32" t="s">
        <v>5321</v>
      </c>
      <c r="G1643" s="12" t="s">
        <v>94</v>
      </c>
      <c r="H1643" s="20" t="s">
        <v>5322</v>
      </c>
      <c r="I1643" s="12" t="s">
        <v>1626</v>
      </c>
      <c r="J1643" s="10" t="s">
        <v>283</v>
      </c>
      <c r="K1643" s="10" t="s">
        <v>263</v>
      </c>
      <c r="L1643" s="10" t="s">
        <v>264</v>
      </c>
      <c r="M1643" s="14">
        <v>42508.0</v>
      </c>
      <c r="N1643" s="32" t="s">
        <v>5323</v>
      </c>
      <c r="O1643" s="10" t="s">
        <v>5324</v>
      </c>
      <c r="P1643" s="10" t="s">
        <v>5325</v>
      </c>
      <c r="Q1643" s="2"/>
      <c r="R1643" s="15"/>
      <c r="S1643" s="15"/>
      <c r="T1643" s="15"/>
      <c r="U1643" s="15"/>
      <c r="V1643" s="2"/>
      <c r="W1643" s="10">
        <v>12.0</v>
      </c>
      <c r="X1643" s="14">
        <v>45924.0</v>
      </c>
      <c r="Y1643" s="14">
        <v>46289.0</v>
      </c>
      <c r="Z1643" s="10">
        <f>Y1643-TODAY()</f>
        <v>198</v>
      </c>
      <c r="AA1643" s="1"/>
      <c r="AB1643" s="15"/>
      <c r="AC1643" s="15"/>
      <c r="AD1643" s="15"/>
      <c r="AE1643" s="15"/>
      <c r="AF1643" s="2"/>
      <c r="AG1643" s="16" t="s">
        <v>45</v>
      </c>
      <c r="AH1643" s="12" t="s">
        <v>46</v>
      </c>
      <c r="AI1643" s="10" t="s">
        <v>291</v>
      </c>
      <c r="AJ1643" s="10" t="s">
        <v>291</v>
      </c>
      <c r="AK1643" s="16" t="s">
        <v>45</v>
      </c>
      <c r="AL1643" s="10" t="s">
        <v>2289</v>
      </c>
      <c r="AM1643" s="10" t="s">
        <v>319</v>
      </c>
      <c r="AN1643" s="10" t="s">
        <v>50</v>
      </c>
    </row>
    <row r="1644" ht="30.0" customHeight="1">
      <c r="A1644" s="9" t="str">
        <f t="shared" si="48"/>
        <v>N/I</v>
      </c>
      <c r="B1644" s="9" t="str">
        <f t="shared" si="49"/>
        <v>N/I</v>
      </c>
      <c r="C1644" s="9" t="str">
        <f t="shared" si="80"/>
        <v>Inativo</v>
      </c>
      <c r="D1644" s="10"/>
      <c r="E1644" s="11" t="s">
        <v>5326</v>
      </c>
      <c r="F1644" s="32" t="s">
        <v>5327</v>
      </c>
      <c r="G1644" s="12" t="s">
        <v>5328</v>
      </c>
      <c r="H1644" s="16" t="s">
        <v>5329</v>
      </c>
      <c r="I1644" s="12" t="s">
        <v>380</v>
      </c>
      <c r="J1644" s="10" t="s">
        <v>197</v>
      </c>
      <c r="K1644" s="10" t="s">
        <v>40</v>
      </c>
      <c r="L1644" s="10" t="s">
        <v>6</v>
      </c>
      <c r="M1644" s="22">
        <v>43658.0</v>
      </c>
      <c r="N1644" s="32" t="s">
        <v>5330</v>
      </c>
      <c r="O1644" s="10" t="s">
        <v>5331</v>
      </c>
      <c r="P1644" s="10" t="s">
        <v>5332</v>
      </c>
      <c r="Q1644" s="2"/>
      <c r="R1644" s="15"/>
      <c r="S1644" s="15"/>
      <c r="T1644" s="15"/>
      <c r="U1644" s="15"/>
      <c r="V1644" s="2"/>
      <c r="W1644" s="15"/>
      <c r="X1644" s="15"/>
      <c r="Y1644" s="15"/>
      <c r="Z1644" s="15"/>
      <c r="AA1644" s="1"/>
      <c r="AB1644" s="10">
        <v>6.0</v>
      </c>
      <c r="AC1644" s="14">
        <v>45495.0</v>
      </c>
      <c r="AD1644" s="14">
        <v>45678.0</v>
      </c>
      <c r="AE1644" s="10">
        <f t="shared" ref="AE1644:AE1646" si="137">AD1644-TODAY()</f>
        <v>-413</v>
      </c>
      <c r="AF1644" s="2"/>
      <c r="AG1644" s="10" t="s">
        <v>680</v>
      </c>
      <c r="AH1644" s="16" t="s">
        <v>45</v>
      </c>
      <c r="AI1644" s="16" t="s">
        <v>45</v>
      </c>
      <c r="AJ1644" s="10" t="s">
        <v>4637</v>
      </c>
      <c r="AK1644" s="16" t="s">
        <v>45</v>
      </c>
      <c r="AL1644" s="10" t="s">
        <v>49</v>
      </c>
      <c r="AM1644" s="10" t="s">
        <v>342</v>
      </c>
      <c r="AN1644" s="10" t="s">
        <v>50</v>
      </c>
    </row>
    <row r="1645" ht="30.0" customHeight="1">
      <c r="A1645" s="9" t="str">
        <f t="shared" si="48"/>
        <v>N/I</v>
      </c>
      <c r="B1645" s="9" t="str">
        <f t="shared" si="49"/>
        <v>N/I</v>
      </c>
      <c r="C1645" s="9" t="str">
        <f t="shared" si="80"/>
        <v>Ativo</v>
      </c>
      <c r="D1645" s="10"/>
      <c r="E1645" s="11" t="s">
        <v>5333</v>
      </c>
      <c r="F1645" s="32" t="s">
        <v>5334</v>
      </c>
      <c r="G1645" s="12" t="s">
        <v>94</v>
      </c>
      <c r="H1645" s="20" t="s">
        <v>5335</v>
      </c>
      <c r="I1645" s="12" t="s">
        <v>380</v>
      </c>
      <c r="J1645" s="10" t="s">
        <v>197</v>
      </c>
      <c r="K1645" s="10" t="s">
        <v>40</v>
      </c>
      <c r="L1645" s="10" t="s">
        <v>6</v>
      </c>
      <c r="M1645" s="14">
        <v>43160.0</v>
      </c>
      <c r="N1645" s="32" t="s">
        <v>5336</v>
      </c>
      <c r="O1645" s="10" t="s">
        <v>5337</v>
      </c>
      <c r="P1645" s="10" t="s">
        <v>5338</v>
      </c>
      <c r="Q1645" s="2"/>
      <c r="R1645" s="15"/>
      <c r="S1645" s="15"/>
      <c r="T1645" s="15"/>
      <c r="U1645" s="15"/>
      <c r="V1645" s="2"/>
      <c r="W1645" s="15"/>
      <c r="X1645" s="15"/>
      <c r="Y1645" s="15"/>
      <c r="Z1645" s="15"/>
      <c r="AA1645" s="1"/>
      <c r="AB1645" s="10">
        <v>12.0</v>
      </c>
      <c r="AC1645" s="14">
        <v>45495.0</v>
      </c>
      <c r="AD1645" s="14">
        <v>46213.0</v>
      </c>
      <c r="AE1645" s="10">
        <f t="shared" si="137"/>
        <v>122</v>
      </c>
      <c r="AF1645" s="2"/>
      <c r="AG1645" s="16" t="s">
        <v>45</v>
      </c>
      <c r="AH1645" s="10" t="s">
        <v>318</v>
      </c>
      <c r="AI1645" s="10" t="s">
        <v>319</v>
      </c>
      <c r="AJ1645" s="10" t="s">
        <v>227</v>
      </c>
      <c r="AK1645" s="16" t="s">
        <v>45</v>
      </c>
      <c r="AL1645" s="10" t="s">
        <v>49</v>
      </c>
      <c r="AM1645" s="16" t="s">
        <v>45</v>
      </c>
      <c r="AN1645" s="10" t="s">
        <v>50</v>
      </c>
    </row>
    <row r="1646" ht="30.0" customHeight="1">
      <c r="A1646" s="9" t="str">
        <f t="shared" si="48"/>
        <v>N/I</v>
      </c>
      <c r="B1646" s="9" t="str">
        <f t="shared" si="49"/>
        <v>N/I</v>
      </c>
      <c r="C1646" s="9" t="str">
        <f t="shared" si="80"/>
        <v>Inativo</v>
      </c>
      <c r="D1646" s="10"/>
      <c r="E1646" s="11" t="s">
        <v>5333</v>
      </c>
      <c r="F1646" s="32" t="s">
        <v>5334</v>
      </c>
      <c r="G1646" s="12" t="s">
        <v>94</v>
      </c>
      <c r="H1646" s="20" t="s">
        <v>5339</v>
      </c>
      <c r="I1646" s="12" t="s">
        <v>380</v>
      </c>
      <c r="J1646" s="10" t="s">
        <v>197</v>
      </c>
      <c r="K1646" s="10" t="s">
        <v>40</v>
      </c>
      <c r="L1646" s="10" t="s">
        <v>6</v>
      </c>
      <c r="M1646" s="14">
        <v>45299.0</v>
      </c>
      <c r="N1646" s="32" t="s">
        <v>5336</v>
      </c>
      <c r="O1646" s="10" t="s">
        <v>5337</v>
      </c>
      <c r="P1646" s="10" t="s">
        <v>5340</v>
      </c>
      <c r="Q1646" s="2"/>
      <c r="R1646" s="15"/>
      <c r="S1646" s="15"/>
      <c r="T1646" s="15"/>
      <c r="U1646" s="15"/>
      <c r="V1646" s="2"/>
      <c r="W1646" s="15"/>
      <c r="X1646" s="15"/>
      <c r="Y1646" s="15"/>
      <c r="Z1646" s="15"/>
      <c r="AA1646" s="1"/>
      <c r="AB1646" s="10">
        <v>12.0</v>
      </c>
      <c r="AC1646" s="14">
        <v>45118.0</v>
      </c>
      <c r="AD1646" s="14">
        <v>45483.0</v>
      </c>
      <c r="AE1646" s="10">
        <f t="shared" si="137"/>
        <v>-608</v>
      </c>
      <c r="AF1646" s="2"/>
      <c r="AG1646" s="16" t="s">
        <v>45</v>
      </c>
      <c r="AH1646" s="10" t="s">
        <v>318</v>
      </c>
      <c r="AI1646" s="10" t="s">
        <v>319</v>
      </c>
      <c r="AJ1646" s="10" t="s">
        <v>227</v>
      </c>
      <c r="AK1646" s="16" t="s">
        <v>45</v>
      </c>
      <c r="AL1646" s="10" t="s">
        <v>49</v>
      </c>
      <c r="AM1646" s="16" t="s">
        <v>45</v>
      </c>
      <c r="AN1646" s="10" t="s">
        <v>50</v>
      </c>
    </row>
    <row r="1647" ht="30.0" customHeight="1">
      <c r="A1647" s="9" t="str">
        <f t="shared" si="48"/>
        <v>N/I</v>
      </c>
      <c r="B1647" s="9" t="str">
        <f t="shared" si="49"/>
        <v>Ativo</v>
      </c>
      <c r="C1647" s="9" t="str">
        <f t="shared" si="80"/>
        <v>N/I</v>
      </c>
      <c r="D1647" s="10"/>
      <c r="E1647" s="11" t="s">
        <v>5341</v>
      </c>
      <c r="F1647" s="32" t="s">
        <v>5342</v>
      </c>
      <c r="G1647" s="12" t="s">
        <v>94</v>
      </c>
      <c r="H1647" s="20" t="s">
        <v>5343</v>
      </c>
      <c r="I1647" s="12" t="s">
        <v>5344</v>
      </c>
      <c r="J1647" s="10" t="s">
        <v>283</v>
      </c>
      <c r="K1647" s="10" t="s">
        <v>263</v>
      </c>
      <c r="L1647" s="10" t="s">
        <v>264</v>
      </c>
      <c r="M1647" s="14">
        <v>42438.0</v>
      </c>
      <c r="N1647" s="11" t="s">
        <v>5345</v>
      </c>
      <c r="O1647" s="10" t="s">
        <v>319</v>
      </c>
      <c r="P1647" s="10" t="s">
        <v>5346</v>
      </c>
      <c r="Q1647" s="2"/>
      <c r="R1647" s="15"/>
      <c r="S1647" s="15"/>
      <c r="T1647" s="15"/>
      <c r="U1647" s="15"/>
      <c r="V1647" s="2"/>
      <c r="W1647" s="10">
        <v>12.0</v>
      </c>
      <c r="X1647" s="14">
        <v>45915.0</v>
      </c>
      <c r="Y1647" s="14">
        <v>46280.0</v>
      </c>
      <c r="Z1647" s="10">
        <f t="shared" ref="Z1647:Z1648" si="138">Y1647-TODAY()</f>
        <v>189</v>
      </c>
      <c r="AA1647" s="1"/>
      <c r="AB1647" s="15"/>
      <c r="AC1647" s="15"/>
      <c r="AD1647" s="15"/>
      <c r="AE1647" s="15"/>
      <c r="AF1647" s="2"/>
      <c r="AG1647" s="10" t="s">
        <v>706</v>
      </c>
      <c r="AH1647" s="12" t="s">
        <v>46</v>
      </c>
      <c r="AI1647" s="10" t="s">
        <v>226</v>
      </c>
      <c r="AJ1647" s="10" t="s">
        <v>442</v>
      </c>
      <c r="AK1647" s="16" t="s">
        <v>45</v>
      </c>
      <c r="AL1647" s="10" t="s">
        <v>49</v>
      </c>
      <c r="AM1647" s="10" t="s">
        <v>291</v>
      </c>
      <c r="AN1647" s="10" t="s">
        <v>50</v>
      </c>
    </row>
    <row r="1648" ht="30.0" customHeight="1">
      <c r="A1648" s="9" t="str">
        <f t="shared" si="48"/>
        <v>N/I</v>
      </c>
      <c r="B1648" s="9" t="str">
        <f t="shared" si="49"/>
        <v>Inativo</v>
      </c>
      <c r="C1648" s="9" t="str">
        <f t="shared" si="80"/>
        <v>N/I</v>
      </c>
      <c r="D1648" s="10"/>
      <c r="E1648" s="11" t="s">
        <v>5347</v>
      </c>
      <c r="F1648" s="32" t="s">
        <v>5348</v>
      </c>
      <c r="G1648" s="12" t="s">
        <v>94</v>
      </c>
      <c r="H1648" s="20" t="s">
        <v>5349</v>
      </c>
      <c r="I1648" s="12" t="s">
        <v>4467</v>
      </c>
      <c r="J1648" s="10" t="s">
        <v>189</v>
      </c>
      <c r="K1648" s="10" t="s">
        <v>190</v>
      </c>
      <c r="L1648" s="10" t="s">
        <v>264</v>
      </c>
      <c r="M1648" s="14">
        <v>43902.0</v>
      </c>
      <c r="N1648" s="32" t="s">
        <v>5350</v>
      </c>
      <c r="O1648" s="10" t="s">
        <v>5351</v>
      </c>
      <c r="P1648" s="10" t="s">
        <v>5352</v>
      </c>
      <c r="Q1648" s="2"/>
      <c r="R1648" s="15"/>
      <c r="S1648" s="15"/>
      <c r="T1648" s="15"/>
      <c r="U1648" s="15"/>
      <c r="V1648" s="2"/>
      <c r="W1648" s="10">
        <v>12.0</v>
      </c>
      <c r="X1648" s="14">
        <v>45614.0</v>
      </c>
      <c r="Y1648" s="14">
        <v>45978.0</v>
      </c>
      <c r="Z1648" s="10">
        <f t="shared" si="138"/>
        <v>-113</v>
      </c>
      <c r="AA1648" s="1"/>
      <c r="AB1648" s="15"/>
      <c r="AC1648" s="15"/>
      <c r="AD1648" s="15"/>
      <c r="AE1648" s="15"/>
      <c r="AF1648" s="2"/>
      <c r="AG1648" s="16" t="s">
        <v>45</v>
      </c>
      <c r="AH1648" s="12" t="s">
        <v>46</v>
      </c>
      <c r="AI1648" s="10" t="s">
        <v>717</v>
      </c>
      <c r="AJ1648" s="10" t="s">
        <v>5353</v>
      </c>
      <c r="AK1648" s="16" t="s">
        <v>45</v>
      </c>
      <c r="AL1648" s="10" t="s">
        <v>49</v>
      </c>
      <c r="AM1648" s="16" t="s">
        <v>45</v>
      </c>
      <c r="AN1648" s="10" t="s">
        <v>50</v>
      </c>
    </row>
    <row r="1649" ht="30.0" customHeight="1">
      <c r="A1649" s="9" t="str">
        <f t="shared" si="48"/>
        <v>N/I</v>
      </c>
      <c r="B1649" s="9" t="str">
        <f t="shared" si="49"/>
        <v>N/I</v>
      </c>
      <c r="C1649" s="9" t="str">
        <f t="shared" si="80"/>
        <v>Inativo</v>
      </c>
      <c r="D1649" s="10"/>
      <c r="E1649" s="11" t="s">
        <v>5354</v>
      </c>
      <c r="F1649" s="32" t="s">
        <v>2555</v>
      </c>
      <c r="G1649" s="12" t="s">
        <v>94</v>
      </c>
      <c r="H1649" s="42" t="s">
        <v>5355</v>
      </c>
      <c r="I1649" s="12" t="s">
        <v>1469</v>
      </c>
      <c r="J1649" s="10" t="s">
        <v>208</v>
      </c>
      <c r="K1649" s="10" t="s">
        <v>209</v>
      </c>
      <c r="L1649" s="10" t="s">
        <v>6</v>
      </c>
      <c r="M1649" s="22">
        <v>45016.0</v>
      </c>
      <c r="N1649" s="32" t="s">
        <v>2556</v>
      </c>
      <c r="O1649" s="10" t="s">
        <v>2557</v>
      </c>
      <c r="P1649" s="10" t="s">
        <v>5356</v>
      </c>
      <c r="Q1649" s="2"/>
      <c r="R1649" s="15"/>
      <c r="S1649" s="15"/>
      <c r="T1649" s="15"/>
      <c r="U1649" s="15"/>
      <c r="V1649" s="2"/>
      <c r="W1649" s="15"/>
      <c r="X1649" s="15"/>
      <c r="Y1649" s="15"/>
      <c r="Z1649" s="15"/>
      <c r="AA1649" s="1"/>
      <c r="AB1649" s="10">
        <v>12.0</v>
      </c>
      <c r="AC1649" s="14">
        <v>45016.0</v>
      </c>
      <c r="AD1649" s="14">
        <v>45382.0</v>
      </c>
      <c r="AE1649" s="10">
        <f>AD1649-TODAY()</f>
        <v>-709</v>
      </c>
      <c r="AF1649" s="2"/>
      <c r="AG1649" s="16" t="s">
        <v>45</v>
      </c>
      <c r="AH1649" s="16" t="s">
        <v>45</v>
      </c>
      <c r="AI1649" s="16" t="s">
        <v>45</v>
      </c>
      <c r="AJ1649" s="16" t="s">
        <v>45</v>
      </c>
      <c r="AK1649" s="16" t="s">
        <v>45</v>
      </c>
      <c r="AL1649" s="16" t="s">
        <v>45</v>
      </c>
      <c r="AM1649" s="16" t="s">
        <v>45</v>
      </c>
      <c r="AN1649" s="16" t="s">
        <v>45</v>
      </c>
    </row>
    <row r="1650" ht="30.0" customHeight="1">
      <c r="A1650" s="9" t="str">
        <f t="shared" si="48"/>
        <v>N/I</v>
      </c>
      <c r="B1650" s="9" t="str">
        <f t="shared" si="49"/>
        <v>N/I</v>
      </c>
      <c r="C1650" s="9" t="str">
        <f t="shared" si="80"/>
        <v>N/I</v>
      </c>
      <c r="D1650" s="10" t="s">
        <v>2227</v>
      </c>
      <c r="E1650" s="11" t="s">
        <v>2228</v>
      </c>
      <c r="F1650" s="11" t="s">
        <v>2229</v>
      </c>
      <c r="G1650" s="12" t="s">
        <v>52</v>
      </c>
      <c r="H1650" s="63" t="s">
        <v>187</v>
      </c>
      <c r="I1650" s="12" t="s">
        <v>370</v>
      </c>
      <c r="J1650" s="10" t="s">
        <v>89</v>
      </c>
      <c r="K1650" s="10" t="s">
        <v>41</v>
      </c>
      <c r="L1650" s="10" t="s">
        <v>4</v>
      </c>
      <c r="M1650" s="49" t="s">
        <v>193</v>
      </c>
      <c r="N1650" s="11" t="s">
        <v>371</v>
      </c>
      <c r="O1650" s="10" t="s">
        <v>2231</v>
      </c>
      <c r="P1650" s="10" t="s">
        <v>5357</v>
      </c>
      <c r="Q1650" s="2"/>
      <c r="R1650" s="10">
        <v>12.0</v>
      </c>
      <c r="S1650" s="49" t="s">
        <v>193</v>
      </c>
      <c r="T1650" s="49" t="s">
        <v>193</v>
      </c>
      <c r="U1650" s="10"/>
      <c r="V1650" s="2"/>
      <c r="W1650" s="15"/>
      <c r="X1650" s="15"/>
      <c r="Y1650" s="15"/>
      <c r="Z1650" s="15"/>
      <c r="AA1650" s="1"/>
      <c r="AB1650" s="15"/>
      <c r="AC1650" s="15"/>
      <c r="AD1650" s="15"/>
      <c r="AE1650" s="15"/>
      <c r="AF1650" s="2"/>
      <c r="AG1650" s="10" t="s">
        <v>354</v>
      </c>
      <c r="AH1650" s="12" t="s">
        <v>46</v>
      </c>
      <c r="AI1650" s="16" t="s">
        <v>45</v>
      </c>
      <c r="AJ1650" s="30" t="s">
        <v>356</v>
      </c>
      <c r="AK1650" s="16" t="s">
        <v>45</v>
      </c>
      <c r="AL1650" s="10" t="s">
        <v>49</v>
      </c>
      <c r="AM1650" s="16" t="s">
        <v>45</v>
      </c>
      <c r="AN1650" s="10" t="s">
        <v>50</v>
      </c>
    </row>
    <row r="1651" ht="30.0" customHeight="1">
      <c r="A1651" s="9" t="str">
        <f t="shared" si="48"/>
        <v>N/I</v>
      </c>
      <c r="B1651" s="9" t="str">
        <f t="shared" si="49"/>
        <v>N/I</v>
      </c>
      <c r="C1651" s="9" t="str">
        <f t="shared" si="80"/>
        <v>N/I</v>
      </c>
      <c r="D1651" s="10" t="s">
        <v>2227</v>
      </c>
      <c r="E1651" s="11" t="s">
        <v>2228</v>
      </c>
      <c r="F1651" s="11" t="s">
        <v>2229</v>
      </c>
      <c r="G1651" s="12" t="s">
        <v>52</v>
      </c>
      <c r="H1651" s="63" t="s">
        <v>187</v>
      </c>
      <c r="I1651" s="12" t="s">
        <v>370</v>
      </c>
      <c r="J1651" s="10" t="s">
        <v>89</v>
      </c>
      <c r="K1651" s="10" t="s">
        <v>41</v>
      </c>
      <c r="L1651" s="10" t="s">
        <v>4</v>
      </c>
      <c r="M1651" s="49" t="s">
        <v>193</v>
      </c>
      <c r="N1651" s="11" t="s">
        <v>371</v>
      </c>
      <c r="O1651" s="10" t="s">
        <v>2231</v>
      </c>
      <c r="P1651" s="10" t="s">
        <v>5357</v>
      </c>
      <c r="Q1651" s="2"/>
      <c r="R1651" s="10">
        <v>12.0</v>
      </c>
      <c r="S1651" s="49" t="s">
        <v>193</v>
      </c>
      <c r="T1651" s="49" t="s">
        <v>193</v>
      </c>
      <c r="U1651" s="10"/>
      <c r="V1651" s="2"/>
      <c r="W1651" s="15"/>
      <c r="X1651" s="15"/>
      <c r="Y1651" s="15"/>
      <c r="Z1651" s="15"/>
      <c r="AA1651" s="1"/>
      <c r="AB1651" s="15"/>
      <c r="AC1651" s="15"/>
      <c r="AD1651" s="15"/>
      <c r="AE1651" s="15"/>
      <c r="AF1651" s="2"/>
      <c r="AG1651" s="10" t="s">
        <v>354</v>
      </c>
      <c r="AH1651" s="12" t="s">
        <v>46</v>
      </c>
      <c r="AI1651" s="16" t="s">
        <v>45</v>
      </c>
      <c r="AJ1651" s="30" t="s">
        <v>356</v>
      </c>
      <c r="AK1651" s="16" t="s">
        <v>45</v>
      </c>
      <c r="AL1651" s="10" t="s">
        <v>49</v>
      </c>
      <c r="AM1651" s="16" t="s">
        <v>45</v>
      </c>
      <c r="AN1651" s="10" t="s">
        <v>50</v>
      </c>
    </row>
    <row r="1652" ht="30.0" customHeight="1">
      <c r="A1652" s="9" t="str">
        <f t="shared" si="48"/>
        <v>Ativo</v>
      </c>
      <c r="B1652" s="9" t="str">
        <f t="shared" si="49"/>
        <v>N/I</v>
      </c>
      <c r="C1652" s="9" t="str">
        <f t="shared" si="80"/>
        <v>N/I</v>
      </c>
      <c r="D1652" s="10" t="s">
        <v>5358</v>
      </c>
      <c r="E1652" s="11" t="s">
        <v>5359</v>
      </c>
      <c r="F1652" s="32" t="s">
        <v>5360</v>
      </c>
      <c r="G1652" s="12" t="s">
        <v>448</v>
      </c>
      <c r="H1652" s="18" t="s">
        <v>5361</v>
      </c>
      <c r="I1652" s="12" t="s">
        <v>3477</v>
      </c>
      <c r="J1652" s="10" t="s">
        <v>89</v>
      </c>
      <c r="K1652" s="10" t="s">
        <v>41</v>
      </c>
      <c r="L1652" s="10" t="s">
        <v>4</v>
      </c>
      <c r="M1652" s="14">
        <v>45911.0</v>
      </c>
      <c r="N1652" s="11" t="s">
        <v>5362</v>
      </c>
      <c r="O1652" s="10" t="s">
        <v>5363</v>
      </c>
      <c r="P1652" s="10" t="s">
        <v>5364</v>
      </c>
      <c r="Q1652" s="2"/>
      <c r="R1652" s="10">
        <v>24.0</v>
      </c>
      <c r="S1652" s="14">
        <v>45911.0</v>
      </c>
      <c r="T1652" s="14">
        <v>46641.0</v>
      </c>
      <c r="U1652" s="10">
        <f t="shared" ref="U1652:U1655" si="139">T1652-TODAY()</f>
        <v>550</v>
      </c>
      <c r="V1652" s="2"/>
      <c r="W1652" s="15"/>
      <c r="X1652" s="15"/>
      <c r="Y1652" s="15"/>
      <c r="Z1652" s="15"/>
      <c r="AA1652" s="1"/>
      <c r="AB1652" s="15"/>
      <c r="AC1652" s="15"/>
      <c r="AD1652" s="15"/>
      <c r="AE1652" s="15"/>
      <c r="AF1652" s="2"/>
      <c r="AG1652" s="16" t="s">
        <v>45</v>
      </c>
      <c r="AH1652" s="16" t="s">
        <v>45</v>
      </c>
      <c r="AI1652" s="16" t="s">
        <v>45</v>
      </c>
      <c r="AJ1652" s="16" t="s">
        <v>45</v>
      </c>
      <c r="AK1652" s="30" t="s">
        <v>227</v>
      </c>
      <c r="AL1652" s="10" t="s">
        <v>49</v>
      </c>
      <c r="AM1652" s="16" t="s">
        <v>45</v>
      </c>
      <c r="AN1652" s="16" t="s">
        <v>45</v>
      </c>
    </row>
    <row r="1653" ht="30.0" customHeight="1">
      <c r="A1653" s="9" t="str">
        <f t="shared" si="48"/>
        <v>Ativo</v>
      </c>
      <c r="B1653" s="9" t="str">
        <f t="shared" si="49"/>
        <v>N/I</v>
      </c>
      <c r="C1653" s="9" t="str">
        <f t="shared" si="80"/>
        <v>N/I</v>
      </c>
      <c r="D1653" s="10" t="s">
        <v>5358</v>
      </c>
      <c r="E1653" s="11" t="s">
        <v>5359</v>
      </c>
      <c r="F1653" s="32" t="s">
        <v>5365</v>
      </c>
      <c r="G1653" s="12" t="s">
        <v>448</v>
      </c>
      <c r="H1653" s="18" t="s">
        <v>5366</v>
      </c>
      <c r="I1653" s="12" t="s">
        <v>3477</v>
      </c>
      <c r="J1653" s="10" t="s">
        <v>89</v>
      </c>
      <c r="K1653" s="10" t="s">
        <v>41</v>
      </c>
      <c r="L1653" s="10" t="s">
        <v>4</v>
      </c>
      <c r="M1653" s="14">
        <v>45911.0</v>
      </c>
      <c r="N1653" s="11" t="s">
        <v>5367</v>
      </c>
      <c r="O1653" s="10" t="s">
        <v>5368</v>
      </c>
      <c r="P1653" s="10" t="s">
        <v>5364</v>
      </c>
      <c r="Q1653" s="2"/>
      <c r="R1653" s="10">
        <v>24.0</v>
      </c>
      <c r="S1653" s="14">
        <v>45911.0</v>
      </c>
      <c r="T1653" s="14">
        <v>46641.0</v>
      </c>
      <c r="U1653" s="10">
        <f t="shared" si="139"/>
        <v>550</v>
      </c>
      <c r="V1653" s="2"/>
      <c r="W1653" s="15"/>
      <c r="X1653" s="15"/>
      <c r="Y1653" s="15"/>
      <c r="Z1653" s="15"/>
      <c r="AA1653" s="1"/>
      <c r="AB1653" s="15"/>
      <c r="AC1653" s="15"/>
      <c r="AD1653" s="15"/>
      <c r="AE1653" s="15"/>
      <c r="AF1653" s="2"/>
      <c r="AG1653" s="16" t="s">
        <v>45</v>
      </c>
      <c r="AH1653" s="16" t="s">
        <v>45</v>
      </c>
      <c r="AI1653" s="16" t="s">
        <v>45</v>
      </c>
      <c r="AJ1653" s="16" t="s">
        <v>45</v>
      </c>
      <c r="AK1653" s="30" t="s">
        <v>227</v>
      </c>
      <c r="AL1653" s="10" t="s">
        <v>49</v>
      </c>
      <c r="AM1653" s="16" t="s">
        <v>45</v>
      </c>
      <c r="AN1653" s="16" t="s">
        <v>45</v>
      </c>
    </row>
    <row r="1654" ht="30.0" customHeight="1">
      <c r="A1654" s="9" t="str">
        <f t="shared" si="48"/>
        <v>Ativo</v>
      </c>
      <c r="B1654" s="9" t="str">
        <f t="shared" si="49"/>
        <v>N/I</v>
      </c>
      <c r="C1654" s="9" t="str">
        <f t="shared" si="80"/>
        <v>N/I</v>
      </c>
      <c r="D1654" s="10" t="s">
        <v>5358</v>
      </c>
      <c r="E1654" s="11" t="s">
        <v>5359</v>
      </c>
      <c r="F1654" s="32" t="s">
        <v>5369</v>
      </c>
      <c r="G1654" s="12" t="s">
        <v>448</v>
      </c>
      <c r="H1654" s="18" t="s">
        <v>5370</v>
      </c>
      <c r="I1654" s="12" t="s">
        <v>88</v>
      </c>
      <c r="J1654" s="10" t="s">
        <v>89</v>
      </c>
      <c r="K1654" s="10" t="s">
        <v>41</v>
      </c>
      <c r="L1654" s="10" t="s">
        <v>4</v>
      </c>
      <c r="M1654" s="14">
        <v>45911.0</v>
      </c>
      <c r="N1654" s="11" t="s">
        <v>5371</v>
      </c>
      <c r="O1654" s="10" t="s">
        <v>5372</v>
      </c>
      <c r="P1654" s="10" t="s">
        <v>5364</v>
      </c>
      <c r="Q1654" s="2"/>
      <c r="R1654" s="10">
        <v>24.0</v>
      </c>
      <c r="S1654" s="14">
        <v>45911.0</v>
      </c>
      <c r="T1654" s="14">
        <v>46641.0</v>
      </c>
      <c r="U1654" s="10">
        <f t="shared" si="139"/>
        <v>550</v>
      </c>
      <c r="V1654" s="2"/>
      <c r="W1654" s="15"/>
      <c r="X1654" s="15"/>
      <c r="Y1654" s="15"/>
      <c r="Z1654" s="15"/>
      <c r="AA1654" s="1"/>
      <c r="AB1654" s="15"/>
      <c r="AC1654" s="15"/>
      <c r="AD1654" s="15"/>
      <c r="AE1654" s="15"/>
      <c r="AF1654" s="2"/>
      <c r="AG1654" s="16" t="s">
        <v>45</v>
      </c>
      <c r="AH1654" s="16" t="s">
        <v>45</v>
      </c>
      <c r="AI1654" s="16" t="s">
        <v>45</v>
      </c>
      <c r="AJ1654" s="16" t="s">
        <v>45</v>
      </c>
      <c r="AK1654" s="30" t="s">
        <v>227</v>
      </c>
      <c r="AL1654" s="10" t="s">
        <v>49</v>
      </c>
      <c r="AM1654" s="16" t="s">
        <v>45</v>
      </c>
      <c r="AN1654" s="16" t="s">
        <v>45</v>
      </c>
    </row>
    <row r="1655" ht="30.0" customHeight="1">
      <c r="A1655" s="9" t="str">
        <f t="shared" si="48"/>
        <v>Ativo</v>
      </c>
      <c r="B1655" s="9" t="str">
        <f t="shared" si="49"/>
        <v>N/I</v>
      </c>
      <c r="C1655" s="9" t="str">
        <f t="shared" si="80"/>
        <v>N/I</v>
      </c>
      <c r="D1655" s="10" t="s">
        <v>5358</v>
      </c>
      <c r="E1655" s="11" t="s">
        <v>5359</v>
      </c>
      <c r="F1655" s="32" t="s">
        <v>5373</v>
      </c>
      <c r="G1655" s="12" t="s">
        <v>448</v>
      </c>
      <c r="H1655" s="18" t="s">
        <v>5374</v>
      </c>
      <c r="I1655" s="12" t="s">
        <v>88</v>
      </c>
      <c r="J1655" s="10" t="s">
        <v>89</v>
      </c>
      <c r="K1655" s="10" t="s">
        <v>41</v>
      </c>
      <c r="L1655" s="10" t="s">
        <v>4</v>
      </c>
      <c r="M1655" s="14">
        <v>45911.0</v>
      </c>
      <c r="N1655" s="11" t="s">
        <v>5375</v>
      </c>
      <c r="O1655" s="10" t="s">
        <v>5372</v>
      </c>
      <c r="P1655" s="10" t="s">
        <v>5364</v>
      </c>
      <c r="Q1655" s="2"/>
      <c r="R1655" s="10">
        <v>24.0</v>
      </c>
      <c r="S1655" s="14">
        <v>45911.0</v>
      </c>
      <c r="T1655" s="14">
        <v>46641.0</v>
      </c>
      <c r="U1655" s="10">
        <f t="shared" si="139"/>
        <v>550</v>
      </c>
      <c r="V1655" s="2"/>
      <c r="W1655" s="15"/>
      <c r="X1655" s="15"/>
      <c r="Y1655" s="15"/>
      <c r="Z1655" s="15"/>
      <c r="AA1655" s="1"/>
      <c r="AB1655" s="15"/>
      <c r="AC1655" s="15"/>
      <c r="AD1655" s="15"/>
      <c r="AE1655" s="15"/>
      <c r="AF1655" s="2"/>
      <c r="AG1655" s="16" t="s">
        <v>45</v>
      </c>
      <c r="AH1655" s="16" t="s">
        <v>45</v>
      </c>
      <c r="AI1655" s="16" t="s">
        <v>45</v>
      </c>
      <c r="AJ1655" s="16" t="s">
        <v>45</v>
      </c>
      <c r="AK1655" s="30" t="s">
        <v>227</v>
      </c>
      <c r="AL1655" s="10" t="s">
        <v>49</v>
      </c>
      <c r="AM1655" s="16" t="s">
        <v>45</v>
      </c>
      <c r="AN1655" s="16" t="s">
        <v>45</v>
      </c>
    </row>
    <row r="1656" ht="30.0" customHeight="1">
      <c r="A1656" s="9" t="str">
        <f t="shared" si="48"/>
        <v>N/I</v>
      </c>
      <c r="B1656" s="9" t="str">
        <f t="shared" si="49"/>
        <v>N/I</v>
      </c>
      <c r="C1656" s="9" t="str">
        <f t="shared" si="80"/>
        <v>N/I</v>
      </c>
      <c r="D1656" s="10" t="s">
        <v>5358</v>
      </c>
      <c r="E1656" s="11" t="s">
        <v>5359</v>
      </c>
      <c r="F1656" s="32" t="s">
        <v>5376</v>
      </c>
      <c r="G1656" s="12" t="s">
        <v>448</v>
      </c>
      <c r="H1656" s="18" t="s">
        <v>5377</v>
      </c>
      <c r="I1656" s="12" t="s">
        <v>370</v>
      </c>
      <c r="J1656" s="10" t="s">
        <v>89</v>
      </c>
      <c r="K1656" s="10" t="s">
        <v>41</v>
      </c>
      <c r="L1656" s="10" t="s">
        <v>4</v>
      </c>
      <c r="M1656" s="49" t="s">
        <v>193</v>
      </c>
      <c r="N1656" s="11" t="s">
        <v>5378</v>
      </c>
      <c r="O1656" s="10" t="s">
        <v>5379</v>
      </c>
      <c r="P1656" s="10" t="s">
        <v>5364</v>
      </c>
      <c r="Q1656" s="2"/>
      <c r="R1656" s="10">
        <v>24.0</v>
      </c>
      <c r="S1656" s="49" t="s">
        <v>193</v>
      </c>
      <c r="T1656" s="49" t="s">
        <v>193</v>
      </c>
      <c r="U1656" s="10"/>
      <c r="V1656" s="2"/>
      <c r="W1656" s="15"/>
      <c r="X1656" s="15"/>
      <c r="Y1656" s="15"/>
      <c r="Z1656" s="15"/>
      <c r="AA1656" s="1"/>
      <c r="AB1656" s="15"/>
      <c r="AC1656" s="15"/>
      <c r="AD1656" s="15"/>
      <c r="AE1656" s="15"/>
      <c r="AF1656" s="2"/>
      <c r="AG1656" s="16" t="s">
        <v>45</v>
      </c>
      <c r="AH1656" s="16" t="s">
        <v>45</v>
      </c>
      <c r="AI1656" s="16" t="s">
        <v>45</v>
      </c>
      <c r="AJ1656" s="16" t="s">
        <v>45</v>
      </c>
      <c r="AK1656" s="30" t="s">
        <v>227</v>
      </c>
      <c r="AL1656" s="10" t="s">
        <v>49</v>
      </c>
      <c r="AM1656" s="16" t="s">
        <v>45</v>
      </c>
      <c r="AN1656" s="16" t="s">
        <v>45</v>
      </c>
    </row>
    <row r="1657" ht="30.0" customHeight="1">
      <c r="A1657" s="9" t="str">
        <f t="shared" si="48"/>
        <v>N/I</v>
      </c>
      <c r="B1657" s="9" t="str">
        <f t="shared" si="49"/>
        <v>N/I</v>
      </c>
      <c r="C1657" s="9" t="str">
        <f t="shared" si="80"/>
        <v>N/I</v>
      </c>
      <c r="D1657" s="10" t="s">
        <v>5358</v>
      </c>
      <c r="E1657" s="11" t="s">
        <v>5359</v>
      </c>
      <c r="F1657" s="32" t="s">
        <v>5380</v>
      </c>
      <c r="G1657" s="12" t="s">
        <v>448</v>
      </c>
      <c r="H1657" s="63" t="s">
        <v>187</v>
      </c>
      <c r="I1657" s="12" t="s">
        <v>370</v>
      </c>
      <c r="J1657" s="10" t="s">
        <v>89</v>
      </c>
      <c r="K1657" s="10" t="s">
        <v>41</v>
      </c>
      <c r="L1657" s="10" t="s">
        <v>4</v>
      </c>
      <c r="M1657" s="49" t="s">
        <v>193</v>
      </c>
      <c r="N1657" s="11" t="s">
        <v>5381</v>
      </c>
      <c r="O1657" s="10" t="s">
        <v>5382</v>
      </c>
      <c r="P1657" s="10" t="s">
        <v>5364</v>
      </c>
      <c r="Q1657" s="2"/>
      <c r="R1657" s="10">
        <v>24.0</v>
      </c>
      <c r="S1657" s="49" t="s">
        <v>193</v>
      </c>
      <c r="T1657" s="49" t="s">
        <v>193</v>
      </c>
      <c r="U1657" s="10"/>
      <c r="V1657" s="2"/>
      <c r="W1657" s="15"/>
      <c r="X1657" s="15"/>
      <c r="Y1657" s="15"/>
      <c r="Z1657" s="15"/>
      <c r="AA1657" s="1"/>
      <c r="AB1657" s="15"/>
      <c r="AC1657" s="15"/>
      <c r="AD1657" s="15"/>
      <c r="AE1657" s="15"/>
      <c r="AF1657" s="2"/>
      <c r="AG1657" s="16" t="s">
        <v>45</v>
      </c>
      <c r="AH1657" s="16" t="s">
        <v>45</v>
      </c>
      <c r="AI1657" s="16" t="s">
        <v>45</v>
      </c>
      <c r="AJ1657" s="16" t="s">
        <v>45</v>
      </c>
      <c r="AK1657" s="30" t="s">
        <v>227</v>
      </c>
      <c r="AL1657" s="10" t="s">
        <v>49</v>
      </c>
      <c r="AM1657" s="16" t="s">
        <v>45</v>
      </c>
      <c r="AN1657" s="16" t="s">
        <v>45</v>
      </c>
    </row>
    <row r="1658" ht="30.0" customHeight="1">
      <c r="A1658" s="9" t="str">
        <f t="shared" si="48"/>
        <v>N/I</v>
      </c>
      <c r="B1658" s="9" t="str">
        <f t="shared" si="49"/>
        <v>N/I</v>
      </c>
      <c r="C1658" s="9" t="str">
        <f t="shared" si="80"/>
        <v>N/I</v>
      </c>
      <c r="D1658" s="10" t="s">
        <v>5358</v>
      </c>
      <c r="E1658" s="11" t="s">
        <v>5359</v>
      </c>
      <c r="F1658" s="32" t="s">
        <v>5383</v>
      </c>
      <c r="G1658" s="12" t="s">
        <v>448</v>
      </c>
      <c r="H1658" s="63" t="s">
        <v>187</v>
      </c>
      <c r="I1658" s="12" t="s">
        <v>370</v>
      </c>
      <c r="J1658" s="10" t="s">
        <v>89</v>
      </c>
      <c r="K1658" s="10" t="s">
        <v>41</v>
      </c>
      <c r="L1658" s="10" t="s">
        <v>4</v>
      </c>
      <c r="M1658" s="49" t="s">
        <v>193</v>
      </c>
      <c r="N1658" s="11" t="s">
        <v>5381</v>
      </c>
      <c r="O1658" s="10" t="s">
        <v>5382</v>
      </c>
      <c r="P1658" s="10" t="s">
        <v>5364</v>
      </c>
      <c r="Q1658" s="2"/>
      <c r="R1658" s="10">
        <v>24.0</v>
      </c>
      <c r="S1658" s="49" t="s">
        <v>193</v>
      </c>
      <c r="T1658" s="49" t="s">
        <v>193</v>
      </c>
      <c r="U1658" s="10"/>
      <c r="V1658" s="2"/>
      <c r="W1658" s="15"/>
      <c r="X1658" s="15"/>
      <c r="Y1658" s="15"/>
      <c r="Z1658" s="15"/>
      <c r="AA1658" s="1"/>
      <c r="AB1658" s="15"/>
      <c r="AC1658" s="15"/>
      <c r="AD1658" s="15"/>
      <c r="AE1658" s="15"/>
      <c r="AF1658" s="2"/>
      <c r="AG1658" s="16" t="s">
        <v>45</v>
      </c>
      <c r="AH1658" s="16" t="s">
        <v>45</v>
      </c>
      <c r="AI1658" s="16" t="s">
        <v>45</v>
      </c>
      <c r="AJ1658" s="16" t="s">
        <v>45</v>
      </c>
      <c r="AK1658" s="30" t="s">
        <v>227</v>
      </c>
      <c r="AL1658" s="10" t="s">
        <v>49</v>
      </c>
      <c r="AM1658" s="16" t="s">
        <v>45</v>
      </c>
      <c r="AN1658" s="16" t="s">
        <v>45</v>
      </c>
    </row>
    <row r="1659" ht="30.0" customHeight="1">
      <c r="A1659" s="9" t="str">
        <f t="shared" si="48"/>
        <v>Ativo</v>
      </c>
      <c r="B1659" s="9" t="str">
        <f t="shared" si="49"/>
        <v>N/I</v>
      </c>
      <c r="C1659" s="9" t="str">
        <f t="shared" si="80"/>
        <v>N/I</v>
      </c>
      <c r="D1659" s="10" t="s">
        <v>5358</v>
      </c>
      <c r="E1659" s="11" t="s">
        <v>5359</v>
      </c>
      <c r="F1659" s="32" t="s">
        <v>5384</v>
      </c>
      <c r="G1659" s="12" t="s">
        <v>448</v>
      </c>
      <c r="H1659" s="18" t="s">
        <v>5385</v>
      </c>
      <c r="I1659" s="12" t="s">
        <v>370</v>
      </c>
      <c r="J1659" s="10" t="s">
        <v>89</v>
      </c>
      <c r="K1659" s="10" t="s">
        <v>41</v>
      </c>
      <c r="L1659" s="10" t="s">
        <v>4</v>
      </c>
      <c r="M1659" s="14">
        <v>45953.0</v>
      </c>
      <c r="N1659" s="11" t="s">
        <v>5386</v>
      </c>
      <c r="O1659" s="10" t="s">
        <v>5387</v>
      </c>
      <c r="P1659" s="10" t="s">
        <v>5364</v>
      </c>
      <c r="Q1659" s="2"/>
      <c r="R1659" s="10">
        <v>24.0</v>
      </c>
      <c r="S1659" s="14">
        <v>45953.0</v>
      </c>
      <c r="T1659" s="14">
        <v>46683.0</v>
      </c>
      <c r="U1659" s="10">
        <f>T1659-TODAY()</f>
        <v>592</v>
      </c>
      <c r="V1659" s="2"/>
      <c r="W1659" s="15"/>
      <c r="X1659" s="15"/>
      <c r="Y1659" s="15"/>
      <c r="Z1659" s="15"/>
      <c r="AA1659" s="1"/>
      <c r="AB1659" s="15"/>
      <c r="AC1659" s="15"/>
      <c r="AD1659" s="15"/>
      <c r="AE1659" s="15"/>
      <c r="AF1659" s="2"/>
      <c r="AG1659" s="16" t="s">
        <v>45</v>
      </c>
      <c r="AH1659" s="16" t="s">
        <v>45</v>
      </c>
      <c r="AI1659" s="16" t="s">
        <v>45</v>
      </c>
      <c r="AJ1659" s="16" t="s">
        <v>45</v>
      </c>
      <c r="AK1659" s="30" t="s">
        <v>227</v>
      </c>
      <c r="AL1659" s="10" t="s">
        <v>49</v>
      </c>
      <c r="AM1659" s="16" t="s">
        <v>45</v>
      </c>
      <c r="AN1659" s="16" t="s">
        <v>45</v>
      </c>
    </row>
    <row r="1660" ht="30.0" customHeight="1">
      <c r="A1660" s="9" t="str">
        <f t="shared" si="48"/>
        <v>N/I</v>
      </c>
      <c r="B1660" s="9" t="str">
        <f t="shared" si="49"/>
        <v>N/I</v>
      </c>
      <c r="C1660" s="9" t="str">
        <f t="shared" si="80"/>
        <v>N/I</v>
      </c>
      <c r="D1660" s="10" t="s">
        <v>5358</v>
      </c>
      <c r="E1660" s="11" t="s">
        <v>5359</v>
      </c>
      <c r="F1660" s="32" t="s">
        <v>5388</v>
      </c>
      <c r="G1660" s="12" t="s">
        <v>448</v>
      </c>
      <c r="H1660" s="63" t="s">
        <v>187</v>
      </c>
      <c r="I1660" s="12" t="s">
        <v>370</v>
      </c>
      <c r="J1660" s="10" t="s">
        <v>89</v>
      </c>
      <c r="K1660" s="10" t="s">
        <v>41</v>
      </c>
      <c r="L1660" s="10" t="s">
        <v>4</v>
      </c>
      <c r="M1660" s="49" t="s">
        <v>193</v>
      </c>
      <c r="N1660" s="11" t="s">
        <v>5389</v>
      </c>
      <c r="O1660" s="10" t="s">
        <v>5390</v>
      </c>
      <c r="P1660" s="10" t="s">
        <v>5364</v>
      </c>
      <c r="Q1660" s="2"/>
      <c r="R1660" s="10">
        <v>24.0</v>
      </c>
      <c r="S1660" s="49" t="s">
        <v>193</v>
      </c>
      <c r="T1660" s="49" t="s">
        <v>193</v>
      </c>
      <c r="U1660" s="10"/>
      <c r="V1660" s="2"/>
      <c r="W1660" s="15"/>
      <c r="X1660" s="15"/>
      <c r="Y1660" s="15"/>
      <c r="Z1660" s="15"/>
      <c r="AA1660" s="1"/>
      <c r="AB1660" s="15"/>
      <c r="AC1660" s="15"/>
      <c r="AD1660" s="15"/>
      <c r="AE1660" s="15"/>
      <c r="AF1660" s="2"/>
      <c r="AG1660" s="16" t="s">
        <v>45</v>
      </c>
      <c r="AH1660" s="16" t="s">
        <v>45</v>
      </c>
      <c r="AI1660" s="16" t="s">
        <v>45</v>
      </c>
      <c r="AJ1660" s="16" t="s">
        <v>45</v>
      </c>
      <c r="AK1660" s="30" t="s">
        <v>227</v>
      </c>
      <c r="AL1660" s="10" t="s">
        <v>49</v>
      </c>
      <c r="AM1660" s="16" t="s">
        <v>45</v>
      </c>
      <c r="AN1660" s="16" t="s">
        <v>45</v>
      </c>
    </row>
    <row r="1661" ht="30.0" customHeight="1">
      <c r="A1661" s="9" t="str">
        <f t="shared" si="48"/>
        <v>N/I</v>
      </c>
      <c r="B1661" s="9" t="str">
        <f t="shared" si="49"/>
        <v>N/I</v>
      </c>
      <c r="C1661" s="9" t="str">
        <f t="shared" si="80"/>
        <v>N/I</v>
      </c>
      <c r="D1661" s="10" t="s">
        <v>5358</v>
      </c>
      <c r="E1661" s="11" t="s">
        <v>5359</v>
      </c>
      <c r="F1661" s="32" t="s">
        <v>5391</v>
      </c>
      <c r="G1661" s="12" t="s">
        <v>448</v>
      </c>
      <c r="H1661" s="63" t="s">
        <v>187</v>
      </c>
      <c r="I1661" s="12" t="s">
        <v>370</v>
      </c>
      <c r="J1661" s="10" t="s">
        <v>89</v>
      </c>
      <c r="K1661" s="10" t="s">
        <v>41</v>
      </c>
      <c r="L1661" s="10" t="s">
        <v>4</v>
      </c>
      <c r="M1661" s="49" t="s">
        <v>193</v>
      </c>
      <c r="N1661" s="11" t="s">
        <v>5392</v>
      </c>
      <c r="O1661" s="10" t="s">
        <v>5393</v>
      </c>
      <c r="P1661" s="10" t="s">
        <v>5364</v>
      </c>
      <c r="Q1661" s="2"/>
      <c r="R1661" s="10">
        <v>24.0</v>
      </c>
      <c r="S1661" s="49" t="s">
        <v>193</v>
      </c>
      <c r="T1661" s="49" t="s">
        <v>193</v>
      </c>
      <c r="U1661" s="10"/>
      <c r="V1661" s="2"/>
      <c r="W1661" s="15"/>
      <c r="X1661" s="15"/>
      <c r="Y1661" s="15"/>
      <c r="Z1661" s="15"/>
      <c r="AA1661" s="1"/>
      <c r="AB1661" s="15"/>
      <c r="AC1661" s="15"/>
      <c r="AD1661" s="15"/>
      <c r="AE1661" s="15"/>
      <c r="AF1661" s="2"/>
      <c r="AG1661" s="16" t="s">
        <v>45</v>
      </c>
      <c r="AH1661" s="16" t="s">
        <v>45</v>
      </c>
      <c r="AI1661" s="16" t="s">
        <v>45</v>
      </c>
      <c r="AJ1661" s="16" t="s">
        <v>45</v>
      </c>
      <c r="AK1661" s="30" t="s">
        <v>227</v>
      </c>
      <c r="AL1661" s="10" t="s">
        <v>49</v>
      </c>
      <c r="AM1661" s="16" t="s">
        <v>45</v>
      </c>
      <c r="AN1661" s="16" t="s">
        <v>45</v>
      </c>
    </row>
    <row r="1662" ht="30.0" customHeight="1">
      <c r="A1662" s="9" t="str">
        <f t="shared" si="48"/>
        <v>N/I</v>
      </c>
      <c r="B1662" s="9" t="str">
        <f t="shared" si="49"/>
        <v>N/I</v>
      </c>
      <c r="C1662" s="9" t="str">
        <f t="shared" si="80"/>
        <v>N/I</v>
      </c>
      <c r="D1662" s="10" t="s">
        <v>5358</v>
      </c>
      <c r="E1662" s="11" t="s">
        <v>5359</v>
      </c>
      <c r="F1662" s="32" t="s">
        <v>5394</v>
      </c>
      <c r="G1662" s="12" t="s">
        <v>448</v>
      </c>
      <c r="H1662" s="63" t="s">
        <v>187</v>
      </c>
      <c r="I1662" s="12" t="s">
        <v>370</v>
      </c>
      <c r="J1662" s="10" t="s">
        <v>89</v>
      </c>
      <c r="K1662" s="10" t="s">
        <v>41</v>
      </c>
      <c r="L1662" s="10" t="s">
        <v>4</v>
      </c>
      <c r="M1662" s="49" t="s">
        <v>193</v>
      </c>
      <c r="N1662" s="11" t="s">
        <v>5392</v>
      </c>
      <c r="O1662" s="10" t="s">
        <v>5395</v>
      </c>
      <c r="P1662" s="10" t="s">
        <v>5364</v>
      </c>
      <c r="Q1662" s="2"/>
      <c r="R1662" s="10">
        <v>24.0</v>
      </c>
      <c r="S1662" s="49" t="s">
        <v>193</v>
      </c>
      <c r="T1662" s="49" t="s">
        <v>193</v>
      </c>
      <c r="U1662" s="10"/>
      <c r="V1662" s="2"/>
      <c r="W1662" s="15"/>
      <c r="X1662" s="15"/>
      <c r="Y1662" s="15"/>
      <c r="Z1662" s="15"/>
      <c r="AA1662" s="1"/>
      <c r="AB1662" s="15"/>
      <c r="AC1662" s="15"/>
      <c r="AD1662" s="15"/>
      <c r="AE1662" s="15"/>
      <c r="AF1662" s="2"/>
      <c r="AG1662" s="16" t="s">
        <v>45</v>
      </c>
      <c r="AH1662" s="16" t="s">
        <v>45</v>
      </c>
      <c r="AI1662" s="16" t="s">
        <v>45</v>
      </c>
      <c r="AJ1662" s="16" t="s">
        <v>45</v>
      </c>
      <c r="AK1662" s="30" t="s">
        <v>227</v>
      </c>
      <c r="AL1662" s="10" t="s">
        <v>49</v>
      </c>
      <c r="AM1662" s="16" t="s">
        <v>45</v>
      </c>
      <c r="AN1662" s="16" t="s">
        <v>45</v>
      </c>
    </row>
    <row r="1663" ht="30.0" customHeight="1">
      <c r="A1663" s="9" t="str">
        <f t="shared" si="48"/>
        <v>N/I</v>
      </c>
      <c r="B1663" s="9" t="str">
        <f t="shared" si="49"/>
        <v>N/I</v>
      </c>
      <c r="C1663" s="9" t="str">
        <f t="shared" si="80"/>
        <v>N/I</v>
      </c>
      <c r="D1663" s="10" t="s">
        <v>5358</v>
      </c>
      <c r="E1663" s="11" t="s">
        <v>5359</v>
      </c>
      <c r="F1663" s="32" t="s">
        <v>5396</v>
      </c>
      <c r="G1663" s="12" t="s">
        <v>448</v>
      </c>
      <c r="H1663" s="63" t="s">
        <v>187</v>
      </c>
      <c r="I1663" s="12" t="s">
        <v>370</v>
      </c>
      <c r="J1663" s="10" t="s">
        <v>89</v>
      </c>
      <c r="K1663" s="10" t="s">
        <v>41</v>
      </c>
      <c r="L1663" s="10" t="s">
        <v>4</v>
      </c>
      <c r="M1663" s="49" t="s">
        <v>193</v>
      </c>
      <c r="N1663" s="11" t="s">
        <v>5397</v>
      </c>
      <c r="O1663" s="10" t="s">
        <v>5398</v>
      </c>
      <c r="P1663" s="10" t="s">
        <v>5364</v>
      </c>
      <c r="Q1663" s="2"/>
      <c r="R1663" s="10">
        <v>24.0</v>
      </c>
      <c r="S1663" s="49" t="s">
        <v>193</v>
      </c>
      <c r="T1663" s="49" t="s">
        <v>193</v>
      </c>
      <c r="U1663" s="10"/>
      <c r="V1663" s="2"/>
      <c r="W1663" s="15"/>
      <c r="X1663" s="15"/>
      <c r="Y1663" s="15"/>
      <c r="Z1663" s="15"/>
      <c r="AA1663" s="1"/>
      <c r="AB1663" s="15"/>
      <c r="AC1663" s="15"/>
      <c r="AD1663" s="15"/>
      <c r="AE1663" s="15"/>
      <c r="AF1663" s="2"/>
      <c r="AG1663" s="16" t="s">
        <v>45</v>
      </c>
      <c r="AH1663" s="16" t="s">
        <v>45</v>
      </c>
      <c r="AI1663" s="16" t="s">
        <v>45</v>
      </c>
      <c r="AJ1663" s="16" t="s">
        <v>45</v>
      </c>
      <c r="AK1663" s="30" t="s">
        <v>227</v>
      </c>
      <c r="AL1663" s="10" t="s">
        <v>49</v>
      </c>
      <c r="AM1663" s="16" t="s">
        <v>45</v>
      </c>
      <c r="AN1663" s="16" t="s">
        <v>45</v>
      </c>
    </row>
    <row r="1664" ht="30.0" customHeight="1">
      <c r="A1664" s="9" t="str">
        <f t="shared" si="48"/>
        <v>Ativo</v>
      </c>
      <c r="B1664" s="9" t="str">
        <f t="shared" si="49"/>
        <v>N/I</v>
      </c>
      <c r="C1664" s="9" t="str">
        <f t="shared" si="80"/>
        <v>N/I</v>
      </c>
      <c r="D1664" s="10" t="s">
        <v>5358</v>
      </c>
      <c r="E1664" s="11" t="s">
        <v>5359</v>
      </c>
      <c r="F1664" s="32" t="s">
        <v>5399</v>
      </c>
      <c r="G1664" s="12" t="s">
        <v>448</v>
      </c>
      <c r="H1664" s="18" t="s">
        <v>5400</v>
      </c>
      <c r="I1664" s="12" t="s">
        <v>370</v>
      </c>
      <c r="J1664" s="10" t="s">
        <v>89</v>
      </c>
      <c r="K1664" s="10" t="s">
        <v>5401</v>
      </c>
      <c r="L1664" s="10" t="s">
        <v>4</v>
      </c>
      <c r="M1664" s="14">
        <v>45952.0</v>
      </c>
      <c r="N1664" s="11" t="s">
        <v>5402</v>
      </c>
      <c r="O1664" s="10" t="s">
        <v>5398</v>
      </c>
      <c r="P1664" s="10" t="s">
        <v>5364</v>
      </c>
      <c r="Q1664" s="2"/>
      <c r="R1664" s="10">
        <v>24.0</v>
      </c>
      <c r="S1664" s="14">
        <v>45952.0</v>
      </c>
      <c r="T1664" s="14">
        <v>46682.0</v>
      </c>
      <c r="U1664" s="10">
        <f t="shared" ref="U1664:U1666" si="140">T1664-TODAY()</f>
        <v>591</v>
      </c>
      <c r="V1664" s="2"/>
      <c r="W1664" s="15"/>
      <c r="X1664" s="15"/>
      <c r="Y1664" s="15"/>
      <c r="Z1664" s="15"/>
      <c r="AA1664" s="1"/>
      <c r="AB1664" s="15"/>
      <c r="AC1664" s="15"/>
      <c r="AD1664" s="15"/>
      <c r="AE1664" s="15"/>
      <c r="AF1664" s="2"/>
      <c r="AG1664" s="16" t="s">
        <v>45</v>
      </c>
      <c r="AH1664" s="16" t="s">
        <v>45</v>
      </c>
      <c r="AI1664" s="16" t="s">
        <v>45</v>
      </c>
      <c r="AJ1664" s="16" t="s">
        <v>45</v>
      </c>
      <c r="AK1664" s="30" t="s">
        <v>227</v>
      </c>
      <c r="AL1664" s="10" t="s">
        <v>49</v>
      </c>
      <c r="AM1664" s="16" t="s">
        <v>45</v>
      </c>
      <c r="AN1664" s="16" t="s">
        <v>45</v>
      </c>
    </row>
    <row r="1665" ht="30.0" customHeight="1">
      <c r="A1665" s="9" t="str">
        <f t="shared" si="48"/>
        <v>Ativo</v>
      </c>
      <c r="B1665" s="9" t="str">
        <f t="shared" si="49"/>
        <v>N/I</v>
      </c>
      <c r="C1665" s="9" t="str">
        <f t="shared" si="80"/>
        <v>N/I</v>
      </c>
      <c r="D1665" s="10" t="s">
        <v>5358</v>
      </c>
      <c r="E1665" s="11" t="s">
        <v>5359</v>
      </c>
      <c r="F1665" s="32" t="s">
        <v>5403</v>
      </c>
      <c r="G1665" s="12" t="s">
        <v>448</v>
      </c>
      <c r="H1665" s="18" t="s">
        <v>5404</v>
      </c>
      <c r="I1665" s="12" t="s">
        <v>370</v>
      </c>
      <c r="J1665" s="10" t="s">
        <v>89</v>
      </c>
      <c r="K1665" s="10" t="s">
        <v>5401</v>
      </c>
      <c r="L1665" s="10" t="s">
        <v>4</v>
      </c>
      <c r="M1665" s="14">
        <v>45951.0</v>
      </c>
      <c r="N1665" s="11" t="s">
        <v>5405</v>
      </c>
      <c r="O1665" s="10" t="s">
        <v>5406</v>
      </c>
      <c r="P1665" s="10" t="s">
        <v>5364</v>
      </c>
      <c r="Q1665" s="2"/>
      <c r="R1665" s="10">
        <v>24.0</v>
      </c>
      <c r="S1665" s="14">
        <v>45951.0</v>
      </c>
      <c r="T1665" s="14">
        <v>46681.0</v>
      </c>
      <c r="U1665" s="10">
        <f t="shared" si="140"/>
        <v>590</v>
      </c>
      <c r="V1665" s="2"/>
      <c r="W1665" s="15"/>
      <c r="X1665" s="15"/>
      <c r="Y1665" s="15"/>
      <c r="Z1665" s="15"/>
      <c r="AA1665" s="1"/>
      <c r="AB1665" s="15"/>
      <c r="AC1665" s="15"/>
      <c r="AD1665" s="15"/>
      <c r="AE1665" s="15"/>
      <c r="AF1665" s="2"/>
      <c r="AG1665" s="16" t="s">
        <v>45</v>
      </c>
      <c r="AH1665" s="16" t="s">
        <v>45</v>
      </c>
      <c r="AI1665" s="16" t="s">
        <v>45</v>
      </c>
      <c r="AJ1665" s="16" t="s">
        <v>45</v>
      </c>
      <c r="AK1665" s="30" t="s">
        <v>227</v>
      </c>
      <c r="AL1665" s="10" t="s">
        <v>49</v>
      </c>
      <c r="AM1665" s="16" t="s">
        <v>45</v>
      </c>
      <c r="AN1665" s="16" t="s">
        <v>45</v>
      </c>
    </row>
    <row r="1666" ht="30.0" customHeight="1">
      <c r="A1666" s="9" t="str">
        <f t="shared" si="48"/>
        <v>Ativo</v>
      </c>
      <c r="B1666" s="9" t="str">
        <f t="shared" si="49"/>
        <v>N/I</v>
      </c>
      <c r="C1666" s="9" t="str">
        <f t="shared" si="80"/>
        <v>N/I</v>
      </c>
      <c r="D1666" s="10" t="s">
        <v>5218</v>
      </c>
      <c r="E1666" s="11" t="s">
        <v>5219</v>
      </c>
      <c r="F1666" s="32" t="s">
        <v>398</v>
      </c>
      <c r="G1666" s="12" t="s">
        <v>52</v>
      </c>
      <c r="H1666" s="18" t="s">
        <v>5407</v>
      </c>
      <c r="I1666" s="12" t="s">
        <v>332</v>
      </c>
      <c r="J1666" s="10" t="s">
        <v>197</v>
      </c>
      <c r="K1666" s="10" t="s">
        <v>40</v>
      </c>
      <c r="L1666" s="10" t="s">
        <v>4</v>
      </c>
      <c r="M1666" s="14">
        <v>45933.0</v>
      </c>
      <c r="N1666" s="11" t="s">
        <v>5226</v>
      </c>
      <c r="O1666" s="10" t="s">
        <v>5408</v>
      </c>
      <c r="P1666" s="10" t="s">
        <v>5409</v>
      </c>
      <c r="Q1666" s="2"/>
      <c r="R1666" s="10">
        <v>24.0</v>
      </c>
      <c r="S1666" s="14">
        <v>45933.0</v>
      </c>
      <c r="T1666" s="14">
        <v>46663.0</v>
      </c>
      <c r="U1666" s="10">
        <f t="shared" si="140"/>
        <v>572</v>
      </c>
      <c r="V1666" s="2"/>
      <c r="W1666" s="15"/>
      <c r="X1666" s="15"/>
      <c r="Y1666" s="15"/>
      <c r="Z1666" s="15"/>
      <c r="AA1666" s="1"/>
      <c r="AB1666" s="15"/>
      <c r="AC1666" s="15"/>
      <c r="AD1666" s="15"/>
      <c r="AE1666" s="15"/>
      <c r="AF1666" s="2"/>
      <c r="AG1666" s="10" t="s">
        <v>354</v>
      </c>
      <c r="AH1666" s="12" t="s">
        <v>46</v>
      </c>
      <c r="AI1666" s="10" t="s">
        <v>227</v>
      </c>
      <c r="AJ1666" s="10" t="s">
        <v>356</v>
      </c>
      <c r="AK1666" s="16" t="s">
        <v>45</v>
      </c>
      <c r="AL1666" s="16" t="s">
        <v>45</v>
      </c>
      <c r="AM1666" s="16" t="s">
        <v>45</v>
      </c>
      <c r="AN1666" s="10" t="s">
        <v>50</v>
      </c>
    </row>
    <row r="1667" ht="30.0" customHeight="1">
      <c r="A1667" s="9" t="str">
        <f t="shared" si="48"/>
        <v>N/I</v>
      </c>
      <c r="B1667" s="9" t="str">
        <f t="shared" si="49"/>
        <v>N/I</v>
      </c>
      <c r="C1667" s="9" t="str">
        <f t="shared" si="80"/>
        <v>N/I</v>
      </c>
      <c r="D1667" s="10" t="s">
        <v>5012</v>
      </c>
      <c r="E1667" s="11" t="s">
        <v>5013</v>
      </c>
      <c r="F1667" s="11" t="s">
        <v>5024</v>
      </c>
      <c r="G1667" s="12" t="s">
        <v>448</v>
      </c>
      <c r="H1667" s="63" t="s">
        <v>187</v>
      </c>
      <c r="I1667" s="12" t="s">
        <v>463</v>
      </c>
      <c r="J1667" s="10" t="s">
        <v>222</v>
      </c>
      <c r="K1667" s="10" t="s">
        <v>40</v>
      </c>
      <c r="L1667" s="10" t="s">
        <v>4</v>
      </c>
      <c r="M1667" s="49" t="s">
        <v>193</v>
      </c>
      <c r="N1667" s="11" t="s">
        <v>5026</v>
      </c>
      <c r="O1667" s="10" t="s">
        <v>4745</v>
      </c>
      <c r="P1667" s="10" t="s">
        <v>5410</v>
      </c>
      <c r="Q1667" s="2"/>
      <c r="R1667" s="10">
        <v>36.0</v>
      </c>
      <c r="S1667" s="24" t="s">
        <v>193</v>
      </c>
      <c r="T1667" s="24" t="s">
        <v>193</v>
      </c>
      <c r="U1667" s="10"/>
      <c r="V1667" s="2"/>
      <c r="W1667" s="15"/>
      <c r="X1667" s="15"/>
      <c r="Y1667" s="15"/>
      <c r="Z1667" s="15"/>
      <c r="AA1667" s="1"/>
      <c r="AB1667" s="15"/>
      <c r="AC1667" s="15"/>
      <c r="AD1667" s="15"/>
      <c r="AE1667" s="15"/>
      <c r="AF1667" s="2"/>
      <c r="AG1667" s="10" t="s">
        <v>354</v>
      </c>
      <c r="AH1667" s="12" t="s">
        <v>46</v>
      </c>
      <c r="AI1667" s="30" t="s">
        <v>227</v>
      </c>
      <c r="AJ1667" s="30" t="s">
        <v>356</v>
      </c>
      <c r="AK1667" s="16" t="s">
        <v>45</v>
      </c>
      <c r="AL1667" s="10" t="s">
        <v>49</v>
      </c>
      <c r="AM1667" s="16" t="s">
        <v>45</v>
      </c>
      <c r="AN1667" s="30" t="s">
        <v>50</v>
      </c>
    </row>
    <row r="1668" ht="30.0" customHeight="1">
      <c r="A1668" s="9" t="str">
        <f t="shared" si="48"/>
        <v>N/I</v>
      </c>
      <c r="B1668" s="9" t="str">
        <f t="shared" si="49"/>
        <v>N/I</v>
      </c>
      <c r="C1668" s="9" t="str">
        <f t="shared" si="80"/>
        <v>N/I</v>
      </c>
      <c r="D1668" s="10" t="s">
        <v>5012</v>
      </c>
      <c r="E1668" s="11" t="s">
        <v>5013</v>
      </c>
      <c r="F1668" s="11" t="s">
        <v>5024</v>
      </c>
      <c r="G1668" s="12" t="s">
        <v>448</v>
      </c>
      <c r="H1668" s="63" t="s">
        <v>187</v>
      </c>
      <c r="I1668" s="12" t="s">
        <v>463</v>
      </c>
      <c r="J1668" s="10" t="s">
        <v>222</v>
      </c>
      <c r="K1668" s="10" t="s">
        <v>40</v>
      </c>
      <c r="L1668" s="10" t="s">
        <v>4</v>
      </c>
      <c r="M1668" s="49" t="s">
        <v>193</v>
      </c>
      <c r="N1668" s="11" t="s">
        <v>5026</v>
      </c>
      <c r="O1668" s="10" t="s">
        <v>4745</v>
      </c>
      <c r="P1668" s="10" t="s">
        <v>5410</v>
      </c>
      <c r="Q1668" s="2"/>
      <c r="R1668" s="10">
        <v>36.0</v>
      </c>
      <c r="S1668" s="24" t="s">
        <v>193</v>
      </c>
      <c r="T1668" s="24" t="s">
        <v>193</v>
      </c>
      <c r="U1668" s="10"/>
      <c r="V1668" s="2"/>
      <c r="W1668" s="15"/>
      <c r="X1668" s="15"/>
      <c r="Y1668" s="15"/>
      <c r="Z1668" s="15"/>
      <c r="AA1668" s="1"/>
      <c r="AB1668" s="15"/>
      <c r="AC1668" s="15"/>
      <c r="AD1668" s="15"/>
      <c r="AE1668" s="15"/>
      <c r="AF1668" s="2"/>
      <c r="AG1668" s="10" t="s">
        <v>354</v>
      </c>
      <c r="AH1668" s="12" t="s">
        <v>46</v>
      </c>
      <c r="AI1668" s="30" t="s">
        <v>227</v>
      </c>
      <c r="AJ1668" s="30" t="s">
        <v>291</v>
      </c>
      <c r="AK1668" s="16" t="s">
        <v>45</v>
      </c>
      <c r="AL1668" s="10" t="s">
        <v>49</v>
      </c>
      <c r="AM1668" s="16" t="s">
        <v>45</v>
      </c>
      <c r="AN1668" s="30" t="s">
        <v>50</v>
      </c>
    </row>
    <row r="1669" ht="30.0" customHeight="1">
      <c r="A1669" s="9" t="str">
        <f t="shared" si="48"/>
        <v>N/I</v>
      </c>
      <c r="B1669" s="9" t="str">
        <f t="shared" si="49"/>
        <v>N/I</v>
      </c>
      <c r="C1669" s="9" t="str">
        <f t="shared" si="80"/>
        <v>N/I</v>
      </c>
      <c r="D1669" s="10" t="s">
        <v>5012</v>
      </c>
      <c r="E1669" s="11" t="s">
        <v>5013</v>
      </c>
      <c r="F1669" s="11" t="s">
        <v>5024</v>
      </c>
      <c r="G1669" s="12" t="s">
        <v>94</v>
      </c>
      <c r="H1669" s="63" t="s">
        <v>187</v>
      </c>
      <c r="I1669" s="12" t="s">
        <v>463</v>
      </c>
      <c r="J1669" s="10" t="s">
        <v>222</v>
      </c>
      <c r="K1669" s="10" t="s">
        <v>40</v>
      </c>
      <c r="L1669" s="10" t="s">
        <v>4</v>
      </c>
      <c r="M1669" s="49" t="s">
        <v>193</v>
      </c>
      <c r="N1669" s="11" t="s">
        <v>5026</v>
      </c>
      <c r="O1669" s="10" t="s">
        <v>4745</v>
      </c>
      <c r="P1669" s="10" t="s">
        <v>5410</v>
      </c>
      <c r="Q1669" s="2"/>
      <c r="R1669" s="10">
        <v>36.0</v>
      </c>
      <c r="S1669" s="24" t="s">
        <v>193</v>
      </c>
      <c r="T1669" s="24" t="s">
        <v>193</v>
      </c>
      <c r="U1669" s="10"/>
      <c r="V1669" s="2"/>
      <c r="W1669" s="15"/>
      <c r="X1669" s="15"/>
      <c r="Y1669" s="15"/>
      <c r="Z1669" s="15"/>
      <c r="AA1669" s="1"/>
      <c r="AB1669" s="15"/>
      <c r="AC1669" s="15"/>
      <c r="AD1669" s="15"/>
      <c r="AE1669" s="15"/>
      <c r="AF1669" s="2"/>
      <c r="AG1669" s="10" t="s">
        <v>354</v>
      </c>
      <c r="AH1669" s="12" t="s">
        <v>46</v>
      </c>
      <c r="AI1669" s="30" t="s">
        <v>227</v>
      </c>
      <c r="AJ1669" s="30" t="s">
        <v>291</v>
      </c>
      <c r="AK1669" s="16" t="s">
        <v>45</v>
      </c>
      <c r="AL1669" s="10" t="s">
        <v>49</v>
      </c>
      <c r="AM1669" s="16" t="s">
        <v>45</v>
      </c>
      <c r="AN1669" s="30" t="s">
        <v>50</v>
      </c>
    </row>
    <row r="1670" ht="30.0" customHeight="1">
      <c r="A1670" s="9" t="str">
        <f t="shared" si="48"/>
        <v>Ativo</v>
      </c>
      <c r="B1670" s="9" t="str">
        <f t="shared" si="49"/>
        <v>N/I</v>
      </c>
      <c r="C1670" s="9" t="str">
        <f t="shared" si="80"/>
        <v>N/I</v>
      </c>
      <c r="D1670" s="10" t="s">
        <v>5411</v>
      </c>
      <c r="E1670" s="11" t="s">
        <v>5412</v>
      </c>
      <c r="F1670" s="32" t="s">
        <v>5413</v>
      </c>
      <c r="G1670" s="12" t="s">
        <v>94</v>
      </c>
      <c r="H1670" s="18" t="s">
        <v>5414</v>
      </c>
      <c r="I1670" s="12" t="s">
        <v>39</v>
      </c>
      <c r="J1670" s="10" t="s">
        <v>40</v>
      </c>
      <c r="K1670" s="10" t="s">
        <v>41</v>
      </c>
      <c r="L1670" s="10" t="s">
        <v>4</v>
      </c>
      <c r="M1670" s="14">
        <v>45951.0</v>
      </c>
      <c r="N1670" s="11" t="s">
        <v>5415</v>
      </c>
      <c r="O1670" s="10" t="s">
        <v>5416</v>
      </c>
      <c r="P1670" s="10" t="s">
        <v>5417</v>
      </c>
      <c r="Q1670" s="2"/>
      <c r="R1670" s="10">
        <v>36.0</v>
      </c>
      <c r="S1670" s="14">
        <v>45964.0</v>
      </c>
      <c r="T1670" s="14">
        <v>47060.0</v>
      </c>
      <c r="U1670" s="10">
        <f t="shared" ref="U1670:U1671" si="141">T1670-TODAY()</f>
        <v>969</v>
      </c>
      <c r="V1670" s="2"/>
      <c r="W1670" s="15"/>
      <c r="X1670" s="15"/>
      <c r="Y1670" s="15"/>
      <c r="Z1670" s="15"/>
      <c r="AA1670" s="1"/>
      <c r="AB1670" s="15"/>
      <c r="AC1670" s="15"/>
      <c r="AD1670" s="15"/>
      <c r="AE1670" s="15"/>
      <c r="AF1670" s="2"/>
      <c r="AG1670" s="10" t="s">
        <v>2497</v>
      </c>
      <c r="AH1670" s="12" t="s">
        <v>46</v>
      </c>
      <c r="AI1670" s="16" t="s">
        <v>45</v>
      </c>
      <c r="AJ1670" s="16" t="s">
        <v>45</v>
      </c>
      <c r="AK1670" s="16" t="s">
        <v>45</v>
      </c>
      <c r="AL1670" s="16" t="s">
        <v>45</v>
      </c>
      <c r="AM1670" s="16" t="s">
        <v>45</v>
      </c>
      <c r="AN1670" s="30" t="s">
        <v>320</v>
      </c>
    </row>
    <row r="1671" ht="30.0" customHeight="1">
      <c r="A1671" s="9" t="str">
        <f t="shared" si="48"/>
        <v>Ativo</v>
      </c>
      <c r="B1671" s="9" t="str">
        <f t="shared" si="49"/>
        <v>N/I</v>
      </c>
      <c r="C1671" s="9" t="str">
        <f t="shared" si="80"/>
        <v>N/I</v>
      </c>
      <c r="D1671" s="10" t="s">
        <v>2348</v>
      </c>
      <c r="E1671" s="11" t="s">
        <v>2349</v>
      </c>
      <c r="F1671" s="32" t="s">
        <v>5418</v>
      </c>
      <c r="G1671" s="12" t="s">
        <v>94</v>
      </c>
      <c r="H1671" s="34" t="s">
        <v>5419</v>
      </c>
      <c r="I1671" s="12" t="s">
        <v>5420</v>
      </c>
      <c r="J1671" s="10" t="s">
        <v>895</v>
      </c>
      <c r="K1671" s="10" t="s">
        <v>41</v>
      </c>
      <c r="L1671" s="10" t="s">
        <v>4</v>
      </c>
      <c r="M1671" s="14">
        <v>45145.0</v>
      </c>
      <c r="N1671" s="59" t="s">
        <v>5421</v>
      </c>
      <c r="O1671" s="64" t="s">
        <v>5422</v>
      </c>
      <c r="P1671" s="10" t="s">
        <v>5423</v>
      </c>
      <c r="Q1671" s="2"/>
      <c r="R1671" s="64">
        <v>60.0</v>
      </c>
      <c r="S1671" s="65">
        <v>45145.0</v>
      </c>
      <c r="T1671" s="22">
        <v>47063.0</v>
      </c>
      <c r="U1671" s="66">
        <f t="shared" si="141"/>
        <v>972</v>
      </c>
      <c r="V1671" s="2"/>
      <c r="W1671" s="15"/>
      <c r="X1671" s="15"/>
      <c r="Y1671" s="15"/>
      <c r="Z1671" s="15"/>
      <c r="AA1671" s="1"/>
      <c r="AB1671" s="15"/>
      <c r="AC1671" s="15"/>
      <c r="AD1671" s="15"/>
      <c r="AE1671" s="15"/>
      <c r="AF1671" s="2"/>
      <c r="AG1671" s="16" t="s">
        <v>45</v>
      </c>
      <c r="AH1671" s="12" t="s">
        <v>46</v>
      </c>
      <c r="AI1671" s="10" t="s">
        <v>226</v>
      </c>
      <c r="AJ1671" s="10" t="s">
        <v>390</v>
      </c>
      <c r="AK1671" s="16" t="s">
        <v>45</v>
      </c>
      <c r="AL1671" s="10" t="s">
        <v>49</v>
      </c>
      <c r="AM1671" s="10" t="s">
        <v>664</v>
      </c>
      <c r="AN1671" s="10" t="s">
        <v>320</v>
      </c>
    </row>
  </sheetData>
  <autoFilter ref="$A$2:$AN$1671"/>
  <mergeCells count="5">
    <mergeCell ref="A1:P1"/>
    <mergeCell ref="R1:U1"/>
    <mergeCell ref="W1:Z1"/>
    <mergeCell ref="AB1:AE1"/>
    <mergeCell ref="AG1:AN1"/>
  </mergeCells>
  <conditionalFormatting sqref="A3:C1671">
    <cfRule type="beginsWith" dxfId="0" priority="1" operator="beginsWith" text="Ativo">
      <formula>LEFT((A3),LEN("Ativo"))=("Ativo")</formula>
    </cfRule>
  </conditionalFormatting>
  <dataValidations>
    <dataValidation type="list" allowBlank="1" showErrorMessage="1" sqref="K3:K1671">
      <formula1>"S,SE,N,NE,CO"</formula1>
    </dataValidation>
    <dataValidation type="list" allowBlank="1" showErrorMessage="1" sqref="L3:L880 L889:L1671">
      <formula1>"Garantia,Manutenção,Locação"</formula1>
    </dataValidation>
  </dataValidations>
  <hyperlinks>
    <hyperlink r:id="rId4" ref="F788"/>
  </hyperlinks>
  <printOptions/>
  <pageMargins bottom="0.787401575" footer="0.0" header="0.0" left="0.511811024" right="0.511811024" top="0.787401575"/>
  <pageSetup paperSize="9" orientation="portrait"/>
  <drawing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2.71"/>
    <col customWidth="1" min="2" max="2" width="36.86"/>
    <col customWidth="1" min="3" max="3" width="15.86"/>
    <col customWidth="1" min="4" max="4" width="29.57"/>
    <col customWidth="1" min="5" max="5" width="19.14"/>
    <col customWidth="1" min="6" max="6" width="20.29"/>
    <col customWidth="1" min="7" max="7" width="16.71"/>
    <col customWidth="1" min="8" max="8" width="8.71"/>
    <col customWidth="1" min="9" max="9" width="23.43"/>
    <col customWidth="1" min="10" max="10" width="25.43"/>
    <col customWidth="1" min="11" max="11" width="24.14"/>
    <col customWidth="1" min="12" max="12" width="24.0"/>
    <col customWidth="1" min="13" max="13" width="16.57"/>
    <col customWidth="1" min="14" max="14" width="16.71"/>
    <col customWidth="1" min="15" max="15" width="18.43"/>
    <col customWidth="1" min="16" max="18" width="8.71"/>
  </cols>
  <sheetData>
    <row r="1">
      <c r="A1" s="8" t="s">
        <v>8</v>
      </c>
      <c r="B1" s="8" t="s">
        <v>9</v>
      </c>
      <c r="C1" s="8" t="s">
        <v>10</v>
      </c>
      <c r="D1" s="7" t="s">
        <v>5424</v>
      </c>
      <c r="E1" s="8" t="s">
        <v>29</v>
      </c>
      <c r="F1" s="8" t="s">
        <v>19</v>
      </c>
      <c r="G1" s="8" t="s">
        <v>12</v>
      </c>
      <c r="H1" s="8" t="s">
        <v>13</v>
      </c>
      <c r="I1" s="8" t="s">
        <v>26</v>
      </c>
      <c r="J1" s="8" t="s">
        <v>27</v>
      </c>
      <c r="K1" s="8" t="s">
        <v>28</v>
      </c>
      <c r="L1" s="8" t="s">
        <v>30</v>
      </c>
      <c r="M1" s="8" t="s">
        <v>31</v>
      </c>
      <c r="N1" s="8" t="s">
        <v>32</v>
      </c>
      <c r="O1" s="8" t="s">
        <v>33</v>
      </c>
      <c r="P1" s="7" t="s">
        <v>4</v>
      </c>
      <c r="Q1" s="8" t="s">
        <v>5</v>
      </c>
      <c r="R1" s="8" t="s">
        <v>6</v>
      </c>
    </row>
    <row r="2">
      <c r="A2" s="11" t="s">
        <v>35</v>
      </c>
      <c r="B2" s="11" t="s">
        <v>36</v>
      </c>
      <c r="C2" s="12" t="s">
        <v>37</v>
      </c>
      <c r="D2" s="13" t="s">
        <v>38</v>
      </c>
      <c r="E2" s="10" t="s">
        <v>48</v>
      </c>
      <c r="F2" s="10" t="s">
        <v>44</v>
      </c>
      <c r="G2" s="12" t="s">
        <v>39</v>
      </c>
      <c r="H2" s="10" t="s">
        <v>40</v>
      </c>
      <c r="I2" s="16" t="s">
        <v>45</v>
      </c>
      <c r="J2" s="17" t="s">
        <v>46</v>
      </c>
      <c r="K2" s="18" t="s">
        <v>47</v>
      </c>
      <c r="L2" s="16" t="s">
        <v>45</v>
      </c>
      <c r="M2" s="10" t="s">
        <v>49</v>
      </c>
      <c r="N2" s="10" t="s">
        <v>48</v>
      </c>
      <c r="O2" s="10" t="s">
        <v>50</v>
      </c>
      <c r="P2" s="9" t="str">
        <f t="shared" ref="P2:P411" si="1">IF(AJ2&lt;0,"Inativo",IF(AJ2&gt;0,"Ativo","N/I"))</f>
        <v>N/I</v>
      </c>
      <c r="Q2" s="9" t="str">
        <f t="shared" ref="Q2:Q411" si="2">IF(AO2&lt;0,"Inativo",IF(AO2&gt;0,"Ativo","N/I"))</f>
        <v>N/I</v>
      </c>
      <c r="R2" s="9" t="str">
        <f t="shared" ref="R2:R411" si="3">IF(AT2&lt;0,"Inativo",IF(AT2&gt;0,"Ativo","N/I"))</f>
        <v>N/I</v>
      </c>
    </row>
    <row r="3">
      <c r="A3" s="11" t="s">
        <v>35</v>
      </c>
      <c r="B3" s="11" t="s">
        <v>36</v>
      </c>
      <c r="C3" s="12" t="s">
        <v>37</v>
      </c>
      <c r="D3" s="13" t="s">
        <v>51</v>
      </c>
      <c r="E3" s="10" t="s">
        <v>48</v>
      </c>
      <c r="F3" s="10" t="s">
        <v>44</v>
      </c>
      <c r="G3" s="12" t="s">
        <v>39</v>
      </c>
      <c r="H3" s="10" t="s">
        <v>40</v>
      </c>
      <c r="I3" s="16" t="s">
        <v>45</v>
      </c>
      <c r="J3" s="17" t="s">
        <v>46</v>
      </c>
      <c r="K3" s="18" t="s">
        <v>47</v>
      </c>
      <c r="L3" s="16" t="s">
        <v>45</v>
      </c>
      <c r="M3" s="10" t="s">
        <v>49</v>
      </c>
      <c r="N3" s="10" t="s">
        <v>48</v>
      </c>
      <c r="O3" s="10" t="s">
        <v>50</v>
      </c>
      <c r="P3" s="9" t="str">
        <f t="shared" si="1"/>
        <v>N/I</v>
      </c>
      <c r="Q3" s="9" t="str">
        <f t="shared" si="2"/>
        <v>N/I</v>
      </c>
      <c r="R3" s="9" t="str">
        <f t="shared" si="3"/>
        <v>N/I</v>
      </c>
    </row>
    <row r="4">
      <c r="A4" s="11" t="s">
        <v>35</v>
      </c>
      <c r="B4" s="11" t="s">
        <v>36</v>
      </c>
      <c r="C4" s="12" t="s">
        <v>52</v>
      </c>
      <c r="D4" s="13" t="s">
        <v>53</v>
      </c>
      <c r="E4" s="10" t="s">
        <v>48</v>
      </c>
      <c r="F4" s="10" t="s">
        <v>44</v>
      </c>
      <c r="G4" s="12" t="s">
        <v>39</v>
      </c>
      <c r="H4" s="10" t="s">
        <v>40</v>
      </c>
      <c r="I4" s="16" t="s">
        <v>45</v>
      </c>
      <c r="J4" s="17" t="s">
        <v>46</v>
      </c>
      <c r="K4" s="18" t="s">
        <v>47</v>
      </c>
      <c r="L4" s="16" t="s">
        <v>45</v>
      </c>
      <c r="M4" s="10" t="s">
        <v>49</v>
      </c>
      <c r="N4" s="10" t="s">
        <v>48</v>
      </c>
      <c r="O4" s="10" t="s">
        <v>50</v>
      </c>
      <c r="P4" s="9" t="str">
        <f t="shared" si="1"/>
        <v>N/I</v>
      </c>
      <c r="Q4" s="9" t="str">
        <f t="shared" si="2"/>
        <v>N/I</v>
      </c>
      <c r="R4" s="9" t="str">
        <f t="shared" si="3"/>
        <v>N/I</v>
      </c>
    </row>
    <row r="5">
      <c r="A5" s="11" t="s">
        <v>35</v>
      </c>
      <c r="B5" s="11" t="s">
        <v>36</v>
      </c>
      <c r="C5" s="12" t="s">
        <v>37</v>
      </c>
      <c r="D5" s="13" t="s">
        <v>54</v>
      </c>
      <c r="E5" s="10" t="s">
        <v>48</v>
      </c>
      <c r="F5" s="10" t="s">
        <v>44</v>
      </c>
      <c r="G5" s="12" t="s">
        <v>39</v>
      </c>
      <c r="H5" s="10" t="s">
        <v>40</v>
      </c>
      <c r="I5" s="16" t="s">
        <v>45</v>
      </c>
      <c r="J5" s="17" t="s">
        <v>46</v>
      </c>
      <c r="K5" s="18" t="s">
        <v>47</v>
      </c>
      <c r="L5" s="16" t="s">
        <v>45</v>
      </c>
      <c r="M5" s="10" t="s">
        <v>49</v>
      </c>
      <c r="N5" s="10" t="s">
        <v>48</v>
      </c>
      <c r="O5" s="10" t="s">
        <v>50</v>
      </c>
      <c r="P5" s="9" t="str">
        <f t="shared" si="1"/>
        <v>N/I</v>
      </c>
      <c r="Q5" s="9" t="str">
        <f t="shared" si="2"/>
        <v>N/I</v>
      </c>
      <c r="R5" s="9" t="str">
        <f t="shared" si="3"/>
        <v>N/I</v>
      </c>
    </row>
    <row r="6">
      <c r="A6" s="11" t="s">
        <v>35</v>
      </c>
      <c r="B6" s="11" t="s">
        <v>36</v>
      </c>
      <c r="C6" s="12" t="s">
        <v>55</v>
      </c>
      <c r="D6" s="13" t="s">
        <v>56</v>
      </c>
      <c r="E6" s="10" t="s">
        <v>48</v>
      </c>
      <c r="F6" s="10" t="s">
        <v>44</v>
      </c>
      <c r="G6" s="12" t="s">
        <v>39</v>
      </c>
      <c r="H6" s="10" t="s">
        <v>40</v>
      </c>
      <c r="I6" s="16" t="s">
        <v>45</v>
      </c>
      <c r="J6" s="17" t="s">
        <v>46</v>
      </c>
      <c r="K6" s="18" t="s">
        <v>47</v>
      </c>
      <c r="L6" s="16" t="s">
        <v>45</v>
      </c>
      <c r="M6" s="10" t="s">
        <v>49</v>
      </c>
      <c r="N6" s="10" t="s">
        <v>48</v>
      </c>
      <c r="O6" s="10" t="s">
        <v>50</v>
      </c>
      <c r="P6" s="9" t="str">
        <f t="shared" si="1"/>
        <v>N/I</v>
      </c>
      <c r="Q6" s="9" t="str">
        <f t="shared" si="2"/>
        <v>N/I</v>
      </c>
      <c r="R6" s="9" t="str">
        <f t="shared" si="3"/>
        <v>N/I</v>
      </c>
    </row>
    <row r="7">
      <c r="A7" s="11" t="s">
        <v>35</v>
      </c>
      <c r="B7" s="11" t="s">
        <v>36</v>
      </c>
      <c r="C7" s="12" t="s">
        <v>37</v>
      </c>
      <c r="D7" s="13" t="s">
        <v>57</v>
      </c>
      <c r="E7" s="10" t="s">
        <v>48</v>
      </c>
      <c r="F7" s="10" t="s">
        <v>44</v>
      </c>
      <c r="G7" s="12" t="s">
        <v>39</v>
      </c>
      <c r="H7" s="10" t="s">
        <v>40</v>
      </c>
      <c r="I7" s="16" t="s">
        <v>45</v>
      </c>
      <c r="J7" s="17" t="s">
        <v>46</v>
      </c>
      <c r="K7" s="18" t="s">
        <v>47</v>
      </c>
      <c r="L7" s="16" t="s">
        <v>45</v>
      </c>
      <c r="M7" s="10" t="s">
        <v>49</v>
      </c>
      <c r="N7" s="10" t="s">
        <v>48</v>
      </c>
      <c r="O7" s="10" t="s">
        <v>50</v>
      </c>
      <c r="P7" s="9" t="str">
        <f t="shared" si="1"/>
        <v>N/I</v>
      </c>
      <c r="Q7" s="9" t="str">
        <f t="shared" si="2"/>
        <v>N/I</v>
      </c>
      <c r="R7" s="9" t="str">
        <f t="shared" si="3"/>
        <v>N/I</v>
      </c>
    </row>
    <row r="8">
      <c r="A8" s="11" t="s">
        <v>35</v>
      </c>
      <c r="B8" s="11" t="s">
        <v>36</v>
      </c>
      <c r="C8" s="12" t="s">
        <v>58</v>
      </c>
      <c r="D8" s="13" t="s">
        <v>59</v>
      </c>
      <c r="E8" s="10" t="s">
        <v>48</v>
      </c>
      <c r="F8" s="10" t="s">
        <v>44</v>
      </c>
      <c r="G8" s="12" t="s">
        <v>39</v>
      </c>
      <c r="H8" s="10" t="s">
        <v>40</v>
      </c>
      <c r="I8" s="16" t="s">
        <v>45</v>
      </c>
      <c r="J8" s="17" t="s">
        <v>46</v>
      </c>
      <c r="K8" s="18" t="s">
        <v>47</v>
      </c>
      <c r="L8" s="16" t="s">
        <v>45</v>
      </c>
      <c r="M8" s="10" t="s">
        <v>49</v>
      </c>
      <c r="N8" s="10" t="s">
        <v>48</v>
      </c>
      <c r="O8" s="10" t="s">
        <v>50</v>
      </c>
      <c r="P8" s="9" t="str">
        <f t="shared" si="1"/>
        <v>N/I</v>
      </c>
      <c r="Q8" s="9" t="str">
        <f t="shared" si="2"/>
        <v>N/I</v>
      </c>
      <c r="R8" s="9" t="str">
        <f t="shared" si="3"/>
        <v>N/I</v>
      </c>
    </row>
    <row r="9">
      <c r="A9" s="11" t="s">
        <v>35</v>
      </c>
      <c r="B9" s="11" t="s">
        <v>60</v>
      </c>
      <c r="C9" s="12" t="s">
        <v>61</v>
      </c>
      <c r="D9" s="16">
        <v>79878.0</v>
      </c>
      <c r="E9" s="10" t="s">
        <v>48</v>
      </c>
      <c r="F9" s="10" t="s">
        <v>44</v>
      </c>
      <c r="G9" s="12" t="s">
        <v>62</v>
      </c>
      <c r="H9" s="10" t="s">
        <v>63</v>
      </c>
      <c r="I9" s="16" t="s">
        <v>45</v>
      </c>
      <c r="J9" s="17" t="s">
        <v>46</v>
      </c>
      <c r="K9" s="18" t="s">
        <v>47</v>
      </c>
      <c r="L9" s="16" t="s">
        <v>45</v>
      </c>
      <c r="M9" s="10" t="s">
        <v>49</v>
      </c>
      <c r="N9" s="10" t="s">
        <v>48</v>
      </c>
      <c r="O9" s="10" t="s">
        <v>50</v>
      </c>
      <c r="P9" s="9" t="str">
        <f t="shared" si="1"/>
        <v>N/I</v>
      </c>
      <c r="Q9" s="9" t="str">
        <f t="shared" si="2"/>
        <v>N/I</v>
      </c>
      <c r="R9" s="9" t="str">
        <f t="shared" si="3"/>
        <v>N/I</v>
      </c>
    </row>
    <row r="10">
      <c r="A10" s="11" t="s">
        <v>35</v>
      </c>
      <c r="B10" s="11" t="s">
        <v>60</v>
      </c>
      <c r="C10" s="12" t="s">
        <v>66</v>
      </c>
      <c r="D10" s="16">
        <v>43156.0</v>
      </c>
      <c r="E10" s="10" t="s">
        <v>48</v>
      </c>
      <c r="F10" s="10" t="s">
        <v>44</v>
      </c>
      <c r="G10" s="12" t="s">
        <v>62</v>
      </c>
      <c r="H10" s="10" t="s">
        <v>63</v>
      </c>
      <c r="I10" s="16" t="s">
        <v>45</v>
      </c>
      <c r="J10" s="17" t="s">
        <v>46</v>
      </c>
      <c r="K10" s="18" t="s">
        <v>47</v>
      </c>
      <c r="L10" s="16" t="s">
        <v>45</v>
      </c>
      <c r="M10" s="10" t="s">
        <v>49</v>
      </c>
      <c r="N10" s="10" t="s">
        <v>48</v>
      </c>
      <c r="O10" s="10" t="s">
        <v>50</v>
      </c>
      <c r="P10" s="9" t="str">
        <f t="shared" si="1"/>
        <v>N/I</v>
      </c>
      <c r="Q10" s="9" t="str">
        <f t="shared" si="2"/>
        <v>N/I</v>
      </c>
      <c r="R10" s="9" t="str">
        <f t="shared" si="3"/>
        <v>N/I</v>
      </c>
    </row>
    <row r="11">
      <c r="A11" s="11" t="s">
        <v>35</v>
      </c>
      <c r="B11" s="11" t="s">
        <v>60</v>
      </c>
      <c r="C11" s="12" t="s">
        <v>66</v>
      </c>
      <c r="D11" s="16">
        <v>43146.0</v>
      </c>
      <c r="E11" s="10" t="s">
        <v>48</v>
      </c>
      <c r="F11" s="10" t="s">
        <v>44</v>
      </c>
      <c r="G11" s="12" t="s">
        <v>62</v>
      </c>
      <c r="H11" s="10" t="s">
        <v>63</v>
      </c>
      <c r="I11" s="16" t="s">
        <v>45</v>
      </c>
      <c r="J11" s="17" t="s">
        <v>46</v>
      </c>
      <c r="K11" s="18" t="s">
        <v>47</v>
      </c>
      <c r="L11" s="16" t="s">
        <v>45</v>
      </c>
      <c r="M11" s="10" t="s">
        <v>49</v>
      </c>
      <c r="N11" s="10" t="s">
        <v>48</v>
      </c>
      <c r="O11" s="10" t="s">
        <v>50</v>
      </c>
      <c r="P11" s="9" t="str">
        <f t="shared" si="1"/>
        <v>N/I</v>
      </c>
      <c r="Q11" s="9" t="str">
        <f t="shared" si="2"/>
        <v>N/I</v>
      </c>
      <c r="R11" s="9" t="str">
        <f t="shared" si="3"/>
        <v>N/I</v>
      </c>
    </row>
    <row r="12">
      <c r="A12" s="11" t="s">
        <v>35</v>
      </c>
      <c r="B12" s="11" t="s">
        <v>67</v>
      </c>
      <c r="C12" s="12" t="s">
        <v>68</v>
      </c>
      <c r="D12" s="19" t="s">
        <v>69</v>
      </c>
      <c r="E12" s="10" t="s">
        <v>48</v>
      </c>
      <c r="F12" s="10" t="s">
        <v>44</v>
      </c>
      <c r="G12" s="12" t="s">
        <v>70</v>
      </c>
      <c r="H12" s="10" t="s">
        <v>63</v>
      </c>
      <c r="I12" s="16" t="s">
        <v>45</v>
      </c>
      <c r="J12" s="17" t="s">
        <v>46</v>
      </c>
      <c r="K12" s="18" t="s">
        <v>47</v>
      </c>
      <c r="L12" s="16" t="s">
        <v>45</v>
      </c>
      <c r="M12" s="10" t="s">
        <v>49</v>
      </c>
      <c r="N12" s="10" t="s">
        <v>48</v>
      </c>
      <c r="O12" s="10" t="s">
        <v>50</v>
      </c>
      <c r="P12" s="9" t="str">
        <f t="shared" si="1"/>
        <v>N/I</v>
      </c>
      <c r="Q12" s="9" t="str">
        <f t="shared" si="2"/>
        <v>N/I</v>
      </c>
      <c r="R12" s="9" t="str">
        <f t="shared" si="3"/>
        <v>N/I</v>
      </c>
    </row>
    <row r="13">
      <c r="A13" s="11" t="s">
        <v>35</v>
      </c>
      <c r="B13" s="11" t="s">
        <v>67</v>
      </c>
      <c r="C13" s="12" t="s">
        <v>58</v>
      </c>
      <c r="D13" s="19" t="s">
        <v>73</v>
      </c>
      <c r="E13" s="10" t="s">
        <v>48</v>
      </c>
      <c r="F13" s="10" t="s">
        <v>44</v>
      </c>
      <c r="G13" s="12" t="s">
        <v>70</v>
      </c>
      <c r="H13" s="10" t="s">
        <v>63</v>
      </c>
      <c r="I13" s="16" t="s">
        <v>45</v>
      </c>
      <c r="J13" s="17" t="s">
        <v>46</v>
      </c>
      <c r="K13" s="18" t="s">
        <v>47</v>
      </c>
      <c r="L13" s="16" t="s">
        <v>45</v>
      </c>
      <c r="M13" s="10" t="s">
        <v>49</v>
      </c>
      <c r="N13" s="10" t="s">
        <v>48</v>
      </c>
      <c r="O13" s="10" t="s">
        <v>50</v>
      </c>
      <c r="P13" s="9" t="str">
        <f t="shared" si="1"/>
        <v>N/I</v>
      </c>
      <c r="Q13" s="9" t="str">
        <f t="shared" si="2"/>
        <v>N/I</v>
      </c>
      <c r="R13" s="9" t="str">
        <f t="shared" si="3"/>
        <v>N/I</v>
      </c>
    </row>
    <row r="14">
      <c r="A14" s="11" t="s">
        <v>35</v>
      </c>
      <c r="B14" s="11" t="s">
        <v>67</v>
      </c>
      <c r="C14" s="12" t="s">
        <v>58</v>
      </c>
      <c r="D14" s="19" t="s">
        <v>74</v>
      </c>
      <c r="E14" s="10" t="s">
        <v>48</v>
      </c>
      <c r="F14" s="10" t="s">
        <v>44</v>
      </c>
      <c r="G14" s="12" t="s">
        <v>70</v>
      </c>
      <c r="H14" s="10" t="s">
        <v>63</v>
      </c>
      <c r="I14" s="16" t="s">
        <v>45</v>
      </c>
      <c r="J14" s="17" t="s">
        <v>46</v>
      </c>
      <c r="K14" s="18" t="s">
        <v>47</v>
      </c>
      <c r="L14" s="16" t="s">
        <v>45</v>
      </c>
      <c r="M14" s="10" t="s">
        <v>49</v>
      </c>
      <c r="N14" s="10" t="s">
        <v>48</v>
      </c>
      <c r="O14" s="10" t="s">
        <v>50</v>
      </c>
      <c r="P14" s="9" t="str">
        <f t="shared" si="1"/>
        <v>N/I</v>
      </c>
      <c r="Q14" s="9" t="str">
        <f t="shared" si="2"/>
        <v>N/I</v>
      </c>
      <c r="R14" s="9" t="str">
        <f t="shared" si="3"/>
        <v>N/I</v>
      </c>
    </row>
    <row r="15">
      <c r="A15" s="11" t="s">
        <v>35</v>
      </c>
      <c r="B15" s="11" t="s">
        <v>67</v>
      </c>
      <c r="C15" s="12" t="s">
        <v>58</v>
      </c>
      <c r="D15" s="19" t="s">
        <v>75</v>
      </c>
      <c r="E15" s="10" t="s">
        <v>48</v>
      </c>
      <c r="F15" s="10" t="s">
        <v>44</v>
      </c>
      <c r="G15" s="12" t="s">
        <v>70</v>
      </c>
      <c r="H15" s="10" t="s">
        <v>63</v>
      </c>
      <c r="I15" s="16" t="s">
        <v>45</v>
      </c>
      <c r="J15" s="17" t="s">
        <v>46</v>
      </c>
      <c r="K15" s="18" t="s">
        <v>47</v>
      </c>
      <c r="L15" s="16" t="s">
        <v>45</v>
      </c>
      <c r="M15" s="10" t="s">
        <v>49</v>
      </c>
      <c r="N15" s="10" t="s">
        <v>48</v>
      </c>
      <c r="O15" s="10" t="s">
        <v>50</v>
      </c>
      <c r="P15" s="9" t="str">
        <f t="shared" si="1"/>
        <v>N/I</v>
      </c>
      <c r="Q15" s="9" t="str">
        <f t="shared" si="2"/>
        <v>N/I</v>
      </c>
      <c r="R15" s="9" t="str">
        <f t="shared" si="3"/>
        <v>N/I</v>
      </c>
    </row>
    <row r="16">
      <c r="A16" s="11" t="s">
        <v>35</v>
      </c>
      <c r="B16" s="11" t="s">
        <v>67</v>
      </c>
      <c r="C16" s="12" t="s">
        <v>52</v>
      </c>
      <c r="D16" s="19" t="s">
        <v>76</v>
      </c>
      <c r="E16" s="10" t="s">
        <v>48</v>
      </c>
      <c r="F16" s="10" t="s">
        <v>44</v>
      </c>
      <c r="G16" s="12" t="s">
        <v>70</v>
      </c>
      <c r="H16" s="10" t="s">
        <v>63</v>
      </c>
      <c r="I16" s="16" t="s">
        <v>45</v>
      </c>
      <c r="J16" s="17" t="s">
        <v>46</v>
      </c>
      <c r="K16" s="18" t="s">
        <v>47</v>
      </c>
      <c r="L16" s="16" t="s">
        <v>45</v>
      </c>
      <c r="M16" s="10" t="s">
        <v>49</v>
      </c>
      <c r="N16" s="10" t="s">
        <v>48</v>
      </c>
      <c r="O16" s="10" t="s">
        <v>50</v>
      </c>
      <c r="P16" s="9" t="str">
        <f t="shared" si="1"/>
        <v>N/I</v>
      </c>
      <c r="Q16" s="9" t="str">
        <f t="shared" si="2"/>
        <v>N/I</v>
      </c>
      <c r="R16" s="9" t="str">
        <f t="shared" si="3"/>
        <v>N/I</v>
      </c>
    </row>
    <row r="17">
      <c r="A17" s="11" t="s">
        <v>35</v>
      </c>
      <c r="B17" s="11" t="s">
        <v>67</v>
      </c>
      <c r="C17" s="12" t="s">
        <v>58</v>
      </c>
      <c r="D17" s="19" t="s">
        <v>77</v>
      </c>
      <c r="E17" s="10" t="s">
        <v>48</v>
      </c>
      <c r="F17" s="10" t="s">
        <v>44</v>
      </c>
      <c r="G17" s="12" t="s">
        <v>70</v>
      </c>
      <c r="H17" s="10" t="s">
        <v>63</v>
      </c>
      <c r="I17" s="16" t="s">
        <v>45</v>
      </c>
      <c r="J17" s="17" t="s">
        <v>46</v>
      </c>
      <c r="K17" s="18" t="s">
        <v>47</v>
      </c>
      <c r="L17" s="16" t="s">
        <v>45</v>
      </c>
      <c r="M17" s="10" t="s">
        <v>49</v>
      </c>
      <c r="N17" s="10" t="s">
        <v>48</v>
      </c>
      <c r="O17" s="10" t="s">
        <v>50</v>
      </c>
      <c r="P17" s="9" t="str">
        <f t="shared" si="1"/>
        <v>N/I</v>
      </c>
      <c r="Q17" s="9" t="str">
        <f t="shared" si="2"/>
        <v>N/I</v>
      </c>
      <c r="R17" s="9" t="str">
        <f t="shared" si="3"/>
        <v>N/I</v>
      </c>
    </row>
    <row r="18">
      <c r="A18" s="11" t="s">
        <v>35</v>
      </c>
      <c r="B18" s="11" t="s">
        <v>67</v>
      </c>
      <c r="C18" s="12" t="s">
        <v>37</v>
      </c>
      <c r="D18" s="19" t="s">
        <v>78</v>
      </c>
      <c r="E18" s="10" t="s">
        <v>48</v>
      </c>
      <c r="F18" s="10" t="s">
        <v>44</v>
      </c>
      <c r="G18" s="12" t="s">
        <v>70</v>
      </c>
      <c r="H18" s="10" t="s">
        <v>63</v>
      </c>
      <c r="I18" s="16" t="s">
        <v>45</v>
      </c>
      <c r="J18" s="17" t="s">
        <v>46</v>
      </c>
      <c r="K18" s="18" t="s">
        <v>47</v>
      </c>
      <c r="L18" s="16" t="s">
        <v>45</v>
      </c>
      <c r="M18" s="10" t="s">
        <v>49</v>
      </c>
      <c r="N18" s="10" t="s">
        <v>48</v>
      </c>
      <c r="O18" s="10" t="s">
        <v>50</v>
      </c>
      <c r="P18" s="9" t="str">
        <f t="shared" si="1"/>
        <v>N/I</v>
      </c>
      <c r="Q18" s="9" t="str">
        <f t="shared" si="2"/>
        <v>N/I</v>
      </c>
      <c r="R18" s="9" t="str">
        <f t="shared" si="3"/>
        <v>N/I</v>
      </c>
    </row>
    <row r="19">
      <c r="A19" s="11" t="s">
        <v>35</v>
      </c>
      <c r="B19" s="11" t="s">
        <v>67</v>
      </c>
      <c r="C19" s="12" t="s">
        <v>79</v>
      </c>
      <c r="D19" s="19" t="s">
        <v>80</v>
      </c>
      <c r="E19" s="10" t="s">
        <v>48</v>
      </c>
      <c r="F19" s="10" t="s">
        <v>44</v>
      </c>
      <c r="G19" s="12" t="s">
        <v>70</v>
      </c>
      <c r="H19" s="10" t="s">
        <v>63</v>
      </c>
      <c r="I19" s="16" t="s">
        <v>45</v>
      </c>
      <c r="J19" s="17" t="s">
        <v>46</v>
      </c>
      <c r="K19" s="18" t="s">
        <v>47</v>
      </c>
      <c r="L19" s="16" t="s">
        <v>45</v>
      </c>
      <c r="M19" s="10" t="s">
        <v>49</v>
      </c>
      <c r="N19" s="10" t="s">
        <v>48</v>
      </c>
      <c r="O19" s="10" t="s">
        <v>50</v>
      </c>
      <c r="P19" s="9" t="str">
        <f t="shared" si="1"/>
        <v>N/I</v>
      </c>
      <c r="Q19" s="9" t="str">
        <f t="shared" si="2"/>
        <v>N/I</v>
      </c>
      <c r="R19" s="9" t="str">
        <f t="shared" si="3"/>
        <v>N/I</v>
      </c>
    </row>
    <row r="20">
      <c r="A20" s="11" t="s">
        <v>35</v>
      </c>
      <c r="B20" s="11" t="s">
        <v>67</v>
      </c>
      <c r="C20" s="12" t="s">
        <v>52</v>
      </c>
      <c r="D20" s="19" t="s">
        <v>81</v>
      </c>
      <c r="E20" s="10" t="s">
        <v>48</v>
      </c>
      <c r="F20" s="10" t="s">
        <v>44</v>
      </c>
      <c r="G20" s="12" t="s">
        <v>70</v>
      </c>
      <c r="H20" s="10" t="s">
        <v>63</v>
      </c>
      <c r="I20" s="16" t="s">
        <v>45</v>
      </c>
      <c r="J20" s="17" t="s">
        <v>46</v>
      </c>
      <c r="K20" s="18" t="s">
        <v>47</v>
      </c>
      <c r="L20" s="16" t="s">
        <v>45</v>
      </c>
      <c r="M20" s="10" t="s">
        <v>49</v>
      </c>
      <c r="N20" s="10" t="s">
        <v>48</v>
      </c>
      <c r="O20" s="10" t="s">
        <v>50</v>
      </c>
      <c r="P20" s="9" t="str">
        <f t="shared" si="1"/>
        <v>N/I</v>
      </c>
      <c r="Q20" s="9" t="str">
        <f t="shared" si="2"/>
        <v>N/I</v>
      </c>
      <c r="R20" s="9" t="str">
        <f t="shared" si="3"/>
        <v>N/I</v>
      </c>
    </row>
    <row r="21">
      <c r="A21" s="11" t="s">
        <v>35</v>
      </c>
      <c r="B21" s="11" t="s">
        <v>67</v>
      </c>
      <c r="C21" s="12" t="s">
        <v>52</v>
      </c>
      <c r="D21" s="19" t="s">
        <v>82</v>
      </c>
      <c r="E21" s="10" t="s">
        <v>48</v>
      </c>
      <c r="F21" s="10" t="s">
        <v>44</v>
      </c>
      <c r="G21" s="12" t="s">
        <v>70</v>
      </c>
      <c r="H21" s="10" t="s">
        <v>63</v>
      </c>
      <c r="I21" s="16" t="s">
        <v>45</v>
      </c>
      <c r="J21" s="17" t="s">
        <v>46</v>
      </c>
      <c r="K21" s="18" t="s">
        <v>47</v>
      </c>
      <c r="L21" s="16" t="s">
        <v>45</v>
      </c>
      <c r="M21" s="10" t="s">
        <v>49</v>
      </c>
      <c r="N21" s="10" t="s">
        <v>48</v>
      </c>
      <c r="O21" s="10" t="s">
        <v>50</v>
      </c>
      <c r="P21" s="9" t="str">
        <f t="shared" si="1"/>
        <v>N/I</v>
      </c>
      <c r="Q21" s="9" t="str">
        <f t="shared" si="2"/>
        <v>N/I</v>
      </c>
      <c r="R21" s="9" t="str">
        <f t="shared" si="3"/>
        <v>N/I</v>
      </c>
    </row>
    <row r="22">
      <c r="A22" s="11" t="s">
        <v>35</v>
      </c>
      <c r="B22" s="11" t="s">
        <v>67</v>
      </c>
      <c r="C22" s="12" t="s">
        <v>83</v>
      </c>
      <c r="D22" s="20">
        <v>1.5197725155E10</v>
      </c>
      <c r="E22" s="10" t="s">
        <v>48</v>
      </c>
      <c r="F22" s="10" t="s">
        <v>44</v>
      </c>
      <c r="G22" s="12" t="s">
        <v>70</v>
      </c>
      <c r="H22" s="10" t="s">
        <v>63</v>
      </c>
      <c r="I22" s="16" t="s">
        <v>45</v>
      </c>
      <c r="J22" s="17" t="s">
        <v>46</v>
      </c>
      <c r="K22" s="18" t="s">
        <v>47</v>
      </c>
      <c r="L22" s="16" t="s">
        <v>45</v>
      </c>
      <c r="M22" s="10" t="s">
        <v>49</v>
      </c>
      <c r="N22" s="10" t="s">
        <v>48</v>
      </c>
      <c r="O22" s="10" t="s">
        <v>50</v>
      </c>
      <c r="P22" s="9" t="str">
        <f t="shared" si="1"/>
        <v>N/I</v>
      </c>
      <c r="Q22" s="9" t="str">
        <f t="shared" si="2"/>
        <v>N/I</v>
      </c>
      <c r="R22" s="9" t="str">
        <f t="shared" si="3"/>
        <v>N/I</v>
      </c>
    </row>
    <row r="23">
      <c r="A23" s="11" t="s">
        <v>35</v>
      </c>
      <c r="B23" s="11" t="s">
        <v>67</v>
      </c>
      <c r="C23" s="12" t="s">
        <v>84</v>
      </c>
      <c r="D23" s="20" t="s">
        <v>85</v>
      </c>
      <c r="E23" s="10" t="s">
        <v>48</v>
      </c>
      <c r="F23" s="10" t="s">
        <v>44</v>
      </c>
      <c r="G23" s="12" t="s">
        <v>70</v>
      </c>
      <c r="H23" s="10" t="s">
        <v>63</v>
      </c>
      <c r="I23" s="16" t="s">
        <v>45</v>
      </c>
      <c r="J23" s="17" t="s">
        <v>46</v>
      </c>
      <c r="K23" s="18" t="s">
        <v>47</v>
      </c>
      <c r="L23" s="16" t="s">
        <v>45</v>
      </c>
      <c r="M23" s="10" t="s">
        <v>49</v>
      </c>
      <c r="N23" s="10" t="s">
        <v>48</v>
      </c>
      <c r="O23" s="10" t="s">
        <v>50</v>
      </c>
      <c r="P23" s="9" t="str">
        <f t="shared" si="1"/>
        <v>N/I</v>
      </c>
      <c r="Q23" s="9" t="str">
        <f t="shared" si="2"/>
        <v>N/I</v>
      </c>
      <c r="R23" s="9" t="str">
        <f t="shared" si="3"/>
        <v>N/I</v>
      </c>
    </row>
    <row r="24">
      <c r="A24" s="11" t="s">
        <v>35</v>
      </c>
      <c r="B24" s="11" t="s">
        <v>86</v>
      </c>
      <c r="C24" s="12" t="s">
        <v>66</v>
      </c>
      <c r="D24" s="20" t="s">
        <v>87</v>
      </c>
      <c r="E24" s="10" t="s">
        <v>48</v>
      </c>
      <c r="F24" s="10" t="s">
        <v>44</v>
      </c>
      <c r="G24" s="12" t="s">
        <v>88</v>
      </c>
      <c r="H24" s="10" t="s">
        <v>89</v>
      </c>
      <c r="I24" s="16" t="s">
        <v>45</v>
      </c>
      <c r="J24" s="17" t="s">
        <v>46</v>
      </c>
      <c r="K24" s="18" t="s">
        <v>47</v>
      </c>
      <c r="L24" s="16" t="s">
        <v>45</v>
      </c>
      <c r="M24" s="10" t="s">
        <v>49</v>
      </c>
      <c r="N24" s="10" t="s">
        <v>48</v>
      </c>
      <c r="O24" s="10" t="s">
        <v>50</v>
      </c>
      <c r="P24" s="9" t="str">
        <f t="shared" si="1"/>
        <v>N/I</v>
      </c>
      <c r="Q24" s="9" t="str">
        <f t="shared" si="2"/>
        <v>N/I</v>
      </c>
      <c r="R24" s="9" t="str">
        <f t="shared" si="3"/>
        <v>N/I</v>
      </c>
    </row>
    <row r="25">
      <c r="A25" s="11" t="s">
        <v>35</v>
      </c>
      <c r="B25" s="11" t="s">
        <v>86</v>
      </c>
      <c r="C25" s="12" t="s">
        <v>66</v>
      </c>
      <c r="D25" s="20" t="s">
        <v>92</v>
      </c>
      <c r="E25" s="10" t="s">
        <v>48</v>
      </c>
      <c r="F25" s="10" t="s">
        <v>44</v>
      </c>
      <c r="G25" s="12" t="s">
        <v>88</v>
      </c>
      <c r="H25" s="10" t="s">
        <v>89</v>
      </c>
      <c r="I25" s="16" t="s">
        <v>45</v>
      </c>
      <c r="J25" s="17" t="s">
        <v>46</v>
      </c>
      <c r="K25" s="18" t="s">
        <v>47</v>
      </c>
      <c r="L25" s="16" t="s">
        <v>45</v>
      </c>
      <c r="M25" s="10" t="s">
        <v>49</v>
      </c>
      <c r="N25" s="10" t="s">
        <v>48</v>
      </c>
      <c r="O25" s="10" t="s">
        <v>50</v>
      </c>
      <c r="P25" s="9" t="str">
        <f t="shared" si="1"/>
        <v>N/I</v>
      </c>
      <c r="Q25" s="9" t="str">
        <f t="shared" si="2"/>
        <v>N/I</v>
      </c>
      <c r="R25" s="9" t="str">
        <f t="shared" si="3"/>
        <v>N/I</v>
      </c>
    </row>
    <row r="26">
      <c r="A26" s="11" t="s">
        <v>35</v>
      </c>
      <c r="B26" s="11" t="s">
        <v>86</v>
      </c>
      <c r="C26" s="12" t="s">
        <v>66</v>
      </c>
      <c r="D26" s="20" t="s">
        <v>93</v>
      </c>
      <c r="E26" s="10" t="s">
        <v>48</v>
      </c>
      <c r="F26" s="10" t="s">
        <v>44</v>
      </c>
      <c r="G26" s="12" t="s">
        <v>88</v>
      </c>
      <c r="H26" s="10" t="s">
        <v>89</v>
      </c>
      <c r="I26" s="16" t="s">
        <v>45</v>
      </c>
      <c r="J26" s="17" t="s">
        <v>46</v>
      </c>
      <c r="K26" s="18" t="s">
        <v>47</v>
      </c>
      <c r="L26" s="16" t="s">
        <v>45</v>
      </c>
      <c r="M26" s="10" t="s">
        <v>49</v>
      </c>
      <c r="N26" s="10" t="s">
        <v>48</v>
      </c>
      <c r="O26" s="10" t="s">
        <v>50</v>
      </c>
      <c r="P26" s="9" t="str">
        <f t="shared" si="1"/>
        <v>N/I</v>
      </c>
      <c r="Q26" s="9" t="str">
        <f t="shared" si="2"/>
        <v>N/I</v>
      </c>
      <c r="R26" s="9" t="str">
        <f t="shared" si="3"/>
        <v>N/I</v>
      </c>
    </row>
    <row r="27">
      <c r="A27" s="11" t="s">
        <v>35</v>
      </c>
      <c r="B27" s="11" t="s">
        <v>86</v>
      </c>
      <c r="C27" s="12" t="s">
        <v>94</v>
      </c>
      <c r="D27" s="20" t="s">
        <v>95</v>
      </c>
      <c r="E27" s="10" t="s">
        <v>48</v>
      </c>
      <c r="F27" s="10" t="s">
        <v>44</v>
      </c>
      <c r="G27" s="12" t="s">
        <v>88</v>
      </c>
      <c r="H27" s="10" t="s">
        <v>89</v>
      </c>
      <c r="I27" s="16" t="s">
        <v>45</v>
      </c>
      <c r="J27" s="17" t="s">
        <v>46</v>
      </c>
      <c r="K27" s="18" t="s">
        <v>47</v>
      </c>
      <c r="L27" s="16" t="s">
        <v>45</v>
      </c>
      <c r="M27" s="10" t="s">
        <v>49</v>
      </c>
      <c r="N27" s="10" t="s">
        <v>48</v>
      </c>
      <c r="O27" s="10" t="s">
        <v>50</v>
      </c>
      <c r="P27" s="9" t="str">
        <f t="shared" si="1"/>
        <v>N/I</v>
      </c>
      <c r="Q27" s="9" t="str">
        <f t="shared" si="2"/>
        <v>N/I</v>
      </c>
      <c r="R27" s="9" t="str">
        <f t="shared" si="3"/>
        <v>N/I</v>
      </c>
    </row>
    <row r="28">
      <c r="A28" s="11" t="s">
        <v>35</v>
      </c>
      <c r="B28" s="11" t="s">
        <v>86</v>
      </c>
      <c r="C28" s="12" t="s">
        <v>94</v>
      </c>
      <c r="D28" s="20" t="s">
        <v>96</v>
      </c>
      <c r="E28" s="10" t="s">
        <v>48</v>
      </c>
      <c r="F28" s="10" t="s">
        <v>44</v>
      </c>
      <c r="G28" s="12" t="s">
        <v>88</v>
      </c>
      <c r="H28" s="10" t="s">
        <v>89</v>
      </c>
      <c r="I28" s="16" t="s">
        <v>45</v>
      </c>
      <c r="J28" s="17" t="s">
        <v>46</v>
      </c>
      <c r="K28" s="18" t="s">
        <v>47</v>
      </c>
      <c r="L28" s="16" t="s">
        <v>45</v>
      </c>
      <c r="M28" s="10" t="s">
        <v>49</v>
      </c>
      <c r="N28" s="10" t="s">
        <v>48</v>
      </c>
      <c r="O28" s="10" t="s">
        <v>50</v>
      </c>
      <c r="P28" s="9" t="str">
        <f t="shared" si="1"/>
        <v>N/I</v>
      </c>
      <c r="Q28" s="9" t="str">
        <f t="shared" si="2"/>
        <v>N/I</v>
      </c>
      <c r="R28" s="9" t="str">
        <f t="shared" si="3"/>
        <v>N/I</v>
      </c>
    </row>
    <row r="29">
      <c r="A29" s="11" t="s">
        <v>35</v>
      </c>
      <c r="B29" s="11" t="s">
        <v>86</v>
      </c>
      <c r="C29" s="12" t="s">
        <v>94</v>
      </c>
      <c r="D29" s="20" t="s">
        <v>97</v>
      </c>
      <c r="E29" s="10" t="s">
        <v>48</v>
      </c>
      <c r="F29" s="10" t="s">
        <v>44</v>
      </c>
      <c r="G29" s="12" t="s">
        <v>88</v>
      </c>
      <c r="H29" s="10" t="s">
        <v>89</v>
      </c>
      <c r="I29" s="16" t="s">
        <v>45</v>
      </c>
      <c r="J29" s="17" t="s">
        <v>46</v>
      </c>
      <c r="K29" s="18" t="s">
        <v>47</v>
      </c>
      <c r="L29" s="16" t="s">
        <v>45</v>
      </c>
      <c r="M29" s="10" t="s">
        <v>49</v>
      </c>
      <c r="N29" s="10" t="s">
        <v>48</v>
      </c>
      <c r="O29" s="10" t="s">
        <v>50</v>
      </c>
      <c r="P29" s="9" t="str">
        <f t="shared" si="1"/>
        <v>N/I</v>
      </c>
      <c r="Q29" s="9" t="str">
        <f t="shared" si="2"/>
        <v>N/I</v>
      </c>
      <c r="R29" s="9" t="str">
        <f t="shared" si="3"/>
        <v>N/I</v>
      </c>
    </row>
    <row r="30">
      <c r="A30" s="11" t="s">
        <v>35</v>
      </c>
      <c r="B30" s="11" t="s">
        <v>98</v>
      </c>
      <c r="C30" s="12" t="s">
        <v>68</v>
      </c>
      <c r="D30" s="21" t="s">
        <v>99</v>
      </c>
      <c r="E30" s="10" t="s">
        <v>48</v>
      </c>
      <c r="F30" s="10" t="s">
        <v>44</v>
      </c>
      <c r="G30" s="12" t="s">
        <v>100</v>
      </c>
      <c r="H30" s="10" t="s">
        <v>101</v>
      </c>
      <c r="I30" s="16" t="s">
        <v>45</v>
      </c>
      <c r="J30" s="17" t="s">
        <v>46</v>
      </c>
      <c r="K30" s="18" t="s">
        <v>47</v>
      </c>
      <c r="L30" s="16" t="s">
        <v>45</v>
      </c>
      <c r="M30" s="10" t="s">
        <v>49</v>
      </c>
      <c r="N30" s="10" t="s">
        <v>48</v>
      </c>
      <c r="O30" s="10" t="s">
        <v>50</v>
      </c>
      <c r="P30" s="9" t="str">
        <f t="shared" si="1"/>
        <v>N/I</v>
      </c>
      <c r="Q30" s="9" t="str">
        <f t="shared" si="2"/>
        <v>N/I</v>
      </c>
      <c r="R30" s="9" t="str">
        <f t="shared" si="3"/>
        <v>N/I</v>
      </c>
    </row>
    <row r="31">
      <c r="A31" s="11" t="s">
        <v>35</v>
      </c>
      <c r="B31" s="11" t="s">
        <v>98</v>
      </c>
      <c r="C31" s="12" t="s">
        <v>68</v>
      </c>
      <c r="D31" s="21" t="s">
        <v>104</v>
      </c>
      <c r="E31" s="10" t="s">
        <v>48</v>
      </c>
      <c r="F31" s="10" t="s">
        <v>44</v>
      </c>
      <c r="G31" s="12" t="s">
        <v>100</v>
      </c>
      <c r="H31" s="10" t="s">
        <v>101</v>
      </c>
      <c r="I31" s="16" t="s">
        <v>45</v>
      </c>
      <c r="J31" s="17" t="s">
        <v>46</v>
      </c>
      <c r="K31" s="18" t="s">
        <v>47</v>
      </c>
      <c r="L31" s="16" t="s">
        <v>45</v>
      </c>
      <c r="M31" s="10" t="s">
        <v>49</v>
      </c>
      <c r="N31" s="10" t="s">
        <v>48</v>
      </c>
      <c r="O31" s="10" t="s">
        <v>50</v>
      </c>
      <c r="P31" s="9" t="str">
        <f t="shared" si="1"/>
        <v>N/I</v>
      </c>
      <c r="Q31" s="9" t="str">
        <f t="shared" si="2"/>
        <v>N/I</v>
      </c>
      <c r="R31" s="9" t="str">
        <f t="shared" si="3"/>
        <v>N/I</v>
      </c>
    </row>
    <row r="32">
      <c r="A32" s="11" t="s">
        <v>35</v>
      </c>
      <c r="B32" s="11" t="s">
        <v>98</v>
      </c>
      <c r="C32" s="12" t="s">
        <v>68</v>
      </c>
      <c r="D32" s="21" t="s">
        <v>105</v>
      </c>
      <c r="E32" s="10" t="s">
        <v>48</v>
      </c>
      <c r="F32" s="10" t="s">
        <v>44</v>
      </c>
      <c r="G32" s="12" t="s">
        <v>100</v>
      </c>
      <c r="H32" s="10" t="s">
        <v>101</v>
      </c>
      <c r="I32" s="16" t="s">
        <v>45</v>
      </c>
      <c r="J32" s="17" t="s">
        <v>46</v>
      </c>
      <c r="K32" s="18" t="s">
        <v>47</v>
      </c>
      <c r="L32" s="16" t="s">
        <v>45</v>
      </c>
      <c r="M32" s="10" t="s">
        <v>49</v>
      </c>
      <c r="N32" s="10" t="s">
        <v>48</v>
      </c>
      <c r="O32" s="10" t="s">
        <v>50</v>
      </c>
      <c r="P32" s="9" t="str">
        <f t="shared" si="1"/>
        <v>N/I</v>
      </c>
      <c r="Q32" s="9" t="str">
        <f t="shared" si="2"/>
        <v>N/I</v>
      </c>
      <c r="R32" s="9" t="str">
        <f t="shared" si="3"/>
        <v>N/I</v>
      </c>
    </row>
    <row r="33">
      <c r="A33" s="11" t="s">
        <v>35</v>
      </c>
      <c r="B33" s="11" t="s">
        <v>98</v>
      </c>
      <c r="C33" s="12" t="s">
        <v>68</v>
      </c>
      <c r="D33" s="21" t="s">
        <v>106</v>
      </c>
      <c r="E33" s="10" t="s">
        <v>48</v>
      </c>
      <c r="F33" s="10" t="s">
        <v>44</v>
      </c>
      <c r="G33" s="12" t="s">
        <v>100</v>
      </c>
      <c r="H33" s="10" t="s">
        <v>101</v>
      </c>
      <c r="I33" s="16" t="s">
        <v>45</v>
      </c>
      <c r="J33" s="17" t="s">
        <v>46</v>
      </c>
      <c r="K33" s="18" t="s">
        <v>47</v>
      </c>
      <c r="L33" s="16" t="s">
        <v>45</v>
      </c>
      <c r="M33" s="10" t="s">
        <v>49</v>
      </c>
      <c r="N33" s="10" t="s">
        <v>48</v>
      </c>
      <c r="O33" s="10" t="s">
        <v>50</v>
      </c>
      <c r="P33" s="9" t="str">
        <f t="shared" si="1"/>
        <v>N/I</v>
      </c>
      <c r="Q33" s="9" t="str">
        <f t="shared" si="2"/>
        <v>N/I</v>
      </c>
      <c r="R33" s="9" t="str">
        <f t="shared" si="3"/>
        <v>N/I</v>
      </c>
    </row>
    <row r="34">
      <c r="A34" s="11" t="s">
        <v>35</v>
      </c>
      <c r="B34" s="11" t="s">
        <v>98</v>
      </c>
      <c r="C34" s="12" t="s">
        <v>68</v>
      </c>
      <c r="D34" s="21" t="s">
        <v>107</v>
      </c>
      <c r="E34" s="10" t="s">
        <v>48</v>
      </c>
      <c r="F34" s="10" t="s">
        <v>44</v>
      </c>
      <c r="G34" s="12" t="s">
        <v>100</v>
      </c>
      <c r="H34" s="10" t="s">
        <v>101</v>
      </c>
      <c r="I34" s="16" t="s">
        <v>45</v>
      </c>
      <c r="J34" s="17" t="s">
        <v>46</v>
      </c>
      <c r="K34" s="18" t="s">
        <v>47</v>
      </c>
      <c r="L34" s="16" t="s">
        <v>45</v>
      </c>
      <c r="M34" s="10" t="s">
        <v>49</v>
      </c>
      <c r="N34" s="10" t="s">
        <v>48</v>
      </c>
      <c r="O34" s="10" t="s">
        <v>50</v>
      </c>
      <c r="P34" s="9" t="str">
        <f t="shared" si="1"/>
        <v>N/I</v>
      </c>
      <c r="Q34" s="9" t="str">
        <f t="shared" si="2"/>
        <v>N/I</v>
      </c>
      <c r="R34" s="9" t="str">
        <f t="shared" si="3"/>
        <v>N/I</v>
      </c>
    </row>
    <row r="35">
      <c r="A35" s="11" t="s">
        <v>35</v>
      </c>
      <c r="B35" s="11" t="s">
        <v>98</v>
      </c>
      <c r="C35" s="12" t="s">
        <v>37</v>
      </c>
      <c r="D35" s="21" t="s">
        <v>108</v>
      </c>
      <c r="E35" s="10" t="s">
        <v>48</v>
      </c>
      <c r="F35" s="10" t="s">
        <v>44</v>
      </c>
      <c r="G35" s="12" t="s">
        <v>100</v>
      </c>
      <c r="H35" s="10" t="s">
        <v>101</v>
      </c>
      <c r="I35" s="16" t="s">
        <v>45</v>
      </c>
      <c r="J35" s="17" t="s">
        <v>46</v>
      </c>
      <c r="K35" s="18" t="s">
        <v>47</v>
      </c>
      <c r="L35" s="16" t="s">
        <v>45</v>
      </c>
      <c r="M35" s="10" t="s">
        <v>49</v>
      </c>
      <c r="N35" s="10" t="s">
        <v>48</v>
      </c>
      <c r="O35" s="10" t="s">
        <v>50</v>
      </c>
      <c r="P35" s="9" t="str">
        <f t="shared" si="1"/>
        <v>N/I</v>
      </c>
      <c r="Q35" s="9" t="str">
        <f t="shared" si="2"/>
        <v>N/I</v>
      </c>
      <c r="R35" s="9" t="str">
        <f t="shared" si="3"/>
        <v>N/I</v>
      </c>
    </row>
    <row r="36">
      <c r="A36" s="11" t="s">
        <v>35</v>
      </c>
      <c r="B36" s="11" t="s">
        <v>98</v>
      </c>
      <c r="C36" s="12" t="s">
        <v>79</v>
      </c>
      <c r="D36" s="21" t="s">
        <v>109</v>
      </c>
      <c r="E36" s="10" t="s">
        <v>48</v>
      </c>
      <c r="F36" s="10" t="s">
        <v>44</v>
      </c>
      <c r="G36" s="12" t="s">
        <v>100</v>
      </c>
      <c r="H36" s="10" t="s">
        <v>101</v>
      </c>
      <c r="I36" s="16" t="s">
        <v>45</v>
      </c>
      <c r="J36" s="17" t="s">
        <v>46</v>
      </c>
      <c r="K36" s="18" t="s">
        <v>47</v>
      </c>
      <c r="L36" s="16" t="s">
        <v>45</v>
      </c>
      <c r="M36" s="10" t="s">
        <v>49</v>
      </c>
      <c r="N36" s="10" t="s">
        <v>48</v>
      </c>
      <c r="O36" s="10" t="s">
        <v>50</v>
      </c>
      <c r="P36" s="9" t="str">
        <f t="shared" si="1"/>
        <v>N/I</v>
      </c>
      <c r="Q36" s="9" t="str">
        <f t="shared" si="2"/>
        <v>N/I</v>
      </c>
      <c r="R36" s="9" t="str">
        <f t="shared" si="3"/>
        <v>N/I</v>
      </c>
    </row>
    <row r="37">
      <c r="A37" s="11" t="s">
        <v>35</v>
      </c>
      <c r="B37" s="11" t="s">
        <v>98</v>
      </c>
      <c r="C37" s="12" t="s">
        <v>37</v>
      </c>
      <c r="D37" s="21" t="s">
        <v>110</v>
      </c>
      <c r="E37" s="10" t="s">
        <v>48</v>
      </c>
      <c r="F37" s="10" t="s">
        <v>44</v>
      </c>
      <c r="G37" s="12" t="s">
        <v>100</v>
      </c>
      <c r="H37" s="10" t="s">
        <v>101</v>
      </c>
      <c r="I37" s="16" t="s">
        <v>45</v>
      </c>
      <c r="J37" s="17" t="s">
        <v>46</v>
      </c>
      <c r="K37" s="18" t="s">
        <v>47</v>
      </c>
      <c r="L37" s="16" t="s">
        <v>45</v>
      </c>
      <c r="M37" s="10" t="s">
        <v>49</v>
      </c>
      <c r="N37" s="10" t="s">
        <v>48</v>
      </c>
      <c r="O37" s="10" t="s">
        <v>50</v>
      </c>
      <c r="P37" s="9" t="str">
        <f t="shared" si="1"/>
        <v>N/I</v>
      </c>
      <c r="Q37" s="9" t="str">
        <f t="shared" si="2"/>
        <v>N/I</v>
      </c>
      <c r="R37" s="9" t="str">
        <f t="shared" si="3"/>
        <v>N/I</v>
      </c>
    </row>
    <row r="38">
      <c r="A38" s="11" t="s">
        <v>35</v>
      </c>
      <c r="B38" s="11" t="s">
        <v>98</v>
      </c>
      <c r="C38" s="12" t="s">
        <v>37</v>
      </c>
      <c r="D38" s="21" t="s">
        <v>111</v>
      </c>
      <c r="E38" s="10" t="s">
        <v>48</v>
      </c>
      <c r="F38" s="10" t="s">
        <v>44</v>
      </c>
      <c r="G38" s="12" t="s">
        <v>100</v>
      </c>
      <c r="H38" s="10" t="s">
        <v>101</v>
      </c>
      <c r="I38" s="16" t="s">
        <v>45</v>
      </c>
      <c r="J38" s="17" t="s">
        <v>46</v>
      </c>
      <c r="K38" s="18" t="s">
        <v>47</v>
      </c>
      <c r="L38" s="16" t="s">
        <v>45</v>
      </c>
      <c r="M38" s="10" t="s">
        <v>49</v>
      </c>
      <c r="N38" s="10" t="s">
        <v>48</v>
      </c>
      <c r="O38" s="10" t="s">
        <v>50</v>
      </c>
      <c r="P38" s="9" t="str">
        <f t="shared" si="1"/>
        <v>N/I</v>
      </c>
      <c r="Q38" s="9" t="str">
        <f t="shared" si="2"/>
        <v>N/I</v>
      </c>
      <c r="R38" s="9" t="str">
        <f t="shared" si="3"/>
        <v>N/I</v>
      </c>
    </row>
    <row r="39">
      <c r="A39" s="11" t="s">
        <v>35</v>
      </c>
      <c r="B39" s="11" t="s">
        <v>98</v>
      </c>
      <c r="C39" s="12" t="s">
        <v>79</v>
      </c>
      <c r="D39" s="21" t="s">
        <v>112</v>
      </c>
      <c r="E39" s="10" t="s">
        <v>48</v>
      </c>
      <c r="F39" s="10" t="s">
        <v>44</v>
      </c>
      <c r="G39" s="12" t="s">
        <v>100</v>
      </c>
      <c r="H39" s="10" t="s">
        <v>101</v>
      </c>
      <c r="I39" s="16" t="s">
        <v>45</v>
      </c>
      <c r="J39" s="17" t="s">
        <v>46</v>
      </c>
      <c r="K39" s="18" t="s">
        <v>47</v>
      </c>
      <c r="L39" s="16" t="s">
        <v>45</v>
      </c>
      <c r="M39" s="10" t="s">
        <v>49</v>
      </c>
      <c r="N39" s="10" t="s">
        <v>48</v>
      </c>
      <c r="O39" s="10" t="s">
        <v>50</v>
      </c>
      <c r="P39" s="9" t="str">
        <f t="shared" si="1"/>
        <v>N/I</v>
      </c>
      <c r="Q39" s="9" t="str">
        <f t="shared" si="2"/>
        <v>N/I</v>
      </c>
      <c r="R39" s="9" t="str">
        <f t="shared" si="3"/>
        <v>N/I</v>
      </c>
    </row>
    <row r="40">
      <c r="A40" s="11" t="s">
        <v>35</v>
      </c>
      <c r="B40" s="11" t="s">
        <v>98</v>
      </c>
      <c r="C40" s="12" t="s">
        <v>58</v>
      </c>
      <c r="D40" s="21" t="s">
        <v>113</v>
      </c>
      <c r="E40" s="10" t="s">
        <v>48</v>
      </c>
      <c r="F40" s="10" t="s">
        <v>44</v>
      </c>
      <c r="G40" s="12" t="s">
        <v>100</v>
      </c>
      <c r="H40" s="10" t="s">
        <v>101</v>
      </c>
      <c r="I40" s="16" t="s">
        <v>45</v>
      </c>
      <c r="J40" s="17" t="s">
        <v>46</v>
      </c>
      <c r="K40" s="18" t="s">
        <v>47</v>
      </c>
      <c r="L40" s="16" t="s">
        <v>45</v>
      </c>
      <c r="M40" s="10" t="s">
        <v>49</v>
      </c>
      <c r="N40" s="10" t="s">
        <v>48</v>
      </c>
      <c r="O40" s="10" t="s">
        <v>50</v>
      </c>
      <c r="P40" s="9" t="str">
        <f t="shared" si="1"/>
        <v>N/I</v>
      </c>
      <c r="Q40" s="9" t="str">
        <f t="shared" si="2"/>
        <v>N/I</v>
      </c>
      <c r="R40" s="9" t="str">
        <f t="shared" si="3"/>
        <v>N/I</v>
      </c>
    </row>
    <row r="41">
      <c r="A41" s="11" t="s">
        <v>35</v>
      </c>
      <c r="B41" s="11" t="s">
        <v>98</v>
      </c>
      <c r="C41" s="12" t="s">
        <v>52</v>
      </c>
      <c r="D41" s="21" t="s">
        <v>114</v>
      </c>
      <c r="E41" s="10" t="s">
        <v>48</v>
      </c>
      <c r="F41" s="10" t="s">
        <v>44</v>
      </c>
      <c r="G41" s="12" t="s">
        <v>100</v>
      </c>
      <c r="H41" s="10" t="s">
        <v>101</v>
      </c>
      <c r="I41" s="16" t="s">
        <v>45</v>
      </c>
      <c r="J41" s="17" t="s">
        <v>46</v>
      </c>
      <c r="K41" s="18" t="s">
        <v>47</v>
      </c>
      <c r="L41" s="16" t="s">
        <v>45</v>
      </c>
      <c r="M41" s="10" t="s">
        <v>49</v>
      </c>
      <c r="N41" s="10" t="s">
        <v>48</v>
      </c>
      <c r="O41" s="10" t="s">
        <v>50</v>
      </c>
      <c r="P41" s="9" t="str">
        <f t="shared" si="1"/>
        <v>N/I</v>
      </c>
      <c r="Q41" s="9" t="str">
        <f t="shared" si="2"/>
        <v>N/I</v>
      </c>
      <c r="R41" s="9" t="str">
        <f t="shared" si="3"/>
        <v>N/I</v>
      </c>
    </row>
    <row r="42">
      <c r="A42" s="11" t="s">
        <v>35</v>
      </c>
      <c r="B42" s="11" t="s">
        <v>98</v>
      </c>
      <c r="C42" s="12" t="s">
        <v>52</v>
      </c>
      <c r="D42" s="21" t="s">
        <v>115</v>
      </c>
      <c r="E42" s="10" t="s">
        <v>48</v>
      </c>
      <c r="F42" s="10" t="s">
        <v>44</v>
      </c>
      <c r="G42" s="12" t="s">
        <v>100</v>
      </c>
      <c r="H42" s="10" t="s">
        <v>101</v>
      </c>
      <c r="I42" s="16" t="s">
        <v>45</v>
      </c>
      <c r="J42" s="17" t="s">
        <v>46</v>
      </c>
      <c r="K42" s="18" t="s">
        <v>47</v>
      </c>
      <c r="L42" s="16" t="s">
        <v>45</v>
      </c>
      <c r="M42" s="10" t="s">
        <v>49</v>
      </c>
      <c r="N42" s="10" t="s">
        <v>48</v>
      </c>
      <c r="O42" s="10" t="s">
        <v>50</v>
      </c>
      <c r="P42" s="9" t="str">
        <f t="shared" si="1"/>
        <v>N/I</v>
      </c>
      <c r="Q42" s="9" t="str">
        <f t="shared" si="2"/>
        <v>N/I</v>
      </c>
      <c r="R42" s="9" t="str">
        <f t="shared" si="3"/>
        <v>N/I</v>
      </c>
    </row>
    <row r="43">
      <c r="A43" s="11" t="s">
        <v>35</v>
      </c>
      <c r="B43" s="11" t="s">
        <v>98</v>
      </c>
      <c r="C43" s="12" t="s">
        <v>116</v>
      </c>
      <c r="D43" s="21" t="s">
        <v>117</v>
      </c>
      <c r="E43" s="10" t="s">
        <v>48</v>
      </c>
      <c r="F43" s="10" t="s">
        <v>44</v>
      </c>
      <c r="G43" s="12" t="s">
        <v>100</v>
      </c>
      <c r="H43" s="10" t="s">
        <v>101</v>
      </c>
      <c r="I43" s="16" t="s">
        <v>45</v>
      </c>
      <c r="J43" s="17" t="s">
        <v>46</v>
      </c>
      <c r="K43" s="18" t="s">
        <v>47</v>
      </c>
      <c r="L43" s="16" t="s">
        <v>45</v>
      </c>
      <c r="M43" s="10" t="s">
        <v>49</v>
      </c>
      <c r="N43" s="10" t="s">
        <v>48</v>
      </c>
      <c r="O43" s="10" t="s">
        <v>50</v>
      </c>
      <c r="P43" s="9" t="str">
        <f t="shared" si="1"/>
        <v>N/I</v>
      </c>
      <c r="Q43" s="9" t="str">
        <f t="shared" si="2"/>
        <v>N/I</v>
      </c>
      <c r="R43" s="9" t="str">
        <f t="shared" si="3"/>
        <v>N/I</v>
      </c>
    </row>
    <row r="44">
      <c r="A44" s="11" t="s">
        <v>35</v>
      </c>
      <c r="B44" s="11" t="s">
        <v>98</v>
      </c>
      <c r="C44" s="12" t="s">
        <v>52</v>
      </c>
      <c r="D44" s="21" t="s">
        <v>118</v>
      </c>
      <c r="E44" s="10" t="s">
        <v>48</v>
      </c>
      <c r="F44" s="10" t="s">
        <v>44</v>
      </c>
      <c r="G44" s="12" t="s">
        <v>100</v>
      </c>
      <c r="H44" s="10" t="s">
        <v>101</v>
      </c>
      <c r="I44" s="16" t="s">
        <v>45</v>
      </c>
      <c r="J44" s="17" t="s">
        <v>46</v>
      </c>
      <c r="K44" s="18" t="s">
        <v>47</v>
      </c>
      <c r="L44" s="16" t="s">
        <v>45</v>
      </c>
      <c r="M44" s="10" t="s">
        <v>49</v>
      </c>
      <c r="N44" s="10" t="s">
        <v>48</v>
      </c>
      <c r="O44" s="10" t="s">
        <v>50</v>
      </c>
      <c r="P44" s="9" t="str">
        <f t="shared" si="1"/>
        <v>N/I</v>
      </c>
      <c r="Q44" s="9" t="str">
        <f t="shared" si="2"/>
        <v>N/I</v>
      </c>
      <c r="R44" s="9" t="str">
        <f t="shared" si="3"/>
        <v>N/I</v>
      </c>
    </row>
    <row r="45">
      <c r="A45" s="11" t="s">
        <v>35</v>
      </c>
      <c r="B45" s="11" t="s">
        <v>98</v>
      </c>
      <c r="C45" s="12" t="s">
        <v>37</v>
      </c>
      <c r="D45" s="21" t="s">
        <v>119</v>
      </c>
      <c r="E45" s="10" t="s">
        <v>48</v>
      </c>
      <c r="F45" s="10" t="s">
        <v>44</v>
      </c>
      <c r="G45" s="12" t="s">
        <v>100</v>
      </c>
      <c r="H45" s="10" t="s">
        <v>101</v>
      </c>
      <c r="I45" s="16" t="s">
        <v>45</v>
      </c>
      <c r="J45" s="17" t="s">
        <v>46</v>
      </c>
      <c r="K45" s="18" t="s">
        <v>47</v>
      </c>
      <c r="L45" s="16" t="s">
        <v>45</v>
      </c>
      <c r="M45" s="10" t="s">
        <v>49</v>
      </c>
      <c r="N45" s="10" t="s">
        <v>48</v>
      </c>
      <c r="O45" s="10" t="s">
        <v>50</v>
      </c>
      <c r="P45" s="9" t="str">
        <f t="shared" si="1"/>
        <v>N/I</v>
      </c>
      <c r="Q45" s="9" t="str">
        <f t="shared" si="2"/>
        <v>N/I</v>
      </c>
      <c r="R45" s="9" t="str">
        <f t="shared" si="3"/>
        <v>N/I</v>
      </c>
    </row>
    <row r="46">
      <c r="A46" s="11" t="s">
        <v>35</v>
      </c>
      <c r="B46" s="11" t="s">
        <v>98</v>
      </c>
      <c r="C46" s="12" t="s">
        <v>52</v>
      </c>
      <c r="D46" s="21" t="s">
        <v>120</v>
      </c>
      <c r="E46" s="10" t="s">
        <v>48</v>
      </c>
      <c r="F46" s="10" t="s">
        <v>44</v>
      </c>
      <c r="G46" s="12" t="s">
        <v>100</v>
      </c>
      <c r="H46" s="10" t="s">
        <v>101</v>
      </c>
      <c r="I46" s="16" t="s">
        <v>45</v>
      </c>
      <c r="J46" s="17" t="s">
        <v>46</v>
      </c>
      <c r="K46" s="18" t="s">
        <v>47</v>
      </c>
      <c r="L46" s="16" t="s">
        <v>45</v>
      </c>
      <c r="M46" s="10" t="s">
        <v>49</v>
      </c>
      <c r="N46" s="10" t="s">
        <v>48</v>
      </c>
      <c r="O46" s="10" t="s">
        <v>50</v>
      </c>
      <c r="P46" s="9" t="str">
        <f t="shared" si="1"/>
        <v>N/I</v>
      </c>
      <c r="Q46" s="9" t="str">
        <f t="shared" si="2"/>
        <v>N/I</v>
      </c>
      <c r="R46" s="9" t="str">
        <f t="shared" si="3"/>
        <v>N/I</v>
      </c>
    </row>
    <row r="47">
      <c r="A47" s="11" t="s">
        <v>35</v>
      </c>
      <c r="B47" s="11" t="s">
        <v>98</v>
      </c>
      <c r="C47" s="12" t="s">
        <v>52</v>
      </c>
      <c r="D47" s="21" t="s">
        <v>121</v>
      </c>
      <c r="E47" s="10" t="s">
        <v>48</v>
      </c>
      <c r="F47" s="10" t="s">
        <v>44</v>
      </c>
      <c r="G47" s="12" t="s">
        <v>100</v>
      </c>
      <c r="H47" s="10" t="s">
        <v>101</v>
      </c>
      <c r="I47" s="16" t="s">
        <v>45</v>
      </c>
      <c r="J47" s="17" t="s">
        <v>46</v>
      </c>
      <c r="K47" s="18" t="s">
        <v>47</v>
      </c>
      <c r="L47" s="16" t="s">
        <v>45</v>
      </c>
      <c r="M47" s="10" t="s">
        <v>49</v>
      </c>
      <c r="N47" s="10" t="s">
        <v>48</v>
      </c>
      <c r="O47" s="10" t="s">
        <v>50</v>
      </c>
      <c r="P47" s="9" t="str">
        <f t="shared" si="1"/>
        <v>N/I</v>
      </c>
      <c r="Q47" s="9" t="str">
        <f t="shared" si="2"/>
        <v>N/I</v>
      </c>
      <c r="R47" s="9" t="str">
        <f t="shared" si="3"/>
        <v>N/I</v>
      </c>
    </row>
    <row r="48">
      <c r="A48" s="11" t="s">
        <v>35</v>
      </c>
      <c r="B48" s="11" t="s">
        <v>98</v>
      </c>
      <c r="C48" s="12" t="s">
        <v>58</v>
      </c>
      <c r="D48" s="21" t="s">
        <v>122</v>
      </c>
      <c r="E48" s="10" t="s">
        <v>48</v>
      </c>
      <c r="F48" s="10" t="s">
        <v>44</v>
      </c>
      <c r="G48" s="12" t="s">
        <v>100</v>
      </c>
      <c r="H48" s="10" t="s">
        <v>101</v>
      </c>
      <c r="I48" s="16" t="s">
        <v>45</v>
      </c>
      <c r="J48" s="17" t="s">
        <v>46</v>
      </c>
      <c r="K48" s="18" t="s">
        <v>47</v>
      </c>
      <c r="L48" s="16" t="s">
        <v>45</v>
      </c>
      <c r="M48" s="10" t="s">
        <v>49</v>
      </c>
      <c r="N48" s="10" t="s">
        <v>48</v>
      </c>
      <c r="O48" s="10" t="s">
        <v>50</v>
      </c>
      <c r="P48" s="9" t="str">
        <f t="shared" si="1"/>
        <v>N/I</v>
      </c>
      <c r="Q48" s="9" t="str">
        <f t="shared" si="2"/>
        <v>N/I</v>
      </c>
      <c r="R48" s="9" t="str">
        <f t="shared" si="3"/>
        <v>N/I</v>
      </c>
    </row>
    <row r="49">
      <c r="A49" s="11" t="s">
        <v>35</v>
      </c>
      <c r="B49" s="11" t="s">
        <v>98</v>
      </c>
      <c r="C49" s="12" t="s">
        <v>37</v>
      </c>
      <c r="D49" s="21" t="s">
        <v>123</v>
      </c>
      <c r="E49" s="10" t="s">
        <v>48</v>
      </c>
      <c r="F49" s="10" t="s">
        <v>44</v>
      </c>
      <c r="G49" s="12" t="s">
        <v>100</v>
      </c>
      <c r="H49" s="10" t="s">
        <v>101</v>
      </c>
      <c r="I49" s="16" t="s">
        <v>45</v>
      </c>
      <c r="J49" s="17" t="s">
        <v>46</v>
      </c>
      <c r="K49" s="18" t="s">
        <v>47</v>
      </c>
      <c r="L49" s="16" t="s">
        <v>45</v>
      </c>
      <c r="M49" s="10" t="s">
        <v>49</v>
      </c>
      <c r="N49" s="10" t="s">
        <v>48</v>
      </c>
      <c r="O49" s="10" t="s">
        <v>50</v>
      </c>
      <c r="P49" s="9" t="str">
        <f t="shared" si="1"/>
        <v>N/I</v>
      </c>
      <c r="Q49" s="9" t="str">
        <f t="shared" si="2"/>
        <v>N/I</v>
      </c>
      <c r="R49" s="9" t="str">
        <f t="shared" si="3"/>
        <v>N/I</v>
      </c>
    </row>
    <row r="50">
      <c r="A50" s="11" t="s">
        <v>35</v>
      </c>
      <c r="B50" s="11" t="s">
        <v>98</v>
      </c>
      <c r="C50" s="12" t="s">
        <v>83</v>
      </c>
      <c r="D50" s="20" t="s">
        <v>124</v>
      </c>
      <c r="E50" s="10" t="s">
        <v>48</v>
      </c>
      <c r="F50" s="10" t="s">
        <v>44</v>
      </c>
      <c r="G50" s="12" t="s">
        <v>100</v>
      </c>
      <c r="H50" s="10" t="s">
        <v>101</v>
      </c>
      <c r="I50" s="16" t="s">
        <v>45</v>
      </c>
      <c r="J50" s="17" t="s">
        <v>46</v>
      </c>
      <c r="K50" s="18" t="s">
        <v>47</v>
      </c>
      <c r="L50" s="16" t="s">
        <v>45</v>
      </c>
      <c r="M50" s="10" t="s">
        <v>49</v>
      </c>
      <c r="N50" s="10" t="s">
        <v>48</v>
      </c>
      <c r="O50" s="10" t="s">
        <v>50</v>
      </c>
      <c r="P50" s="9" t="str">
        <f t="shared" si="1"/>
        <v>N/I</v>
      </c>
      <c r="Q50" s="9" t="str">
        <f t="shared" si="2"/>
        <v>N/I</v>
      </c>
      <c r="R50" s="9" t="str">
        <f t="shared" si="3"/>
        <v>N/I</v>
      </c>
    </row>
    <row r="51">
      <c r="A51" s="11" t="s">
        <v>35</v>
      </c>
      <c r="B51" s="11" t="s">
        <v>98</v>
      </c>
      <c r="C51" s="12" t="s">
        <v>84</v>
      </c>
      <c r="D51" s="20" t="s">
        <v>125</v>
      </c>
      <c r="E51" s="10" t="s">
        <v>48</v>
      </c>
      <c r="F51" s="10" t="s">
        <v>44</v>
      </c>
      <c r="G51" s="12" t="s">
        <v>100</v>
      </c>
      <c r="H51" s="10" t="s">
        <v>101</v>
      </c>
      <c r="I51" s="16" t="s">
        <v>45</v>
      </c>
      <c r="J51" s="17" t="s">
        <v>46</v>
      </c>
      <c r="K51" s="18" t="s">
        <v>47</v>
      </c>
      <c r="L51" s="16" t="s">
        <v>45</v>
      </c>
      <c r="M51" s="10" t="s">
        <v>49</v>
      </c>
      <c r="N51" s="10" t="s">
        <v>48</v>
      </c>
      <c r="O51" s="10" t="s">
        <v>50</v>
      </c>
      <c r="P51" s="9" t="str">
        <f t="shared" si="1"/>
        <v>N/I</v>
      </c>
      <c r="Q51" s="9" t="str">
        <f t="shared" si="2"/>
        <v>N/I</v>
      </c>
      <c r="R51" s="9" t="str">
        <f t="shared" si="3"/>
        <v>N/I</v>
      </c>
    </row>
    <row r="52">
      <c r="A52" s="11" t="s">
        <v>35</v>
      </c>
      <c r="B52" s="11" t="s">
        <v>98</v>
      </c>
      <c r="C52" s="12" t="s">
        <v>84</v>
      </c>
      <c r="D52" s="20" t="s">
        <v>126</v>
      </c>
      <c r="E52" s="10" t="s">
        <v>48</v>
      </c>
      <c r="F52" s="10" t="s">
        <v>44</v>
      </c>
      <c r="G52" s="12" t="s">
        <v>100</v>
      </c>
      <c r="H52" s="10" t="s">
        <v>101</v>
      </c>
      <c r="I52" s="16" t="s">
        <v>45</v>
      </c>
      <c r="J52" s="17" t="s">
        <v>46</v>
      </c>
      <c r="K52" s="18" t="s">
        <v>47</v>
      </c>
      <c r="L52" s="16" t="s">
        <v>45</v>
      </c>
      <c r="M52" s="10" t="s">
        <v>49</v>
      </c>
      <c r="N52" s="10" t="s">
        <v>48</v>
      </c>
      <c r="O52" s="10" t="s">
        <v>50</v>
      </c>
      <c r="P52" s="9" t="str">
        <f t="shared" si="1"/>
        <v>N/I</v>
      </c>
      <c r="Q52" s="9" t="str">
        <f t="shared" si="2"/>
        <v>N/I</v>
      </c>
      <c r="R52" s="9" t="str">
        <f t="shared" si="3"/>
        <v>N/I</v>
      </c>
    </row>
    <row r="53">
      <c r="A53" s="11" t="s">
        <v>35</v>
      </c>
      <c r="B53" s="11" t="s">
        <v>98</v>
      </c>
      <c r="C53" s="12" t="s">
        <v>84</v>
      </c>
      <c r="D53" s="20" t="s">
        <v>127</v>
      </c>
      <c r="E53" s="10" t="s">
        <v>48</v>
      </c>
      <c r="F53" s="10" t="s">
        <v>44</v>
      </c>
      <c r="G53" s="12" t="s">
        <v>100</v>
      </c>
      <c r="H53" s="10" t="s">
        <v>101</v>
      </c>
      <c r="I53" s="16" t="s">
        <v>45</v>
      </c>
      <c r="J53" s="17" t="s">
        <v>46</v>
      </c>
      <c r="K53" s="18" t="s">
        <v>47</v>
      </c>
      <c r="L53" s="16" t="s">
        <v>45</v>
      </c>
      <c r="M53" s="10" t="s">
        <v>49</v>
      </c>
      <c r="N53" s="10" t="s">
        <v>48</v>
      </c>
      <c r="O53" s="10" t="s">
        <v>50</v>
      </c>
      <c r="P53" s="9" t="str">
        <f t="shared" si="1"/>
        <v>N/I</v>
      </c>
      <c r="Q53" s="9" t="str">
        <f t="shared" si="2"/>
        <v>N/I</v>
      </c>
      <c r="R53" s="9" t="str">
        <f t="shared" si="3"/>
        <v>N/I</v>
      </c>
    </row>
    <row r="54">
      <c r="A54" s="11" t="s">
        <v>35</v>
      </c>
      <c r="B54" s="11" t="s">
        <v>98</v>
      </c>
      <c r="C54" s="12" t="s">
        <v>37</v>
      </c>
      <c r="D54" s="21" t="s">
        <v>128</v>
      </c>
      <c r="E54" s="10" t="s">
        <v>48</v>
      </c>
      <c r="F54" s="10" t="s">
        <v>44</v>
      </c>
      <c r="G54" s="12" t="s">
        <v>100</v>
      </c>
      <c r="H54" s="10" t="s">
        <v>101</v>
      </c>
      <c r="I54" s="16" t="s">
        <v>45</v>
      </c>
      <c r="J54" s="17" t="s">
        <v>46</v>
      </c>
      <c r="K54" s="18" t="s">
        <v>47</v>
      </c>
      <c r="L54" s="16" t="s">
        <v>45</v>
      </c>
      <c r="M54" s="10" t="s">
        <v>49</v>
      </c>
      <c r="N54" s="10" t="s">
        <v>48</v>
      </c>
      <c r="O54" s="10" t="s">
        <v>50</v>
      </c>
      <c r="P54" s="9" t="str">
        <f t="shared" si="1"/>
        <v>N/I</v>
      </c>
      <c r="Q54" s="9" t="str">
        <f t="shared" si="2"/>
        <v>N/I</v>
      </c>
      <c r="R54" s="9" t="str">
        <f t="shared" si="3"/>
        <v>N/I</v>
      </c>
    </row>
    <row r="55">
      <c r="A55" s="11" t="s">
        <v>35</v>
      </c>
      <c r="B55" s="11" t="s">
        <v>129</v>
      </c>
      <c r="C55" s="12" t="s">
        <v>79</v>
      </c>
      <c r="D55" s="21" t="s">
        <v>130</v>
      </c>
      <c r="E55" s="10" t="s">
        <v>48</v>
      </c>
      <c r="F55" s="10" t="s">
        <v>44</v>
      </c>
      <c r="G55" s="12" t="s">
        <v>131</v>
      </c>
      <c r="H55" s="10" t="s">
        <v>132</v>
      </c>
      <c r="I55" s="16" t="s">
        <v>45</v>
      </c>
      <c r="J55" s="17" t="s">
        <v>46</v>
      </c>
      <c r="K55" s="18" t="s">
        <v>47</v>
      </c>
      <c r="L55" s="16" t="s">
        <v>45</v>
      </c>
      <c r="M55" s="10" t="s">
        <v>49</v>
      </c>
      <c r="N55" s="10" t="s">
        <v>48</v>
      </c>
      <c r="O55" s="10" t="s">
        <v>50</v>
      </c>
      <c r="P55" s="9" t="str">
        <f t="shared" si="1"/>
        <v>N/I</v>
      </c>
      <c r="Q55" s="9" t="str">
        <f t="shared" si="2"/>
        <v>N/I</v>
      </c>
      <c r="R55" s="9" t="str">
        <f t="shared" si="3"/>
        <v>N/I</v>
      </c>
    </row>
    <row r="56">
      <c r="A56" s="11" t="s">
        <v>35</v>
      </c>
      <c r="B56" s="11" t="s">
        <v>129</v>
      </c>
      <c r="C56" s="12" t="s">
        <v>37</v>
      </c>
      <c r="D56" s="21" t="s">
        <v>135</v>
      </c>
      <c r="E56" s="10" t="s">
        <v>48</v>
      </c>
      <c r="F56" s="10" t="s">
        <v>44</v>
      </c>
      <c r="G56" s="12" t="s">
        <v>131</v>
      </c>
      <c r="H56" s="10" t="s">
        <v>132</v>
      </c>
      <c r="I56" s="16" t="s">
        <v>45</v>
      </c>
      <c r="J56" s="17" t="s">
        <v>46</v>
      </c>
      <c r="K56" s="18" t="s">
        <v>47</v>
      </c>
      <c r="L56" s="16" t="s">
        <v>45</v>
      </c>
      <c r="M56" s="10" t="s">
        <v>49</v>
      </c>
      <c r="N56" s="10" t="s">
        <v>48</v>
      </c>
      <c r="O56" s="10" t="s">
        <v>50</v>
      </c>
      <c r="P56" s="9" t="str">
        <f t="shared" si="1"/>
        <v>N/I</v>
      </c>
      <c r="Q56" s="9" t="str">
        <f t="shared" si="2"/>
        <v>N/I</v>
      </c>
      <c r="R56" s="9" t="str">
        <f t="shared" si="3"/>
        <v>N/I</v>
      </c>
    </row>
    <row r="57">
      <c r="A57" s="11" t="s">
        <v>35</v>
      </c>
      <c r="B57" s="11" t="s">
        <v>129</v>
      </c>
      <c r="C57" s="12" t="s">
        <v>37</v>
      </c>
      <c r="D57" s="21" t="s">
        <v>136</v>
      </c>
      <c r="E57" s="10" t="s">
        <v>48</v>
      </c>
      <c r="F57" s="10" t="s">
        <v>44</v>
      </c>
      <c r="G57" s="12" t="s">
        <v>131</v>
      </c>
      <c r="H57" s="10" t="s">
        <v>132</v>
      </c>
      <c r="I57" s="16" t="s">
        <v>45</v>
      </c>
      <c r="J57" s="17" t="s">
        <v>46</v>
      </c>
      <c r="K57" s="18" t="s">
        <v>47</v>
      </c>
      <c r="L57" s="16" t="s">
        <v>45</v>
      </c>
      <c r="M57" s="10" t="s">
        <v>49</v>
      </c>
      <c r="N57" s="10" t="s">
        <v>48</v>
      </c>
      <c r="O57" s="10" t="s">
        <v>50</v>
      </c>
      <c r="P57" s="9" t="str">
        <f t="shared" si="1"/>
        <v>N/I</v>
      </c>
      <c r="Q57" s="9" t="str">
        <f t="shared" si="2"/>
        <v>N/I</v>
      </c>
      <c r="R57" s="9" t="str">
        <f t="shared" si="3"/>
        <v>N/I</v>
      </c>
    </row>
    <row r="58">
      <c r="A58" s="11" t="s">
        <v>35</v>
      </c>
      <c r="B58" s="11" t="s">
        <v>129</v>
      </c>
      <c r="C58" s="12" t="s">
        <v>37</v>
      </c>
      <c r="D58" s="21" t="s">
        <v>137</v>
      </c>
      <c r="E58" s="10" t="s">
        <v>48</v>
      </c>
      <c r="F58" s="10" t="s">
        <v>44</v>
      </c>
      <c r="G58" s="12" t="s">
        <v>131</v>
      </c>
      <c r="H58" s="10" t="s">
        <v>132</v>
      </c>
      <c r="I58" s="16" t="s">
        <v>45</v>
      </c>
      <c r="J58" s="17" t="s">
        <v>46</v>
      </c>
      <c r="K58" s="18" t="s">
        <v>47</v>
      </c>
      <c r="L58" s="16" t="s">
        <v>45</v>
      </c>
      <c r="M58" s="10" t="s">
        <v>49</v>
      </c>
      <c r="N58" s="10" t="s">
        <v>48</v>
      </c>
      <c r="O58" s="10" t="s">
        <v>50</v>
      </c>
      <c r="P58" s="9" t="str">
        <f t="shared" si="1"/>
        <v>N/I</v>
      </c>
      <c r="Q58" s="9" t="str">
        <f t="shared" si="2"/>
        <v>N/I</v>
      </c>
      <c r="R58" s="9" t="str">
        <f t="shared" si="3"/>
        <v>N/I</v>
      </c>
    </row>
    <row r="59">
      <c r="A59" s="11" t="s">
        <v>35</v>
      </c>
      <c r="B59" s="11" t="s">
        <v>129</v>
      </c>
      <c r="C59" s="12" t="s">
        <v>58</v>
      </c>
      <c r="D59" s="21" t="s">
        <v>138</v>
      </c>
      <c r="E59" s="10" t="s">
        <v>48</v>
      </c>
      <c r="F59" s="10" t="s">
        <v>44</v>
      </c>
      <c r="G59" s="12" t="s">
        <v>131</v>
      </c>
      <c r="H59" s="10" t="s">
        <v>132</v>
      </c>
      <c r="I59" s="16" t="s">
        <v>45</v>
      </c>
      <c r="J59" s="17" t="s">
        <v>46</v>
      </c>
      <c r="K59" s="18" t="s">
        <v>47</v>
      </c>
      <c r="L59" s="16" t="s">
        <v>45</v>
      </c>
      <c r="M59" s="10" t="s">
        <v>49</v>
      </c>
      <c r="N59" s="10" t="s">
        <v>48</v>
      </c>
      <c r="O59" s="10" t="s">
        <v>50</v>
      </c>
      <c r="P59" s="9" t="str">
        <f t="shared" si="1"/>
        <v>N/I</v>
      </c>
      <c r="Q59" s="9" t="str">
        <f t="shared" si="2"/>
        <v>N/I</v>
      </c>
      <c r="R59" s="9" t="str">
        <f t="shared" si="3"/>
        <v>N/I</v>
      </c>
    </row>
    <row r="60">
      <c r="A60" s="11" t="s">
        <v>35</v>
      </c>
      <c r="B60" s="11" t="s">
        <v>129</v>
      </c>
      <c r="C60" s="12" t="s">
        <v>58</v>
      </c>
      <c r="D60" s="21" t="s">
        <v>139</v>
      </c>
      <c r="E60" s="10" t="s">
        <v>48</v>
      </c>
      <c r="F60" s="10" t="s">
        <v>44</v>
      </c>
      <c r="G60" s="12" t="s">
        <v>131</v>
      </c>
      <c r="H60" s="10" t="s">
        <v>132</v>
      </c>
      <c r="I60" s="16" t="s">
        <v>45</v>
      </c>
      <c r="J60" s="17" t="s">
        <v>46</v>
      </c>
      <c r="K60" s="18" t="s">
        <v>47</v>
      </c>
      <c r="L60" s="16" t="s">
        <v>45</v>
      </c>
      <c r="M60" s="10" t="s">
        <v>49</v>
      </c>
      <c r="N60" s="10" t="s">
        <v>48</v>
      </c>
      <c r="O60" s="10" t="s">
        <v>50</v>
      </c>
      <c r="P60" s="9" t="str">
        <f t="shared" si="1"/>
        <v>N/I</v>
      </c>
      <c r="Q60" s="9" t="str">
        <f t="shared" si="2"/>
        <v>N/I</v>
      </c>
      <c r="R60" s="9" t="str">
        <f t="shared" si="3"/>
        <v>N/I</v>
      </c>
    </row>
    <row r="61">
      <c r="A61" s="11" t="s">
        <v>35</v>
      </c>
      <c r="B61" s="11" t="s">
        <v>129</v>
      </c>
      <c r="C61" s="12" t="s">
        <v>52</v>
      </c>
      <c r="D61" s="21" t="s">
        <v>140</v>
      </c>
      <c r="E61" s="10" t="s">
        <v>48</v>
      </c>
      <c r="F61" s="10" t="s">
        <v>44</v>
      </c>
      <c r="G61" s="12" t="s">
        <v>131</v>
      </c>
      <c r="H61" s="10" t="s">
        <v>132</v>
      </c>
      <c r="I61" s="16" t="s">
        <v>45</v>
      </c>
      <c r="J61" s="17" t="s">
        <v>46</v>
      </c>
      <c r="K61" s="18" t="s">
        <v>47</v>
      </c>
      <c r="L61" s="16" t="s">
        <v>45</v>
      </c>
      <c r="M61" s="10" t="s">
        <v>49</v>
      </c>
      <c r="N61" s="10" t="s">
        <v>48</v>
      </c>
      <c r="O61" s="10" t="s">
        <v>50</v>
      </c>
      <c r="P61" s="9" t="str">
        <f t="shared" si="1"/>
        <v>N/I</v>
      </c>
      <c r="Q61" s="9" t="str">
        <f t="shared" si="2"/>
        <v>N/I</v>
      </c>
      <c r="R61" s="9" t="str">
        <f t="shared" si="3"/>
        <v>N/I</v>
      </c>
    </row>
    <row r="62">
      <c r="A62" s="11" t="s">
        <v>35</v>
      </c>
      <c r="B62" s="11" t="s">
        <v>129</v>
      </c>
      <c r="C62" s="12" t="s">
        <v>68</v>
      </c>
      <c r="D62" s="21" t="s">
        <v>141</v>
      </c>
      <c r="E62" s="10" t="s">
        <v>48</v>
      </c>
      <c r="F62" s="10" t="s">
        <v>44</v>
      </c>
      <c r="G62" s="12" t="s">
        <v>131</v>
      </c>
      <c r="H62" s="10" t="s">
        <v>132</v>
      </c>
      <c r="I62" s="16" t="s">
        <v>45</v>
      </c>
      <c r="J62" s="17" t="s">
        <v>46</v>
      </c>
      <c r="K62" s="18" t="s">
        <v>47</v>
      </c>
      <c r="L62" s="16" t="s">
        <v>45</v>
      </c>
      <c r="M62" s="10" t="s">
        <v>49</v>
      </c>
      <c r="N62" s="10" t="s">
        <v>48</v>
      </c>
      <c r="O62" s="10" t="s">
        <v>50</v>
      </c>
      <c r="P62" s="9" t="str">
        <f t="shared" si="1"/>
        <v>N/I</v>
      </c>
      <c r="Q62" s="9" t="str">
        <f t="shared" si="2"/>
        <v>N/I</v>
      </c>
      <c r="R62" s="9" t="str">
        <f t="shared" si="3"/>
        <v>N/I</v>
      </c>
    </row>
    <row r="63">
      <c r="A63" s="11" t="s">
        <v>35</v>
      </c>
      <c r="B63" s="11" t="s">
        <v>129</v>
      </c>
      <c r="C63" s="12" t="s">
        <v>68</v>
      </c>
      <c r="D63" s="21" t="s">
        <v>142</v>
      </c>
      <c r="E63" s="10" t="s">
        <v>48</v>
      </c>
      <c r="F63" s="10" t="s">
        <v>44</v>
      </c>
      <c r="G63" s="12" t="s">
        <v>131</v>
      </c>
      <c r="H63" s="10" t="s">
        <v>132</v>
      </c>
      <c r="I63" s="16" t="s">
        <v>45</v>
      </c>
      <c r="J63" s="17" t="s">
        <v>46</v>
      </c>
      <c r="K63" s="18" t="s">
        <v>47</v>
      </c>
      <c r="L63" s="16" t="s">
        <v>45</v>
      </c>
      <c r="M63" s="10" t="s">
        <v>49</v>
      </c>
      <c r="N63" s="10" t="s">
        <v>48</v>
      </c>
      <c r="O63" s="10" t="s">
        <v>50</v>
      </c>
      <c r="P63" s="9" t="str">
        <f t="shared" si="1"/>
        <v>N/I</v>
      </c>
      <c r="Q63" s="9" t="str">
        <f t="shared" si="2"/>
        <v>N/I</v>
      </c>
      <c r="R63" s="9" t="str">
        <f t="shared" si="3"/>
        <v>N/I</v>
      </c>
    </row>
    <row r="64">
      <c r="A64" s="11" t="s">
        <v>35</v>
      </c>
      <c r="B64" s="11" t="s">
        <v>129</v>
      </c>
      <c r="C64" s="12" t="s">
        <v>52</v>
      </c>
      <c r="D64" s="21" t="s">
        <v>143</v>
      </c>
      <c r="E64" s="10" t="s">
        <v>48</v>
      </c>
      <c r="F64" s="10" t="s">
        <v>44</v>
      </c>
      <c r="G64" s="12" t="s">
        <v>131</v>
      </c>
      <c r="H64" s="10" t="s">
        <v>132</v>
      </c>
      <c r="I64" s="16" t="s">
        <v>45</v>
      </c>
      <c r="J64" s="17" t="s">
        <v>46</v>
      </c>
      <c r="K64" s="18" t="s">
        <v>47</v>
      </c>
      <c r="L64" s="16" t="s">
        <v>45</v>
      </c>
      <c r="M64" s="10" t="s">
        <v>49</v>
      </c>
      <c r="N64" s="10" t="s">
        <v>48</v>
      </c>
      <c r="O64" s="10" t="s">
        <v>50</v>
      </c>
      <c r="P64" s="9" t="str">
        <f t="shared" si="1"/>
        <v>N/I</v>
      </c>
      <c r="Q64" s="9" t="str">
        <f t="shared" si="2"/>
        <v>N/I</v>
      </c>
      <c r="R64" s="9" t="str">
        <f t="shared" si="3"/>
        <v>N/I</v>
      </c>
    </row>
    <row r="65">
      <c r="A65" s="11" t="s">
        <v>35</v>
      </c>
      <c r="B65" s="11" t="s">
        <v>129</v>
      </c>
      <c r="C65" s="12" t="s">
        <v>37</v>
      </c>
      <c r="D65" s="21" t="s">
        <v>144</v>
      </c>
      <c r="E65" s="10" t="s">
        <v>48</v>
      </c>
      <c r="F65" s="10" t="s">
        <v>44</v>
      </c>
      <c r="G65" s="12" t="s">
        <v>131</v>
      </c>
      <c r="H65" s="10" t="s">
        <v>132</v>
      </c>
      <c r="I65" s="16" t="s">
        <v>45</v>
      </c>
      <c r="J65" s="17" t="s">
        <v>46</v>
      </c>
      <c r="K65" s="18" t="s">
        <v>47</v>
      </c>
      <c r="L65" s="16" t="s">
        <v>45</v>
      </c>
      <c r="M65" s="10" t="s">
        <v>49</v>
      </c>
      <c r="N65" s="10" t="s">
        <v>48</v>
      </c>
      <c r="O65" s="10" t="s">
        <v>50</v>
      </c>
      <c r="P65" s="9" t="str">
        <f t="shared" si="1"/>
        <v>N/I</v>
      </c>
      <c r="Q65" s="9" t="str">
        <f t="shared" si="2"/>
        <v>N/I</v>
      </c>
      <c r="R65" s="9" t="str">
        <f t="shared" si="3"/>
        <v>N/I</v>
      </c>
    </row>
    <row r="66">
      <c r="A66" s="11" t="s">
        <v>35</v>
      </c>
      <c r="B66" s="11" t="s">
        <v>129</v>
      </c>
      <c r="C66" s="12" t="s">
        <v>37</v>
      </c>
      <c r="D66" s="21" t="s">
        <v>145</v>
      </c>
      <c r="E66" s="10" t="s">
        <v>48</v>
      </c>
      <c r="F66" s="10" t="s">
        <v>44</v>
      </c>
      <c r="G66" s="12" t="s">
        <v>131</v>
      </c>
      <c r="H66" s="10" t="s">
        <v>132</v>
      </c>
      <c r="I66" s="16" t="s">
        <v>45</v>
      </c>
      <c r="J66" s="17" t="s">
        <v>46</v>
      </c>
      <c r="K66" s="18" t="s">
        <v>47</v>
      </c>
      <c r="L66" s="16" t="s">
        <v>45</v>
      </c>
      <c r="M66" s="10" t="s">
        <v>49</v>
      </c>
      <c r="N66" s="10" t="s">
        <v>48</v>
      </c>
      <c r="O66" s="10" t="s">
        <v>50</v>
      </c>
      <c r="P66" s="9" t="str">
        <f t="shared" si="1"/>
        <v>N/I</v>
      </c>
      <c r="Q66" s="9" t="str">
        <f t="shared" si="2"/>
        <v>N/I</v>
      </c>
      <c r="R66" s="9" t="str">
        <f t="shared" si="3"/>
        <v>N/I</v>
      </c>
    </row>
    <row r="67">
      <c r="A67" s="11" t="s">
        <v>35</v>
      </c>
      <c r="B67" s="11" t="s">
        <v>129</v>
      </c>
      <c r="C67" s="12" t="s">
        <v>37</v>
      </c>
      <c r="D67" s="21" t="s">
        <v>146</v>
      </c>
      <c r="E67" s="10" t="s">
        <v>48</v>
      </c>
      <c r="F67" s="10" t="s">
        <v>44</v>
      </c>
      <c r="G67" s="12" t="s">
        <v>131</v>
      </c>
      <c r="H67" s="10" t="s">
        <v>132</v>
      </c>
      <c r="I67" s="16" t="s">
        <v>45</v>
      </c>
      <c r="J67" s="17" t="s">
        <v>46</v>
      </c>
      <c r="K67" s="18" t="s">
        <v>47</v>
      </c>
      <c r="L67" s="16" t="s">
        <v>45</v>
      </c>
      <c r="M67" s="10" t="s">
        <v>49</v>
      </c>
      <c r="N67" s="10" t="s">
        <v>48</v>
      </c>
      <c r="O67" s="10" t="s">
        <v>50</v>
      </c>
      <c r="P67" s="9" t="str">
        <f t="shared" si="1"/>
        <v>N/I</v>
      </c>
      <c r="Q67" s="9" t="str">
        <f t="shared" si="2"/>
        <v>N/I</v>
      </c>
      <c r="R67" s="9" t="str">
        <f t="shared" si="3"/>
        <v>N/I</v>
      </c>
    </row>
    <row r="68">
      <c r="A68" s="11" t="s">
        <v>35</v>
      </c>
      <c r="B68" s="11" t="s">
        <v>129</v>
      </c>
      <c r="C68" s="12" t="s">
        <v>68</v>
      </c>
      <c r="D68" s="21" t="s">
        <v>147</v>
      </c>
      <c r="E68" s="10" t="s">
        <v>48</v>
      </c>
      <c r="F68" s="10" t="s">
        <v>44</v>
      </c>
      <c r="G68" s="12" t="s">
        <v>131</v>
      </c>
      <c r="H68" s="10" t="s">
        <v>132</v>
      </c>
      <c r="I68" s="16" t="s">
        <v>45</v>
      </c>
      <c r="J68" s="17" t="s">
        <v>46</v>
      </c>
      <c r="K68" s="18" t="s">
        <v>47</v>
      </c>
      <c r="L68" s="16" t="s">
        <v>45</v>
      </c>
      <c r="M68" s="10" t="s">
        <v>49</v>
      </c>
      <c r="N68" s="10" t="s">
        <v>48</v>
      </c>
      <c r="O68" s="10" t="s">
        <v>50</v>
      </c>
      <c r="P68" s="9" t="str">
        <f t="shared" si="1"/>
        <v>N/I</v>
      </c>
      <c r="Q68" s="9" t="str">
        <f t="shared" si="2"/>
        <v>N/I</v>
      </c>
      <c r="R68" s="9" t="str">
        <f t="shared" si="3"/>
        <v>N/I</v>
      </c>
    </row>
    <row r="69">
      <c r="A69" s="11" t="s">
        <v>35</v>
      </c>
      <c r="B69" s="11" t="s">
        <v>129</v>
      </c>
      <c r="C69" s="12" t="s">
        <v>52</v>
      </c>
      <c r="D69" s="21" t="s">
        <v>148</v>
      </c>
      <c r="E69" s="10" t="s">
        <v>48</v>
      </c>
      <c r="F69" s="10" t="s">
        <v>44</v>
      </c>
      <c r="G69" s="12" t="s">
        <v>131</v>
      </c>
      <c r="H69" s="10" t="s">
        <v>132</v>
      </c>
      <c r="I69" s="16" t="s">
        <v>45</v>
      </c>
      <c r="J69" s="17" t="s">
        <v>46</v>
      </c>
      <c r="K69" s="18" t="s">
        <v>47</v>
      </c>
      <c r="L69" s="16" t="s">
        <v>45</v>
      </c>
      <c r="M69" s="10" t="s">
        <v>49</v>
      </c>
      <c r="N69" s="10" t="s">
        <v>48</v>
      </c>
      <c r="O69" s="10" t="s">
        <v>50</v>
      </c>
      <c r="P69" s="9" t="str">
        <f t="shared" si="1"/>
        <v>N/I</v>
      </c>
      <c r="Q69" s="9" t="str">
        <f t="shared" si="2"/>
        <v>N/I</v>
      </c>
      <c r="R69" s="9" t="str">
        <f t="shared" si="3"/>
        <v>N/I</v>
      </c>
    </row>
    <row r="70">
      <c r="A70" s="11" t="s">
        <v>35</v>
      </c>
      <c r="B70" s="11" t="s">
        <v>129</v>
      </c>
      <c r="C70" s="12" t="s">
        <v>79</v>
      </c>
      <c r="D70" s="21" t="s">
        <v>149</v>
      </c>
      <c r="E70" s="10" t="s">
        <v>48</v>
      </c>
      <c r="F70" s="10" t="s">
        <v>44</v>
      </c>
      <c r="G70" s="12" t="s">
        <v>131</v>
      </c>
      <c r="H70" s="10" t="s">
        <v>132</v>
      </c>
      <c r="I70" s="16" t="s">
        <v>45</v>
      </c>
      <c r="J70" s="17" t="s">
        <v>46</v>
      </c>
      <c r="K70" s="18" t="s">
        <v>47</v>
      </c>
      <c r="L70" s="16" t="s">
        <v>45</v>
      </c>
      <c r="M70" s="10" t="s">
        <v>49</v>
      </c>
      <c r="N70" s="10" t="s">
        <v>48</v>
      </c>
      <c r="O70" s="10" t="s">
        <v>50</v>
      </c>
      <c r="P70" s="9" t="str">
        <f t="shared" si="1"/>
        <v>N/I</v>
      </c>
      <c r="Q70" s="9" t="str">
        <f t="shared" si="2"/>
        <v>N/I</v>
      </c>
      <c r="R70" s="9" t="str">
        <f t="shared" si="3"/>
        <v>N/I</v>
      </c>
    </row>
    <row r="71">
      <c r="A71" s="11" t="s">
        <v>35</v>
      </c>
      <c r="B71" s="11" t="s">
        <v>129</v>
      </c>
      <c r="C71" s="12" t="s">
        <v>52</v>
      </c>
      <c r="D71" s="21" t="s">
        <v>150</v>
      </c>
      <c r="E71" s="10" t="s">
        <v>48</v>
      </c>
      <c r="F71" s="10" t="s">
        <v>44</v>
      </c>
      <c r="G71" s="12" t="s">
        <v>131</v>
      </c>
      <c r="H71" s="10" t="s">
        <v>132</v>
      </c>
      <c r="I71" s="16" t="s">
        <v>45</v>
      </c>
      <c r="J71" s="17" t="s">
        <v>46</v>
      </c>
      <c r="K71" s="18" t="s">
        <v>47</v>
      </c>
      <c r="L71" s="16" t="s">
        <v>45</v>
      </c>
      <c r="M71" s="10" t="s">
        <v>49</v>
      </c>
      <c r="N71" s="10" t="s">
        <v>48</v>
      </c>
      <c r="O71" s="10" t="s">
        <v>50</v>
      </c>
      <c r="P71" s="9" t="str">
        <f t="shared" si="1"/>
        <v>N/I</v>
      </c>
      <c r="Q71" s="9" t="str">
        <f t="shared" si="2"/>
        <v>N/I</v>
      </c>
      <c r="R71" s="9" t="str">
        <f t="shared" si="3"/>
        <v>N/I</v>
      </c>
    </row>
    <row r="72">
      <c r="A72" s="11" t="s">
        <v>35</v>
      </c>
      <c r="B72" s="11" t="s">
        <v>129</v>
      </c>
      <c r="C72" s="12" t="s">
        <v>68</v>
      </c>
      <c r="D72" s="21" t="s">
        <v>151</v>
      </c>
      <c r="E72" s="10" t="s">
        <v>48</v>
      </c>
      <c r="F72" s="10" t="s">
        <v>44</v>
      </c>
      <c r="G72" s="12" t="s">
        <v>131</v>
      </c>
      <c r="H72" s="10" t="s">
        <v>132</v>
      </c>
      <c r="I72" s="16" t="s">
        <v>45</v>
      </c>
      <c r="J72" s="17" t="s">
        <v>46</v>
      </c>
      <c r="K72" s="18" t="s">
        <v>47</v>
      </c>
      <c r="L72" s="16" t="s">
        <v>45</v>
      </c>
      <c r="M72" s="10" t="s">
        <v>49</v>
      </c>
      <c r="N72" s="10" t="s">
        <v>48</v>
      </c>
      <c r="O72" s="10" t="s">
        <v>50</v>
      </c>
      <c r="P72" s="9" t="str">
        <f t="shared" si="1"/>
        <v>N/I</v>
      </c>
      <c r="Q72" s="9" t="str">
        <f t="shared" si="2"/>
        <v>N/I</v>
      </c>
      <c r="R72" s="9" t="str">
        <f t="shared" si="3"/>
        <v>N/I</v>
      </c>
    </row>
    <row r="73">
      <c r="A73" s="11" t="s">
        <v>35</v>
      </c>
      <c r="B73" s="11" t="s">
        <v>129</v>
      </c>
      <c r="C73" s="12" t="s">
        <v>68</v>
      </c>
      <c r="D73" s="21" t="s">
        <v>152</v>
      </c>
      <c r="E73" s="10" t="s">
        <v>48</v>
      </c>
      <c r="F73" s="10" t="s">
        <v>44</v>
      </c>
      <c r="G73" s="12" t="s">
        <v>131</v>
      </c>
      <c r="H73" s="10" t="s">
        <v>132</v>
      </c>
      <c r="I73" s="16" t="s">
        <v>45</v>
      </c>
      <c r="J73" s="17" t="s">
        <v>46</v>
      </c>
      <c r="K73" s="18" t="s">
        <v>47</v>
      </c>
      <c r="L73" s="16" t="s">
        <v>45</v>
      </c>
      <c r="M73" s="10" t="s">
        <v>49</v>
      </c>
      <c r="N73" s="10" t="s">
        <v>48</v>
      </c>
      <c r="O73" s="10" t="s">
        <v>50</v>
      </c>
      <c r="P73" s="9" t="str">
        <f t="shared" si="1"/>
        <v>N/I</v>
      </c>
      <c r="Q73" s="9" t="str">
        <f t="shared" si="2"/>
        <v>N/I</v>
      </c>
      <c r="R73" s="9" t="str">
        <f t="shared" si="3"/>
        <v>N/I</v>
      </c>
    </row>
    <row r="74">
      <c r="A74" s="11" t="s">
        <v>35</v>
      </c>
      <c r="B74" s="11" t="s">
        <v>129</v>
      </c>
      <c r="C74" s="12" t="s">
        <v>68</v>
      </c>
      <c r="D74" s="21" t="s">
        <v>153</v>
      </c>
      <c r="E74" s="10" t="s">
        <v>48</v>
      </c>
      <c r="F74" s="10" t="s">
        <v>44</v>
      </c>
      <c r="G74" s="12" t="s">
        <v>131</v>
      </c>
      <c r="H74" s="10" t="s">
        <v>132</v>
      </c>
      <c r="I74" s="16" t="s">
        <v>45</v>
      </c>
      <c r="J74" s="17" t="s">
        <v>46</v>
      </c>
      <c r="K74" s="18" t="s">
        <v>47</v>
      </c>
      <c r="L74" s="16" t="s">
        <v>45</v>
      </c>
      <c r="M74" s="10" t="s">
        <v>49</v>
      </c>
      <c r="N74" s="10" t="s">
        <v>48</v>
      </c>
      <c r="O74" s="10" t="s">
        <v>50</v>
      </c>
      <c r="P74" s="9" t="str">
        <f t="shared" si="1"/>
        <v>N/I</v>
      </c>
      <c r="Q74" s="9" t="str">
        <f t="shared" si="2"/>
        <v>N/I</v>
      </c>
      <c r="R74" s="9" t="str">
        <f t="shared" si="3"/>
        <v>N/I</v>
      </c>
    </row>
    <row r="75">
      <c r="A75" s="11" t="s">
        <v>35</v>
      </c>
      <c r="B75" s="11" t="s">
        <v>129</v>
      </c>
      <c r="C75" s="12" t="s">
        <v>68</v>
      </c>
      <c r="D75" s="21" t="s">
        <v>154</v>
      </c>
      <c r="E75" s="10" t="s">
        <v>48</v>
      </c>
      <c r="F75" s="10" t="s">
        <v>44</v>
      </c>
      <c r="G75" s="12" t="s">
        <v>131</v>
      </c>
      <c r="H75" s="10" t="s">
        <v>132</v>
      </c>
      <c r="I75" s="16" t="s">
        <v>45</v>
      </c>
      <c r="J75" s="17" t="s">
        <v>46</v>
      </c>
      <c r="K75" s="18" t="s">
        <v>47</v>
      </c>
      <c r="L75" s="16" t="s">
        <v>45</v>
      </c>
      <c r="M75" s="10" t="s">
        <v>49</v>
      </c>
      <c r="N75" s="10" t="s">
        <v>48</v>
      </c>
      <c r="O75" s="10" t="s">
        <v>50</v>
      </c>
      <c r="P75" s="9" t="str">
        <f t="shared" si="1"/>
        <v>N/I</v>
      </c>
      <c r="Q75" s="9" t="str">
        <f t="shared" si="2"/>
        <v>N/I</v>
      </c>
      <c r="R75" s="9" t="str">
        <f t="shared" si="3"/>
        <v>N/I</v>
      </c>
    </row>
    <row r="76">
      <c r="A76" s="11" t="s">
        <v>35</v>
      </c>
      <c r="B76" s="11" t="s">
        <v>129</v>
      </c>
      <c r="C76" s="12" t="s">
        <v>68</v>
      </c>
      <c r="D76" s="21" t="s">
        <v>155</v>
      </c>
      <c r="E76" s="10" t="s">
        <v>48</v>
      </c>
      <c r="F76" s="10" t="s">
        <v>44</v>
      </c>
      <c r="G76" s="12" t="s">
        <v>131</v>
      </c>
      <c r="H76" s="10" t="s">
        <v>132</v>
      </c>
      <c r="I76" s="16" t="s">
        <v>45</v>
      </c>
      <c r="J76" s="17" t="s">
        <v>46</v>
      </c>
      <c r="K76" s="18" t="s">
        <v>47</v>
      </c>
      <c r="L76" s="16" t="s">
        <v>45</v>
      </c>
      <c r="M76" s="10" t="s">
        <v>49</v>
      </c>
      <c r="N76" s="10" t="s">
        <v>48</v>
      </c>
      <c r="O76" s="10" t="s">
        <v>50</v>
      </c>
      <c r="P76" s="9" t="str">
        <f t="shared" si="1"/>
        <v>N/I</v>
      </c>
      <c r="Q76" s="9" t="str">
        <f t="shared" si="2"/>
        <v>N/I</v>
      </c>
      <c r="R76" s="9" t="str">
        <f t="shared" si="3"/>
        <v>N/I</v>
      </c>
    </row>
    <row r="77">
      <c r="A77" s="11" t="s">
        <v>35</v>
      </c>
      <c r="B77" s="11" t="s">
        <v>129</v>
      </c>
      <c r="C77" s="12" t="s">
        <v>68</v>
      </c>
      <c r="D77" s="21" t="s">
        <v>156</v>
      </c>
      <c r="E77" s="10" t="s">
        <v>48</v>
      </c>
      <c r="F77" s="10" t="s">
        <v>44</v>
      </c>
      <c r="G77" s="12" t="s">
        <v>131</v>
      </c>
      <c r="H77" s="10" t="s">
        <v>132</v>
      </c>
      <c r="I77" s="16" t="s">
        <v>45</v>
      </c>
      <c r="J77" s="17" t="s">
        <v>46</v>
      </c>
      <c r="K77" s="18" t="s">
        <v>47</v>
      </c>
      <c r="L77" s="16" t="s">
        <v>45</v>
      </c>
      <c r="M77" s="10" t="s">
        <v>49</v>
      </c>
      <c r="N77" s="10" t="s">
        <v>48</v>
      </c>
      <c r="O77" s="10" t="s">
        <v>50</v>
      </c>
      <c r="P77" s="9" t="str">
        <f t="shared" si="1"/>
        <v>N/I</v>
      </c>
      <c r="Q77" s="9" t="str">
        <f t="shared" si="2"/>
        <v>N/I</v>
      </c>
      <c r="R77" s="9" t="str">
        <f t="shared" si="3"/>
        <v>N/I</v>
      </c>
    </row>
    <row r="78">
      <c r="A78" s="11" t="s">
        <v>35</v>
      </c>
      <c r="B78" s="11" t="s">
        <v>129</v>
      </c>
      <c r="C78" s="12" t="s">
        <v>68</v>
      </c>
      <c r="D78" s="21" t="s">
        <v>157</v>
      </c>
      <c r="E78" s="10" t="s">
        <v>48</v>
      </c>
      <c r="F78" s="10" t="s">
        <v>44</v>
      </c>
      <c r="G78" s="12" t="s">
        <v>131</v>
      </c>
      <c r="H78" s="10" t="s">
        <v>132</v>
      </c>
      <c r="I78" s="16" t="s">
        <v>45</v>
      </c>
      <c r="J78" s="17" t="s">
        <v>46</v>
      </c>
      <c r="K78" s="18" t="s">
        <v>47</v>
      </c>
      <c r="L78" s="16" t="s">
        <v>45</v>
      </c>
      <c r="M78" s="10" t="s">
        <v>49</v>
      </c>
      <c r="N78" s="10" t="s">
        <v>48</v>
      </c>
      <c r="O78" s="10" t="s">
        <v>50</v>
      </c>
      <c r="P78" s="9" t="str">
        <f t="shared" si="1"/>
        <v>N/I</v>
      </c>
      <c r="Q78" s="9" t="str">
        <f t="shared" si="2"/>
        <v>N/I</v>
      </c>
      <c r="R78" s="9" t="str">
        <f t="shared" si="3"/>
        <v>N/I</v>
      </c>
    </row>
    <row r="79">
      <c r="A79" s="11" t="s">
        <v>35</v>
      </c>
      <c r="B79" s="11" t="s">
        <v>129</v>
      </c>
      <c r="C79" s="12" t="s">
        <v>52</v>
      </c>
      <c r="D79" s="21" t="s">
        <v>158</v>
      </c>
      <c r="E79" s="10" t="s">
        <v>48</v>
      </c>
      <c r="F79" s="10" t="s">
        <v>44</v>
      </c>
      <c r="G79" s="12" t="s">
        <v>131</v>
      </c>
      <c r="H79" s="10" t="s">
        <v>132</v>
      </c>
      <c r="I79" s="16" t="s">
        <v>45</v>
      </c>
      <c r="J79" s="17" t="s">
        <v>46</v>
      </c>
      <c r="K79" s="18" t="s">
        <v>47</v>
      </c>
      <c r="L79" s="16" t="s">
        <v>45</v>
      </c>
      <c r="M79" s="10" t="s">
        <v>49</v>
      </c>
      <c r="N79" s="10" t="s">
        <v>48</v>
      </c>
      <c r="O79" s="10" t="s">
        <v>50</v>
      </c>
      <c r="P79" s="9" t="str">
        <f t="shared" si="1"/>
        <v>N/I</v>
      </c>
      <c r="Q79" s="9" t="str">
        <f t="shared" si="2"/>
        <v>N/I</v>
      </c>
      <c r="R79" s="9" t="str">
        <f t="shared" si="3"/>
        <v>N/I</v>
      </c>
    </row>
    <row r="80">
      <c r="A80" s="11" t="s">
        <v>35</v>
      </c>
      <c r="B80" s="11" t="s">
        <v>129</v>
      </c>
      <c r="C80" s="12" t="s">
        <v>37</v>
      </c>
      <c r="D80" s="21" t="s">
        <v>159</v>
      </c>
      <c r="E80" s="10" t="s">
        <v>48</v>
      </c>
      <c r="F80" s="10" t="s">
        <v>44</v>
      </c>
      <c r="G80" s="12" t="s">
        <v>131</v>
      </c>
      <c r="H80" s="10" t="s">
        <v>132</v>
      </c>
      <c r="I80" s="16" t="s">
        <v>45</v>
      </c>
      <c r="J80" s="17" t="s">
        <v>46</v>
      </c>
      <c r="K80" s="18" t="s">
        <v>47</v>
      </c>
      <c r="L80" s="16" t="s">
        <v>45</v>
      </c>
      <c r="M80" s="10" t="s">
        <v>49</v>
      </c>
      <c r="N80" s="10" t="s">
        <v>48</v>
      </c>
      <c r="O80" s="10" t="s">
        <v>50</v>
      </c>
      <c r="P80" s="9" t="str">
        <f t="shared" si="1"/>
        <v>N/I</v>
      </c>
      <c r="Q80" s="9" t="str">
        <f t="shared" si="2"/>
        <v>N/I</v>
      </c>
      <c r="R80" s="9" t="str">
        <f t="shared" si="3"/>
        <v>N/I</v>
      </c>
    </row>
    <row r="81">
      <c r="A81" s="11" t="s">
        <v>35</v>
      </c>
      <c r="B81" s="11" t="s">
        <v>129</v>
      </c>
      <c r="C81" s="12" t="s">
        <v>58</v>
      </c>
      <c r="D81" s="21" t="s">
        <v>160</v>
      </c>
      <c r="E81" s="10" t="s">
        <v>48</v>
      </c>
      <c r="F81" s="10" t="s">
        <v>44</v>
      </c>
      <c r="G81" s="12" t="s">
        <v>131</v>
      </c>
      <c r="H81" s="10" t="s">
        <v>132</v>
      </c>
      <c r="I81" s="16" t="s">
        <v>45</v>
      </c>
      <c r="J81" s="17" t="s">
        <v>46</v>
      </c>
      <c r="K81" s="18" t="s">
        <v>47</v>
      </c>
      <c r="L81" s="16" t="s">
        <v>45</v>
      </c>
      <c r="M81" s="10" t="s">
        <v>49</v>
      </c>
      <c r="N81" s="10" t="s">
        <v>48</v>
      </c>
      <c r="O81" s="10" t="s">
        <v>50</v>
      </c>
      <c r="P81" s="9" t="str">
        <f t="shared" si="1"/>
        <v>N/I</v>
      </c>
      <c r="Q81" s="9" t="str">
        <f t="shared" si="2"/>
        <v>N/I</v>
      </c>
      <c r="R81" s="9" t="str">
        <f t="shared" si="3"/>
        <v>N/I</v>
      </c>
    </row>
    <row r="82">
      <c r="A82" s="11" t="s">
        <v>35</v>
      </c>
      <c r="B82" s="11" t="s">
        <v>129</v>
      </c>
      <c r="C82" s="12" t="s">
        <v>68</v>
      </c>
      <c r="D82" s="21" t="s">
        <v>161</v>
      </c>
      <c r="E82" s="10" t="s">
        <v>48</v>
      </c>
      <c r="F82" s="10" t="s">
        <v>44</v>
      </c>
      <c r="G82" s="12" t="s">
        <v>131</v>
      </c>
      <c r="H82" s="10" t="s">
        <v>132</v>
      </c>
      <c r="I82" s="16" t="s">
        <v>45</v>
      </c>
      <c r="J82" s="17" t="s">
        <v>46</v>
      </c>
      <c r="K82" s="18" t="s">
        <v>47</v>
      </c>
      <c r="L82" s="16" t="s">
        <v>45</v>
      </c>
      <c r="M82" s="10" t="s">
        <v>49</v>
      </c>
      <c r="N82" s="10" t="s">
        <v>48</v>
      </c>
      <c r="O82" s="10" t="s">
        <v>50</v>
      </c>
      <c r="P82" s="9" t="str">
        <f t="shared" si="1"/>
        <v>N/I</v>
      </c>
      <c r="Q82" s="9" t="str">
        <f t="shared" si="2"/>
        <v>N/I</v>
      </c>
      <c r="R82" s="9" t="str">
        <f t="shared" si="3"/>
        <v>N/I</v>
      </c>
    </row>
    <row r="83">
      <c r="A83" s="11" t="s">
        <v>35</v>
      </c>
      <c r="B83" s="11" t="s">
        <v>129</v>
      </c>
      <c r="C83" s="12" t="s">
        <v>68</v>
      </c>
      <c r="D83" s="21" t="s">
        <v>162</v>
      </c>
      <c r="E83" s="10" t="s">
        <v>48</v>
      </c>
      <c r="F83" s="10" t="s">
        <v>44</v>
      </c>
      <c r="G83" s="12" t="s">
        <v>131</v>
      </c>
      <c r="H83" s="10" t="s">
        <v>132</v>
      </c>
      <c r="I83" s="16" t="s">
        <v>45</v>
      </c>
      <c r="J83" s="17" t="s">
        <v>46</v>
      </c>
      <c r="K83" s="18" t="s">
        <v>47</v>
      </c>
      <c r="L83" s="16" t="s">
        <v>45</v>
      </c>
      <c r="M83" s="10" t="s">
        <v>49</v>
      </c>
      <c r="N83" s="10" t="s">
        <v>48</v>
      </c>
      <c r="O83" s="10" t="s">
        <v>50</v>
      </c>
      <c r="P83" s="9" t="str">
        <f t="shared" si="1"/>
        <v>N/I</v>
      </c>
      <c r="Q83" s="9" t="str">
        <f t="shared" si="2"/>
        <v>N/I</v>
      </c>
      <c r="R83" s="9" t="str">
        <f t="shared" si="3"/>
        <v>N/I</v>
      </c>
    </row>
    <row r="84">
      <c r="A84" s="11" t="s">
        <v>35</v>
      </c>
      <c r="B84" s="11" t="s">
        <v>129</v>
      </c>
      <c r="C84" s="12" t="s">
        <v>37</v>
      </c>
      <c r="D84" s="21">
        <v>46075.0</v>
      </c>
      <c r="E84" s="10" t="s">
        <v>48</v>
      </c>
      <c r="F84" s="10" t="s">
        <v>44</v>
      </c>
      <c r="G84" s="12" t="s">
        <v>131</v>
      </c>
      <c r="H84" s="10" t="s">
        <v>132</v>
      </c>
      <c r="I84" s="16" t="s">
        <v>45</v>
      </c>
      <c r="J84" s="17" t="s">
        <v>46</v>
      </c>
      <c r="K84" s="18" t="s">
        <v>47</v>
      </c>
      <c r="L84" s="16" t="s">
        <v>45</v>
      </c>
      <c r="M84" s="10" t="s">
        <v>49</v>
      </c>
      <c r="N84" s="10" t="s">
        <v>48</v>
      </c>
      <c r="O84" s="10" t="s">
        <v>50</v>
      </c>
      <c r="P84" s="9" t="str">
        <f t="shared" si="1"/>
        <v>N/I</v>
      </c>
      <c r="Q84" s="9" t="str">
        <f t="shared" si="2"/>
        <v>N/I</v>
      </c>
      <c r="R84" s="9" t="str">
        <f t="shared" si="3"/>
        <v>N/I</v>
      </c>
    </row>
    <row r="85">
      <c r="A85" s="11" t="s">
        <v>35</v>
      </c>
      <c r="B85" s="11" t="s">
        <v>129</v>
      </c>
      <c r="C85" s="12" t="s">
        <v>37</v>
      </c>
      <c r="D85" s="21" t="s">
        <v>163</v>
      </c>
      <c r="E85" s="10" t="s">
        <v>48</v>
      </c>
      <c r="F85" s="10" t="s">
        <v>44</v>
      </c>
      <c r="G85" s="12" t="s">
        <v>131</v>
      </c>
      <c r="H85" s="10" t="s">
        <v>132</v>
      </c>
      <c r="I85" s="16" t="s">
        <v>45</v>
      </c>
      <c r="J85" s="17" t="s">
        <v>46</v>
      </c>
      <c r="K85" s="18" t="s">
        <v>47</v>
      </c>
      <c r="L85" s="16" t="s">
        <v>45</v>
      </c>
      <c r="M85" s="10" t="s">
        <v>49</v>
      </c>
      <c r="N85" s="10" t="s">
        <v>48</v>
      </c>
      <c r="O85" s="10" t="s">
        <v>50</v>
      </c>
      <c r="P85" s="9" t="str">
        <f t="shared" si="1"/>
        <v>N/I</v>
      </c>
      <c r="Q85" s="9" t="str">
        <f t="shared" si="2"/>
        <v>N/I</v>
      </c>
      <c r="R85" s="9" t="str">
        <f t="shared" si="3"/>
        <v>N/I</v>
      </c>
    </row>
    <row r="86">
      <c r="A86" s="11" t="s">
        <v>35</v>
      </c>
      <c r="B86" s="11" t="s">
        <v>129</v>
      </c>
      <c r="C86" s="12" t="s">
        <v>37</v>
      </c>
      <c r="D86" s="21" t="s">
        <v>164</v>
      </c>
      <c r="E86" s="10" t="s">
        <v>48</v>
      </c>
      <c r="F86" s="10" t="s">
        <v>44</v>
      </c>
      <c r="G86" s="12" t="s">
        <v>131</v>
      </c>
      <c r="H86" s="10" t="s">
        <v>132</v>
      </c>
      <c r="I86" s="16" t="s">
        <v>45</v>
      </c>
      <c r="J86" s="17" t="s">
        <v>46</v>
      </c>
      <c r="K86" s="18" t="s">
        <v>47</v>
      </c>
      <c r="L86" s="16" t="s">
        <v>45</v>
      </c>
      <c r="M86" s="10" t="s">
        <v>49</v>
      </c>
      <c r="N86" s="10" t="s">
        <v>48</v>
      </c>
      <c r="O86" s="10" t="s">
        <v>50</v>
      </c>
      <c r="P86" s="9" t="str">
        <f t="shared" si="1"/>
        <v>N/I</v>
      </c>
      <c r="Q86" s="9" t="str">
        <f t="shared" si="2"/>
        <v>N/I</v>
      </c>
      <c r="R86" s="9" t="str">
        <f t="shared" si="3"/>
        <v>N/I</v>
      </c>
    </row>
    <row r="87">
      <c r="A87" s="11" t="s">
        <v>35</v>
      </c>
      <c r="B87" s="11" t="s">
        <v>129</v>
      </c>
      <c r="C87" s="12" t="s">
        <v>52</v>
      </c>
      <c r="D87" s="21" t="s">
        <v>165</v>
      </c>
      <c r="E87" s="10" t="s">
        <v>48</v>
      </c>
      <c r="F87" s="10" t="s">
        <v>44</v>
      </c>
      <c r="G87" s="12" t="s">
        <v>131</v>
      </c>
      <c r="H87" s="10" t="s">
        <v>132</v>
      </c>
      <c r="I87" s="16" t="s">
        <v>45</v>
      </c>
      <c r="J87" s="17" t="s">
        <v>46</v>
      </c>
      <c r="K87" s="18" t="s">
        <v>47</v>
      </c>
      <c r="L87" s="16" t="s">
        <v>45</v>
      </c>
      <c r="M87" s="10" t="s">
        <v>49</v>
      </c>
      <c r="N87" s="10" t="s">
        <v>48</v>
      </c>
      <c r="O87" s="10" t="s">
        <v>50</v>
      </c>
      <c r="P87" s="9" t="str">
        <f t="shared" si="1"/>
        <v>N/I</v>
      </c>
      <c r="Q87" s="9" t="str">
        <f t="shared" si="2"/>
        <v>N/I</v>
      </c>
      <c r="R87" s="9" t="str">
        <f t="shared" si="3"/>
        <v>N/I</v>
      </c>
    </row>
    <row r="88">
      <c r="A88" s="11" t="s">
        <v>35</v>
      </c>
      <c r="B88" s="11" t="s">
        <v>129</v>
      </c>
      <c r="C88" s="12" t="s">
        <v>68</v>
      </c>
      <c r="D88" s="21" t="s">
        <v>166</v>
      </c>
      <c r="E88" s="10" t="s">
        <v>48</v>
      </c>
      <c r="F88" s="10" t="s">
        <v>44</v>
      </c>
      <c r="G88" s="12" t="s">
        <v>131</v>
      </c>
      <c r="H88" s="10" t="s">
        <v>132</v>
      </c>
      <c r="I88" s="16" t="s">
        <v>45</v>
      </c>
      <c r="J88" s="17" t="s">
        <v>46</v>
      </c>
      <c r="K88" s="18" t="s">
        <v>47</v>
      </c>
      <c r="L88" s="16" t="s">
        <v>45</v>
      </c>
      <c r="M88" s="10" t="s">
        <v>49</v>
      </c>
      <c r="N88" s="10" t="s">
        <v>48</v>
      </c>
      <c r="O88" s="10" t="s">
        <v>50</v>
      </c>
      <c r="P88" s="9" t="str">
        <f t="shared" si="1"/>
        <v>N/I</v>
      </c>
      <c r="Q88" s="9" t="str">
        <f t="shared" si="2"/>
        <v>N/I</v>
      </c>
      <c r="R88" s="9" t="str">
        <f t="shared" si="3"/>
        <v>N/I</v>
      </c>
    </row>
    <row r="89">
      <c r="A89" s="11" t="s">
        <v>35</v>
      </c>
      <c r="B89" s="11" t="s">
        <v>129</v>
      </c>
      <c r="C89" s="12" t="s">
        <v>167</v>
      </c>
      <c r="D89" s="23" t="s">
        <v>168</v>
      </c>
      <c r="E89" s="10" t="s">
        <v>48</v>
      </c>
      <c r="F89" s="10" t="s">
        <v>44</v>
      </c>
      <c r="G89" s="12" t="s">
        <v>131</v>
      </c>
      <c r="H89" s="10" t="s">
        <v>132</v>
      </c>
      <c r="I89" s="16" t="s">
        <v>45</v>
      </c>
      <c r="J89" s="17" t="s">
        <v>46</v>
      </c>
      <c r="K89" s="18" t="s">
        <v>47</v>
      </c>
      <c r="L89" s="16" t="s">
        <v>45</v>
      </c>
      <c r="M89" s="10" t="s">
        <v>49</v>
      </c>
      <c r="N89" s="10" t="s">
        <v>48</v>
      </c>
      <c r="O89" s="10" t="s">
        <v>50</v>
      </c>
      <c r="P89" s="9" t="str">
        <f t="shared" si="1"/>
        <v>N/I</v>
      </c>
      <c r="Q89" s="9" t="str">
        <f t="shared" si="2"/>
        <v>N/I</v>
      </c>
      <c r="R89" s="9" t="str">
        <f t="shared" si="3"/>
        <v>N/I</v>
      </c>
    </row>
    <row r="90">
      <c r="A90" s="11" t="s">
        <v>35</v>
      </c>
      <c r="B90" s="11" t="s">
        <v>129</v>
      </c>
      <c r="C90" s="12" t="s">
        <v>83</v>
      </c>
      <c r="D90" s="23" t="s">
        <v>169</v>
      </c>
      <c r="E90" s="10" t="s">
        <v>48</v>
      </c>
      <c r="F90" s="10" t="s">
        <v>44</v>
      </c>
      <c r="G90" s="12" t="s">
        <v>131</v>
      </c>
      <c r="H90" s="10" t="s">
        <v>132</v>
      </c>
      <c r="I90" s="16" t="s">
        <v>45</v>
      </c>
      <c r="J90" s="17" t="s">
        <v>46</v>
      </c>
      <c r="K90" s="18" t="s">
        <v>47</v>
      </c>
      <c r="L90" s="16" t="s">
        <v>45</v>
      </c>
      <c r="M90" s="10" t="s">
        <v>49</v>
      </c>
      <c r="N90" s="10" t="s">
        <v>48</v>
      </c>
      <c r="O90" s="10" t="s">
        <v>50</v>
      </c>
      <c r="P90" s="9" t="str">
        <f t="shared" si="1"/>
        <v>N/I</v>
      </c>
      <c r="Q90" s="9" t="str">
        <f t="shared" si="2"/>
        <v>N/I</v>
      </c>
      <c r="R90" s="9" t="str">
        <f t="shared" si="3"/>
        <v>N/I</v>
      </c>
    </row>
    <row r="91">
      <c r="A91" s="11" t="s">
        <v>35</v>
      </c>
      <c r="B91" s="11" t="s">
        <v>129</v>
      </c>
      <c r="C91" s="12" t="s">
        <v>167</v>
      </c>
      <c r="D91" s="23" t="s">
        <v>170</v>
      </c>
      <c r="E91" s="10" t="s">
        <v>48</v>
      </c>
      <c r="F91" s="10" t="s">
        <v>44</v>
      </c>
      <c r="G91" s="12" t="s">
        <v>131</v>
      </c>
      <c r="H91" s="10" t="s">
        <v>132</v>
      </c>
      <c r="I91" s="16" t="s">
        <v>45</v>
      </c>
      <c r="J91" s="17" t="s">
        <v>46</v>
      </c>
      <c r="K91" s="18" t="s">
        <v>47</v>
      </c>
      <c r="L91" s="16" t="s">
        <v>45</v>
      </c>
      <c r="M91" s="10" t="s">
        <v>49</v>
      </c>
      <c r="N91" s="10" t="s">
        <v>48</v>
      </c>
      <c r="O91" s="10" t="s">
        <v>50</v>
      </c>
      <c r="P91" s="9" t="str">
        <f t="shared" si="1"/>
        <v>N/I</v>
      </c>
      <c r="Q91" s="9" t="str">
        <f t="shared" si="2"/>
        <v>N/I</v>
      </c>
      <c r="R91" s="9" t="str">
        <f t="shared" si="3"/>
        <v>N/I</v>
      </c>
    </row>
    <row r="92">
      <c r="A92" s="11" t="s">
        <v>35</v>
      </c>
      <c r="B92" s="11" t="s">
        <v>129</v>
      </c>
      <c r="C92" s="12" t="s">
        <v>171</v>
      </c>
      <c r="D92" s="23" t="s">
        <v>172</v>
      </c>
      <c r="E92" s="10" t="s">
        <v>48</v>
      </c>
      <c r="F92" s="10" t="s">
        <v>44</v>
      </c>
      <c r="G92" s="12" t="s">
        <v>131</v>
      </c>
      <c r="H92" s="10" t="s">
        <v>132</v>
      </c>
      <c r="I92" s="16" t="s">
        <v>45</v>
      </c>
      <c r="J92" s="17" t="s">
        <v>46</v>
      </c>
      <c r="K92" s="18" t="s">
        <v>47</v>
      </c>
      <c r="L92" s="16" t="s">
        <v>45</v>
      </c>
      <c r="M92" s="10" t="s">
        <v>49</v>
      </c>
      <c r="N92" s="10" t="s">
        <v>48</v>
      </c>
      <c r="O92" s="10" t="s">
        <v>50</v>
      </c>
      <c r="P92" s="9" t="str">
        <f t="shared" si="1"/>
        <v>N/I</v>
      </c>
      <c r="Q92" s="9" t="str">
        <f t="shared" si="2"/>
        <v>N/I</v>
      </c>
      <c r="R92" s="9" t="str">
        <f t="shared" si="3"/>
        <v>N/I</v>
      </c>
    </row>
    <row r="93">
      <c r="A93" s="11" t="s">
        <v>35</v>
      </c>
      <c r="B93" s="11" t="s">
        <v>129</v>
      </c>
      <c r="C93" s="12" t="s">
        <v>171</v>
      </c>
      <c r="D93" s="23" t="s">
        <v>173</v>
      </c>
      <c r="E93" s="10" t="s">
        <v>48</v>
      </c>
      <c r="F93" s="10" t="s">
        <v>44</v>
      </c>
      <c r="G93" s="12" t="s">
        <v>131</v>
      </c>
      <c r="H93" s="10" t="s">
        <v>132</v>
      </c>
      <c r="I93" s="16" t="s">
        <v>45</v>
      </c>
      <c r="J93" s="17" t="s">
        <v>46</v>
      </c>
      <c r="K93" s="18" t="s">
        <v>47</v>
      </c>
      <c r="L93" s="16" t="s">
        <v>45</v>
      </c>
      <c r="M93" s="10" t="s">
        <v>49</v>
      </c>
      <c r="N93" s="10" t="s">
        <v>48</v>
      </c>
      <c r="O93" s="10" t="s">
        <v>50</v>
      </c>
      <c r="P93" s="9" t="str">
        <f t="shared" si="1"/>
        <v>N/I</v>
      </c>
      <c r="Q93" s="9" t="str">
        <f t="shared" si="2"/>
        <v>N/I</v>
      </c>
      <c r="R93" s="9" t="str">
        <f t="shared" si="3"/>
        <v>N/I</v>
      </c>
    </row>
    <row r="94">
      <c r="A94" s="11" t="s">
        <v>35</v>
      </c>
      <c r="B94" s="11" t="s">
        <v>129</v>
      </c>
      <c r="C94" s="12" t="s">
        <v>171</v>
      </c>
      <c r="D94" s="23" t="s">
        <v>174</v>
      </c>
      <c r="E94" s="10" t="s">
        <v>48</v>
      </c>
      <c r="F94" s="10" t="s">
        <v>44</v>
      </c>
      <c r="G94" s="12" t="s">
        <v>131</v>
      </c>
      <c r="H94" s="10" t="s">
        <v>132</v>
      </c>
      <c r="I94" s="16" t="s">
        <v>45</v>
      </c>
      <c r="J94" s="17" t="s">
        <v>46</v>
      </c>
      <c r="K94" s="18" t="s">
        <v>47</v>
      </c>
      <c r="L94" s="16" t="s">
        <v>45</v>
      </c>
      <c r="M94" s="10" t="s">
        <v>49</v>
      </c>
      <c r="N94" s="10" t="s">
        <v>48</v>
      </c>
      <c r="O94" s="10" t="s">
        <v>50</v>
      </c>
      <c r="P94" s="9" t="str">
        <f t="shared" si="1"/>
        <v>N/I</v>
      </c>
      <c r="Q94" s="9" t="str">
        <f t="shared" si="2"/>
        <v>N/I</v>
      </c>
      <c r="R94" s="9" t="str">
        <f t="shared" si="3"/>
        <v>N/I</v>
      </c>
    </row>
    <row r="95">
      <c r="A95" s="11" t="s">
        <v>35</v>
      </c>
      <c r="B95" s="11" t="s">
        <v>129</v>
      </c>
      <c r="C95" s="12" t="s">
        <v>171</v>
      </c>
      <c r="D95" s="23" t="s">
        <v>175</v>
      </c>
      <c r="E95" s="10" t="s">
        <v>48</v>
      </c>
      <c r="F95" s="10" t="s">
        <v>44</v>
      </c>
      <c r="G95" s="12" t="s">
        <v>131</v>
      </c>
      <c r="H95" s="10" t="s">
        <v>132</v>
      </c>
      <c r="I95" s="16" t="s">
        <v>45</v>
      </c>
      <c r="J95" s="17" t="s">
        <v>46</v>
      </c>
      <c r="K95" s="18" t="s">
        <v>47</v>
      </c>
      <c r="L95" s="16" t="s">
        <v>45</v>
      </c>
      <c r="M95" s="10" t="s">
        <v>49</v>
      </c>
      <c r="N95" s="10" t="s">
        <v>48</v>
      </c>
      <c r="O95" s="10" t="s">
        <v>50</v>
      </c>
      <c r="P95" s="9" t="str">
        <f t="shared" si="1"/>
        <v>N/I</v>
      </c>
      <c r="Q95" s="9" t="str">
        <f t="shared" si="2"/>
        <v>N/I</v>
      </c>
      <c r="R95" s="9" t="str">
        <f t="shared" si="3"/>
        <v>N/I</v>
      </c>
    </row>
    <row r="96">
      <c r="A96" s="11" t="s">
        <v>35</v>
      </c>
      <c r="B96" s="11" t="s">
        <v>129</v>
      </c>
      <c r="C96" s="12" t="s">
        <v>171</v>
      </c>
      <c r="D96" s="23" t="s">
        <v>176</v>
      </c>
      <c r="E96" s="10" t="s">
        <v>48</v>
      </c>
      <c r="F96" s="10" t="s">
        <v>44</v>
      </c>
      <c r="G96" s="12" t="s">
        <v>131</v>
      </c>
      <c r="H96" s="10" t="s">
        <v>132</v>
      </c>
      <c r="I96" s="16" t="s">
        <v>45</v>
      </c>
      <c r="J96" s="17" t="s">
        <v>46</v>
      </c>
      <c r="K96" s="18" t="s">
        <v>47</v>
      </c>
      <c r="L96" s="16" t="s">
        <v>45</v>
      </c>
      <c r="M96" s="10" t="s">
        <v>49</v>
      </c>
      <c r="N96" s="10" t="s">
        <v>48</v>
      </c>
      <c r="O96" s="10" t="s">
        <v>50</v>
      </c>
      <c r="P96" s="9" t="str">
        <f t="shared" si="1"/>
        <v>N/I</v>
      </c>
      <c r="Q96" s="9" t="str">
        <f t="shared" si="2"/>
        <v>N/I</v>
      </c>
      <c r="R96" s="9" t="str">
        <f t="shared" si="3"/>
        <v>N/I</v>
      </c>
    </row>
    <row r="97">
      <c r="A97" s="11" t="s">
        <v>35</v>
      </c>
      <c r="B97" s="11" t="s">
        <v>129</v>
      </c>
      <c r="C97" s="12" t="s">
        <v>52</v>
      </c>
      <c r="D97" s="21" t="s">
        <v>177</v>
      </c>
      <c r="E97" s="10" t="s">
        <v>48</v>
      </c>
      <c r="F97" s="10" t="s">
        <v>44</v>
      </c>
      <c r="G97" s="12" t="s">
        <v>131</v>
      </c>
      <c r="H97" s="10" t="s">
        <v>132</v>
      </c>
      <c r="I97" s="16" t="s">
        <v>45</v>
      </c>
      <c r="J97" s="17" t="s">
        <v>46</v>
      </c>
      <c r="K97" s="18" t="s">
        <v>47</v>
      </c>
      <c r="L97" s="16" t="s">
        <v>45</v>
      </c>
      <c r="M97" s="10" t="s">
        <v>49</v>
      </c>
      <c r="N97" s="10" t="s">
        <v>48</v>
      </c>
      <c r="O97" s="10" t="s">
        <v>50</v>
      </c>
      <c r="P97" s="9" t="str">
        <f t="shared" si="1"/>
        <v>N/I</v>
      </c>
      <c r="Q97" s="9" t="str">
        <f t="shared" si="2"/>
        <v>N/I</v>
      </c>
      <c r="R97" s="9" t="str">
        <f t="shared" si="3"/>
        <v>N/I</v>
      </c>
    </row>
    <row r="98">
      <c r="A98" s="11" t="s">
        <v>35</v>
      </c>
      <c r="B98" s="11" t="s">
        <v>129</v>
      </c>
      <c r="C98" s="12" t="s">
        <v>37</v>
      </c>
      <c r="D98" s="21" t="s">
        <v>178</v>
      </c>
      <c r="E98" s="10" t="s">
        <v>48</v>
      </c>
      <c r="F98" s="10" t="s">
        <v>44</v>
      </c>
      <c r="G98" s="12" t="s">
        <v>131</v>
      </c>
      <c r="H98" s="10" t="s">
        <v>132</v>
      </c>
      <c r="I98" s="16" t="s">
        <v>45</v>
      </c>
      <c r="J98" s="17" t="s">
        <v>46</v>
      </c>
      <c r="K98" s="18" t="s">
        <v>47</v>
      </c>
      <c r="L98" s="16" t="s">
        <v>45</v>
      </c>
      <c r="M98" s="10" t="s">
        <v>49</v>
      </c>
      <c r="N98" s="10" t="s">
        <v>48</v>
      </c>
      <c r="O98" s="10" t="s">
        <v>50</v>
      </c>
      <c r="P98" s="9" t="str">
        <f t="shared" si="1"/>
        <v>N/I</v>
      </c>
      <c r="Q98" s="9" t="str">
        <f t="shared" si="2"/>
        <v>N/I</v>
      </c>
      <c r="R98" s="9" t="str">
        <f t="shared" si="3"/>
        <v>N/I</v>
      </c>
    </row>
    <row r="99">
      <c r="A99" s="11" t="s">
        <v>35</v>
      </c>
      <c r="B99" s="11" t="s">
        <v>129</v>
      </c>
      <c r="C99" s="12" t="s">
        <v>68</v>
      </c>
      <c r="D99" s="23" t="s">
        <v>179</v>
      </c>
      <c r="E99" s="10" t="s">
        <v>48</v>
      </c>
      <c r="F99" s="10" t="s">
        <v>44</v>
      </c>
      <c r="G99" s="12" t="s">
        <v>131</v>
      </c>
      <c r="H99" s="10" t="s">
        <v>132</v>
      </c>
      <c r="I99" s="16" t="s">
        <v>45</v>
      </c>
      <c r="J99" s="17" t="s">
        <v>46</v>
      </c>
      <c r="K99" s="18" t="s">
        <v>47</v>
      </c>
      <c r="L99" s="16" t="s">
        <v>45</v>
      </c>
      <c r="M99" s="10" t="s">
        <v>49</v>
      </c>
      <c r="N99" s="10" t="s">
        <v>48</v>
      </c>
      <c r="O99" s="10" t="s">
        <v>50</v>
      </c>
      <c r="P99" s="9" t="str">
        <f t="shared" si="1"/>
        <v>N/I</v>
      </c>
      <c r="Q99" s="9" t="str">
        <f t="shared" si="2"/>
        <v>N/I</v>
      </c>
      <c r="R99" s="9" t="str">
        <f t="shared" si="3"/>
        <v>N/I</v>
      </c>
    </row>
    <row r="100">
      <c r="A100" s="11" t="s">
        <v>35</v>
      </c>
      <c r="B100" s="11" t="s">
        <v>129</v>
      </c>
      <c r="C100" s="12" t="s">
        <v>181</v>
      </c>
      <c r="D100" s="23" t="s">
        <v>182</v>
      </c>
      <c r="E100" s="10" t="s">
        <v>48</v>
      </c>
      <c r="F100" s="10" t="s">
        <v>44</v>
      </c>
      <c r="G100" s="12" t="s">
        <v>131</v>
      </c>
      <c r="H100" s="10" t="s">
        <v>132</v>
      </c>
      <c r="I100" s="16" t="s">
        <v>45</v>
      </c>
      <c r="J100" s="17" t="s">
        <v>46</v>
      </c>
      <c r="K100" s="18" t="s">
        <v>47</v>
      </c>
      <c r="L100" s="16" t="s">
        <v>45</v>
      </c>
      <c r="M100" s="10" t="s">
        <v>49</v>
      </c>
      <c r="N100" s="10" t="s">
        <v>48</v>
      </c>
      <c r="O100" s="10" t="s">
        <v>50</v>
      </c>
      <c r="P100" s="9" t="str">
        <f t="shared" si="1"/>
        <v>N/I</v>
      </c>
      <c r="Q100" s="9" t="str">
        <f t="shared" si="2"/>
        <v>N/I</v>
      </c>
      <c r="R100" s="9" t="str">
        <f t="shared" si="3"/>
        <v>N/I</v>
      </c>
    </row>
    <row r="101">
      <c r="A101" s="11" t="s">
        <v>35</v>
      </c>
      <c r="B101" s="11" t="s">
        <v>129</v>
      </c>
      <c r="C101" s="12" t="s">
        <v>181</v>
      </c>
      <c r="D101" s="23" t="s">
        <v>183</v>
      </c>
      <c r="E101" s="10" t="s">
        <v>48</v>
      </c>
      <c r="F101" s="10" t="s">
        <v>44</v>
      </c>
      <c r="G101" s="12" t="s">
        <v>131</v>
      </c>
      <c r="H101" s="10" t="s">
        <v>132</v>
      </c>
      <c r="I101" s="16" t="s">
        <v>45</v>
      </c>
      <c r="J101" s="17" t="s">
        <v>46</v>
      </c>
      <c r="K101" s="18" t="s">
        <v>47</v>
      </c>
      <c r="L101" s="16" t="s">
        <v>45</v>
      </c>
      <c r="M101" s="10" t="s">
        <v>49</v>
      </c>
      <c r="N101" s="10" t="s">
        <v>48</v>
      </c>
      <c r="O101" s="10" t="s">
        <v>50</v>
      </c>
      <c r="P101" s="9" t="str">
        <f t="shared" si="1"/>
        <v>N/I</v>
      </c>
      <c r="Q101" s="9" t="str">
        <f t="shared" si="2"/>
        <v>N/I</v>
      </c>
      <c r="R101" s="9" t="str">
        <f t="shared" si="3"/>
        <v>N/I</v>
      </c>
    </row>
    <row r="102">
      <c r="A102" s="11" t="s">
        <v>185</v>
      </c>
      <c r="B102" s="11" t="s">
        <v>186</v>
      </c>
      <c r="C102" s="12" t="s">
        <v>68</v>
      </c>
      <c r="D102" s="25" t="s">
        <v>187</v>
      </c>
      <c r="E102" s="10"/>
      <c r="F102" s="10" t="s">
        <v>192</v>
      </c>
      <c r="G102" s="12" t="s">
        <v>188</v>
      </c>
      <c r="H102" s="10" t="s">
        <v>189</v>
      </c>
      <c r="I102" s="10"/>
      <c r="J102" s="10"/>
      <c r="K102" s="10"/>
      <c r="L102" s="10"/>
      <c r="M102" s="10"/>
      <c r="N102" s="10"/>
      <c r="O102" s="10"/>
      <c r="P102" s="9" t="str">
        <f t="shared" si="1"/>
        <v>N/I</v>
      </c>
      <c r="Q102" s="9" t="str">
        <f t="shared" si="2"/>
        <v>N/I</v>
      </c>
      <c r="R102" s="9" t="str">
        <f t="shared" si="3"/>
        <v>N/I</v>
      </c>
    </row>
    <row r="103">
      <c r="A103" s="11" t="s">
        <v>185</v>
      </c>
      <c r="B103" s="11" t="s">
        <v>186</v>
      </c>
      <c r="C103" s="12" t="s">
        <v>68</v>
      </c>
      <c r="D103" s="25" t="s">
        <v>187</v>
      </c>
      <c r="E103" s="10"/>
      <c r="F103" s="10" t="s">
        <v>192</v>
      </c>
      <c r="G103" s="12" t="s">
        <v>188</v>
      </c>
      <c r="H103" s="10" t="s">
        <v>189</v>
      </c>
      <c r="I103" s="10"/>
      <c r="J103" s="10"/>
      <c r="K103" s="10"/>
      <c r="L103" s="10"/>
      <c r="M103" s="10"/>
      <c r="N103" s="10"/>
      <c r="O103" s="10"/>
      <c r="P103" s="9" t="str">
        <f t="shared" si="1"/>
        <v>N/I</v>
      </c>
      <c r="Q103" s="9" t="str">
        <f t="shared" si="2"/>
        <v>N/I</v>
      </c>
      <c r="R103" s="9" t="str">
        <f t="shared" si="3"/>
        <v>N/I</v>
      </c>
    </row>
    <row r="104">
      <c r="A104" s="11" t="s">
        <v>185</v>
      </c>
      <c r="B104" s="11" t="s">
        <v>186</v>
      </c>
      <c r="C104" s="12" t="s">
        <v>68</v>
      </c>
      <c r="D104" s="25" t="s">
        <v>187</v>
      </c>
      <c r="E104" s="10"/>
      <c r="F104" s="10" t="s">
        <v>192</v>
      </c>
      <c r="G104" s="12" t="s">
        <v>188</v>
      </c>
      <c r="H104" s="10" t="s">
        <v>189</v>
      </c>
      <c r="I104" s="10"/>
      <c r="J104" s="10"/>
      <c r="K104" s="10"/>
      <c r="L104" s="10"/>
      <c r="M104" s="10"/>
      <c r="N104" s="10"/>
      <c r="O104" s="10"/>
      <c r="P104" s="9" t="str">
        <f t="shared" si="1"/>
        <v>N/I</v>
      </c>
      <c r="Q104" s="9" t="str">
        <f t="shared" si="2"/>
        <v>N/I</v>
      </c>
      <c r="R104" s="9" t="str">
        <f t="shared" si="3"/>
        <v>N/I</v>
      </c>
    </row>
    <row r="105">
      <c r="A105" s="11" t="s">
        <v>185</v>
      </c>
      <c r="B105" s="11" t="s">
        <v>186</v>
      </c>
      <c r="C105" s="12" t="s">
        <v>52</v>
      </c>
      <c r="D105" s="25" t="s">
        <v>187</v>
      </c>
      <c r="E105" s="10"/>
      <c r="F105" s="10" t="s">
        <v>192</v>
      </c>
      <c r="G105" s="12" t="s">
        <v>188</v>
      </c>
      <c r="H105" s="10" t="s">
        <v>189</v>
      </c>
      <c r="I105" s="10"/>
      <c r="J105" s="10"/>
      <c r="K105" s="10"/>
      <c r="L105" s="10"/>
      <c r="M105" s="10"/>
      <c r="N105" s="10"/>
      <c r="O105" s="10"/>
      <c r="P105" s="9" t="str">
        <f t="shared" si="1"/>
        <v>N/I</v>
      </c>
      <c r="Q105" s="9" t="str">
        <f t="shared" si="2"/>
        <v>N/I</v>
      </c>
      <c r="R105" s="9" t="str">
        <f t="shared" si="3"/>
        <v>N/I</v>
      </c>
    </row>
    <row r="106">
      <c r="A106" s="11" t="s">
        <v>185</v>
      </c>
      <c r="B106" s="11" t="s">
        <v>186</v>
      </c>
      <c r="C106" s="12" t="s">
        <v>58</v>
      </c>
      <c r="D106" s="25" t="s">
        <v>187</v>
      </c>
      <c r="E106" s="10"/>
      <c r="F106" s="10" t="s">
        <v>192</v>
      </c>
      <c r="G106" s="12" t="s">
        <v>188</v>
      </c>
      <c r="H106" s="10" t="s">
        <v>189</v>
      </c>
      <c r="I106" s="10"/>
      <c r="J106" s="10"/>
      <c r="K106" s="10"/>
      <c r="L106" s="10"/>
      <c r="M106" s="10"/>
      <c r="N106" s="10"/>
      <c r="O106" s="10"/>
      <c r="P106" s="9" t="str">
        <f t="shared" si="1"/>
        <v>N/I</v>
      </c>
      <c r="Q106" s="9" t="str">
        <f t="shared" si="2"/>
        <v>N/I</v>
      </c>
      <c r="R106" s="9" t="str">
        <f t="shared" si="3"/>
        <v>N/I</v>
      </c>
    </row>
    <row r="107">
      <c r="A107" s="11" t="s">
        <v>185</v>
      </c>
      <c r="B107" s="11" t="s">
        <v>186</v>
      </c>
      <c r="C107" s="12" t="s">
        <v>58</v>
      </c>
      <c r="D107" s="25" t="s">
        <v>187</v>
      </c>
      <c r="E107" s="10"/>
      <c r="F107" s="10" t="s">
        <v>192</v>
      </c>
      <c r="G107" s="12" t="s">
        <v>188</v>
      </c>
      <c r="H107" s="10" t="s">
        <v>189</v>
      </c>
      <c r="I107" s="10"/>
      <c r="J107" s="10"/>
      <c r="K107" s="10"/>
      <c r="L107" s="10"/>
      <c r="M107" s="10"/>
      <c r="N107" s="10"/>
      <c r="O107" s="10"/>
      <c r="P107" s="9" t="str">
        <f t="shared" si="1"/>
        <v>N/I</v>
      </c>
      <c r="Q107" s="9" t="str">
        <f t="shared" si="2"/>
        <v>N/I</v>
      </c>
      <c r="R107" s="9" t="str">
        <f t="shared" si="3"/>
        <v>N/I</v>
      </c>
    </row>
    <row r="108">
      <c r="A108" s="11" t="s">
        <v>185</v>
      </c>
      <c r="B108" s="11" t="s">
        <v>186</v>
      </c>
      <c r="C108" s="12" t="s">
        <v>58</v>
      </c>
      <c r="D108" s="25" t="s">
        <v>187</v>
      </c>
      <c r="E108" s="10"/>
      <c r="F108" s="10" t="s">
        <v>192</v>
      </c>
      <c r="G108" s="12" t="s">
        <v>188</v>
      </c>
      <c r="H108" s="10" t="s">
        <v>189</v>
      </c>
      <c r="I108" s="10"/>
      <c r="J108" s="10"/>
      <c r="K108" s="10"/>
      <c r="L108" s="10"/>
      <c r="M108" s="10"/>
      <c r="N108" s="10"/>
      <c r="O108" s="10"/>
      <c r="P108" s="9" t="str">
        <f t="shared" si="1"/>
        <v>N/I</v>
      </c>
      <c r="Q108" s="9" t="str">
        <f t="shared" si="2"/>
        <v>N/I</v>
      </c>
      <c r="R108" s="9" t="str">
        <f t="shared" si="3"/>
        <v>N/I</v>
      </c>
    </row>
    <row r="109">
      <c r="A109" s="11" t="s">
        <v>185</v>
      </c>
      <c r="B109" s="11" t="s">
        <v>186</v>
      </c>
      <c r="C109" s="12" t="s">
        <v>116</v>
      </c>
      <c r="D109" s="25" t="s">
        <v>187</v>
      </c>
      <c r="E109" s="10"/>
      <c r="F109" s="10" t="s">
        <v>192</v>
      </c>
      <c r="G109" s="12" t="s">
        <v>188</v>
      </c>
      <c r="H109" s="10" t="s">
        <v>189</v>
      </c>
      <c r="I109" s="10"/>
      <c r="J109" s="10"/>
      <c r="K109" s="10"/>
      <c r="L109" s="10"/>
      <c r="M109" s="10"/>
      <c r="N109" s="10"/>
      <c r="O109" s="10"/>
      <c r="P109" s="9" t="str">
        <f t="shared" si="1"/>
        <v>N/I</v>
      </c>
      <c r="Q109" s="9" t="str">
        <f t="shared" si="2"/>
        <v>N/I</v>
      </c>
      <c r="R109" s="9" t="str">
        <f t="shared" si="3"/>
        <v>N/I</v>
      </c>
    </row>
    <row r="110">
      <c r="A110" s="11" t="s">
        <v>185</v>
      </c>
      <c r="B110" s="11" t="s">
        <v>186</v>
      </c>
      <c r="C110" s="12" t="s">
        <v>79</v>
      </c>
      <c r="D110" s="25" t="s">
        <v>187</v>
      </c>
      <c r="E110" s="10"/>
      <c r="F110" s="10" t="s">
        <v>192</v>
      </c>
      <c r="G110" s="12" t="s">
        <v>188</v>
      </c>
      <c r="H110" s="10" t="s">
        <v>189</v>
      </c>
      <c r="I110" s="10"/>
      <c r="J110" s="10"/>
      <c r="K110" s="10"/>
      <c r="L110" s="10"/>
      <c r="M110" s="10"/>
      <c r="N110" s="10"/>
      <c r="O110" s="10"/>
      <c r="P110" s="9" t="str">
        <f t="shared" si="1"/>
        <v>N/I</v>
      </c>
      <c r="Q110" s="9" t="str">
        <f t="shared" si="2"/>
        <v>N/I</v>
      </c>
      <c r="R110" s="9" t="str">
        <f t="shared" si="3"/>
        <v>N/I</v>
      </c>
    </row>
    <row r="111">
      <c r="A111" s="11" t="s">
        <v>185</v>
      </c>
      <c r="B111" s="11" t="s">
        <v>194</v>
      </c>
      <c r="C111" s="12" t="s">
        <v>52</v>
      </c>
      <c r="D111" s="27" t="s">
        <v>195</v>
      </c>
      <c r="E111" s="10" t="s">
        <v>45</v>
      </c>
      <c r="F111" s="10" t="s">
        <v>192</v>
      </c>
      <c r="G111" s="12" t="s">
        <v>196</v>
      </c>
      <c r="H111" s="10" t="s">
        <v>197</v>
      </c>
      <c r="I111" s="10" t="s">
        <v>45</v>
      </c>
      <c r="J111" s="10" t="s">
        <v>45</v>
      </c>
      <c r="K111" s="10" t="s">
        <v>45</v>
      </c>
      <c r="L111" s="10" t="s">
        <v>45</v>
      </c>
      <c r="M111" s="10" t="s">
        <v>45</v>
      </c>
      <c r="N111" s="10" t="s">
        <v>45</v>
      </c>
      <c r="O111" s="10" t="s">
        <v>45</v>
      </c>
      <c r="P111" s="9" t="str">
        <f t="shared" si="1"/>
        <v>N/I</v>
      </c>
      <c r="Q111" s="9" t="str">
        <f t="shared" si="2"/>
        <v>N/I</v>
      </c>
      <c r="R111" s="9" t="str">
        <f t="shared" si="3"/>
        <v>N/I</v>
      </c>
    </row>
    <row r="112">
      <c r="A112" s="11" t="s">
        <v>185</v>
      </c>
      <c r="B112" s="11" t="s">
        <v>194</v>
      </c>
      <c r="C112" s="12" t="s">
        <v>68</v>
      </c>
      <c r="D112" s="25" t="s">
        <v>187</v>
      </c>
      <c r="E112" s="10"/>
      <c r="F112" s="10" t="s">
        <v>192</v>
      </c>
      <c r="G112" s="12" t="s">
        <v>196</v>
      </c>
      <c r="H112" s="10" t="s">
        <v>197</v>
      </c>
      <c r="I112" s="10"/>
      <c r="J112" s="10"/>
      <c r="K112" s="10"/>
      <c r="L112" s="10"/>
      <c r="M112" s="10"/>
      <c r="N112" s="10"/>
      <c r="O112" s="10"/>
      <c r="P112" s="9" t="str">
        <f t="shared" si="1"/>
        <v>N/I</v>
      </c>
      <c r="Q112" s="9" t="str">
        <f t="shared" si="2"/>
        <v>N/I</v>
      </c>
      <c r="R112" s="9" t="str">
        <f t="shared" si="3"/>
        <v>N/I</v>
      </c>
    </row>
    <row r="113">
      <c r="A113" s="11" t="s">
        <v>185</v>
      </c>
      <c r="B113" s="11" t="s">
        <v>194</v>
      </c>
      <c r="C113" s="12" t="s">
        <v>68</v>
      </c>
      <c r="D113" s="25" t="s">
        <v>187</v>
      </c>
      <c r="E113" s="10"/>
      <c r="F113" s="10" t="s">
        <v>192</v>
      </c>
      <c r="G113" s="12" t="s">
        <v>196</v>
      </c>
      <c r="H113" s="10" t="s">
        <v>197</v>
      </c>
      <c r="I113" s="10"/>
      <c r="J113" s="10"/>
      <c r="K113" s="10"/>
      <c r="L113" s="10"/>
      <c r="M113" s="10"/>
      <c r="N113" s="10"/>
      <c r="O113" s="10"/>
      <c r="P113" s="9" t="str">
        <f t="shared" si="1"/>
        <v>N/I</v>
      </c>
      <c r="Q113" s="9" t="str">
        <f t="shared" si="2"/>
        <v>N/I</v>
      </c>
      <c r="R113" s="9" t="str">
        <f t="shared" si="3"/>
        <v>N/I</v>
      </c>
    </row>
    <row r="114">
      <c r="A114" s="11" t="s">
        <v>185</v>
      </c>
      <c r="B114" s="11" t="s">
        <v>194</v>
      </c>
      <c r="C114" s="12" t="s">
        <v>68</v>
      </c>
      <c r="D114" s="25" t="s">
        <v>187</v>
      </c>
      <c r="E114" s="10"/>
      <c r="F114" s="10" t="s">
        <v>192</v>
      </c>
      <c r="G114" s="12" t="s">
        <v>196</v>
      </c>
      <c r="H114" s="10" t="s">
        <v>197</v>
      </c>
      <c r="I114" s="10"/>
      <c r="J114" s="10"/>
      <c r="K114" s="10"/>
      <c r="L114" s="10"/>
      <c r="M114" s="10"/>
      <c r="N114" s="10"/>
      <c r="O114" s="10"/>
      <c r="P114" s="9" t="str">
        <f t="shared" si="1"/>
        <v>N/I</v>
      </c>
      <c r="Q114" s="9" t="str">
        <f t="shared" si="2"/>
        <v>N/I</v>
      </c>
      <c r="R114" s="9" t="str">
        <f t="shared" si="3"/>
        <v>N/I</v>
      </c>
    </row>
    <row r="115">
      <c r="A115" s="11" t="s">
        <v>185</v>
      </c>
      <c r="B115" s="11" t="s">
        <v>194</v>
      </c>
      <c r="C115" s="12" t="s">
        <v>68</v>
      </c>
      <c r="D115" s="25" t="s">
        <v>187</v>
      </c>
      <c r="E115" s="10"/>
      <c r="F115" s="10" t="s">
        <v>192</v>
      </c>
      <c r="G115" s="12" t="s">
        <v>196</v>
      </c>
      <c r="H115" s="10" t="s">
        <v>197</v>
      </c>
      <c r="I115" s="10"/>
      <c r="J115" s="10"/>
      <c r="K115" s="10"/>
      <c r="L115" s="10"/>
      <c r="M115" s="10"/>
      <c r="N115" s="10"/>
      <c r="O115" s="10"/>
      <c r="P115" s="9" t="str">
        <f t="shared" si="1"/>
        <v>N/I</v>
      </c>
      <c r="Q115" s="9" t="str">
        <f t="shared" si="2"/>
        <v>N/I</v>
      </c>
      <c r="R115" s="9" t="str">
        <f t="shared" si="3"/>
        <v>N/I</v>
      </c>
    </row>
    <row r="116">
      <c r="A116" s="11" t="s">
        <v>185</v>
      </c>
      <c r="B116" s="11" t="s">
        <v>194</v>
      </c>
      <c r="C116" s="12" t="s">
        <v>68</v>
      </c>
      <c r="D116" s="25" t="s">
        <v>187</v>
      </c>
      <c r="E116" s="10"/>
      <c r="F116" s="10" t="s">
        <v>192</v>
      </c>
      <c r="G116" s="12" t="s">
        <v>196</v>
      </c>
      <c r="H116" s="10" t="s">
        <v>197</v>
      </c>
      <c r="I116" s="10"/>
      <c r="J116" s="10"/>
      <c r="K116" s="10"/>
      <c r="L116" s="10"/>
      <c r="M116" s="10"/>
      <c r="N116" s="10"/>
      <c r="O116" s="10"/>
      <c r="P116" s="9" t="str">
        <f t="shared" si="1"/>
        <v>N/I</v>
      </c>
      <c r="Q116" s="9" t="str">
        <f t="shared" si="2"/>
        <v>N/I</v>
      </c>
      <c r="R116" s="9" t="str">
        <f t="shared" si="3"/>
        <v>N/I</v>
      </c>
    </row>
    <row r="117">
      <c r="A117" s="11" t="s">
        <v>185</v>
      </c>
      <c r="B117" s="11" t="s">
        <v>194</v>
      </c>
      <c r="C117" s="12" t="s">
        <v>68</v>
      </c>
      <c r="D117" s="25" t="s">
        <v>187</v>
      </c>
      <c r="E117" s="10"/>
      <c r="F117" s="10" t="s">
        <v>192</v>
      </c>
      <c r="G117" s="12" t="s">
        <v>196</v>
      </c>
      <c r="H117" s="10" t="s">
        <v>197</v>
      </c>
      <c r="I117" s="10"/>
      <c r="J117" s="10"/>
      <c r="K117" s="10"/>
      <c r="L117" s="10"/>
      <c r="M117" s="10"/>
      <c r="N117" s="10"/>
      <c r="O117" s="10"/>
      <c r="P117" s="9" t="str">
        <f t="shared" si="1"/>
        <v>N/I</v>
      </c>
      <c r="Q117" s="9" t="str">
        <f t="shared" si="2"/>
        <v>N/I</v>
      </c>
      <c r="R117" s="9" t="str">
        <f t="shared" si="3"/>
        <v>N/I</v>
      </c>
    </row>
    <row r="118">
      <c r="A118" s="11" t="s">
        <v>185</v>
      </c>
      <c r="B118" s="11" t="s">
        <v>194</v>
      </c>
      <c r="C118" s="12" t="s">
        <v>68</v>
      </c>
      <c r="D118" s="25" t="s">
        <v>187</v>
      </c>
      <c r="E118" s="10"/>
      <c r="F118" s="10" t="s">
        <v>192</v>
      </c>
      <c r="G118" s="12" t="s">
        <v>196</v>
      </c>
      <c r="H118" s="10" t="s">
        <v>197</v>
      </c>
      <c r="I118" s="10"/>
      <c r="J118" s="10"/>
      <c r="K118" s="10"/>
      <c r="L118" s="10"/>
      <c r="M118" s="10"/>
      <c r="N118" s="10"/>
      <c r="O118" s="10"/>
      <c r="P118" s="9" t="str">
        <f t="shared" si="1"/>
        <v>N/I</v>
      </c>
      <c r="Q118" s="9" t="str">
        <f t="shared" si="2"/>
        <v>N/I</v>
      </c>
      <c r="R118" s="9" t="str">
        <f t="shared" si="3"/>
        <v>N/I</v>
      </c>
    </row>
    <row r="119">
      <c r="A119" s="11" t="s">
        <v>185</v>
      </c>
      <c r="B119" s="11" t="s">
        <v>194</v>
      </c>
      <c r="C119" s="12" t="s">
        <v>68</v>
      </c>
      <c r="D119" s="25" t="s">
        <v>187</v>
      </c>
      <c r="E119" s="10"/>
      <c r="F119" s="10" t="s">
        <v>192</v>
      </c>
      <c r="G119" s="12" t="s">
        <v>196</v>
      </c>
      <c r="H119" s="10" t="s">
        <v>197</v>
      </c>
      <c r="I119" s="10"/>
      <c r="J119" s="10"/>
      <c r="K119" s="10"/>
      <c r="L119" s="10"/>
      <c r="M119" s="10"/>
      <c r="N119" s="10"/>
      <c r="O119" s="10"/>
      <c r="P119" s="9" t="str">
        <f t="shared" si="1"/>
        <v>N/I</v>
      </c>
      <c r="Q119" s="9" t="str">
        <f t="shared" si="2"/>
        <v>N/I</v>
      </c>
      <c r="R119" s="9" t="str">
        <f t="shared" si="3"/>
        <v>N/I</v>
      </c>
    </row>
    <row r="120">
      <c r="A120" s="11" t="s">
        <v>185</v>
      </c>
      <c r="B120" s="11" t="s">
        <v>194</v>
      </c>
      <c r="C120" s="12" t="s">
        <v>68</v>
      </c>
      <c r="D120" s="25" t="s">
        <v>187</v>
      </c>
      <c r="E120" s="10"/>
      <c r="F120" s="10" t="s">
        <v>192</v>
      </c>
      <c r="G120" s="12" t="s">
        <v>196</v>
      </c>
      <c r="H120" s="10" t="s">
        <v>197</v>
      </c>
      <c r="I120" s="10"/>
      <c r="J120" s="10"/>
      <c r="K120" s="10"/>
      <c r="L120" s="10"/>
      <c r="M120" s="10"/>
      <c r="N120" s="10"/>
      <c r="O120" s="10"/>
      <c r="P120" s="9" t="str">
        <f t="shared" si="1"/>
        <v>N/I</v>
      </c>
      <c r="Q120" s="9" t="str">
        <f t="shared" si="2"/>
        <v>N/I</v>
      </c>
      <c r="R120" s="9" t="str">
        <f t="shared" si="3"/>
        <v>N/I</v>
      </c>
    </row>
    <row r="121">
      <c r="A121" s="11" t="s">
        <v>185</v>
      </c>
      <c r="B121" s="11" t="s">
        <v>194</v>
      </c>
      <c r="C121" s="12" t="s">
        <v>68</v>
      </c>
      <c r="D121" s="25" t="s">
        <v>187</v>
      </c>
      <c r="E121" s="10"/>
      <c r="F121" s="10" t="s">
        <v>192</v>
      </c>
      <c r="G121" s="12" t="s">
        <v>196</v>
      </c>
      <c r="H121" s="10" t="s">
        <v>197</v>
      </c>
      <c r="I121" s="10"/>
      <c r="J121" s="10"/>
      <c r="K121" s="10"/>
      <c r="L121" s="10"/>
      <c r="M121" s="10"/>
      <c r="N121" s="10"/>
      <c r="O121" s="10"/>
      <c r="P121" s="9" t="str">
        <f t="shared" si="1"/>
        <v>N/I</v>
      </c>
      <c r="Q121" s="9" t="str">
        <f t="shared" si="2"/>
        <v>N/I</v>
      </c>
      <c r="R121" s="9" t="str">
        <f t="shared" si="3"/>
        <v>N/I</v>
      </c>
    </row>
    <row r="122">
      <c r="A122" s="11" t="s">
        <v>185</v>
      </c>
      <c r="B122" s="11" t="s">
        <v>194</v>
      </c>
      <c r="C122" s="12" t="s">
        <v>68</v>
      </c>
      <c r="D122" s="25" t="s">
        <v>187</v>
      </c>
      <c r="E122" s="10"/>
      <c r="F122" s="10" t="s">
        <v>192</v>
      </c>
      <c r="G122" s="12" t="s">
        <v>196</v>
      </c>
      <c r="H122" s="10" t="s">
        <v>197</v>
      </c>
      <c r="I122" s="10"/>
      <c r="J122" s="10"/>
      <c r="K122" s="10"/>
      <c r="L122" s="10"/>
      <c r="M122" s="10"/>
      <c r="N122" s="10"/>
      <c r="O122" s="10"/>
      <c r="P122" s="9" t="str">
        <f t="shared" si="1"/>
        <v>N/I</v>
      </c>
      <c r="Q122" s="9" t="str">
        <f t="shared" si="2"/>
        <v>N/I</v>
      </c>
      <c r="R122" s="9" t="str">
        <f t="shared" si="3"/>
        <v>N/I</v>
      </c>
    </row>
    <row r="123">
      <c r="A123" s="11" t="s">
        <v>185</v>
      </c>
      <c r="B123" s="11" t="s">
        <v>194</v>
      </c>
      <c r="C123" s="12" t="s">
        <v>68</v>
      </c>
      <c r="D123" s="25" t="s">
        <v>187</v>
      </c>
      <c r="E123" s="10"/>
      <c r="F123" s="10" t="s">
        <v>192</v>
      </c>
      <c r="G123" s="12" t="s">
        <v>196</v>
      </c>
      <c r="H123" s="10" t="s">
        <v>197</v>
      </c>
      <c r="I123" s="10"/>
      <c r="J123" s="10"/>
      <c r="K123" s="10"/>
      <c r="L123" s="10"/>
      <c r="M123" s="10"/>
      <c r="N123" s="10"/>
      <c r="O123" s="10"/>
      <c r="P123" s="9" t="str">
        <f t="shared" si="1"/>
        <v>N/I</v>
      </c>
      <c r="Q123" s="9" t="str">
        <f t="shared" si="2"/>
        <v>N/I</v>
      </c>
      <c r="R123" s="9" t="str">
        <f t="shared" si="3"/>
        <v>N/I</v>
      </c>
    </row>
    <row r="124">
      <c r="A124" s="11" t="s">
        <v>185</v>
      </c>
      <c r="B124" s="11" t="s">
        <v>194</v>
      </c>
      <c r="C124" s="12" t="s">
        <v>68</v>
      </c>
      <c r="D124" s="25" t="s">
        <v>187</v>
      </c>
      <c r="E124" s="10"/>
      <c r="F124" s="10" t="s">
        <v>192</v>
      </c>
      <c r="G124" s="12" t="s">
        <v>196</v>
      </c>
      <c r="H124" s="10" t="s">
        <v>197</v>
      </c>
      <c r="I124" s="10"/>
      <c r="J124" s="10"/>
      <c r="K124" s="10"/>
      <c r="L124" s="10"/>
      <c r="M124" s="10"/>
      <c r="N124" s="10"/>
      <c r="O124" s="10"/>
      <c r="P124" s="9" t="str">
        <f t="shared" si="1"/>
        <v>N/I</v>
      </c>
      <c r="Q124" s="9" t="str">
        <f t="shared" si="2"/>
        <v>N/I</v>
      </c>
      <c r="R124" s="9" t="str">
        <f t="shared" si="3"/>
        <v>N/I</v>
      </c>
    </row>
    <row r="125">
      <c r="A125" s="11" t="s">
        <v>185</v>
      </c>
      <c r="B125" s="11" t="s">
        <v>194</v>
      </c>
      <c r="C125" s="12" t="s">
        <v>68</v>
      </c>
      <c r="D125" s="25" t="s">
        <v>187</v>
      </c>
      <c r="E125" s="10"/>
      <c r="F125" s="10" t="s">
        <v>192</v>
      </c>
      <c r="G125" s="12" t="s">
        <v>196</v>
      </c>
      <c r="H125" s="10" t="s">
        <v>197</v>
      </c>
      <c r="I125" s="10"/>
      <c r="J125" s="10"/>
      <c r="K125" s="10"/>
      <c r="L125" s="10"/>
      <c r="M125" s="10"/>
      <c r="N125" s="10"/>
      <c r="O125" s="10"/>
      <c r="P125" s="9" t="str">
        <f t="shared" si="1"/>
        <v>N/I</v>
      </c>
      <c r="Q125" s="9" t="str">
        <f t="shared" si="2"/>
        <v>N/I</v>
      </c>
      <c r="R125" s="9" t="str">
        <f t="shared" si="3"/>
        <v>N/I</v>
      </c>
    </row>
    <row r="126">
      <c r="A126" s="11" t="s">
        <v>185</v>
      </c>
      <c r="B126" s="11" t="s">
        <v>194</v>
      </c>
      <c r="C126" s="12" t="s">
        <v>68</v>
      </c>
      <c r="D126" s="25" t="s">
        <v>187</v>
      </c>
      <c r="E126" s="10"/>
      <c r="F126" s="10" t="s">
        <v>192</v>
      </c>
      <c r="G126" s="12" t="s">
        <v>196</v>
      </c>
      <c r="H126" s="10" t="s">
        <v>197</v>
      </c>
      <c r="I126" s="10"/>
      <c r="J126" s="10"/>
      <c r="K126" s="10"/>
      <c r="L126" s="10"/>
      <c r="M126" s="10"/>
      <c r="N126" s="10"/>
      <c r="O126" s="10"/>
      <c r="P126" s="9" t="str">
        <f t="shared" si="1"/>
        <v>N/I</v>
      </c>
      <c r="Q126" s="9" t="str">
        <f t="shared" si="2"/>
        <v>N/I</v>
      </c>
      <c r="R126" s="9" t="str">
        <f t="shared" si="3"/>
        <v>N/I</v>
      </c>
    </row>
    <row r="127">
      <c r="A127" s="11" t="s">
        <v>185</v>
      </c>
      <c r="B127" s="11" t="s">
        <v>194</v>
      </c>
      <c r="C127" s="12" t="s">
        <v>52</v>
      </c>
      <c r="D127" s="25" t="s">
        <v>187</v>
      </c>
      <c r="E127" s="10"/>
      <c r="F127" s="10" t="s">
        <v>192</v>
      </c>
      <c r="G127" s="12" t="s">
        <v>196</v>
      </c>
      <c r="H127" s="10" t="s">
        <v>197</v>
      </c>
      <c r="I127" s="10"/>
      <c r="J127" s="10"/>
      <c r="K127" s="10"/>
      <c r="L127" s="10"/>
      <c r="M127" s="10"/>
      <c r="N127" s="10"/>
      <c r="O127" s="10"/>
      <c r="P127" s="9" t="str">
        <f t="shared" si="1"/>
        <v>N/I</v>
      </c>
      <c r="Q127" s="9" t="str">
        <f t="shared" si="2"/>
        <v>N/I</v>
      </c>
      <c r="R127" s="9" t="str">
        <f t="shared" si="3"/>
        <v>N/I</v>
      </c>
    </row>
    <row r="128">
      <c r="A128" s="11" t="s">
        <v>185</v>
      </c>
      <c r="B128" s="11" t="s">
        <v>194</v>
      </c>
      <c r="C128" s="12" t="s">
        <v>52</v>
      </c>
      <c r="D128" s="25" t="s">
        <v>187</v>
      </c>
      <c r="E128" s="10"/>
      <c r="F128" s="10" t="s">
        <v>192</v>
      </c>
      <c r="G128" s="12" t="s">
        <v>196</v>
      </c>
      <c r="H128" s="10" t="s">
        <v>197</v>
      </c>
      <c r="I128" s="10"/>
      <c r="J128" s="10"/>
      <c r="K128" s="10"/>
      <c r="L128" s="10"/>
      <c r="M128" s="10"/>
      <c r="N128" s="10"/>
      <c r="O128" s="10"/>
      <c r="P128" s="9" t="str">
        <f t="shared" si="1"/>
        <v>N/I</v>
      </c>
      <c r="Q128" s="9" t="str">
        <f t="shared" si="2"/>
        <v>N/I</v>
      </c>
      <c r="R128" s="9" t="str">
        <f t="shared" si="3"/>
        <v>N/I</v>
      </c>
    </row>
    <row r="129">
      <c r="A129" s="11" t="s">
        <v>185</v>
      </c>
      <c r="B129" s="11" t="s">
        <v>194</v>
      </c>
      <c r="C129" s="12" t="s">
        <v>52</v>
      </c>
      <c r="D129" s="25" t="s">
        <v>187</v>
      </c>
      <c r="E129" s="10"/>
      <c r="F129" s="10" t="s">
        <v>192</v>
      </c>
      <c r="G129" s="12" t="s">
        <v>196</v>
      </c>
      <c r="H129" s="10" t="s">
        <v>197</v>
      </c>
      <c r="I129" s="10"/>
      <c r="J129" s="10"/>
      <c r="K129" s="10"/>
      <c r="L129" s="10"/>
      <c r="M129" s="10"/>
      <c r="N129" s="10"/>
      <c r="O129" s="10"/>
      <c r="P129" s="9" t="str">
        <f t="shared" si="1"/>
        <v>N/I</v>
      </c>
      <c r="Q129" s="9" t="str">
        <f t="shared" si="2"/>
        <v>N/I</v>
      </c>
      <c r="R129" s="9" t="str">
        <f t="shared" si="3"/>
        <v>N/I</v>
      </c>
    </row>
    <row r="130">
      <c r="A130" s="11" t="s">
        <v>185</v>
      </c>
      <c r="B130" s="11" t="s">
        <v>194</v>
      </c>
      <c r="C130" s="12" t="s">
        <v>58</v>
      </c>
      <c r="D130" s="25" t="s">
        <v>187</v>
      </c>
      <c r="E130" s="10"/>
      <c r="F130" s="10" t="s">
        <v>192</v>
      </c>
      <c r="G130" s="12" t="s">
        <v>196</v>
      </c>
      <c r="H130" s="10" t="s">
        <v>197</v>
      </c>
      <c r="I130" s="10"/>
      <c r="J130" s="10"/>
      <c r="K130" s="10"/>
      <c r="L130" s="10"/>
      <c r="M130" s="10"/>
      <c r="N130" s="10"/>
      <c r="O130" s="10"/>
      <c r="P130" s="9" t="str">
        <f t="shared" si="1"/>
        <v>N/I</v>
      </c>
      <c r="Q130" s="9" t="str">
        <f t="shared" si="2"/>
        <v>N/I</v>
      </c>
      <c r="R130" s="9" t="str">
        <f t="shared" si="3"/>
        <v>N/I</v>
      </c>
    </row>
    <row r="131">
      <c r="A131" s="11" t="s">
        <v>185</v>
      </c>
      <c r="B131" s="11" t="s">
        <v>194</v>
      </c>
      <c r="C131" s="12" t="s">
        <v>58</v>
      </c>
      <c r="D131" s="25" t="s">
        <v>187</v>
      </c>
      <c r="E131" s="10"/>
      <c r="F131" s="10" t="s">
        <v>192</v>
      </c>
      <c r="G131" s="12" t="s">
        <v>196</v>
      </c>
      <c r="H131" s="10" t="s">
        <v>197</v>
      </c>
      <c r="I131" s="10"/>
      <c r="J131" s="10"/>
      <c r="K131" s="10"/>
      <c r="L131" s="10"/>
      <c r="M131" s="10"/>
      <c r="N131" s="10"/>
      <c r="O131" s="10"/>
      <c r="P131" s="9" t="str">
        <f t="shared" si="1"/>
        <v>N/I</v>
      </c>
      <c r="Q131" s="9" t="str">
        <f t="shared" si="2"/>
        <v>N/I</v>
      </c>
      <c r="R131" s="9" t="str">
        <f t="shared" si="3"/>
        <v>N/I</v>
      </c>
    </row>
    <row r="132">
      <c r="A132" s="11" t="s">
        <v>185</v>
      </c>
      <c r="B132" s="11" t="s">
        <v>194</v>
      </c>
      <c r="C132" s="12" t="s">
        <v>58</v>
      </c>
      <c r="D132" s="25" t="s">
        <v>187</v>
      </c>
      <c r="E132" s="10"/>
      <c r="F132" s="10" t="s">
        <v>192</v>
      </c>
      <c r="G132" s="12" t="s">
        <v>196</v>
      </c>
      <c r="H132" s="10" t="s">
        <v>197</v>
      </c>
      <c r="I132" s="10"/>
      <c r="J132" s="10"/>
      <c r="K132" s="10"/>
      <c r="L132" s="10"/>
      <c r="M132" s="10"/>
      <c r="N132" s="10"/>
      <c r="O132" s="10"/>
      <c r="P132" s="9" t="str">
        <f t="shared" si="1"/>
        <v>N/I</v>
      </c>
      <c r="Q132" s="9" t="str">
        <f t="shared" si="2"/>
        <v>N/I</v>
      </c>
      <c r="R132" s="9" t="str">
        <f t="shared" si="3"/>
        <v>N/I</v>
      </c>
    </row>
    <row r="133">
      <c r="A133" s="11" t="s">
        <v>185</v>
      </c>
      <c r="B133" s="11" t="s">
        <v>194</v>
      </c>
      <c r="C133" s="12" t="s">
        <v>58</v>
      </c>
      <c r="D133" s="25" t="s">
        <v>187</v>
      </c>
      <c r="E133" s="10"/>
      <c r="F133" s="10" t="s">
        <v>192</v>
      </c>
      <c r="G133" s="12" t="s">
        <v>196</v>
      </c>
      <c r="H133" s="10" t="s">
        <v>197</v>
      </c>
      <c r="I133" s="10"/>
      <c r="J133" s="10"/>
      <c r="K133" s="10"/>
      <c r="L133" s="10"/>
      <c r="M133" s="10"/>
      <c r="N133" s="10"/>
      <c r="O133" s="10"/>
      <c r="P133" s="9" t="str">
        <f t="shared" si="1"/>
        <v>N/I</v>
      </c>
      <c r="Q133" s="9" t="str">
        <f t="shared" si="2"/>
        <v>N/I</v>
      </c>
      <c r="R133" s="9" t="str">
        <f t="shared" si="3"/>
        <v>N/I</v>
      </c>
    </row>
    <row r="134">
      <c r="A134" s="11" t="s">
        <v>185</v>
      </c>
      <c r="B134" s="11" t="s">
        <v>194</v>
      </c>
      <c r="C134" s="12" t="s">
        <v>58</v>
      </c>
      <c r="D134" s="25" t="s">
        <v>187</v>
      </c>
      <c r="E134" s="10"/>
      <c r="F134" s="10" t="s">
        <v>192</v>
      </c>
      <c r="G134" s="12" t="s">
        <v>196</v>
      </c>
      <c r="H134" s="10" t="s">
        <v>197</v>
      </c>
      <c r="I134" s="10"/>
      <c r="J134" s="10"/>
      <c r="K134" s="10"/>
      <c r="L134" s="10"/>
      <c r="M134" s="10"/>
      <c r="N134" s="10"/>
      <c r="O134" s="10"/>
      <c r="P134" s="9" t="str">
        <f t="shared" si="1"/>
        <v>N/I</v>
      </c>
      <c r="Q134" s="9" t="str">
        <f t="shared" si="2"/>
        <v>N/I</v>
      </c>
      <c r="R134" s="9" t="str">
        <f t="shared" si="3"/>
        <v>N/I</v>
      </c>
    </row>
    <row r="135">
      <c r="A135" s="11" t="s">
        <v>185</v>
      </c>
      <c r="B135" s="11" t="s">
        <v>194</v>
      </c>
      <c r="C135" s="12" t="s">
        <v>58</v>
      </c>
      <c r="D135" s="25" t="s">
        <v>187</v>
      </c>
      <c r="E135" s="10"/>
      <c r="F135" s="10" t="s">
        <v>192</v>
      </c>
      <c r="G135" s="12" t="s">
        <v>196</v>
      </c>
      <c r="H135" s="10" t="s">
        <v>197</v>
      </c>
      <c r="I135" s="10"/>
      <c r="J135" s="10"/>
      <c r="K135" s="10"/>
      <c r="L135" s="10"/>
      <c r="M135" s="10"/>
      <c r="N135" s="10"/>
      <c r="O135" s="10"/>
      <c r="P135" s="9" t="str">
        <f t="shared" si="1"/>
        <v>N/I</v>
      </c>
      <c r="Q135" s="9" t="str">
        <f t="shared" si="2"/>
        <v>N/I</v>
      </c>
      <c r="R135" s="9" t="str">
        <f t="shared" si="3"/>
        <v>N/I</v>
      </c>
    </row>
    <row r="136">
      <c r="A136" s="11" t="s">
        <v>185</v>
      </c>
      <c r="B136" s="11" t="s">
        <v>194</v>
      </c>
      <c r="C136" s="12" t="s">
        <v>58</v>
      </c>
      <c r="D136" s="25" t="s">
        <v>187</v>
      </c>
      <c r="E136" s="10"/>
      <c r="F136" s="10" t="s">
        <v>192</v>
      </c>
      <c r="G136" s="12" t="s">
        <v>196</v>
      </c>
      <c r="H136" s="10" t="s">
        <v>197</v>
      </c>
      <c r="I136" s="10"/>
      <c r="J136" s="10"/>
      <c r="K136" s="10"/>
      <c r="L136" s="10"/>
      <c r="M136" s="10"/>
      <c r="N136" s="10"/>
      <c r="O136" s="10"/>
      <c r="P136" s="9" t="str">
        <f t="shared" si="1"/>
        <v>N/I</v>
      </c>
      <c r="Q136" s="9" t="str">
        <f t="shared" si="2"/>
        <v>N/I</v>
      </c>
      <c r="R136" s="9" t="str">
        <f t="shared" si="3"/>
        <v>N/I</v>
      </c>
    </row>
    <row r="137">
      <c r="A137" s="11" t="s">
        <v>185</v>
      </c>
      <c r="B137" s="11" t="s">
        <v>194</v>
      </c>
      <c r="C137" s="12" t="s">
        <v>58</v>
      </c>
      <c r="D137" s="25" t="s">
        <v>187</v>
      </c>
      <c r="E137" s="10"/>
      <c r="F137" s="10" t="s">
        <v>192</v>
      </c>
      <c r="G137" s="12" t="s">
        <v>196</v>
      </c>
      <c r="H137" s="10" t="s">
        <v>197</v>
      </c>
      <c r="I137" s="10"/>
      <c r="J137" s="10"/>
      <c r="K137" s="10"/>
      <c r="L137" s="10"/>
      <c r="M137" s="10"/>
      <c r="N137" s="10"/>
      <c r="O137" s="10"/>
      <c r="P137" s="9" t="str">
        <f t="shared" si="1"/>
        <v>N/I</v>
      </c>
      <c r="Q137" s="9" t="str">
        <f t="shared" si="2"/>
        <v>N/I</v>
      </c>
      <c r="R137" s="9" t="str">
        <f t="shared" si="3"/>
        <v>N/I</v>
      </c>
    </row>
    <row r="138">
      <c r="A138" s="11" t="s">
        <v>185</v>
      </c>
      <c r="B138" s="11" t="s">
        <v>194</v>
      </c>
      <c r="C138" s="12" t="s">
        <v>58</v>
      </c>
      <c r="D138" s="25" t="s">
        <v>187</v>
      </c>
      <c r="E138" s="10"/>
      <c r="F138" s="10" t="s">
        <v>192</v>
      </c>
      <c r="G138" s="12" t="s">
        <v>196</v>
      </c>
      <c r="H138" s="10" t="s">
        <v>197</v>
      </c>
      <c r="I138" s="10"/>
      <c r="J138" s="10"/>
      <c r="K138" s="10"/>
      <c r="L138" s="10"/>
      <c r="M138" s="10"/>
      <c r="N138" s="10"/>
      <c r="O138" s="10"/>
      <c r="P138" s="9" t="str">
        <f t="shared" si="1"/>
        <v>N/I</v>
      </c>
      <c r="Q138" s="9" t="str">
        <f t="shared" si="2"/>
        <v>N/I</v>
      </c>
      <c r="R138" s="9" t="str">
        <f t="shared" si="3"/>
        <v>N/I</v>
      </c>
    </row>
    <row r="139">
      <c r="A139" s="11" t="s">
        <v>185</v>
      </c>
      <c r="B139" s="11" t="s">
        <v>194</v>
      </c>
      <c r="C139" s="12" t="s">
        <v>167</v>
      </c>
      <c r="D139" s="25" t="s">
        <v>187</v>
      </c>
      <c r="E139" s="10"/>
      <c r="F139" s="10" t="s">
        <v>192</v>
      </c>
      <c r="G139" s="12" t="s">
        <v>196</v>
      </c>
      <c r="H139" s="10" t="s">
        <v>197</v>
      </c>
      <c r="I139" s="10"/>
      <c r="J139" s="10"/>
      <c r="K139" s="10"/>
      <c r="L139" s="10"/>
      <c r="M139" s="10"/>
      <c r="N139" s="10"/>
      <c r="O139" s="10"/>
      <c r="P139" s="9" t="str">
        <f t="shared" si="1"/>
        <v>N/I</v>
      </c>
      <c r="Q139" s="9" t="str">
        <f t="shared" si="2"/>
        <v>N/I</v>
      </c>
      <c r="R139" s="9" t="str">
        <f t="shared" si="3"/>
        <v>N/I</v>
      </c>
    </row>
    <row r="140">
      <c r="A140" s="11" t="s">
        <v>185</v>
      </c>
      <c r="B140" s="11" t="s">
        <v>194</v>
      </c>
      <c r="C140" s="12" t="s">
        <v>167</v>
      </c>
      <c r="D140" s="25" t="s">
        <v>187</v>
      </c>
      <c r="E140" s="10"/>
      <c r="F140" s="10" t="s">
        <v>192</v>
      </c>
      <c r="G140" s="12" t="s">
        <v>196</v>
      </c>
      <c r="H140" s="10" t="s">
        <v>197</v>
      </c>
      <c r="I140" s="10"/>
      <c r="J140" s="10"/>
      <c r="K140" s="10"/>
      <c r="L140" s="10"/>
      <c r="M140" s="10"/>
      <c r="N140" s="10"/>
      <c r="O140" s="10"/>
      <c r="P140" s="9" t="str">
        <f t="shared" si="1"/>
        <v>N/I</v>
      </c>
      <c r="Q140" s="9" t="str">
        <f t="shared" si="2"/>
        <v>N/I</v>
      </c>
      <c r="R140" s="9" t="str">
        <f t="shared" si="3"/>
        <v>N/I</v>
      </c>
    </row>
    <row r="141">
      <c r="A141" s="11" t="s">
        <v>185</v>
      </c>
      <c r="B141" s="11" t="s">
        <v>194</v>
      </c>
      <c r="C141" s="12" t="s">
        <v>167</v>
      </c>
      <c r="D141" s="25" t="s">
        <v>187</v>
      </c>
      <c r="E141" s="10"/>
      <c r="F141" s="10" t="s">
        <v>192</v>
      </c>
      <c r="G141" s="12" t="s">
        <v>196</v>
      </c>
      <c r="H141" s="10" t="s">
        <v>197</v>
      </c>
      <c r="I141" s="10"/>
      <c r="J141" s="10"/>
      <c r="K141" s="10"/>
      <c r="L141" s="10"/>
      <c r="M141" s="10"/>
      <c r="N141" s="10"/>
      <c r="O141" s="10"/>
      <c r="P141" s="9" t="str">
        <f t="shared" si="1"/>
        <v>N/I</v>
      </c>
      <c r="Q141" s="9" t="str">
        <f t="shared" si="2"/>
        <v>N/I</v>
      </c>
      <c r="R141" s="9" t="str">
        <f t="shared" si="3"/>
        <v>N/I</v>
      </c>
    </row>
    <row r="142">
      <c r="A142" s="11" t="s">
        <v>185</v>
      </c>
      <c r="B142" s="11" t="s">
        <v>194</v>
      </c>
      <c r="C142" s="12" t="s">
        <v>79</v>
      </c>
      <c r="D142" s="25" t="s">
        <v>187</v>
      </c>
      <c r="E142" s="10"/>
      <c r="F142" s="10" t="s">
        <v>192</v>
      </c>
      <c r="G142" s="12" t="s">
        <v>196</v>
      </c>
      <c r="H142" s="10" t="s">
        <v>197</v>
      </c>
      <c r="I142" s="10"/>
      <c r="J142" s="10"/>
      <c r="K142" s="10"/>
      <c r="L142" s="10"/>
      <c r="M142" s="10"/>
      <c r="N142" s="10"/>
      <c r="O142" s="10"/>
      <c r="P142" s="9" t="str">
        <f t="shared" si="1"/>
        <v>N/I</v>
      </c>
      <c r="Q142" s="9" t="str">
        <f t="shared" si="2"/>
        <v>N/I</v>
      </c>
      <c r="R142" s="9" t="str">
        <f t="shared" si="3"/>
        <v>N/I</v>
      </c>
    </row>
    <row r="143">
      <c r="A143" s="11" t="s">
        <v>185</v>
      </c>
      <c r="B143" s="11" t="s">
        <v>194</v>
      </c>
      <c r="C143" s="12" t="s">
        <v>79</v>
      </c>
      <c r="D143" s="25" t="s">
        <v>187</v>
      </c>
      <c r="E143" s="10"/>
      <c r="F143" s="10" t="s">
        <v>192</v>
      </c>
      <c r="G143" s="12" t="s">
        <v>196</v>
      </c>
      <c r="H143" s="10" t="s">
        <v>197</v>
      </c>
      <c r="I143" s="10"/>
      <c r="J143" s="10"/>
      <c r="K143" s="10"/>
      <c r="L143" s="10"/>
      <c r="M143" s="10"/>
      <c r="N143" s="10"/>
      <c r="O143" s="10"/>
      <c r="P143" s="9" t="str">
        <f t="shared" si="1"/>
        <v>N/I</v>
      </c>
      <c r="Q143" s="9" t="str">
        <f t="shared" si="2"/>
        <v>N/I</v>
      </c>
      <c r="R143" s="9" t="str">
        <f t="shared" si="3"/>
        <v>N/I</v>
      </c>
    </row>
    <row r="144">
      <c r="A144" s="11" t="s">
        <v>185</v>
      </c>
      <c r="B144" s="11" t="s">
        <v>194</v>
      </c>
      <c r="C144" s="12" t="s">
        <v>79</v>
      </c>
      <c r="D144" s="25" t="s">
        <v>187</v>
      </c>
      <c r="E144" s="10"/>
      <c r="F144" s="10" t="s">
        <v>192</v>
      </c>
      <c r="G144" s="12" t="s">
        <v>196</v>
      </c>
      <c r="H144" s="10" t="s">
        <v>197</v>
      </c>
      <c r="I144" s="10"/>
      <c r="J144" s="10"/>
      <c r="K144" s="10"/>
      <c r="L144" s="10"/>
      <c r="M144" s="10"/>
      <c r="N144" s="10"/>
      <c r="O144" s="10"/>
      <c r="P144" s="9" t="str">
        <f t="shared" si="1"/>
        <v>N/I</v>
      </c>
      <c r="Q144" s="9" t="str">
        <f t="shared" si="2"/>
        <v>N/I</v>
      </c>
      <c r="R144" s="9" t="str">
        <f t="shared" si="3"/>
        <v>N/I</v>
      </c>
    </row>
    <row r="145">
      <c r="A145" s="11" t="s">
        <v>185</v>
      </c>
      <c r="B145" s="11" t="s">
        <v>194</v>
      </c>
      <c r="C145" s="12" t="s">
        <v>79</v>
      </c>
      <c r="D145" s="25" t="s">
        <v>187</v>
      </c>
      <c r="E145" s="10"/>
      <c r="F145" s="10" t="s">
        <v>192</v>
      </c>
      <c r="G145" s="12" t="s">
        <v>196</v>
      </c>
      <c r="H145" s="10" t="s">
        <v>197</v>
      </c>
      <c r="I145" s="10"/>
      <c r="J145" s="10"/>
      <c r="K145" s="10"/>
      <c r="L145" s="10"/>
      <c r="M145" s="10"/>
      <c r="N145" s="10"/>
      <c r="O145" s="10"/>
      <c r="P145" s="9" t="str">
        <f t="shared" si="1"/>
        <v>N/I</v>
      </c>
      <c r="Q145" s="9" t="str">
        <f t="shared" si="2"/>
        <v>N/I</v>
      </c>
      <c r="R145" s="9" t="str">
        <f t="shared" si="3"/>
        <v>N/I</v>
      </c>
    </row>
    <row r="146">
      <c r="A146" s="11" t="s">
        <v>185</v>
      </c>
      <c r="B146" s="11" t="s">
        <v>194</v>
      </c>
      <c r="C146" s="12" t="s">
        <v>201</v>
      </c>
      <c r="D146" s="25" t="s">
        <v>187</v>
      </c>
      <c r="E146" s="10"/>
      <c r="F146" s="10" t="s">
        <v>192</v>
      </c>
      <c r="G146" s="12" t="s">
        <v>196</v>
      </c>
      <c r="H146" s="10" t="s">
        <v>197</v>
      </c>
      <c r="I146" s="10"/>
      <c r="J146" s="10"/>
      <c r="K146" s="10"/>
      <c r="L146" s="10"/>
      <c r="M146" s="10"/>
      <c r="N146" s="10"/>
      <c r="O146" s="10"/>
      <c r="P146" s="9" t="str">
        <f t="shared" si="1"/>
        <v>N/I</v>
      </c>
      <c r="Q146" s="9" t="str">
        <f t="shared" si="2"/>
        <v>N/I</v>
      </c>
      <c r="R146" s="9" t="str">
        <f t="shared" si="3"/>
        <v>N/I</v>
      </c>
    </row>
    <row r="147">
      <c r="A147" s="11" t="s">
        <v>185</v>
      </c>
      <c r="B147" s="11" t="s">
        <v>202</v>
      </c>
      <c r="C147" s="12" t="s">
        <v>68</v>
      </c>
      <c r="D147" s="25" t="s">
        <v>203</v>
      </c>
      <c r="E147" s="10" t="s">
        <v>45</v>
      </c>
      <c r="F147" s="10" t="s">
        <v>192</v>
      </c>
      <c r="G147" s="12" t="s">
        <v>204</v>
      </c>
      <c r="H147" s="10" t="s">
        <v>189</v>
      </c>
      <c r="I147" s="10" t="s">
        <v>45</v>
      </c>
      <c r="J147" s="10" t="s">
        <v>45</v>
      </c>
      <c r="K147" s="10" t="s">
        <v>45</v>
      </c>
      <c r="L147" s="10" t="s">
        <v>45</v>
      </c>
      <c r="M147" s="10" t="s">
        <v>45</v>
      </c>
      <c r="N147" s="10" t="s">
        <v>45</v>
      </c>
      <c r="O147" s="10" t="s">
        <v>45</v>
      </c>
      <c r="P147" s="9" t="str">
        <f t="shared" si="1"/>
        <v>N/I</v>
      </c>
      <c r="Q147" s="9" t="str">
        <f t="shared" si="2"/>
        <v>N/I</v>
      </c>
      <c r="R147" s="9" t="str">
        <f t="shared" si="3"/>
        <v>N/I</v>
      </c>
    </row>
    <row r="148">
      <c r="A148" s="11" t="s">
        <v>185</v>
      </c>
      <c r="B148" s="11" t="s">
        <v>202</v>
      </c>
      <c r="C148" s="12" t="s">
        <v>58</v>
      </c>
      <c r="D148" s="25" t="s">
        <v>187</v>
      </c>
      <c r="E148" s="10"/>
      <c r="F148" s="10" t="s">
        <v>192</v>
      </c>
      <c r="G148" s="12" t="s">
        <v>204</v>
      </c>
      <c r="H148" s="10" t="s">
        <v>189</v>
      </c>
      <c r="I148" s="10"/>
      <c r="J148" s="10"/>
      <c r="K148" s="10"/>
      <c r="L148" s="10"/>
      <c r="M148" s="10"/>
      <c r="N148" s="10"/>
      <c r="O148" s="10"/>
      <c r="P148" s="9" t="str">
        <f t="shared" si="1"/>
        <v>N/I</v>
      </c>
      <c r="Q148" s="9" t="str">
        <f t="shared" si="2"/>
        <v>N/I</v>
      </c>
      <c r="R148" s="9" t="str">
        <f t="shared" si="3"/>
        <v>N/I</v>
      </c>
    </row>
    <row r="149">
      <c r="A149" s="11" t="s">
        <v>185</v>
      </c>
      <c r="B149" s="11" t="s">
        <v>206</v>
      </c>
      <c r="C149" s="12" t="s">
        <v>68</v>
      </c>
      <c r="D149" s="25" t="s">
        <v>187</v>
      </c>
      <c r="E149" s="10"/>
      <c r="F149" s="10" t="s">
        <v>192</v>
      </c>
      <c r="G149" s="12" t="s">
        <v>207</v>
      </c>
      <c r="H149" s="10" t="s">
        <v>208</v>
      </c>
      <c r="I149" s="10"/>
      <c r="J149" s="10"/>
      <c r="K149" s="10"/>
      <c r="L149" s="10"/>
      <c r="M149" s="10"/>
      <c r="N149" s="10"/>
      <c r="O149" s="10"/>
      <c r="P149" s="9" t="str">
        <f t="shared" si="1"/>
        <v>N/I</v>
      </c>
      <c r="Q149" s="9" t="str">
        <f t="shared" si="2"/>
        <v>N/I</v>
      </c>
      <c r="R149" s="9" t="str">
        <f t="shared" si="3"/>
        <v>N/I</v>
      </c>
    </row>
    <row r="150">
      <c r="A150" s="11" t="s">
        <v>185</v>
      </c>
      <c r="B150" s="11" t="s">
        <v>206</v>
      </c>
      <c r="C150" s="12" t="s">
        <v>58</v>
      </c>
      <c r="D150" s="25" t="s">
        <v>187</v>
      </c>
      <c r="E150" s="10"/>
      <c r="F150" s="10" t="s">
        <v>192</v>
      </c>
      <c r="G150" s="12" t="s">
        <v>207</v>
      </c>
      <c r="H150" s="10" t="s">
        <v>208</v>
      </c>
      <c r="I150" s="10"/>
      <c r="J150" s="10"/>
      <c r="K150" s="10"/>
      <c r="L150" s="10"/>
      <c r="M150" s="10"/>
      <c r="N150" s="10"/>
      <c r="O150" s="10"/>
      <c r="P150" s="9" t="str">
        <f t="shared" si="1"/>
        <v>N/I</v>
      </c>
      <c r="Q150" s="9" t="str">
        <f t="shared" si="2"/>
        <v>N/I</v>
      </c>
      <c r="R150" s="9" t="str">
        <f t="shared" si="3"/>
        <v>N/I</v>
      </c>
    </row>
    <row r="151">
      <c r="A151" s="11" t="s">
        <v>185</v>
      </c>
      <c r="B151" s="11" t="s">
        <v>210</v>
      </c>
      <c r="C151" s="12" t="s">
        <v>68</v>
      </c>
      <c r="D151" s="25" t="s">
        <v>187</v>
      </c>
      <c r="E151" s="10"/>
      <c r="F151" s="10" t="s">
        <v>192</v>
      </c>
      <c r="G151" s="12" t="s">
        <v>211</v>
      </c>
      <c r="H151" s="10" t="s">
        <v>189</v>
      </c>
      <c r="I151" s="10"/>
      <c r="J151" s="10"/>
      <c r="K151" s="10"/>
      <c r="L151" s="10"/>
      <c r="M151" s="10"/>
      <c r="N151" s="10"/>
      <c r="O151" s="10"/>
      <c r="P151" s="9" t="str">
        <f t="shared" si="1"/>
        <v>N/I</v>
      </c>
      <c r="Q151" s="9" t="str">
        <f t="shared" si="2"/>
        <v>N/I</v>
      </c>
      <c r="R151" s="9" t="str">
        <f t="shared" si="3"/>
        <v>N/I</v>
      </c>
    </row>
    <row r="152">
      <c r="A152" s="11" t="s">
        <v>185</v>
      </c>
      <c r="B152" s="11" t="s">
        <v>210</v>
      </c>
      <c r="C152" s="12" t="s">
        <v>58</v>
      </c>
      <c r="D152" s="25" t="s">
        <v>187</v>
      </c>
      <c r="E152" s="10"/>
      <c r="F152" s="10" t="s">
        <v>192</v>
      </c>
      <c r="G152" s="12" t="s">
        <v>211</v>
      </c>
      <c r="H152" s="10" t="s">
        <v>189</v>
      </c>
      <c r="I152" s="10"/>
      <c r="J152" s="10"/>
      <c r="K152" s="10"/>
      <c r="L152" s="10"/>
      <c r="M152" s="10"/>
      <c r="N152" s="10"/>
      <c r="O152" s="10"/>
      <c r="P152" s="9" t="str">
        <f t="shared" si="1"/>
        <v>N/I</v>
      </c>
      <c r="Q152" s="9" t="str">
        <f t="shared" si="2"/>
        <v>N/I</v>
      </c>
      <c r="R152" s="9" t="str">
        <f t="shared" si="3"/>
        <v>N/I</v>
      </c>
    </row>
    <row r="153">
      <c r="A153" s="11" t="s">
        <v>185</v>
      </c>
      <c r="B153" s="11" t="s">
        <v>212</v>
      </c>
      <c r="C153" s="12" t="s">
        <v>68</v>
      </c>
      <c r="D153" s="25" t="s">
        <v>187</v>
      </c>
      <c r="E153" s="10"/>
      <c r="F153" s="10" t="s">
        <v>192</v>
      </c>
      <c r="G153" s="12" t="s">
        <v>213</v>
      </c>
      <c r="H153" s="10" t="s">
        <v>208</v>
      </c>
      <c r="I153" s="10"/>
      <c r="J153" s="10"/>
      <c r="K153" s="10"/>
      <c r="L153" s="10"/>
      <c r="M153" s="10"/>
      <c r="N153" s="10"/>
      <c r="O153" s="10"/>
      <c r="P153" s="9" t="str">
        <f t="shared" si="1"/>
        <v>N/I</v>
      </c>
      <c r="Q153" s="9" t="str">
        <f t="shared" si="2"/>
        <v>N/I</v>
      </c>
      <c r="R153" s="9" t="str">
        <f t="shared" si="3"/>
        <v>N/I</v>
      </c>
    </row>
    <row r="154">
      <c r="A154" s="11" t="s">
        <v>185</v>
      </c>
      <c r="B154" s="11" t="s">
        <v>212</v>
      </c>
      <c r="C154" s="12" t="s">
        <v>68</v>
      </c>
      <c r="D154" s="25" t="s">
        <v>187</v>
      </c>
      <c r="E154" s="10"/>
      <c r="F154" s="10" t="s">
        <v>192</v>
      </c>
      <c r="G154" s="12" t="s">
        <v>213</v>
      </c>
      <c r="H154" s="10" t="s">
        <v>208</v>
      </c>
      <c r="I154" s="10"/>
      <c r="J154" s="10"/>
      <c r="K154" s="10"/>
      <c r="L154" s="10"/>
      <c r="M154" s="10"/>
      <c r="N154" s="10"/>
      <c r="O154" s="10"/>
      <c r="P154" s="9" t="str">
        <f t="shared" si="1"/>
        <v>N/I</v>
      </c>
      <c r="Q154" s="9" t="str">
        <f t="shared" si="2"/>
        <v>N/I</v>
      </c>
      <c r="R154" s="9" t="str">
        <f t="shared" si="3"/>
        <v>N/I</v>
      </c>
    </row>
    <row r="155">
      <c r="A155" s="11" t="s">
        <v>185</v>
      </c>
      <c r="B155" s="11" t="s">
        <v>212</v>
      </c>
      <c r="C155" s="12" t="s">
        <v>58</v>
      </c>
      <c r="D155" s="25" t="s">
        <v>187</v>
      </c>
      <c r="E155" s="10"/>
      <c r="F155" s="10" t="s">
        <v>192</v>
      </c>
      <c r="G155" s="12" t="s">
        <v>213</v>
      </c>
      <c r="H155" s="10" t="s">
        <v>208</v>
      </c>
      <c r="I155" s="10"/>
      <c r="J155" s="10"/>
      <c r="K155" s="10"/>
      <c r="L155" s="10"/>
      <c r="M155" s="10"/>
      <c r="N155" s="10"/>
      <c r="O155" s="10"/>
      <c r="P155" s="9" t="str">
        <f t="shared" si="1"/>
        <v>N/I</v>
      </c>
      <c r="Q155" s="9" t="str">
        <f t="shared" si="2"/>
        <v>N/I</v>
      </c>
      <c r="R155" s="9" t="str">
        <f t="shared" si="3"/>
        <v>N/I</v>
      </c>
    </row>
    <row r="156">
      <c r="A156" s="11" t="s">
        <v>185</v>
      </c>
      <c r="B156" s="11" t="s">
        <v>212</v>
      </c>
      <c r="C156" s="12" t="s">
        <v>58</v>
      </c>
      <c r="D156" s="25" t="s">
        <v>187</v>
      </c>
      <c r="E156" s="10"/>
      <c r="F156" s="10" t="s">
        <v>192</v>
      </c>
      <c r="G156" s="12" t="s">
        <v>213</v>
      </c>
      <c r="H156" s="10" t="s">
        <v>208</v>
      </c>
      <c r="I156" s="10"/>
      <c r="J156" s="10"/>
      <c r="K156" s="10"/>
      <c r="L156" s="10"/>
      <c r="M156" s="10"/>
      <c r="N156" s="10"/>
      <c r="O156" s="10"/>
      <c r="P156" s="9" t="str">
        <f t="shared" si="1"/>
        <v>N/I</v>
      </c>
      <c r="Q156" s="9" t="str">
        <f t="shared" si="2"/>
        <v>N/I</v>
      </c>
      <c r="R156" s="9" t="str">
        <f t="shared" si="3"/>
        <v>N/I</v>
      </c>
    </row>
    <row r="157">
      <c r="A157" s="11" t="s">
        <v>185</v>
      </c>
      <c r="B157" s="11" t="s">
        <v>214</v>
      </c>
      <c r="C157" s="12" t="s">
        <v>68</v>
      </c>
      <c r="D157" s="25" t="s">
        <v>187</v>
      </c>
      <c r="E157" s="10"/>
      <c r="F157" s="10" t="s">
        <v>192</v>
      </c>
      <c r="G157" s="12" t="s">
        <v>215</v>
      </c>
      <c r="H157" s="10" t="s">
        <v>216</v>
      </c>
      <c r="I157" s="10"/>
      <c r="J157" s="10"/>
      <c r="K157" s="10"/>
      <c r="L157" s="10"/>
      <c r="M157" s="10"/>
      <c r="N157" s="10"/>
      <c r="O157" s="10"/>
      <c r="P157" s="9" t="str">
        <f t="shared" si="1"/>
        <v>N/I</v>
      </c>
      <c r="Q157" s="9" t="str">
        <f t="shared" si="2"/>
        <v>N/I</v>
      </c>
      <c r="R157" s="9" t="str">
        <f t="shared" si="3"/>
        <v>N/I</v>
      </c>
    </row>
    <row r="158">
      <c r="A158" s="11" t="s">
        <v>185</v>
      </c>
      <c r="B158" s="11" t="s">
        <v>214</v>
      </c>
      <c r="C158" s="12" t="s">
        <v>68</v>
      </c>
      <c r="D158" s="25" t="s">
        <v>187</v>
      </c>
      <c r="E158" s="10"/>
      <c r="F158" s="10" t="s">
        <v>192</v>
      </c>
      <c r="G158" s="12" t="s">
        <v>215</v>
      </c>
      <c r="H158" s="10" t="s">
        <v>216</v>
      </c>
      <c r="I158" s="10"/>
      <c r="J158" s="10"/>
      <c r="K158" s="10"/>
      <c r="L158" s="10"/>
      <c r="M158" s="10"/>
      <c r="N158" s="10"/>
      <c r="O158" s="10"/>
      <c r="P158" s="9" t="str">
        <f t="shared" si="1"/>
        <v>N/I</v>
      </c>
      <c r="Q158" s="9" t="str">
        <f t="shared" si="2"/>
        <v>N/I</v>
      </c>
      <c r="R158" s="9" t="str">
        <f t="shared" si="3"/>
        <v>N/I</v>
      </c>
    </row>
    <row r="159">
      <c r="A159" s="11" t="s">
        <v>185</v>
      </c>
      <c r="B159" s="11" t="s">
        <v>214</v>
      </c>
      <c r="C159" s="12" t="s">
        <v>68</v>
      </c>
      <c r="D159" s="25" t="s">
        <v>187</v>
      </c>
      <c r="E159" s="10"/>
      <c r="F159" s="10" t="s">
        <v>192</v>
      </c>
      <c r="G159" s="12" t="s">
        <v>215</v>
      </c>
      <c r="H159" s="10" t="s">
        <v>216</v>
      </c>
      <c r="I159" s="10"/>
      <c r="J159" s="10"/>
      <c r="K159" s="10"/>
      <c r="L159" s="10"/>
      <c r="M159" s="10"/>
      <c r="N159" s="10"/>
      <c r="O159" s="10"/>
      <c r="P159" s="9" t="str">
        <f t="shared" si="1"/>
        <v>N/I</v>
      </c>
      <c r="Q159" s="9" t="str">
        <f t="shared" si="2"/>
        <v>N/I</v>
      </c>
      <c r="R159" s="9" t="str">
        <f t="shared" si="3"/>
        <v>N/I</v>
      </c>
    </row>
    <row r="160">
      <c r="A160" s="11" t="s">
        <v>185</v>
      </c>
      <c r="B160" s="11" t="s">
        <v>214</v>
      </c>
      <c r="C160" s="12" t="s">
        <v>52</v>
      </c>
      <c r="D160" s="25" t="s">
        <v>187</v>
      </c>
      <c r="E160" s="10"/>
      <c r="F160" s="10" t="s">
        <v>192</v>
      </c>
      <c r="G160" s="12" t="s">
        <v>215</v>
      </c>
      <c r="H160" s="10" t="s">
        <v>216</v>
      </c>
      <c r="I160" s="10"/>
      <c r="J160" s="10"/>
      <c r="K160" s="10"/>
      <c r="L160" s="10"/>
      <c r="M160" s="10"/>
      <c r="N160" s="10"/>
      <c r="O160" s="10"/>
      <c r="P160" s="9" t="str">
        <f t="shared" si="1"/>
        <v>N/I</v>
      </c>
      <c r="Q160" s="9" t="str">
        <f t="shared" si="2"/>
        <v>N/I</v>
      </c>
      <c r="R160" s="9" t="str">
        <f t="shared" si="3"/>
        <v>N/I</v>
      </c>
    </row>
    <row r="161">
      <c r="A161" s="11" t="s">
        <v>185</v>
      </c>
      <c r="B161" s="11" t="s">
        <v>214</v>
      </c>
      <c r="C161" s="12" t="s">
        <v>58</v>
      </c>
      <c r="D161" s="25" t="s">
        <v>187</v>
      </c>
      <c r="E161" s="10"/>
      <c r="F161" s="10" t="s">
        <v>192</v>
      </c>
      <c r="G161" s="12" t="s">
        <v>215</v>
      </c>
      <c r="H161" s="10" t="s">
        <v>216</v>
      </c>
      <c r="I161" s="10"/>
      <c r="J161" s="10"/>
      <c r="K161" s="10"/>
      <c r="L161" s="10"/>
      <c r="M161" s="10"/>
      <c r="N161" s="10"/>
      <c r="O161" s="10"/>
      <c r="P161" s="9" t="str">
        <f t="shared" si="1"/>
        <v>N/I</v>
      </c>
      <c r="Q161" s="9" t="str">
        <f t="shared" si="2"/>
        <v>N/I</v>
      </c>
      <c r="R161" s="9" t="str">
        <f t="shared" si="3"/>
        <v>N/I</v>
      </c>
    </row>
    <row r="162">
      <c r="A162" s="11" t="s">
        <v>185</v>
      </c>
      <c r="B162" s="11" t="s">
        <v>214</v>
      </c>
      <c r="C162" s="12" t="s">
        <v>58</v>
      </c>
      <c r="D162" s="25" t="s">
        <v>187</v>
      </c>
      <c r="E162" s="10"/>
      <c r="F162" s="10" t="s">
        <v>192</v>
      </c>
      <c r="G162" s="12" t="s">
        <v>215</v>
      </c>
      <c r="H162" s="10" t="s">
        <v>216</v>
      </c>
      <c r="I162" s="10"/>
      <c r="J162" s="10"/>
      <c r="K162" s="10"/>
      <c r="L162" s="10"/>
      <c r="M162" s="10"/>
      <c r="N162" s="10"/>
      <c r="O162" s="10"/>
      <c r="P162" s="9" t="str">
        <f t="shared" si="1"/>
        <v>N/I</v>
      </c>
      <c r="Q162" s="9" t="str">
        <f t="shared" si="2"/>
        <v>N/I</v>
      </c>
      <c r="R162" s="9" t="str">
        <f t="shared" si="3"/>
        <v>N/I</v>
      </c>
    </row>
    <row r="163">
      <c r="A163" s="11" t="s">
        <v>185</v>
      </c>
      <c r="B163" s="11" t="s">
        <v>214</v>
      </c>
      <c r="C163" s="12" t="s">
        <v>58</v>
      </c>
      <c r="D163" s="25" t="s">
        <v>187</v>
      </c>
      <c r="E163" s="10"/>
      <c r="F163" s="10" t="s">
        <v>192</v>
      </c>
      <c r="G163" s="12" t="s">
        <v>215</v>
      </c>
      <c r="H163" s="10" t="s">
        <v>216</v>
      </c>
      <c r="I163" s="10"/>
      <c r="J163" s="10"/>
      <c r="K163" s="10"/>
      <c r="L163" s="10"/>
      <c r="M163" s="10"/>
      <c r="N163" s="10"/>
      <c r="O163" s="10"/>
      <c r="P163" s="9" t="str">
        <f t="shared" si="1"/>
        <v>N/I</v>
      </c>
      <c r="Q163" s="9" t="str">
        <f t="shared" si="2"/>
        <v>N/I</v>
      </c>
      <c r="R163" s="9" t="str">
        <f t="shared" si="3"/>
        <v>N/I</v>
      </c>
    </row>
    <row r="164">
      <c r="A164" s="11" t="s">
        <v>218</v>
      </c>
      <c r="B164" s="11" t="s">
        <v>219</v>
      </c>
      <c r="C164" s="12" t="s">
        <v>94</v>
      </c>
      <c r="D164" s="23" t="s">
        <v>220</v>
      </c>
      <c r="E164" s="10" t="s">
        <v>227</v>
      </c>
      <c r="F164" s="10" t="s">
        <v>225</v>
      </c>
      <c r="G164" s="12" t="s">
        <v>221</v>
      </c>
      <c r="H164" s="10" t="s">
        <v>222</v>
      </c>
      <c r="I164" s="16" t="s">
        <v>45</v>
      </c>
      <c r="J164" s="12" t="s">
        <v>46</v>
      </c>
      <c r="K164" s="10" t="s">
        <v>226</v>
      </c>
      <c r="L164" s="16" t="s">
        <v>45</v>
      </c>
      <c r="M164" s="10" t="s">
        <v>49</v>
      </c>
      <c r="N164" s="16" t="s">
        <v>45</v>
      </c>
      <c r="O164" s="10" t="s">
        <v>50</v>
      </c>
      <c r="P164" s="9" t="str">
        <f t="shared" si="1"/>
        <v>N/I</v>
      </c>
      <c r="Q164" s="9" t="str">
        <f t="shared" si="2"/>
        <v>N/I</v>
      </c>
      <c r="R164" s="9" t="str">
        <f t="shared" si="3"/>
        <v>N/I</v>
      </c>
    </row>
    <row r="165">
      <c r="A165" s="11" t="s">
        <v>218</v>
      </c>
      <c r="B165" s="11" t="s">
        <v>219</v>
      </c>
      <c r="C165" s="12" t="s">
        <v>94</v>
      </c>
      <c r="D165" s="23" t="s">
        <v>228</v>
      </c>
      <c r="E165" s="10" t="s">
        <v>227</v>
      </c>
      <c r="F165" s="10" t="s">
        <v>225</v>
      </c>
      <c r="G165" s="12" t="s">
        <v>221</v>
      </c>
      <c r="H165" s="10" t="s">
        <v>222</v>
      </c>
      <c r="I165" s="16" t="s">
        <v>45</v>
      </c>
      <c r="J165" s="12" t="s">
        <v>46</v>
      </c>
      <c r="K165" s="10" t="s">
        <v>226</v>
      </c>
      <c r="L165" s="16" t="s">
        <v>45</v>
      </c>
      <c r="M165" s="10" t="s">
        <v>49</v>
      </c>
      <c r="N165" s="16" t="s">
        <v>45</v>
      </c>
      <c r="O165" s="10" t="s">
        <v>50</v>
      </c>
      <c r="P165" s="9" t="str">
        <f t="shared" si="1"/>
        <v>N/I</v>
      </c>
      <c r="Q165" s="9" t="str">
        <f t="shared" si="2"/>
        <v>N/I</v>
      </c>
      <c r="R165" s="9" t="str">
        <f t="shared" si="3"/>
        <v>N/I</v>
      </c>
    </row>
    <row r="166">
      <c r="A166" s="11" t="s">
        <v>218</v>
      </c>
      <c r="B166" s="11" t="s">
        <v>219</v>
      </c>
      <c r="C166" s="12" t="s">
        <v>55</v>
      </c>
      <c r="D166" s="23" t="s">
        <v>229</v>
      </c>
      <c r="E166" s="10" t="s">
        <v>227</v>
      </c>
      <c r="F166" s="10" t="s">
        <v>225</v>
      </c>
      <c r="G166" s="12" t="s">
        <v>221</v>
      </c>
      <c r="H166" s="10" t="s">
        <v>222</v>
      </c>
      <c r="I166" s="16" t="s">
        <v>45</v>
      </c>
      <c r="J166" s="12" t="s">
        <v>46</v>
      </c>
      <c r="K166" s="10" t="s">
        <v>226</v>
      </c>
      <c r="L166" s="16" t="s">
        <v>45</v>
      </c>
      <c r="M166" s="10" t="s">
        <v>49</v>
      </c>
      <c r="N166" s="16" t="s">
        <v>45</v>
      </c>
      <c r="O166" s="10" t="s">
        <v>50</v>
      </c>
      <c r="P166" s="9" t="str">
        <f t="shared" si="1"/>
        <v>N/I</v>
      </c>
      <c r="Q166" s="9" t="str">
        <f t="shared" si="2"/>
        <v>N/I</v>
      </c>
      <c r="R166" s="9" t="str">
        <f t="shared" si="3"/>
        <v>N/I</v>
      </c>
    </row>
    <row r="167">
      <c r="A167" s="11" t="s">
        <v>218</v>
      </c>
      <c r="B167" s="11" t="s">
        <v>219</v>
      </c>
      <c r="C167" s="12" t="s">
        <v>94</v>
      </c>
      <c r="D167" s="23" t="s">
        <v>230</v>
      </c>
      <c r="E167" s="10" t="s">
        <v>227</v>
      </c>
      <c r="F167" s="10" t="s">
        <v>225</v>
      </c>
      <c r="G167" s="12" t="s">
        <v>221</v>
      </c>
      <c r="H167" s="10" t="s">
        <v>222</v>
      </c>
      <c r="I167" s="16" t="s">
        <v>45</v>
      </c>
      <c r="J167" s="12" t="s">
        <v>46</v>
      </c>
      <c r="K167" s="10" t="s">
        <v>226</v>
      </c>
      <c r="L167" s="16" t="s">
        <v>45</v>
      </c>
      <c r="M167" s="10" t="s">
        <v>49</v>
      </c>
      <c r="N167" s="16" t="s">
        <v>45</v>
      </c>
      <c r="O167" s="10" t="s">
        <v>50</v>
      </c>
      <c r="P167" s="9" t="str">
        <f t="shared" si="1"/>
        <v>N/I</v>
      </c>
      <c r="Q167" s="9" t="str">
        <f t="shared" si="2"/>
        <v>N/I</v>
      </c>
      <c r="R167" s="9" t="str">
        <f t="shared" si="3"/>
        <v>N/I</v>
      </c>
    </row>
    <row r="168">
      <c r="A168" s="11" t="s">
        <v>218</v>
      </c>
      <c r="B168" s="11" t="s">
        <v>231</v>
      </c>
      <c r="C168" s="12" t="s">
        <v>55</v>
      </c>
      <c r="D168" s="13" t="s">
        <v>232</v>
      </c>
      <c r="E168" s="10" t="s">
        <v>227</v>
      </c>
      <c r="F168" s="10" t="s">
        <v>237</v>
      </c>
      <c r="G168" s="12" t="s">
        <v>233</v>
      </c>
      <c r="H168" s="10" t="s">
        <v>234</v>
      </c>
      <c r="I168" s="16" t="s">
        <v>45</v>
      </c>
      <c r="J168" s="12" t="s">
        <v>46</v>
      </c>
      <c r="K168" s="10" t="s">
        <v>226</v>
      </c>
      <c r="L168" s="16" t="s">
        <v>45</v>
      </c>
      <c r="M168" s="10" t="s">
        <v>49</v>
      </c>
      <c r="N168" s="16" t="s">
        <v>45</v>
      </c>
      <c r="O168" s="10" t="s">
        <v>50</v>
      </c>
      <c r="P168" s="9" t="str">
        <f t="shared" si="1"/>
        <v>N/I</v>
      </c>
      <c r="Q168" s="9" t="str">
        <f t="shared" si="2"/>
        <v>N/I</v>
      </c>
      <c r="R168" s="9" t="str">
        <f t="shared" si="3"/>
        <v>N/I</v>
      </c>
    </row>
    <row r="169">
      <c r="A169" s="11" t="s">
        <v>218</v>
      </c>
      <c r="B169" s="11" t="s">
        <v>231</v>
      </c>
      <c r="C169" s="12" t="s">
        <v>94</v>
      </c>
      <c r="D169" s="13" t="s">
        <v>238</v>
      </c>
      <c r="E169" s="10" t="s">
        <v>227</v>
      </c>
      <c r="F169" s="10" t="s">
        <v>240</v>
      </c>
      <c r="G169" s="12" t="s">
        <v>233</v>
      </c>
      <c r="H169" s="10" t="s">
        <v>234</v>
      </c>
      <c r="I169" s="16" t="s">
        <v>45</v>
      </c>
      <c r="J169" s="12" t="s">
        <v>46</v>
      </c>
      <c r="K169" s="10" t="s">
        <v>226</v>
      </c>
      <c r="L169" s="16" t="s">
        <v>45</v>
      </c>
      <c r="M169" s="10" t="s">
        <v>49</v>
      </c>
      <c r="N169" s="16" t="s">
        <v>45</v>
      </c>
      <c r="O169" s="10" t="s">
        <v>50</v>
      </c>
      <c r="P169" s="9" t="str">
        <f t="shared" si="1"/>
        <v>N/I</v>
      </c>
      <c r="Q169" s="9" t="str">
        <f t="shared" si="2"/>
        <v>N/I</v>
      </c>
      <c r="R169" s="9" t="str">
        <f t="shared" si="3"/>
        <v>N/I</v>
      </c>
    </row>
    <row r="170">
      <c r="A170" s="11" t="s">
        <v>218</v>
      </c>
      <c r="B170" s="11" t="s">
        <v>231</v>
      </c>
      <c r="C170" s="12" t="s">
        <v>94</v>
      </c>
      <c r="D170" s="13" t="s">
        <v>241</v>
      </c>
      <c r="E170" s="10" t="s">
        <v>227</v>
      </c>
      <c r="F170" s="10" t="s">
        <v>240</v>
      </c>
      <c r="G170" s="12" t="s">
        <v>233</v>
      </c>
      <c r="H170" s="10" t="s">
        <v>234</v>
      </c>
      <c r="I170" s="16" t="s">
        <v>45</v>
      </c>
      <c r="J170" s="12" t="s">
        <v>46</v>
      </c>
      <c r="K170" s="10" t="s">
        <v>226</v>
      </c>
      <c r="L170" s="16" t="s">
        <v>45</v>
      </c>
      <c r="M170" s="10" t="s">
        <v>49</v>
      </c>
      <c r="N170" s="16" t="s">
        <v>45</v>
      </c>
      <c r="O170" s="10" t="s">
        <v>50</v>
      </c>
      <c r="P170" s="9" t="str">
        <f t="shared" si="1"/>
        <v>N/I</v>
      </c>
      <c r="Q170" s="9" t="str">
        <f t="shared" si="2"/>
        <v>N/I</v>
      </c>
      <c r="R170" s="9" t="str">
        <f t="shared" si="3"/>
        <v>N/I</v>
      </c>
    </row>
    <row r="171">
      <c r="A171" s="11" t="s">
        <v>243</v>
      </c>
      <c r="B171" s="11" t="s">
        <v>244</v>
      </c>
      <c r="C171" s="12" t="s">
        <v>94</v>
      </c>
      <c r="D171" s="27" t="s">
        <v>245</v>
      </c>
      <c r="E171" s="16" t="s">
        <v>45</v>
      </c>
      <c r="F171" s="10" t="s">
        <v>250</v>
      </c>
      <c r="G171" s="12" t="s">
        <v>246</v>
      </c>
      <c r="H171" s="10" t="s">
        <v>247</v>
      </c>
      <c r="I171" s="16" t="s">
        <v>45</v>
      </c>
      <c r="J171" s="16" t="s">
        <v>45</v>
      </c>
      <c r="K171" s="16" t="s">
        <v>45</v>
      </c>
      <c r="L171" s="16" t="s">
        <v>45</v>
      </c>
      <c r="M171" s="16" t="s">
        <v>45</v>
      </c>
      <c r="N171" s="16" t="s">
        <v>45</v>
      </c>
      <c r="O171" s="16" t="s">
        <v>45</v>
      </c>
      <c r="P171" s="9" t="str">
        <f t="shared" si="1"/>
        <v>N/I</v>
      </c>
      <c r="Q171" s="9" t="str">
        <f t="shared" si="2"/>
        <v>N/I</v>
      </c>
      <c r="R171" s="9" t="str">
        <f t="shared" si="3"/>
        <v>N/I</v>
      </c>
    </row>
    <row r="172">
      <c r="A172" s="11" t="s">
        <v>252</v>
      </c>
      <c r="B172" s="11" t="s">
        <v>253</v>
      </c>
      <c r="C172" s="12" t="s">
        <v>254</v>
      </c>
      <c r="D172" s="25" t="s">
        <v>187</v>
      </c>
      <c r="E172" s="16" t="s">
        <v>45</v>
      </c>
      <c r="F172" s="10" t="s">
        <v>258</v>
      </c>
      <c r="G172" s="12" t="s">
        <v>255</v>
      </c>
      <c r="H172" s="10" t="s">
        <v>132</v>
      </c>
      <c r="I172" s="16" t="s">
        <v>45</v>
      </c>
      <c r="J172" s="16" t="s">
        <v>45</v>
      </c>
      <c r="K172" s="16" t="s">
        <v>45</v>
      </c>
      <c r="L172" s="16" t="s">
        <v>45</v>
      </c>
      <c r="M172" s="16" t="s">
        <v>45</v>
      </c>
      <c r="N172" s="16" t="s">
        <v>45</v>
      </c>
      <c r="O172" s="10" t="s">
        <v>50</v>
      </c>
      <c r="P172" s="9" t="str">
        <f t="shared" si="1"/>
        <v>N/I</v>
      </c>
      <c r="Q172" s="9" t="str">
        <f t="shared" si="2"/>
        <v>N/I</v>
      </c>
      <c r="R172" s="9" t="str">
        <f t="shared" si="3"/>
        <v>N/I</v>
      </c>
    </row>
    <row r="173">
      <c r="A173" s="11" t="s">
        <v>252</v>
      </c>
      <c r="B173" s="11" t="s">
        <v>253</v>
      </c>
      <c r="C173" s="12" t="s">
        <v>68</v>
      </c>
      <c r="D173" s="25" t="s">
        <v>187</v>
      </c>
      <c r="E173" s="16" t="s">
        <v>45</v>
      </c>
      <c r="F173" s="10" t="s">
        <v>258</v>
      </c>
      <c r="G173" s="12" t="s">
        <v>255</v>
      </c>
      <c r="H173" s="10" t="s">
        <v>132</v>
      </c>
      <c r="I173" s="16" t="s">
        <v>45</v>
      </c>
      <c r="J173" s="16" t="s">
        <v>45</v>
      </c>
      <c r="K173" s="16" t="s">
        <v>45</v>
      </c>
      <c r="L173" s="16" t="s">
        <v>45</v>
      </c>
      <c r="M173" s="16" t="s">
        <v>45</v>
      </c>
      <c r="N173" s="16" t="s">
        <v>45</v>
      </c>
      <c r="O173" s="10" t="s">
        <v>50</v>
      </c>
      <c r="P173" s="9" t="str">
        <f t="shared" si="1"/>
        <v>N/I</v>
      </c>
      <c r="Q173" s="9" t="str">
        <f t="shared" si="2"/>
        <v>N/I</v>
      </c>
      <c r="R173" s="9" t="str">
        <f t="shared" si="3"/>
        <v>N/I</v>
      </c>
    </row>
    <row r="174">
      <c r="A174" s="11" t="s">
        <v>252</v>
      </c>
      <c r="B174" s="11" t="s">
        <v>253</v>
      </c>
      <c r="C174" s="12" t="s">
        <v>37</v>
      </c>
      <c r="D174" s="25" t="s">
        <v>187</v>
      </c>
      <c r="E174" s="16" t="s">
        <v>45</v>
      </c>
      <c r="F174" s="10" t="s">
        <v>258</v>
      </c>
      <c r="G174" s="12" t="s">
        <v>255</v>
      </c>
      <c r="H174" s="10" t="s">
        <v>132</v>
      </c>
      <c r="I174" s="16" t="s">
        <v>45</v>
      </c>
      <c r="J174" s="16" t="s">
        <v>45</v>
      </c>
      <c r="K174" s="16" t="s">
        <v>45</v>
      </c>
      <c r="L174" s="16" t="s">
        <v>45</v>
      </c>
      <c r="M174" s="16" t="s">
        <v>45</v>
      </c>
      <c r="N174" s="16" t="s">
        <v>45</v>
      </c>
      <c r="O174" s="10" t="s">
        <v>50</v>
      </c>
      <c r="P174" s="9" t="str">
        <f t="shared" si="1"/>
        <v>N/I</v>
      </c>
      <c r="Q174" s="9" t="str">
        <f t="shared" si="2"/>
        <v>N/I</v>
      </c>
      <c r="R174" s="9" t="str">
        <f t="shared" si="3"/>
        <v>N/I</v>
      </c>
    </row>
    <row r="175">
      <c r="A175" s="11" t="s">
        <v>252</v>
      </c>
      <c r="B175" s="11" t="s">
        <v>253</v>
      </c>
      <c r="C175" s="12" t="s">
        <v>37</v>
      </c>
      <c r="D175" s="25" t="s">
        <v>187</v>
      </c>
      <c r="E175" s="16" t="s">
        <v>45</v>
      </c>
      <c r="F175" s="10" t="s">
        <v>258</v>
      </c>
      <c r="G175" s="12" t="s">
        <v>255</v>
      </c>
      <c r="H175" s="10" t="s">
        <v>132</v>
      </c>
      <c r="I175" s="16" t="s">
        <v>45</v>
      </c>
      <c r="J175" s="16" t="s">
        <v>45</v>
      </c>
      <c r="K175" s="16" t="s">
        <v>45</v>
      </c>
      <c r="L175" s="16" t="s">
        <v>45</v>
      </c>
      <c r="M175" s="16" t="s">
        <v>45</v>
      </c>
      <c r="N175" s="16" t="s">
        <v>45</v>
      </c>
      <c r="O175" s="10" t="s">
        <v>50</v>
      </c>
      <c r="P175" s="9" t="str">
        <f t="shared" si="1"/>
        <v>N/I</v>
      </c>
      <c r="Q175" s="9" t="str">
        <f t="shared" si="2"/>
        <v>N/I</v>
      </c>
      <c r="R175" s="9" t="str">
        <f t="shared" si="3"/>
        <v>N/I</v>
      </c>
    </row>
    <row r="176">
      <c r="A176" s="11" t="s">
        <v>252</v>
      </c>
      <c r="B176" s="11" t="s">
        <v>253</v>
      </c>
      <c r="C176" s="12" t="s">
        <v>37</v>
      </c>
      <c r="D176" s="25" t="s">
        <v>187</v>
      </c>
      <c r="E176" s="16" t="s">
        <v>45</v>
      </c>
      <c r="F176" s="10" t="s">
        <v>258</v>
      </c>
      <c r="G176" s="12" t="s">
        <v>255</v>
      </c>
      <c r="H176" s="10" t="s">
        <v>132</v>
      </c>
      <c r="I176" s="16" t="s">
        <v>45</v>
      </c>
      <c r="J176" s="16" t="s">
        <v>45</v>
      </c>
      <c r="K176" s="16" t="s">
        <v>45</v>
      </c>
      <c r="L176" s="16" t="s">
        <v>45</v>
      </c>
      <c r="M176" s="16" t="s">
        <v>45</v>
      </c>
      <c r="N176" s="16" t="s">
        <v>45</v>
      </c>
      <c r="O176" s="10" t="s">
        <v>50</v>
      </c>
      <c r="P176" s="9" t="str">
        <f t="shared" si="1"/>
        <v>N/I</v>
      </c>
      <c r="Q176" s="9" t="str">
        <f t="shared" si="2"/>
        <v>N/I</v>
      </c>
      <c r="R176" s="9" t="str">
        <f t="shared" si="3"/>
        <v>N/I</v>
      </c>
    </row>
    <row r="177">
      <c r="A177" s="11" t="s">
        <v>259</v>
      </c>
      <c r="B177" s="11" t="s">
        <v>260</v>
      </c>
      <c r="C177" s="12" t="s">
        <v>254</v>
      </c>
      <c r="D177" s="27">
        <v>10877.0</v>
      </c>
      <c r="E177" s="29"/>
      <c r="F177" s="10" t="s">
        <v>267</v>
      </c>
      <c r="G177" s="12" t="s">
        <v>261</v>
      </c>
      <c r="H177" s="10" t="s">
        <v>262</v>
      </c>
      <c r="I177" s="29"/>
      <c r="J177" s="29"/>
      <c r="K177" s="29"/>
      <c r="L177" s="29"/>
      <c r="M177" s="29"/>
      <c r="N177" s="29"/>
      <c r="O177" s="29"/>
      <c r="P177" s="9" t="str">
        <f t="shared" si="1"/>
        <v>N/I</v>
      </c>
      <c r="Q177" s="9" t="str">
        <f t="shared" si="2"/>
        <v>N/I</v>
      </c>
      <c r="R177" s="9" t="str">
        <f t="shared" si="3"/>
        <v>N/I</v>
      </c>
    </row>
    <row r="178">
      <c r="A178" s="11" t="s">
        <v>268</v>
      </c>
      <c r="B178" s="11" t="s">
        <v>269</v>
      </c>
      <c r="C178" s="12" t="s">
        <v>254</v>
      </c>
      <c r="D178" s="27" t="s">
        <v>270</v>
      </c>
      <c r="E178" s="30" t="s">
        <v>276</v>
      </c>
      <c r="F178" s="10" t="s">
        <v>274</v>
      </c>
      <c r="G178" s="12" t="s">
        <v>271</v>
      </c>
      <c r="H178" s="10" t="s">
        <v>89</v>
      </c>
      <c r="I178" s="30" t="s">
        <v>45</v>
      </c>
      <c r="J178" s="12" t="s">
        <v>46</v>
      </c>
      <c r="K178" s="30" t="s">
        <v>275</v>
      </c>
      <c r="L178" s="30" t="s">
        <v>45</v>
      </c>
      <c r="M178" s="30" t="s">
        <v>49</v>
      </c>
      <c r="N178" s="30" t="s">
        <v>277</v>
      </c>
      <c r="O178" s="30" t="s">
        <v>45</v>
      </c>
      <c r="P178" s="9" t="str">
        <f t="shared" si="1"/>
        <v>N/I</v>
      </c>
      <c r="Q178" s="9" t="str">
        <f t="shared" si="2"/>
        <v>N/I</v>
      </c>
      <c r="R178" s="9" t="str">
        <f t="shared" si="3"/>
        <v>N/I</v>
      </c>
    </row>
    <row r="179">
      <c r="A179" s="11" t="s">
        <v>279</v>
      </c>
      <c r="B179" s="11" t="s">
        <v>280</v>
      </c>
      <c r="C179" s="12" t="s">
        <v>37</v>
      </c>
      <c r="D179" s="31" t="s">
        <v>281</v>
      </c>
      <c r="E179" s="16" t="s">
        <v>45</v>
      </c>
      <c r="F179" s="10" t="s">
        <v>286</v>
      </c>
      <c r="G179" s="12" t="s">
        <v>282</v>
      </c>
      <c r="H179" s="10" t="s">
        <v>283</v>
      </c>
      <c r="I179" s="16" t="s">
        <v>45</v>
      </c>
      <c r="J179" s="16" t="s">
        <v>45</v>
      </c>
      <c r="K179" s="16" t="s">
        <v>45</v>
      </c>
      <c r="L179" s="16" t="s">
        <v>45</v>
      </c>
      <c r="M179" s="16" t="s">
        <v>45</v>
      </c>
      <c r="N179" s="16" t="s">
        <v>45</v>
      </c>
      <c r="O179" s="16" t="s">
        <v>45</v>
      </c>
      <c r="P179" s="9" t="str">
        <f t="shared" si="1"/>
        <v>N/I</v>
      </c>
      <c r="Q179" s="9" t="str">
        <f t="shared" si="2"/>
        <v>N/I</v>
      </c>
      <c r="R179" s="9" t="str">
        <f t="shared" si="3"/>
        <v>N/I</v>
      </c>
    </row>
    <row r="180">
      <c r="A180" s="11" t="s">
        <v>279</v>
      </c>
      <c r="B180" s="11" t="s">
        <v>280</v>
      </c>
      <c r="C180" s="12" t="s">
        <v>37</v>
      </c>
      <c r="D180" s="31" t="s">
        <v>287</v>
      </c>
      <c r="E180" s="10" t="s">
        <v>292</v>
      </c>
      <c r="F180" s="10" t="s">
        <v>286</v>
      </c>
      <c r="G180" s="12" t="s">
        <v>282</v>
      </c>
      <c r="H180" s="10" t="s">
        <v>283</v>
      </c>
      <c r="I180" s="10" t="s">
        <v>290</v>
      </c>
      <c r="J180" s="12" t="s">
        <v>46</v>
      </c>
      <c r="K180" s="10" t="s">
        <v>291</v>
      </c>
      <c r="L180" s="16" t="s">
        <v>45</v>
      </c>
      <c r="M180" s="10" t="s">
        <v>49</v>
      </c>
      <c r="N180" s="16" t="s">
        <v>45</v>
      </c>
      <c r="O180" s="10" t="s">
        <v>50</v>
      </c>
      <c r="P180" s="9" t="str">
        <f t="shared" si="1"/>
        <v>N/I</v>
      </c>
      <c r="Q180" s="9" t="str">
        <f t="shared" si="2"/>
        <v>N/I</v>
      </c>
      <c r="R180" s="9" t="str">
        <f t="shared" si="3"/>
        <v>N/I</v>
      </c>
    </row>
    <row r="181">
      <c r="A181" s="11" t="s">
        <v>279</v>
      </c>
      <c r="B181" s="11" t="s">
        <v>280</v>
      </c>
      <c r="C181" s="12" t="s">
        <v>37</v>
      </c>
      <c r="D181" s="31" t="s">
        <v>293</v>
      </c>
      <c r="E181" s="10" t="s">
        <v>292</v>
      </c>
      <c r="F181" s="10" t="s">
        <v>286</v>
      </c>
      <c r="G181" s="12" t="s">
        <v>282</v>
      </c>
      <c r="H181" s="10" t="s">
        <v>283</v>
      </c>
      <c r="I181" s="10" t="s">
        <v>290</v>
      </c>
      <c r="J181" s="12" t="s">
        <v>46</v>
      </c>
      <c r="K181" s="10" t="s">
        <v>291</v>
      </c>
      <c r="L181" s="16" t="s">
        <v>45</v>
      </c>
      <c r="M181" s="10" t="s">
        <v>49</v>
      </c>
      <c r="N181" s="16" t="s">
        <v>45</v>
      </c>
      <c r="O181" s="10" t="s">
        <v>50</v>
      </c>
      <c r="P181" s="9" t="str">
        <f t="shared" si="1"/>
        <v>N/I</v>
      </c>
      <c r="Q181" s="9" t="str">
        <f t="shared" si="2"/>
        <v>N/I</v>
      </c>
      <c r="R181" s="9" t="str">
        <f t="shared" si="3"/>
        <v>N/I</v>
      </c>
    </row>
    <row r="182">
      <c r="A182" s="11" t="s">
        <v>279</v>
      </c>
      <c r="B182" s="11" t="s">
        <v>280</v>
      </c>
      <c r="C182" s="12" t="s">
        <v>37</v>
      </c>
      <c r="D182" s="31" t="s">
        <v>294</v>
      </c>
      <c r="E182" s="10" t="s">
        <v>292</v>
      </c>
      <c r="F182" s="10" t="s">
        <v>286</v>
      </c>
      <c r="G182" s="12" t="s">
        <v>282</v>
      </c>
      <c r="H182" s="10" t="s">
        <v>283</v>
      </c>
      <c r="I182" s="10" t="s">
        <v>290</v>
      </c>
      <c r="J182" s="12" t="s">
        <v>46</v>
      </c>
      <c r="K182" s="10" t="s">
        <v>291</v>
      </c>
      <c r="L182" s="16" t="s">
        <v>45</v>
      </c>
      <c r="M182" s="10" t="s">
        <v>49</v>
      </c>
      <c r="N182" s="16" t="s">
        <v>45</v>
      </c>
      <c r="O182" s="10" t="s">
        <v>50</v>
      </c>
      <c r="P182" s="9" t="str">
        <f t="shared" si="1"/>
        <v>N/I</v>
      </c>
      <c r="Q182" s="9" t="str">
        <f t="shared" si="2"/>
        <v>N/I</v>
      </c>
      <c r="R182" s="9" t="str">
        <f t="shared" si="3"/>
        <v>N/I</v>
      </c>
    </row>
    <row r="183">
      <c r="A183" s="11" t="s">
        <v>279</v>
      </c>
      <c r="B183" s="11" t="s">
        <v>280</v>
      </c>
      <c r="C183" s="12" t="s">
        <v>37</v>
      </c>
      <c r="D183" s="31" t="s">
        <v>297</v>
      </c>
      <c r="E183" s="10" t="s">
        <v>292</v>
      </c>
      <c r="F183" s="10" t="s">
        <v>286</v>
      </c>
      <c r="G183" s="12" t="s">
        <v>282</v>
      </c>
      <c r="H183" s="10" t="s">
        <v>283</v>
      </c>
      <c r="I183" s="10" t="s">
        <v>290</v>
      </c>
      <c r="J183" s="12" t="s">
        <v>46</v>
      </c>
      <c r="K183" s="10" t="s">
        <v>291</v>
      </c>
      <c r="L183" s="16" t="s">
        <v>45</v>
      </c>
      <c r="M183" s="10" t="s">
        <v>49</v>
      </c>
      <c r="N183" s="16" t="s">
        <v>45</v>
      </c>
      <c r="O183" s="10" t="s">
        <v>50</v>
      </c>
      <c r="P183" s="9" t="str">
        <f t="shared" si="1"/>
        <v>N/I</v>
      </c>
      <c r="Q183" s="9" t="str">
        <f t="shared" si="2"/>
        <v>N/I</v>
      </c>
      <c r="R183" s="9" t="str">
        <f t="shared" si="3"/>
        <v>N/I</v>
      </c>
    </row>
    <row r="184">
      <c r="A184" s="11" t="s">
        <v>279</v>
      </c>
      <c r="B184" s="11" t="s">
        <v>280</v>
      </c>
      <c r="C184" s="12" t="s">
        <v>37</v>
      </c>
      <c r="D184" s="31" t="s">
        <v>298</v>
      </c>
      <c r="E184" s="10" t="s">
        <v>292</v>
      </c>
      <c r="F184" s="10" t="s">
        <v>286</v>
      </c>
      <c r="G184" s="12" t="s">
        <v>282</v>
      </c>
      <c r="H184" s="10" t="s">
        <v>283</v>
      </c>
      <c r="I184" s="10" t="s">
        <v>290</v>
      </c>
      <c r="J184" s="12" t="s">
        <v>46</v>
      </c>
      <c r="K184" s="10" t="s">
        <v>291</v>
      </c>
      <c r="L184" s="16" t="s">
        <v>45</v>
      </c>
      <c r="M184" s="10" t="s">
        <v>49</v>
      </c>
      <c r="N184" s="16" t="s">
        <v>45</v>
      </c>
      <c r="O184" s="10" t="s">
        <v>50</v>
      </c>
      <c r="P184" s="9" t="str">
        <f t="shared" si="1"/>
        <v>N/I</v>
      </c>
      <c r="Q184" s="9" t="str">
        <f t="shared" si="2"/>
        <v>N/I</v>
      </c>
      <c r="R184" s="9" t="str">
        <f t="shared" si="3"/>
        <v>N/I</v>
      </c>
    </row>
    <row r="185">
      <c r="A185" s="11" t="s">
        <v>279</v>
      </c>
      <c r="B185" s="11" t="s">
        <v>280</v>
      </c>
      <c r="C185" s="12" t="s">
        <v>37</v>
      </c>
      <c r="D185" s="31" t="s">
        <v>299</v>
      </c>
      <c r="E185" s="10" t="s">
        <v>292</v>
      </c>
      <c r="F185" s="10" t="s">
        <v>286</v>
      </c>
      <c r="G185" s="12" t="s">
        <v>282</v>
      </c>
      <c r="H185" s="10" t="s">
        <v>283</v>
      </c>
      <c r="I185" s="10" t="s">
        <v>290</v>
      </c>
      <c r="J185" s="12" t="s">
        <v>46</v>
      </c>
      <c r="K185" s="10" t="s">
        <v>291</v>
      </c>
      <c r="L185" s="16" t="s">
        <v>45</v>
      </c>
      <c r="M185" s="10" t="s">
        <v>49</v>
      </c>
      <c r="N185" s="16" t="s">
        <v>45</v>
      </c>
      <c r="O185" s="10" t="s">
        <v>50</v>
      </c>
      <c r="P185" s="9" t="str">
        <f t="shared" si="1"/>
        <v>N/I</v>
      </c>
      <c r="Q185" s="9" t="str">
        <f t="shared" si="2"/>
        <v>N/I</v>
      </c>
      <c r="R185" s="9" t="str">
        <f t="shared" si="3"/>
        <v>N/I</v>
      </c>
    </row>
    <row r="186">
      <c r="A186" s="11" t="s">
        <v>279</v>
      </c>
      <c r="B186" s="11" t="s">
        <v>280</v>
      </c>
      <c r="C186" s="12" t="s">
        <v>37</v>
      </c>
      <c r="D186" s="31" t="s">
        <v>301</v>
      </c>
      <c r="E186" s="10" t="s">
        <v>292</v>
      </c>
      <c r="F186" s="10" t="s">
        <v>286</v>
      </c>
      <c r="G186" s="12" t="s">
        <v>282</v>
      </c>
      <c r="H186" s="10" t="s">
        <v>283</v>
      </c>
      <c r="I186" s="10" t="s">
        <v>290</v>
      </c>
      <c r="J186" s="12" t="s">
        <v>46</v>
      </c>
      <c r="K186" s="10" t="s">
        <v>291</v>
      </c>
      <c r="L186" s="16" t="s">
        <v>45</v>
      </c>
      <c r="M186" s="10" t="s">
        <v>49</v>
      </c>
      <c r="N186" s="16" t="s">
        <v>45</v>
      </c>
      <c r="O186" s="10" t="s">
        <v>50</v>
      </c>
      <c r="P186" s="9" t="str">
        <f t="shared" si="1"/>
        <v>N/I</v>
      </c>
      <c r="Q186" s="9" t="str">
        <f t="shared" si="2"/>
        <v>N/I</v>
      </c>
      <c r="R186" s="9" t="str">
        <f t="shared" si="3"/>
        <v>N/I</v>
      </c>
    </row>
    <row r="187">
      <c r="A187" s="11" t="s">
        <v>279</v>
      </c>
      <c r="B187" s="11" t="s">
        <v>280</v>
      </c>
      <c r="C187" s="12" t="s">
        <v>37</v>
      </c>
      <c r="D187" s="31" t="s">
        <v>302</v>
      </c>
      <c r="E187" s="10" t="s">
        <v>292</v>
      </c>
      <c r="F187" s="10" t="s">
        <v>286</v>
      </c>
      <c r="G187" s="12" t="s">
        <v>282</v>
      </c>
      <c r="H187" s="10" t="s">
        <v>283</v>
      </c>
      <c r="I187" s="10" t="s">
        <v>290</v>
      </c>
      <c r="J187" s="12" t="s">
        <v>46</v>
      </c>
      <c r="K187" s="10" t="s">
        <v>291</v>
      </c>
      <c r="L187" s="16" t="s">
        <v>45</v>
      </c>
      <c r="M187" s="10" t="s">
        <v>49</v>
      </c>
      <c r="N187" s="16" t="s">
        <v>45</v>
      </c>
      <c r="O187" s="10" t="s">
        <v>50</v>
      </c>
      <c r="P187" s="9" t="str">
        <f t="shared" si="1"/>
        <v>N/I</v>
      </c>
      <c r="Q187" s="9" t="str">
        <f t="shared" si="2"/>
        <v>N/I</v>
      </c>
      <c r="R187" s="9" t="str">
        <f t="shared" si="3"/>
        <v>N/I</v>
      </c>
    </row>
    <row r="188">
      <c r="A188" s="11" t="s">
        <v>279</v>
      </c>
      <c r="B188" s="11" t="s">
        <v>280</v>
      </c>
      <c r="C188" s="12" t="s">
        <v>37</v>
      </c>
      <c r="D188" s="31" t="s">
        <v>303</v>
      </c>
      <c r="E188" s="10" t="s">
        <v>292</v>
      </c>
      <c r="F188" s="10" t="s">
        <v>286</v>
      </c>
      <c r="G188" s="12" t="s">
        <v>282</v>
      </c>
      <c r="H188" s="10" t="s">
        <v>283</v>
      </c>
      <c r="I188" s="10" t="s">
        <v>290</v>
      </c>
      <c r="J188" s="12" t="s">
        <v>46</v>
      </c>
      <c r="K188" s="10" t="s">
        <v>291</v>
      </c>
      <c r="L188" s="16" t="s">
        <v>45</v>
      </c>
      <c r="M188" s="10" t="s">
        <v>49</v>
      </c>
      <c r="N188" s="16" t="s">
        <v>45</v>
      </c>
      <c r="O188" s="10" t="s">
        <v>50</v>
      </c>
      <c r="P188" s="9" t="str">
        <f t="shared" si="1"/>
        <v>N/I</v>
      </c>
      <c r="Q188" s="9" t="str">
        <f t="shared" si="2"/>
        <v>N/I</v>
      </c>
      <c r="R188" s="9" t="str">
        <f t="shared" si="3"/>
        <v>N/I</v>
      </c>
    </row>
    <row r="189">
      <c r="A189" s="11" t="s">
        <v>279</v>
      </c>
      <c r="B189" s="11" t="s">
        <v>280</v>
      </c>
      <c r="C189" s="12" t="s">
        <v>94</v>
      </c>
      <c r="D189" s="31" t="s">
        <v>304</v>
      </c>
      <c r="E189" s="10" t="s">
        <v>292</v>
      </c>
      <c r="F189" s="10" t="s">
        <v>286</v>
      </c>
      <c r="G189" s="12" t="s">
        <v>282</v>
      </c>
      <c r="H189" s="10" t="s">
        <v>283</v>
      </c>
      <c r="I189" s="10" t="s">
        <v>290</v>
      </c>
      <c r="J189" s="12" t="s">
        <v>46</v>
      </c>
      <c r="K189" s="10" t="s">
        <v>291</v>
      </c>
      <c r="L189" s="16" t="s">
        <v>45</v>
      </c>
      <c r="M189" s="10" t="s">
        <v>49</v>
      </c>
      <c r="N189" s="16" t="s">
        <v>45</v>
      </c>
      <c r="O189" s="10" t="s">
        <v>50</v>
      </c>
      <c r="P189" s="9" t="str">
        <f t="shared" si="1"/>
        <v>N/I</v>
      </c>
      <c r="Q189" s="9" t="str">
        <f t="shared" si="2"/>
        <v>N/I</v>
      </c>
      <c r="R189" s="9" t="str">
        <f t="shared" si="3"/>
        <v>N/I</v>
      </c>
    </row>
    <row r="190">
      <c r="A190" s="11" t="s">
        <v>279</v>
      </c>
      <c r="B190" s="11" t="s">
        <v>280</v>
      </c>
      <c r="C190" s="12" t="s">
        <v>94</v>
      </c>
      <c r="D190" s="31" t="s">
        <v>306</v>
      </c>
      <c r="E190" s="10" t="s">
        <v>292</v>
      </c>
      <c r="F190" s="10" t="s">
        <v>286</v>
      </c>
      <c r="G190" s="12" t="s">
        <v>282</v>
      </c>
      <c r="H190" s="10" t="s">
        <v>283</v>
      </c>
      <c r="I190" s="10" t="s">
        <v>290</v>
      </c>
      <c r="J190" s="12" t="s">
        <v>46</v>
      </c>
      <c r="K190" s="10" t="s">
        <v>291</v>
      </c>
      <c r="L190" s="16" t="s">
        <v>45</v>
      </c>
      <c r="M190" s="10" t="s">
        <v>49</v>
      </c>
      <c r="N190" s="16" t="s">
        <v>45</v>
      </c>
      <c r="O190" s="10" t="s">
        <v>50</v>
      </c>
      <c r="P190" s="9" t="str">
        <f t="shared" si="1"/>
        <v>N/I</v>
      </c>
      <c r="Q190" s="9" t="str">
        <f t="shared" si="2"/>
        <v>N/I</v>
      </c>
      <c r="R190" s="9" t="str">
        <f t="shared" si="3"/>
        <v>N/I</v>
      </c>
    </row>
    <row r="191">
      <c r="A191" s="11" t="s">
        <v>279</v>
      </c>
      <c r="B191" s="11" t="s">
        <v>280</v>
      </c>
      <c r="C191" s="12" t="s">
        <v>307</v>
      </c>
      <c r="D191" s="31" t="s">
        <v>308</v>
      </c>
      <c r="E191" s="10" t="s">
        <v>292</v>
      </c>
      <c r="F191" s="10" t="s">
        <v>286</v>
      </c>
      <c r="G191" s="12" t="s">
        <v>282</v>
      </c>
      <c r="H191" s="10" t="s">
        <v>283</v>
      </c>
      <c r="I191" s="10" t="s">
        <v>290</v>
      </c>
      <c r="J191" s="12" t="s">
        <v>46</v>
      </c>
      <c r="K191" s="10" t="s">
        <v>291</v>
      </c>
      <c r="L191" s="16" t="s">
        <v>45</v>
      </c>
      <c r="M191" s="10" t="s">
        <v>49</v>
      </c>
      <c r="N191" s="16" t="s">
        <v>45</v>
      </c>
      <c r="O191" s="10" t="s">
        <v>50</v>
      </c>
      <c r="P191" s="9" t="str">
        <f t="shared" si="1"/>
        <v>N/I</v>
      </c>
      <c r="Q191" s="9" t="str">
        <f t="shared" si="2"/>
        <v>N/I</v>
      </c>
      <c r="R191" s="9" t="str">
        <f t="shared" si="3"/>
        <v>N/I</v>
      </c>
    </row>
    <row r="192">
      <c r="A192" s="11" t="s">
        <v>312</v>
      </c>
      <c r="B192" s="11" t="s">
        <v>313</v>
      </c>
      <c r="C192" s="12" t="s">
        <v>94</v>
      </c>
      <c r="D192" s="13" t="s">
        <v>314</v>
      </c>
      <c r="E192" s="10" t="s">
        <v>227</v>
      </c>
      <c r="F192" s="10" t="s">
        <v>317</v>
      </c>
      <c r="G192" s="12" t="s">
        <v>70</v>
      </c>
      <c r="H192" s="10" t="s">
        <v>63</v>
      </c>
      <c r="I192" s="16" t="s">
        <v>45</v>
      </c>
      <c r="J192" s="10" t="s">
        <v>318</v>
      </c>
      <c r="K192" s="10" t="s">
        <v>319</v>
      </c>
      <c r="L192" s="16" t="s">
        <v>45</v>
      </c>
      <c r="M192" s="10" t="s">
        <v>49</v>
      </c>
      <c r="N192" s="16" t="s">
        <v>45</v>
      </c>
      <c r="O192" s="10" t="s">
        <v>320</v>
      </c>
      <c r="P192" s="9" t="str">
        <f t="shared" si="1"/>
        <v>N/I</v>
      </c>
      <c r="Q192" s="9" t="str">
        <f t="shared" si="2"/>
        <v>N/I</v>
      </c>
      <c r="R192" s="9" t="str">
        <f t="shared" si="3"/>
        <v>N/I</v>
      </c>
    </row>
    <row r="193">
      <c r="A193" s="11" t="s">
        <v>322</v>
      </c>
      <c r="B193" s="11"/>
      <c r="C193" s="12" t="s">
        <v>55</v>
      </c>
      <c r="D193" s="13" t="s">
        <v>323</v>
      </c>
      <c r="E193" s="10" t="s">
        <v>227</v>
      </c>
      <c r="F193" s="10" t="s">
        <v>327</v>
      </c>
      <c r="G193" s="12" t="s">
        <v>324</v>
      </c>
      <c r="H193" s="10" t="s">
        <v>197</v>
      </c>
      <c r="I193" s="16" t="s">
        <v>45</v>
      </c>
      <c r="J193" s="10" t="s">
        <v>318</v>
      </c>
      <c r="K193" s="10" t="s">
        <v>319</v>
      </c>
      <c r="L193" s="16" t="s">
        <v>45</v>
      </c>
      <c r="M193" s="16" t="s">
        <v>45</v>
      </c>
      <c r="N193" s="16" t="s">
        <v>45</v>
      </c>
      <c r="O193" s="10" t="s">
        <v>50</v>
      </c>
      <c r="P193" s="9" t="str">
        <f t="shared" si="1"/>
        <v>N/I</v>
      </c>
      <c r="Q193" s="9" t="str">
        <f t="shared" si="2"/>
        <v>N/I</v>
      </c>
      <c r="R193" s="9" t="str">
        <f t="shared" si="3"/>
        <v>N/I</v>
      </c>
    </row>
    <row r="194">
      <c r="A194" s="11" t="s">
        <v>329</v>
      </c>
      <c r="B194" s="11" t="s">
        <v>330</v>
      </c>
      <c r="C194" s="12" t="s">
        <v>55</v>
      </c>
      <c r="D194" s="16" t="s">
        <v>331</v>
      </c>
      <c r="E194" s="16" t="s">
        <v>45</v>
      </c>
      <c r="F194" s="10" t="s">
        <v>335</v>
      </c>
      <c r="G194" s="12" t="s">
        <v>332</v>
      </c>
      <c r="H194" s="10" t="s">
        <v>197</v>
      </c>
      <c r="I194" s="16" t="s">
        <v>45</v>
      </c>
      <c r="J194" s="16" t="s">
        <v>45</v>
      </c>
      <c r="K194" s="16" t="s">
        <v>45</v>
      </c>
      <c r="L194" s="16" t="s">
        <v>45</v>
      </c>
      <c r="M194" s="10" t="s">
        <v>49</v>
      </c>
      <c r="N194" s="16" t="s">
        <v>45</v>
      </c>
      <c r="O194" s="10" t="s">
        <v>336</v>
      </c>
      <c r="P194" s="9" t="str">
        <f t="shared" si="1"/>
        <v>N/I</v>
      </c>
      <c r="Q194" s="9" t="str">
        <f t="shared" si="2"/>
        <v>N/I</v>
      </c>
      <c r="R194" s="9" t="str">
        <f t="shared" si="3"/>
        <v>N/I</v>
      </c>
    </row>
    <row r="195">
      <c r="A195" s="11" t="s">
        <v>329</v>
      </c>
      <c r="B195" s="11" t="s">
        <v>330</v>
      </c>
      <c r="C195" s="12" t="s">
        <v>55</v>
      </c>
      <c r="D195" s="16" t="s">
        <v>337</v>
      </c>
      <c r="E195" s="16" t="s">
        <v>45</v>
      </c>
      <c r="F195" s="10" t="s">
        <v>335</v>
      </c>
      <c r="G195" s="12" t="s">
        <v>332</v>
      </c>
      <c r="H195" s="10" t="s">
        <v>197</v>
      </c>
      <c r="I195" s="16" t="s">
        <v>45</v>
      </c>
      <c r="J195" s="16" t="s">
        <v>45</v>
      </c>
      <c r="K195" s="16" t="s">
        <v>45</v>
      </c>
      <c r="L195" s="16" t="s">
        <v>45</v>
      </c>
      <c r="M195" s="10" t="s">
        <v>49</v>
      </c>
      <c r="N195" s="16" t="s">
        <v>45</v>
      </c>
      <c r="O195" s="10" t="s">
        <v>336</v>
      </c>
      <c r="P195" s="9" t="str">
        <f t="shared" si="1"/>
        <v>N/I</v>
      </c>
      <c r="Q195" s="9" t="str">
        <f t="shared" si="2"/>
        <v>N/I</v>
      </c>
      <c r="R195" s="9" t="str">
        <f t="shared" si="3"/>
        <v>N/I</v>
      </c>
    </row>
    <row r="196">
      <c r="A196" s="11" t="s">
        <v>329</v>
      </c>
      <c r="B196" s="11" t="s">
        <v>338</v>
      </c>
      <c r="C196" s="12" t="s">
        <v>94</v>
      </c>
      <c r="D196" s="16" t="s">
        <v>339</v>
      </c>
      <c r="E196" s="10" t="s">
        <v>342</v>
      </c>
      <c r="F196" s="10" t="s">
        <v>341</v>
      </c>
      <c r="G196" s="12" t="s">
        <v>332</v>
      </c>
      <c r="H196" s="10" t="s">
        <v>197</v>
      </c>
      <c r="I196" s="16" t="s">
        <v>45</v>
      </c>
      <c r="J196" s="10" t="s">
        <v>318</v>
      </c>
      <c r="K196" s="10" t="s">
        <v>319</v>
      </c>
      <c r="L196" s="16" t="s">
        <v>45</v>
      </c>
      <c r="M196" s="10" t="s">
        <v>49</v>
      </c>
      <c r="N196" s="10" t="s">
        <v>291</v>
      </c>
      <c r="O196" s="10" t="s">
        <v>336</v>
      </c>
      <c r="P196" s="9" t="str">
        <f t="shared" si="1"/>
        <v>N/I</v>
      </c>
      <c r="Q196" s="9" t="str">
        <f t="shared" si="2"/>
        <v>N/I</v>
      </c>
      <c r="R196" s="9" t="str">
        <f t="shared" si="3"/>
        <v>N/I</v>
      </c>
    </row>
    <row r="197">
      <c r="A197" s="11" t="s">
        <v>329</v>
      </c>
      <c r="B197" s="11" t="s">
        <v>343</v>
      </c>
      <c r="C197" s="12" t="s">
        <v>55</v>
      </c>
      <c r="D197" s="13" t="s">
        <v>344</v>
      </c>
      <c r="E197" s="10" t="s">
        <v>342</v>
      </c>
      <c r="F197" s="10" t="s">
        <v>347</v>
      </c>
      <c r="G197" s="12" t="s">
        <v>332</v>
      </c>
      <c r="H197" s="10" t="s">
        <v>197</v>
      </c>
      <c r="I197" s="16" t="s">
        <v>45</v>
      </c>
      <c r="J197" s="10" t="s">
        <v>318</v>
      </c>
      <c r="K197" s="10" t="s">
        <v>319</v>
      </c>
      <c r="L197" s="16" t="s">
        <v>45</v>
      </c>
      <c r="M197" s="10" t="s">
        <v>49</v>
      </c>
      <c r="N197" s="10" t="s">
        <v>291</v>
      </c>
      <c r="O197" s="10" t="s">
        <v>336</v>
      </c>
      <c r="P197" s="9" t="str">
        <f t="shared" si="1"/>
        <v>N/I</v>
      </c>
      <c r="Q197" s="9" t="str">
        <f t="shared" si="2"/>
        <v>N/I</v>
      </c>
      <c r="R197" s="9" t="str">
        <f t="shared" si="3"/>
        <v>N/I</v>
      </c>
    </row>
    <row r="198">
      <c r="A198" s="11" t="s">
        <v>329</v>
      </c>
      <c r="B198" s="11" t="s">
        <v>348</v>
      </c>
      <c r="C198" s="12" t="s">
        <v>94</v>
      </c>
      <c r="D198" s="13" t="s">
        <v>349</v>
      </c>
      <c r="E198" s="16" t="s">
        <v>45</v>
      </c>
      <c r="F198" s="10" t="s">
        <v>351</v>
      </c>
      <c r="G198" s="12" t="s">
        <v>332</v>
      </c>
      <c r="H198" s="10" t="s">
        <v>197</v>
      </c>
      <c r="I198" s="16" t="s">
        <v>45</v>
      </c>
      <c r="J198" s="16" t="s">
        <v>45</v>
      </c>
      <c r="K198" s="16" t="s">
        <v>45</v>
      </c>
      <c r="L198" s="16" t="s">
        <v>45</v>
      </c>
      <c r="M198" s="16" t="s">
        <v>45</v>
      </c>
      <c r="N198" s="16" t="s">
        <v>45</v>
      </c>
      <c r="O198" s="10" t="s">
        <v>50</v>
      </c>
      <c r="P198" s="9" t="str">
        <f t="shared" si="1"/>
        <v>N/I</v>
      </c>
      <c r="Q198" s="9" t="str">
        <f t="shared" si="2"/>
        <v>N/I</v>
      </c>
      <c r="R198" s="9" t="str">
        <f t="shared" si="3"/>
        <v>N/I</v>
      </c>
    </row>
    <row r="199">
      <c r="A199" s="11" t="s">
        <v>329</v>
      </c>
      <c r="B199" s="11" t="s">
        <v>330</v>
      </c>
      <c r="C199" s="12" t="s">
        <v>68</v>
      </c>
      <c r="D199" s="27" t="s">
        <v>352</v>
      </c>
      <c r="E199" s="10" t="s">
        <v>227</v>
      </c>
      <c r="F199" s="10" t="s">
        <v>353</v>
      </c>
      <c r="G199" s="12" t="s">
        <v>332</v>
      </c>
      <c r="H199" s="10" t="s">
        <v>197</v>
      </c>
      <c r="I199" s="10" t="s">
        <v>354</v>
      </c>
      <c r="J199" s="12" t="s">
        <v>355</v>
      </c>
      <c r="K199" s="10" t="s">
        <v>356</v>
      </c>
      <c r="L199" s="16" t="s">
        <v>45</v>
      </c>
      <c r="M199" s="10" t="s">
        <v>49</v>
      </c>
      <c r="N199" s="16" t="s">
        <v>45</v>
      </c>
      <c r="O199" s="10" t="s">
        <v>50</v>
      </c>
      <c r="P199" s="9" t="str">
        <f t="shared" si="1"/>
        <v>N/I</v>
      </c>
      <c r="Q199" s="9" t="str">
        <f t="shared" si="2"/>
        <v>N/I</v>
      </c>
      <c r="R199" s="9" t="str">
        <f t="shared" si="3"/>
        <v>N/I</v>
      </c>
    </row>
    <row r="200">
      <c r="A200" s="11" t="s">
        <v>329</v>
      </c>
      <c r="B200" s="11" t="s">
        <v>330</v>
      </c>
      <c r="C200" s="12" t="s">
        <v>68</v>
      </c>
      <c r="D200" s="27" t="s">
        <v>357</v>
      </c>
      <c r="E200" s="10" t="s">
        <v>227</v>
      </c>
      <c r="F200" s="10" t="s">
        <v>353</v>
      </c>
      <c r="G200" s="12" t="s">
        <v>332</v>
      </c>
      <c r="H200" s="10" t="s">
        <v>197</v>
      </c>
      <c r="I200" s="10" t="s">
        <v>354</v>
      </c>
      <c r="J200" s="12" t="s">
        <v>355</v>
      </c>
      <c r="K200" s="10" t="s">
        <v>356</v>
      </c>
      <c r="L200" s="16" t="s">
        <v>45</v>
      </c>
      <c r="M200" s="10" t="s">
        <v>49</v>
      </c>
      <c r="N200" s="16" t="s">
        <v>45</v>
      </c>
      <c r="O200" s="10" t="s">
        <v>50</v>
      </c>
      <c r="P200" s="9" t="str">
        <f t="shared" si="1"/>
        <v>N/I</v>
      </c>
      <c r="Q200" s="9" t="str">
        <f t="shared" si="2"/>
        <v>N/I</v>
      </c>
      <c r="R200" s="9" t="str">
        <f t="shared" si="3"/>
        <v>N/I</v>
      </c>
    </row>
    <row r="201">
      <c r="A201" s="11" t="s">
        <v>329</v>
      </c>
      <c r="B201" s="11" t="s">
        <v>358</v>
      </c>
      <c r="C201" s="12" t="s">
        <v>55</v>
      </c>
      <c r="D201" s="27" t="s">
        <v>359</v>
      </c>
      <c r="E201" s="10" t="s">
        <v>227</v>
      </c>
      <c r="F201" s="10" t="s">
        <v>362</v>
      </c>
      <c r="G201" s="12" t="s">
        <v>332</v>
      </c>
      <c r="H201" s="10" t="s">
        <v>197</v>
      </c>
      <c r="I201" s="10" t="s">
        <v>354</v>
      </c>
      <c r="J201" s="12" t="s">
        <v>355</v>
      </c>
      <c r="K201" s="10" t="s">
        <v>356</v>
      </c>
      <c r="L201" s="16" t="s">
        <v>45</v>
      </c>
      <c r="M201" s="10" t="s">
        <v>49</v>
      </c>
      <c r="N201" s="16" t="s">
        <v>45</v>
      </c>
      <c r="O201" s="10" t="s">
        <v>50</v>
      </c>
      <c r="P201" s="9" t="str">
        <f t="shared" si="1"/>
        <v>N/I</v>
      </c>
      <c r="Q201" s="9" t="str">
        <f t="shared" si="2"/>
        <v>N/I</v>
      </c>
      <c r="R201" s="9" t="str">
        <f t="shared" si="3"/>
        <v>N/I</v>
      </c>
    </row>
    <row r="202">
      <c r="A202" s="11" t="s">
        <v>329</v>
      </c>
      <c r="B202" s="11" t="s">
        <v>363</v>
      </c>
      <c r="C202" s="12" t="s">
        <v>55</v>
      </c>
      <c r="D202" s="16" t="s">
        <v>364</v>
      </c>
      <c r="E202" s="16" t="s">
        <v>45</v>
      </c>
      <c r="F202" s="10" t="s">
        <v>335</v>
      </c>
      <c r="G202" s="12" t="s">
        <v>365</v>
      </c>
      <c r="H202" s="10" t="s">
        <v>216</v>
      </c>
      <c r="I202" s="16" t="s">
        <v>45</v>
      </c>
      <c r="J202" s="16" t="s">
        <v>45</v>
      </c>
      <c r="K202" s="16" t="s">
        <v>45</v>
      </c>
      <c r="L202" s="16" t="s">
        <v>45</v>
      </c>
      <c r="M202" s="10" t="s">
        <v>49</v>
      </c>
      <c r="N202" s="16" t="s">
        <v>45</v>
      </c>
      <c r="O202" s="10" t="s">
        <v>336</v>
      </c>
      <c r="P202" s="9" t="str">
        <f t="shared" si="1"/>
        <v>N/I</v>
      </c>
      <c r="Q202" s="9" t="str">
        <f t="shared" si="2"/>
        <v>N/I</v>
      </c>
      <c r="R202" s="9" t="str">
        <f t="shared" si="3"/>
        <v>N/I</v>
      </c>
    </row>
    <row r="203">
      <c r="A203" s="11" t="s">
        <v>329</v>
      </c>
      <c r="B203" s="11" t="s">
        <v>368</v>
      </c>
      <c r="C203" s="12" t="s">
        <v>55</v>
      </c>
      <c r="D203" s="13" t="s">
        <v>369</v>
      </c>
      <c r="E203" s="10" t="s">
        <v>342</v>
      </c>
      <c r="F203" s="10" t="s">
        <v>373</v>
      </c>
      <c r="G203" s="12" t="s">
        <v>370</v>
      </c>
      <c r="H203" s="10" t="s">
        <v>89</v>
      </c>
      <c r="I203" s="16" t="s">
        <v>45</v>
      </c>
      <c r="J203" s="10" t="s">
        <v>318</v>
      </c>
      <c r="K203" s="10" t="s">
        <v>319</v>
      </c>
      <c r="L203" s="16" t="s">
        <v>45</v>
      </c>
      <c r="M203" s="10" t="s">
        <v>49</v>
      </c>
      <c r="N203" s="10" t="s">
        <v>291</v>
      </c>
      <c r="O203" s="10" t="s">
        <v>336</v>
      </c>
      <c r="P203" s="9" t="str">
        <f t="shared" si="1"/>
        <v>N/I</v>
      </c>
      <c r="Q203" s="9" t="str">
        <f t="shared" si="2"/>
        <v>N/I</v>
      </c>
      <c r="R203" s="9" t="str">
        <f t="shared" si="3"/>
        <v>N/I</v>
      </c>
    </row>
    <row r="204">
      <c r="A204" s="11" t="s">
        <v>329</v>
      </c>
      <c r="B204" s="11" t="s">
        <v>129</v>
      </c>
      <c r="C204" s="12" t="s">
        <v>55</v>
      </c>
      <c r="D204" s="16" t="s">
        <v>374</v>
      </c>
      <c r="E204" s="16" t="s">
        <v>45</v>
      </c>
      <c r="F204" s="10" t="s">
        <v>335</v>
      </c>
      <c r="G204" s="12" t="s">
        <v>131</v>
      </c>
      <c r="H204" s="10" t="s">
        <v>132</v>
      </c>
      <c r="I204" s="16" t="s">
        <v>45</v>
      </c>
      <c r="J204" s="16" t="s">
        <v>45</v>
      </c>
      <c r="K204" s="16" t="s">
        <v>45</v>
      </c>
      <c r="L204" s="16" t="s">
        <v>45</v>
      </c>
      <c r="M204" s="10" t="s">
        <v>49</v>
      </c>
      <c r="N204" s="16" t="s">
        <v>45</v>
      </c>
      <c r="O204" s="10" t="s">
        <v>336</v>
      </c>
      <c r="P204" s="9" t="str">
        <f t="shared" si="1"/>
        <v>N/I</v>
      </c>
      <c r="Q204" s="9" t="str">
        <f t="shared" si="2"/>
        <v>N/I</v>
      </c>
      <c r="R204" s="9" t="str">
        <f t="shared" si="3"/>
        <v>N/I</v>
      </c>
    </row>
    <row r="205">
      <c r="A205" s="11" t="s">
        <v>329</v>
      </c>
      <c r="B205" s="11" t="s">
        <v>375</v>
      </c>
      <c r="C205" s="12" t="s">
        <v>94</v>
      </c>
      <c r="D205" s="13" t="s">
        <v>376</v>
      </c>
      <c r="E205" s="10" t="s">
        <v>342</v>
      </c>
      <c r="F205" s="10" t="s">
        <v>373</v>
      </c>
      <c r="G205" s="12" t="s">
        <v>131</v>
      </c>
      <c r="H205" s="10" t="s">
        <v>132</v>
      </c>
      <c r="I205" s="16" t="s">
        <v>45</v>
      </c>
      <c r="J205" s="10" t="s">
        <v>318</v>
      </c>
      <c r="K205" s="10" t="s">
        <v>319</v>
      </c>
      <c r="L205" s="16" t="s">
        <v>45</v>
      </c>
      <c r="M205" s="10" t="s">
        <v>49</v>
      </c>
      <c r="N205" s="10" t="s">
        <v>291</v>
      </c>
      <c r="O205" s="10" t="s">
        <v>336</v>
      </c>
      <c r="P205" s="9" t="str">
        <f t="shared" si="1"/>
        <v>N/I</v>
      </c>
      <c r="Q205" s="9" t="str">
        <f t="shared" si="2"/>
        <v>N/I</v>
      </c>
      <c r="R205" s="9" t="str">
        <f t="shared" si="3"/>
        <v>N/I</v>
      </c>
    </row>
    <row r="206">
      <c r="A206" s="11" t="s">
        <v>329</v>
      </c>
      <c r="B206" s="11"/>
      <c r="C206" s="12" t="s">
        <v>68</v>
      </c>
      <c r="D206" s="27" t="s">
        <v>377</v>
      </c>
      <c r="E206" s="10" t="s">
        <v>227</v>
      </c>
      <c r="F206" s="10" t="s">
        <v>353</v>
      </c>
      <c r="G206" s="12" t="s">
        <v>131</v>
      </c>
      <c r="H206" s="10" t="s">
        <v>132</v>
      </c>
      <c r="I206" s="10" t="s">
        <v>354</v>
      </c>
      <c r="J206" s="12" t="s">
        <v>355</v>
      </c>
      <c r="K206" s="10" t="s">
        <v>356</v>
      </c>
      <c r="L206" s="16" t="s">
        <v>45</v>
      </c>
      <c r="M206" s="10" t="s">
        <v>49</v>
      </c>
      <c r="N206" s="16" t="s">
        <v>45</v>
      </c>
      <c r="O206" s="10" t="s">
        <v>50</v>
      </c>
      <c r="P206" s="9" t="str">
        <f t="shared" si="1"/>
        <v>N/I</v>
      </c>
      <c r="Q206" s="9" t="str">
        <f t="shared" si="2"/>
        <v>N/I</v>
      </c>
      <c r="R206" s="9" t="str">
        <f t="shared" si="3"/>
        <v>N/I</v>
      </c>
    </row>
    <row r="207">
      <c r="A207" s="11" t="s">
        <v>329</v>
      </c>
      <c r="B207" s="11" t="s">
        <v>378</v>
      </c>
      <c r="C207" s="12" t="s">
        <v>55</v>
      </c>
      <c r="D207" s="13" t="s">
        <v>379</v>
      </c>
      <c r="E207" s="10" t="s">
        <v>342</v>
      </c>
      <c r="F207" s="10" t="s">
        <v>373</v>
      </c>
      <c r="G207" s="12" t="s">
        <v>380</v>
      </c>
      <c r="H207" s="10" t="s">
        <v>197</v>
      </c>
      <c r="I207" s="16" t="s">
        <v>45</v>
      </c>
      <c r="J207" s="10" t="s">
        <v>318</v>
      </c>
      <c r="K207" s="10" t="s">
        <v>319</v>
      </c>
      <c r="L207" s="16" t="s">
        <v>45</v>
      </c>
      <c r="M207" s="10" t="s">
        <v>49</v>
      </c>
      <c r="N207" s="10" t="s">
        <v>291</v>
      </c>
      <c r="O207" s="10" t="s">
        <v>336</v>
      </c>
      <c r="P207" s="9" t="str">
        <f t="shared" si="1"/>
        <v>N/I</v>
      </c>
      <c r="Q207" s="9" t="str">
        <f t="shared" si="2"/>
        <v>N/I</v>
      </c>
      <c r="R207" s="9" t="str">
        <f t="shared" si="3"/>
        <v>N/I</v>
      </c>
    </row>
    <row r="208">
      <c r="A208" s="11" t="s">
        <v>382</v>
      </c>
      <c r="B208" s="11"/>
      <c r="C208" s="12" t="s">
        <v>94</v>
      </c>
      <c r="D208" s="13" t="s">
        <v>383</v>
      </c>
      <c r="E208" s="10" t="s">
        <v>387</v>
      </c>
      <c r="F208" s="10" t="s">
        <v>386</v>
      </c>
      <c r="G208" s="12" t="s">
        <v>380</v>
      </c>
      <c r="H208" s="10" t="s">
        <v>197</v>
      </c>
      <c r="I208" s="16" t="s">
        <v>45</v>
      </c>
      <c r="J208" s="10" t="s">
        <v>318</v>
      </c>
      <c r="K208" s="10" t="s">
        <v>319</v>
      </c>
      <c r="L208" s="16" t="s">
        <v>45</v>
      </c>
      <c r="M208" s="10" t="s">
        <v>49</v>
      </c>
      <c r="N208" s="16" t="s">
        <v>45</v>
      </c>
      <c r="O208" s="10" t="s">
        <v>50</v>
      </c>
      <c r="P208" s="9" t="str">
        <f t="shared" si="1"/>
        <v>N/I</v>
      </c>
      <c r="Q208" s="9" t="str">
        <f t="shared" si="2"/>
        <v>N/I</v>
      </c>
      <c r="R208" s="9" t="str">
        <f t="shared" si="3"/>
        <v>N/I</v>
      </c>
    </row>
    <row r="209">
      <c r="A209" s="11" t="s">
        <v>382</v>
      </c>
      <c r="B209" s="11"/>
      <c r="C209" s="12" t="s">
        <v>79</v>
      </c>
      <c r="D209" s="13" t="s">
        <v>388</v>
      </c>
      <c r="E209" s="10" t="s">
        <v>390</v>
      </c>
      <c r="F209" s="10" t="s">
        <v>389</v>
      </c>
      <c r="G209" s="12" t="s">
        <v>380</v>
      </c>
      <c r="H209" s="10" t="s">
        <v>197</v>
      </c>
      <c r="I209" s="16" t="s">
        <v>45</v>
      </c>
      <c r="J209" s="12" t="s">
        <v>46</v>
      </c>
      <c r="K209" s="10" t="s">
        <v>226</v>
      </c>
      <c r="L209" s="16" t="s">
        <v>45</v>
      </c>
      <c r="M209" s="10" t="s">
        <v>49</v>
      </c>
      <c r="N209" s="16" t="s">
        <v>45</v>
      </c>
      <c r="O209" s="10" t="s">
        <v>320</v>
      </c>
      <c r="P209" s="9" t="str">
        <f t="shared" si="1"/>
        <v>N/I</v>
      </c>
      <c r="Q209" s="9" t="str">
        <f t="shared" si="2"/>
        <v>N/I</v>
      </c>
      <c r="R209" s="9" t="str">
        <f t="shared" si="3"/>
        <v>N/I</v>
      </c>
    </row>
    <row r="210">
      <c r="A210" s="11" t="s">
        <v>392</v>
      </c>
      <c r="B210" s="11"/>
      <c r="C210" s="12" t="s">
        <v>52</v>
      </c>
      <c r="D210" s="27" t="s">
        <v>393</v>
      </c>
      <c r="E210" s="10" t="s">
        <v>356</v>
      </c>
      <c r="F210" s="10" t="s">
        <v>395</v>
      </c>
      <c r="G210" s="12" t="s">
        <v>324</v>
      </c>
      <c r="H210" s="10" t="s">
        <v>197</v>
      </c>
      <c r="I210" s="10" t="s">
        <v>354</v>
      </c>
      <c r="J210" s="12" t="s">
        <v>355</v>
      </c>
      <c r="K210" s="16" t="s">
        <v>45</v>
      </c>
      <c r="L210" s="16" t="s">
        <v>45</v>
      </c>
      <c r="M210" s="10" t="s">
        <v>49</v>
      </c>
      <c r="N210" s="16" t="s">
        <v>45</v>
      </c>
      <c r="O210" s="10" t="s">
        <v>50</v>
      </c>
      <c r="P210" s="9" t="str">
        <f t="shared" si="1"/>
        <v>N/I</v>
      </c>
      <c r="Q210" s="9" t="str">
        <f t="shared" si="2"/>
        <v>N/I</v>
      </c>
      <c r="R210" s="9" t="str">
        <f t="shared" si="3"/>
        <v>N/I</v>
      </c>
    </row>
    <row r="211">
      <c r="A211" s="11" t="s">
        <v>397</v>
      </c>
      <c r="B211" s="11" t="s">
        <v>398</v>
      </c>
      <c r="C211" s="12" t="s">
        <v>52</v>
      </c>
      <c r="D211" s="13" t="s">
        <v>399</v>
      </c>
      <c r="E211" s="10" t="s">
        <v>356</v>
      </c>
      <c r="F211" s="10" t="s">
        <v>402</v>
      </c>
      <c r="G211" s="12" t="s">
        <v>332</v>
      </c>
      <c r="H211" s="10" t="s">
        <v>197</v>
      </c>
      <c r="I211" s="16" t="s">
        <v>45</v>
      </c>
      <c r="J211" s="12" t="s">
        <v>355</v>
      </c>
      <c r="K211" s="10" t="s">
        <v>226</v>
      </c>
      <c r="L211" s="16" t="s">
        <v>45</v>
      </c>
      <c r="M211" s="10" t="s">
        <v>49</v>
      </c>
      <c r="N211" s="16" t="s">
        <v>45</v>
      </c>
      <c r="O211" s="10" t="s">
        <v>50</v>
      </c>
      <c r="P211" s="9" t="str">
        <f t="shared" si="1"/>
        <v>N/I</v>
      </c>
      <c r="Q211" s="9" t="str">
        <f t="shared" si="2"/>
        <v>N/I</v>
      </c>
      <c r="R211" s="9" t="str">
        <f t="shared" si="3"/>
        <v>N/I</v>
      </c>
    </row>
    <row r="212">
      <c r="A212" s="11" t="s">
        <v>397</v>
      </c>
      <c r="B212" s="11" t="s">
        <v>398</v>
      </c>
      <c r="C212" s="12" t="s">
        <v>52</v>
      </c>
      <c r="D212" s="13" t="s">
        <v>403</v>
      </c>
      <c r="E212" s="10" t="s">
        <v>356</v>
      </c>
      <c r="F212" s="10" t="s">
        <v>402</v>
      </c>
      <c r="G212" s="12" t="s">
        <v>332</v>
      </c>
      <c r="H212" s="10" t="s">
        <v>197</v>
      </c>
      <c r="I212" s="16" t="s">
        <v>45</v>
      </c>
      <c r="J212" s="12" t="s">
        <v>355</v>
      </c>
      <c r="K212" s="10" t="s">
        <v>226</v>
      </c>
      <c r="L212" s="16" t="s">
        <v>45</v>
      </c>
      <c r="M212" s="10" t="s">
        <v>49</v>
      </c>
      <c r="N212" s="16" t="s">
        <v>45</v>
      </c>
      <c r="O212" s="10" t="s">
        <v>50</v>
      </c>
      <c r="P212" s="9" t="str">
        <f t="shared" si="1"/>
        <v>N/I</v>
      </c>
      <c r="Q212" s="9" t="str">
        <f t="shared" si="2"/>
        <v>N/I</v>
      </c>
      <c r="R212" s="9" t="str">
        <f t="shared" si="3"/>
        <v>N/I</v>
      </c>
    </row>
    <row r="213">
      <c r="A213" s="11" t="s">
        <v>397</v>
      </c>
      <c r="B213" s="11" t="s">
        <v>398</v>
      </c>
      <c r="C213" s="12" t="s">
        <v>52</v>
      </c>
      <c r="D213" s="13" t="s">
        <v>404</v>
      </c>
      <c r="E213" s="10" t="s">
        <v>356</v>
      </c>
      <c r="F213" s="10" t="s">
        <v>402</v>
      </c>
      <c r="G213" s="12" t="s">
        <v>332</v>
      </c>
      <c r="H213" s="10" t="s">
        <v>197</v>
      </c>
      <c r="I213" s="16" t="s">
        <v>45</v>
      </c>
      <c r="J213" s="12" t="s">
        <v>355</v>
      </c>
      <c r="K213" s="10" t="s">
        <v>226</v>
      </c>
      <c r="L213" s="16" t="s">
        <v>45</v>
      </c>
      <c r="M213" s="10" t="s">
        <v>49</v>
      </c>
      <c r="N213" s="16" t="s">
        <v>45</v>
      </c>
      <c r="O213" s="10" t="s">
        <v>50</v>
      </c>
      <c r="P213" s="9" t="str">
        <f t="shared" si="1"/>
        <v>N/I</v>
      </c>
      <c r="Q213" s="9" t="str">
        <f t="shared" si="2"/>
        <v>N/I</v>
      </c>
      <c r="R213" s="9" t="str">
        <f t="shared" si="3"/>
        <v>N/I</v>
      </c>
    </row>
    <row r="214">
      <c r="A214" s="11" t="s">
        <v>397</v>
      </c>
      <c r="B214" s="11" t="s">
        <v>398</v>
      </c>
      <c r="C214" s="12" t="s">
        <v>52</v>
      </c>
      <c r="D214" s="13" t="s">
        <v>405</v>
      </c>
      <c r="E214" s="10" t="s">
        <v>356</v>
      </c>
      <c r="F214" s="10" t="s">
        <v>408</v>
      </c>
      <c r="G214" s="12" t="s">
        <v>332</v>
      </c>
      <c r="H214" s="10" t="s">
        <v>197</v>
      </c>
      <c r="I214" s="16" t="s">
        <v>45</v>
      </c>
      <c r="J214" s="12" t="s">
        <v>355</v>
      </c>
      <c r="K214" s="10" t="s">
        <v>226</v>
      </c>
      <c r="L214" s="16" t="s">
        <v>45</v>
      </c>
      <c r="M214" s="10" t="s">
        <v>49</v>
      </c>
      <c r="N214" s="16" t="s">
        <v>45</v>
      </c>
      <c r="O214" s="10" t="s">
        <v>50</v>
      </c>
      <c r="P214" s="9" t="str">
        <f t="shared" si="1"/>
        <v>N/I</v>
      </c>
      <c r="Q214" s="9" t="str">
        <f t="shared" si="2"/>
        <v>N/I</v>
      </c>
      <c r="R214" s="9" t="str">
        <f t="shared" si="3"/>
        <v>N/I</v>
      </c>
    </row>
    <row r="215">
      <c r="A215" s="11" t="s">
        <v>397</v>
      </c>
      <c r="B215" s="11" t="s">
        <v>398</v>
      </c>
      <c r="C215" s="12" t="s">
        <v>52</v>
      </c>
      <c r="D215" s="13" t="s">
        <v>409</v>
      </c>
      <c r="E215" s="10" t="s">
        <v>356</v>
      </c>
      <c r="F215" s="10" t="s">
        <v>408</v>
      </c>
      <c r="G215" s="12" t="s">
        <v>332</v>
      </c>
      <c r="H215" s="10" t="s">
        <v>197</v>
      </c>
      <c r="I215" s="16" t="s">
        <v>45</v>
      </c>
      <c r="J215" s="12" t="s">
        <v>355</v>
      </c>
      <c r="K215" s="10" t="s">
        <v>226</v>
      </c>
      <c r="L215" s="16" t="s">
        <v>45</v>
      </c>
      <c r="M215" s="10" t="s">
        <v>49</v>
      </c>
      <c r="N215" s="16" t="s">
        <v>45</v>
      </c>
      <c r="O215" s="10" t="s">
        <v>50</v>
      </c>
      <c r="P215" s="9" t="str">
        <f t="shared" si="1"/>
        <v>N/I</v>
      </c>
      <c r="Q215" s="9" t="str">
        <f t="shared" si="2"/>
        <v>N/I</v>
      </c>
      <c r="R215" s="9" t="str">
        <f t="shared" si="3"/>
        <v>N/I</v>
      </c>
    </row>
    <row r="216">
      <c r="A216" s="11" t="s">
        <v>397</v>
      </c>
      <c r="B216" s="11" t="s">
        <v>398</v>
      </c>
      <c r="C216" s="12" t="s">
        <v>52</v>
      </c>
      <c r="D216" s="13" t="s">
        <v>410</v>
      </c>
      <c r="E216" s="10" t="s">
        <v>356</v>
      </c>
      <c r="F216" s="10" t="s">
        <v>408</v>
      </c>
      <c r="G216" s="12" t="s">
        <v>332</v>
      </c>
      <c r="H216" s="10" t="s">
        <v>197</v>
      </c>
      <c r="I216" s="16" t="s">
        <v>45</v>
      </c>
      <c r="J216" s="12" t="s">
        <v>355</v>
      </c>
      <c r="K216" s="10" t="s">
        <v>226</v>
      </c>
      <c r="L216" s="16" t="s">
        <v>45</v>
      </c>
      <c r="M216" s="10" t="s">
        <v>49</v>
      </c>
      <c r="N216" s="16" t="s">
        <v>45</v>
      </c>
      <c r="O216" s="10" t="s">
        <v>50</v>
      </c>
      <c r="P216" s="9" t="str">
        <f t="shared" si="1"/>
        <v>N/I</v>
      </c>
      <c r="Q216" s="9" t="str">
        <f t="shared" si="2"/>
        <v>N/I</v>
      </c>
      <c r="R216" s="9" t="str">
        <f t="shared" si="3"/>
        <v>N/I</v>
      </c>
    </row>
    <row r="217">
      <c r="A217" s="11" t="s">
        <v>397</v>
      </c>
      <c r="B217" s="11" t="s">
        <v>398</v>
      </c>
      <c r="C217" s="12" t="s">
        <v>52</v>
      </c>
      <c r="D217" s="13" t="s">
        <v>411</v>
      </c>
      <c r="E217" s="10" t="s">
        <v>227</v>
      </c>
      <c r="F217" s="10" t="s">
        <v>412</v>
      </c>
      <c r="G217" s="12" t="s">
        <v>332</v>
      </c>
      <c r="H217" s="10" t="s">
        <v>197</v>
      </c>
      <c r="I217" s="10" t="s">
        <v>354</v>
      </c>
      <c r="J217" s="12" t="s">
        <v>355</v>
      </c>
      <c r="K217" s="16" t="s">
        <v>45</v>
      </c>
      <c r="L217" s="16" t="s">
        <v>45</v>
      </c>
      <c r="M217" s="10" t="s">
        <v>49</v>
      </c>
      <c r="N217" s="16" t="s">
        <v>45</v>
      </c>
      <c r="O217" s="10" t="s">
        <v>50</v>
      </c>
      <c r="P217" s="9" t="str">
        <f t="shared" si="1"/>
        <v>N/I</v>
      </c>
      <c r="Q217" s="9" t="str">
        <f t="shared" si="2"/>
        <v>N/I</v>
      </c>
      <c r="R217" s="9" t="str">
        <f t="shared" si="3"/>
        <v>N/I</v>
      </c>
    </row>
    <row r="218">
      <c r="A218" s="11" t="s">
        <v>397</v>
      </c>
      <c r="B218" s="11" t="s">
        <v>398</v>
      </c>
      <c r="C218" s="12" t="s">
        <v>52</v>
      </c>
      <c r="D218" s="13" t="s">
        <v>413</v>
      </c>
      <c r="E218" s="10" t="s">
        <v>227</v>
      </c>
      <c r="F218" s="10" t="s">
        <v>412</v>
      </c>
      <c r="G218" s="12" t="s">
        <v>332</v>
      </c>
      <c r="H218" s="10" t="s">
        <v>197</v>
      </c>
      <c r="I218" s="10" t="s">
        <v>354</v>
      </c>
      <c r="J218" s="12" t="s">
        <v>355</v>
      </c>
      <c r="K218" s="16" t="s">
        <v>45</v>
      </c>
      <c r="L218" s="16" t="s">
        <v>45</v>
      </c>
      <c r="M218" s="10" t="s">
        <v>49</v>
      </c>
      <c r="N218" s="16" t="s">
        <v>45</v>
      </c>
      <c r="O218" s="10" t="s">
        <v>50</v>
      </c>
      <c r="P218" s="9" t="str">
        <f t="shared" si="1"/>
        <v>N/I</v>
      </c>
      <c r="Q218" s="9" t="str">
        <f t="shared" si="2"/>
        <v>N/I</v>
      </c>
      <c r="R218" s="9" t="str">
        <f t="shared" si="3"/>
        <v>N/I</v>
      </c>
    </row>
    <row r="219">
      <c r="A219" s="11" t="s">
        <v>415</v>
      </c>
      <c r="B219" s="11" t="s">
        <v>416</v>
      </c>
      <c r="C219" s="12" t="s">
        <v>94</v>
      </c>
      <c r="D219" s="33" t="s">
        <v>417</v>
      </c>
      <c r="E219" s="16" t="s">
        <v>45</v>
      </c>
      <c r="F219" s="12" t="s">
        <v>420</v>
      </c>
      <c r="G219" s="12" t="s">
        <v>246</v>
      </c>
      <c r="H219" s="10" t="s">
        <v>247</v>
      </c>
      <c r="I219" s="16" t="s">
        <v>45</v>
      </c>
      <c r="J219" s="16" t="s">
        <v>45</v>
      </c>
      <c r="K219" s="16" t="s">
        <v>45</v>
      </c>
      <c r="L219" s="16" t="s">
        <v>45</v>
      </c>
      <c r="M219" s="10" t="s">
        <v>49</v>
      </c>
      <c r="N219" s="16" t="s">
        <v>45</v>
      </c>
      <c r="O219" s="10" t="s">
        <v>50</v>
      </c>
      <c r="P219" s="9" t="str">
        <f t="shared" si="1"/>
        <v>N/I</v>
      </c>
      <c r="Q219" s="9" t="str">
        <f t="shared" si="2"/>
        <v>N/I</v>
      </c>
      <c r="R219" s="9" t="str">
        <f t="shared" si="3"/>
        <v>N/I</v>
      </c>
    </row>
    <row r="220">
      <c r="A220" s="11" t="s">
        <v>415</v>
      </c>
      <c r="B220" s="11" t="s">
        <v>416</v>
      </c>
      <c r="C220" s="12" t="s">
        <v>94</v>
      </c>
      <c r="D220" s="33" t="s">
        <v>421</v>
      </c>
      <c r="E220" s="16" t="s">
        <v>45</v>
      </c>
      <c r="F220" s="12" t="s">
        <v>420</v>
      </c>
      <c r="G220" s="12" t="s">
        <v>246</v>
      </c>
      <c r="H220" s="10" t="s">
        <v>247</v>
      </c>
      <c r="I220" s="16" t="s">
        <v>45</v>
      </c>
      <c r="J220" s="16" t="s">
        <v>45</v>
      </c>
      <c r="K220" s="16" t="s">
        <v>45</v>
      </c>
      <c r="L220" s="16" t="s">
        <v>45</v>
      </c>
      <c r="M220" s="10" t="s">
        <v>49</v>
      </c>
      <c r="N220" s="16" t="s">
        <v>45</v>
      </c>
      <c r="O220" s="10" t="s">
        <v>50</v>
      </c>
      <c r="P220" s="9" t="str">
        <f t="shared" si="1"/>
        <v>N/I</v>
      </c>
      <c r="Q220" s="9" t="str">
        <f t="shared" si="2"/>
        <v>N/I</v>
      </c>
      <c r="R220" s="9" t="str">
        <f t="shared" si="3"/>
        <v>N/I</v>
      </c>
    </row>
    <row r="221">
      <c r="A221" s="11" t="s">
        <v>415</v>
      </c>
      <c r="B221" s="11" t="s">
        <v>416</v>
      </c>
      <c r="C221" s="12" t="s">
        <v>94</v>
      </c>
      <c r="D221" s="33" t="s">
        <v>422</v>
      </c>
      <c r="E221" s="16" t="s">
        <v>45</v>
      </c>
      <c r="F221" s="12" t="s">
        <v>420</v>
      </c>
      <c r="G221" s="12" t="s">
        <v>246</v>
      </c>
      <c r="H221" s="10" t="s">
        <v>247</v>
      </c>
      <c r="I221" s="16" t="s">
        <v>45</v>
      </c>
      <c r="J221" s="16" t="s">
        <v>45</v>
      </c>
      <c r="K221" s="16" t="s">
        <v>45</v>
      </c>
      <c r="L221" s="16" t="s">
        <v>45</v>
      </c>
      <c r="M221" s="10" t="s">
        <v>49</v>
      </c>
      <c r="N221" s="16" t="s">
        <v>45</v>
      </c>
      <c r="O221" s="10" t="s">
        <v>50</v>
      </c>
      <c r="P221" s="9" t="str">
        <f t="shared" si="1"/>
        <v>N/I</v>
      </c>
      <c r="Q221" s="9" t="str">
        <f t="shared" si="2"/>
        <v>N/I</v>
      </c>
      <c r="R221" s="9" t="str">
        <f t="shared" si="3"/>
        <v>N/I</v>
      </c>
    </row>
    <row r="222">
      <c r="A222" s="11" t="s">
        <v>415</v>
      </c>
      <c r="B222" s="11" t="s">
        <v>416</v>
      </c>
      <c r="C222" s="12" t="s">
        <v>94</v>
      </c>
      <c r="D222" s="34" t="s">
        <v>423</v>
      </c>
      <c r="E222" s="16" t="s">
        <v>45</v>
      </c>
      <c r="F222" s="12" t="s">
        <v>420</v>
      </c>
      <c r="G222" s="12" t="s">
        <v>246</v>
      </c>
      <c r="H222" s="10" t="s">
        <v>247</v>
      </c>
      <c r="I222" s="16" t="s">
        <v>45</v>
      </c>
      <c r="J222" s="16" t="s">
        <v>45</v>
      </c>
      <c r="K222" s="16" t="s">
        <v>45</v>
      </c>
      <c r="L222" s="16" t="s">
        <v>45</v>
      </c>
      <c r="M222" s="10" t="s">
        <v>49</v>
      </c>
      <c r="N222" s="16" t="s">
        <v>45</v>
      </c>
      <c r="O222" s="10" t="s">
        <v>50</v>
      </c>
      <c r="P222" s="9" t="str">
        <f t="shared" si="1"/>
        <v>N/I</v>
      </c>
      <c r="Q222" s="9" t="str">
        <f t="shared" si="2"/>
        <v>N/I</v>
      </c>
      <c r="R222" s="9" t="str">
        <f t="shared" si="3"/>
        <v>N/I</v>
      </c>
    </row>
    <row r="223">
      <c r="A223" s="11" t="s">
        <v>415</v>
      </c>
      <c r="B223" s="11" t="s">
        <v>416</v>
      </c>
      <c r="C223" s="12" t="s">
        <v>94</v>
      </c>
      <c r="D223" s="34" t="s">
        <v>424</v>
      </c>
      <c r="E223" s="16" t="s">
        <v>45</v>
      </c>
      <c r="F223" s="12" t="s">
        <v>420</v>
      </c>
      <c r="G223" s="12" t="s">
        <v>246</v>
      </c>
      <c r="H223" s="10" t="s">
        <v>247</v>
      </c>
      <c r="I223" s="16" t="s">
        <v>45</v>
      </c>
      <c r="J223" s="16" t="s">
        <v>45</v>
      </c>
      <c r="K223" s="16" t="s">
        <v>45</v>
      </c>
      <c r="L223" s="16" t="s">
        <v>45</v>
      </c>
      <c r="M223" s="10" t="s">
        <v>49</v>
      </c>
      <c r="N223" s="16" t="s">
        <v>45</v>
      </c>
      <c r="O223" s="10" t="s">
        <v>50</v>
      </c>
      <c r="P223" s="9" t="str">
        <f t="shared" si="1"/>
        <v>N/I</v>
      </c>
      <c r="Q223" s="9" t="str">
        <f t="shared" si="2"/>
        <v>N/I</v>
      </c>
      <c r="R223" s="9" t="str">
        <f t="shared" si="3"/>
        <v>N/I</v>
      </c>
    </row>
    <row r="224">
      <c r="A224" s="11" t="s">
        <v>415</v>
      </c>
      <c r="B224" s="11" t="s">
        <v>416</v>
      </c>
      <c r="C224" s="12" t="s">
        <v>94</v>
      </c>
      <c r="D224" s="34" t="s">
        <v>425</v>
      </c>
      <c r="E224" s="16" t="s">
        <v>45</v>
      </c>
      <c r="F224" s="12" t="s">
        <v>420</v>
      </c>
      <c r="G224" s="12" t="s">
        <v>246</v>
      </c>
      <c r="H224" s="10" t="s">
        <v>247</v>
      </c>
      <c r="I224" s="16" t="s">
        <v>45</v>
      </c>
      <c r="J224" s="16" t="s">
        <v>45</v>
      </c>
      <c r="K224" s="16" t="s">
        <v>45</v>
      </c>
      <c r="L224" s="16" t="s">
        <v>45</v>
      </c>
      <c r="M224" s="10" t="s">
        <v>49</v>
      </c>
      <c r="N224" s="16" t="s">
        <v>45</v>
      </c>
      <c r="O224" s="10" t="s">
        <v>50</v>
      </c>
      <c r="P224" s="9" t="str">
        <f t="shared" si="1"/>
        <v>N/I</v>
      </c>
      <c r="Q224" s="9" t="str">
        <f t="shared" si="2"/>
        <v>N/I</v>
      </c>
      <c r="R224" s="9" t="str">
        <f t="shared" si="3"/>
        <v>N/I</v>
      </c>
    </row>
    <row r="225">
      <c r="A225" s="11" t="s">
        <v>415</v>
      </c>
      <c r="B225" s="11" t="s">
        <v>416</v>
      </c>
      <c r="C225" s="12" t="s">
        <v>94</v>
      </c>
      <c r="D225" s="34" t="s">
        <v>426</v>
      </c>
      <c r="E225" s="16" t="s">
        <v>45</v>
      </c>
      <c r="F225" s="12" t="s">
        <v>420</v>
      </c>
      <c r="G225" s="12" t="s">
        <v>246</v>
      </c>
      <c r="H225" s="10" t="s">
        <v>247</v>
      </c>
      <c r="I225" s="16" t="s">
        <v>45</v>
      </c>
      <c r="J225" s="16" t="s">
        <v>45</v>
      </c>
      <c r="K225" s="16" t="s">
        <v>45</v>
      </c>
      <c r="L225" s="16" t="s">
        <v>45</v>
      </c>
      <c r="M225" s="10" t="s">
        <v>49</v>
      </c>
      <c r="N225" s="16" t="s">
        <v>45</v>
      </c>
      <c r="O225" s="10" t="s">
        <v>50</v>
      </c>
      <c r="P225" s="9" t="str">
        <f t="shared" si="1"/>
        <v>N/I</v>
      </c>
      <c r="Q225" s="9" t="str">
        <f t="shared" si="2"/>
        <v>N/I</v>
      </c>
      <c r="R225" s="9" t="str">
        <f t="shared" si="3"/>
        <v>N/I</v>
      </c>
    </row>
    <row r="226">
      <c r="A226" s="11" t="s">
        <v>415</v>
      </c>
      <c r="B226" s="11" t="s">
        <v>416</v>
      </c>
      <c r="C226" s="12" t="s">
        <v>94</v>
      </c>
      <c r="D226" s="34" t="s">
        <v>427</v>
      </c>
      <c r="E226" s="16" t="s">
        <v>45</v>
      </c>
      <c r="F226" s="12" t="s">
        <v>420</v>
      </c>
      <c r="G226" s="12" t="s">
        <v>246</v>
      </c>
      <c r="H226" s="10" t="s">
        <v>247</v>
      </c>
      <c r="I226" s="16" t="s">
        <v>45</v>
      </c>
      <c r="J226" s="16" t="s">
        <v>45</v>
      </c>
      <c r="K226" s="16" t="s">
        <v>45</v>
      </c>
      <c r="L226" s="16" t="s">
        <v>45</v>
      </c>
      <c r="M226" s="10" t="s">
        <v>49</v>
      </c>
      <c r="N226" s="16" t="s">
        <v>45</v>
      </c>
      <c r="O226" s="10" t="s">
        <v>50</v>
      </c>
      <c r="P226" s="9" t="str">
        <f t="shared" si="1"/>
        <v>N/I</v>
      </c>
      <c r="Q226" s="9" t="str">
        <f t="shared" si="2"/>
        <v>N/I</v>
      </c>
      <c r="R226" s="9" t="str">
        <f t="shared" si="3"/>
        <v>N/I</v>
      </c>
    </row>
    <row r="227">
      <c r="A227" s="11" t="s">
        <v>415</v>
      </c>
      <c r="B227" s="11" t="s">
        <v>416</v>
      </c>
      <c r="C227" s="12" t="s">
        <v>94</v>
      </c>
      <c r="D227" s="34" t="s">
        <v>428</v>
      </c>
      <c r="E227" s="16" t="s">
        <v>45</v>
      </c>
      <c r="F227" s="12" t="s">
        <v>420</v>
      </c>
      <c r="G227" s="12" t="s">
        <v>246</v>
      </c>
      <c r="H227" s="10" t="s">
        <v>247</v>
      </c>
      <c r="I227" s="16" t="s">
        <v>45</v>
      </c>
      <c r="J227" s="16" t="s">
        <v>45</v>
      </c>
      <c r="K227" s="16" t="s">
        <v>45</v>
      </c>
      <c r="L227" s="16" t="s">
        <v>45</v>
      </c>
      <c r="M227" s="10" t="s">
        <v>49</v>
      </c>
      <c r="N227" s="16" t="s">
        <v>45</v>
      </c>
      <c r="O227" s="10" t="s">
        <v>50</v>
      </c>
      <c r="P227" s="9" t="str">
        <f t="shared" si="1"/>
        <v>N/I</v>
      </c>
      <c r="Q227" s="9" t="str">
        <f t="shared" si="2"/>
        <v>N/I</v>
      </c>
      <c r="R227" s="9" t="str">
        <f t="shared" si="3"/>
        <v>N/I</v>
      </c>
    </row>
    <row r="228">
      <c r="A228" s="11" t="s">
        <v>415</v>
      </c>
      <c r="B228" s="11" t="s">
        <v>416</v>
      </c>
      <c r="C228" s="12" t="s">
        <v>94</v>
      </c>
      <c r="D228" s="34" t="s">
        <v>429</v>
      </c>
      <c r="E228" s="16" t="s">
        <v>45</v>
      </c>
      <c r="F228" s="12" t="s">
        <v>420</v>
      </c>
      <c r="G228" s="12" t="s">
        <v>246</v>
      </c>
      <c r="H228" s="10" t="s">
        <v>247</v>
      </c>
      <c r="I228" s="16" t="s">
        <v>45</v>
      </c>
      <c r="J228" s="16" t="s">
        <v>45</v>
      </c>
      <c r="K228" s="16" t="s">
        <v>45</v>
      </c>
      <c r="L228" s="16" t="s">
        <v>45</v>
      </c>
      <c r="M228" s="10" t="s">
        <v>49</v>
      </c>
      <c r="N228" s="16" t="s">
        <v>45</v>
      </c>
      <c r="O228" s="10" t="s">
        <v>50</v>
      </c>
      <c r="P228" s="9" t="str">
        <f t="shared" si="1"/>
        <v>N/I</v>
      </c>
      <c r="Q228" s="9" t="str">
        <f t="shared" si="2"/>
        <v>N/I</v>
      </c>
      <c r="R228" s="9" t="str">
        <f t="shared" si="3"/>
        <v>N/I</v>
      </c>
    </row>
    <row r="229">
      <c r="A229" s="11" t="s">
        <v>415</v>
      </c>
      <c r="B229" s="11" t="s">
        <v>416</v>
      </c>
      <c r="C229" s="12" t="s">
        <v>94</v>
      </c>
      <c r="D229" s="34" t="s">
        <v>430</v>
      </c>
      <c r="E229" s="16" t="s">
        <v>45</v>
      </c>
      <c r="F229" s="12" t="s">
        <v>420</v>
      </c>
      <c r="G229" s="12" t="s">
        <v>246</v>
      </c>
      <c r="H229" s="10" t="s">
        <v>247</v>
      </c>
      <c r="I229" s="16" t="s">
        <v>45</v>
      </c>
      <c r="J229" s="16" t="s">
        <v>45</v>
      </c>
      <c r="K229" s="16" t="s">
        <v>45</v>
      </c>
      <c r="L229" s="16" t="s">
        <v>45</v>
      </c>
      <c r="M229" s="10" t="s">
        <v>49</v>
      </c>
      <c r="N229" s="16" t="s">
        <v>45</v>
      </c>
      <c r="O229" s="10" t="s">
        <v>50</v>
      </c>
      <c r="P229" s="9" t="str">
        <f t="shared" si="1"/>
        <v>N/I</v>
      </c>
      <c r="Q229" s="9" t="str">
        <f t="shared" si="2"/>
        <v>N/I</v>
      </c>
      <c r="R229" s="9" t="str">
        <f t="shared" si="3"/>
        <v>N/I</v>
      </c>
    </row>
    <row r="230">
      <c r="A230" s="11" t="s">
        <v>415</v>
      </c>
      <c r="B230" s="11" t="s">
        <v>416</v>
      </c>
      <c r="C230" s="12" t="s">
        <v>94</v>
      </c>
      <c r="D230" s="34" t="s">
        <v>431</v>
      </c>
      <c r="E230" s="16" t="s">
        <v>45</v>
      </c>
      <c r="F230" s="12" t="s">
        <v>420</v>
      </c>
      <c r="G230" s="12" t="s">
        <v>246</v>
      </c>
      <c r="H230" s="10" t="s">
        <v>247</v>
      </c>
      <c r="I230" s="16" t="s">
        <v>45</v>
      </c>
      <c r="J230" s="16" t="s">
        <v>45</v>
      </c>
      <c r="K230" s="16" t="s">
        <v>45</v>
      </c>
      <c r="L230" s="16" t="s">
        <v>45</v>
      </c>
      <c r="M230" s="10" t="s">
        <v>49</v>
      </c>
      <c r="N230" s="16" t="s">
        <v>45</v>
      </c>
      <c r="O230" s="10" t="s">
        <v>50</v>
      </c>
      <c r="P230" s="9" t="str">
        <f t="shared" si="1"/>
        <v>N/I</v>
      </c>
      <c r="Q230" s="9" t="str">
        <f t="shared" si="2"/>
        <v>N/I</v>
      </c>
      <c r="R230" s="9" t="str">
        <f t="shared" si="3"/>
        <v>N/I</v>
      </c>
    </row>
    <row r="231">
      <c r="A231" s="11" t="s">
        <v>415</v>
      </c>
      <c r="B231" s="11" t="s">
        <v>416</v>
      </c>
      <c r="C231" s="12" t="s">
        <v>94</v>
      </c>
      <c r="D231" s="34" t="s">
        <v>432</v>
      </c>
      <c r="E231" s="16" t="s">
        <v>45</v>
      </c>
      <c r="F231" s="12" t="s">
        <v>420</v>
      </c>
      <c r="G231" s="12" t="s">
        <v>246</v>
      </c>
      <c r="H231" s="10" t="s">
        <v>247</v>
      </c>
      <c r="I231" s="16" t="s">
        <v>45</v>
      </c>
      <c r="J231" s="16" t="s">
        <v>45</v>
      </c>
      <c r="K231" s="16" t="s">
        <v>45</v>
      </c>
      <c r="L231" s="16" t="s">
        <v>45</v>
      </c>
      <c r="M231" s="10" t="s">
        <v>49</v>
      </c>
      <c r="N231" s="16" t="s">
        <v>45</v>
      </c>
      <c r="O231" s="10" t="s">
        <v>50</v>
      </c>
      <c r="P231" s="9" t="str">
        <f t="shared" si="1"/>
        <v>N/I</v>
      </c>
      <c r="Q231" s="9" t="str">
        <f t="shared" si="2"/>
        <v>N/I</v>
      </c>
      <c r="R231" s="9" t="str">
        <f t="shared" si="3"/>
        <v>N/I</v>
      </c>
    </row>
    <row r="232">
      <c r="A232" s="11" t="s">
        <v>415</v>
      </c>
      <c r="B232" s="11" t="s">
        <v>416</v>
      </c>
      <c r="C232" s="12" t="s">
        <v>94</v>
      </c>
      <c r="D232" s="34" t="s">
        <v>433</v>
      </c>
      <c r="E232" s="16" t="s">
        <v>45</v>
      </c>
      <c r="F232" s="12" t="s">
        <v>420</v>
      </c>
      <c r="G232" s="12" t="s">
        <v>246</v>
      </c>
      <c r="H232" s="10" t="s">
        <v>247</v>
      </c>
      <c r="I232" s="16" t="s">
        <v>45</v>
      </c>
      <c r="J232" s="16" t="s">
        <v>45</v>
      </c>
      <c r="K232" s="16" t="s">
        <v>45</v>
      </c>
      <c r="L232" s="16" t="s">
        <v>45</v>
      </c>
      <c r="M232" s="10" t="s">
        <v>49</v>
      </c>
      <c r="N232" s="16" t="s">
        <v>45</v>
      </c>
      <c r="O232" s="10" t="s">
        <v>50</v>
      </c>
      <c r="P232" s="9" t="str">
        <f t="shared" si="1"/>
        <v>N/I</v>
      </c>
      <c r="Q232" s="9" t="str">
        <f t="shared" si="2"/>
        <v>N/I</v>
      </c>
      <c r="R232" s="9" t="str">
        <f t="shared" si="3"/>
        <v>N/I</v>
      </c>
    </row>
    <row r="233">
      <c r="A233" s="11" t="s">
        <v>415</v>
      </c>
      <c r="B233" s="11" t="s">
        <v>416</v>
      </c>
      <c r="C233" s="12" t="s">
        <v>94</v>
      </c>
      <c r="D233" s="34" t="s">
        <v>434</v>
      </c>
      <c r="E233" s="16" t="s">
        <v>45</v>
      </c>
      <c r="F233" s="12" t="s">
        <v>420</v>
      </c>
      <c r="G233" s="12" t="s">
        <v>246</v>
      </c>
      <c r="H233" s="10" t="s">
        <v>247</v>
      </c>
      <c r="I233" s="16" t="s">
        <v>45</v>
      </c>
      <c r="J233" s="16" t="s">
        <v>45</v>
      </c>
      <c r="K233" s="16" t="s">
        <v>45</v>
      </c>
      <c r="L233" s="16" t="s">
        <v>45</v>
      </c>
      <c r="M233" s="10" t="s">
        <v>49</v>
      </c>
      <c r="N233" s="16" t="s">
        <v>45</v>
      </c>
      <c r="O233" s="10" t="s">
        <v>50</v>
      </c>
      <c r="P233" s="9" t="str">
        <f t="shared" si="1"/>
        <v>N/I</v>
      </c>
      <c r="Q233" s="9" t="str">
        <f t="shared" si="2"/>
        <v>N/I</v>
      </c>
      <c r="R233" s="9" t="str">
        <f t="shared" si="3"/>
        <v>N/I</v>
      </c>
    </row>
    <row r="234">
      <c r="A234" s="11" t="s">
        <v>415</v>
      </c>
      <c r="B234" s="11" t="s">
        <v>435</v>
      </c>
      <c r="C234" s="12" t="s">
        <v>94</v>
      </c>
      <c r="D234" s="13" t="s">
        <v>436</v>
      </c>
      <c r="E234" s="10" t="s">
        <v>442</v>
      </c>
      <c r="F234" s="10" t="s">
        <v>439</v>
      </c>
      <c r="G234" s="12" t="s">
        <v>246</v>
      </c>
      <c r="H234" s="10" t="s">
        <v>247</v>
      </c>
      <c r="I234" s="10" t="s">
        <v>440</v>
      </c>
      <c r="J234" s="12" t="s">
        <v>46</v>
      </c>
      <c r="K234" s="10" t="s">
        <v>441</v>
      </c>
      <c r="L234" s="16" t="s">
        <v>45</v>
      </c>
      <c r="M234" s="10" t="s">
        <v>49</v>
      </c>
      <c r="N234" s="16" t="s">
        <v>45</v>
      </c>
      <c r="O234" s="10" t="s">
        <v>50</v>
      </c>
      <c r="P234" s="9" t="str">
        <f t="shared" si="1"/>
        <v>N/I</v>
      </c>
      <c r="Q234" s="9" t="str">
        <f t="shared" si="2"/>
        <v>N/I</v>
      </c>
      <c r="R234" s="9" t="str">
        <f t="shared" si="3"/>
        <v>N/I</v>
      </c>
    </row>
    <row r="235">
      <c r="A235" s="11" t="s">
        <v>415</v>
      </c>
      <c r="B235" s="11" t="s">
        <v>443</v>
      </c>
      <c r="C235" s="12" t="s">
        <v>94</v>
      </c>
      <c r="D235" s="13" t="s">
        <v>444</v>
      </c>
      <c r="E235" s="10" t="s">
        <v>442</v>
      </c>
      <c r="F235" s="10" t="s">
        <v>439</v>
      </c>
      <c r="G235" s="12" t="s">
        <v>246</v>
      </c>
      <c r="H235" s="10" t="s">
        <v>247</v>
      </c>
      <c r="I235" s="10" t="s">
        <v>440</v>
      </c>
      <c r="J235" s="12" t="s">
        <v>46</v>
      </c>
      <c r="K235" s="10" t="s">
        <v>441</v>
      </c>
      <c r="L235" s="16" t="s">
        <v>45</v>
      </c>
      <c r="M235" s="10" t="s">
        <v>49</v>
      </c>
      <c r="N235" s="16" t="s">
        <v>45</v>
      </c>
      <c r="O235" s="10" t="s">
        <v>50</v>
      </c>
      <c r="P235" s="9" t="str">
        <f t="shared" si="1"/>
        <v>N/I</v>
      </c>
      <c r="Q235" s="9" t="str">
        <f t="shared" si="2"/>
        <v>N/I</v>
      </c>
      <c r="R235" s="9" t="str">
        <f t="shared" si="3"/>
        <v>N/I</v>
      </c>
    </row>
    <row r="236">
      <c r="A236" s="11" t="s">
        <v>446</v>
      </c>
      <c r="B236" s="11" t="s">
        <v>447</v>
      </c>
      <c r="C236" s="12" t="s">
        <v>448</v>
      </c>
      <c r="D236" s="27">
        <v>170108.0</v>
      </c>
      <c r="E236" s="16" t="s">
        <v>45</v>
      </c>
      <c r="F236" s="10" t="s">
        <v>451</v>
      </c>
      <c r="G236" s="12" t="s">
        <v>380</v>
      </c>
      <c r="H236" s="10" t="s">
        <v>197</v>
      </c>
      <c r="I236" s="16" t="s">
        <v>45</v>
      </c>
      <c r="J236" s="16" t="s">
        <v>45</v>
      </c>
      <c r="K236" s="16" t="s">
        <v>45</v>
      </c>
      <c r="L236" s="16" t="s">
        <v>45</v>
      </c>
      <c r="M236" s="16" t="s">
        <v>45</v>
      </c>
      <c r="N236" s="16" t="s">
        <v>45</v>
      </c>
      <c r="O236" s="16" t="s">
        <v>45</v>
      </c>
      <c r="P236" s="9" t="str">
        <f t="shared" si="1"/>
        <v>N/I</v>
      </c>
      <c r="Q236" s="9" t="str">
        <f t="shared" si="2"/>
        <v>N/I</v>
      </c>
      <c r="R236" s="9" t="str">
        <f t="shared" si="3"/>
        <v>N/I</v>
      </c>
    </row>
    <row r="237">
      <c r="A237" s="11" t="s">
        <v>453</v>
      </c>
      <c r="B237" s="11"/>
      <c r="C237" s="12" t="s">
        <v>94</v>
      </c>
      <c r="D237" s="34" t="s">
        <v>454</v>
      </c>
      <c r="E237" s="16" t="s">
        <v>45</v>
      </c>
      <c r="F237" s="10" t="s">
        <v>457</v>
      </c>
      <c r="G237" s="12" t="s">
        <v>213</v>
      </c>
      <c r="H237" s="10" t="s">
        <v>208</v>
      </c>
      <c r="I237" s="16" t="s">
        <v>45</v>
      </c>
      <c r="J237" s="16" t="s">
        <v>45</v>
      </c>
      <c r="K237" s="16" t="s">
        <v>45</v>
      </c>
      <c r="L237" s="16" t="s">
        <v>45</v>
      </c>
      <c r="M237" s="10" t="s">
        <v>49</v>
      </c>
      <c r="N237" s="16" t="s">
        <v>45</v>
      </c>
      <c r="O237" s="16" t="s">
        <v>45</v>
      </c>
      <c r="P237" s="9" t="str">
        <f t="shared" si="1"/>
        <v>N/I</v>
      </c>
      <c r="Q237" s="9" t="str">
        <f t="shared" si="2"/>
        <v>N/I</v>
      </c>
      <c r="R237" s="9" t="str">
        <f t="shared" si="3"/>
        <v>N/I</v>
      </c>
    </row>
    <row r="238">
      <c r="A238" s="11" t="s">
        <v>460</v>
      </c>
      <c r="B238" s="11" t="s">
        <v>461</v>
      </c>
      <c r="C238" s="12" t="s">
        <v>52</v>
      </c>
      <c r="D238" s="34" t="s">
        <v>462</v>
      </c>
      <c r="E238" s="10" t="s">
        <v>227</v>
      </c>
      <c r="F238" s="10" t="s">
        <v>466</v>
      </c>
      <c r="G238" s="12" t="s">
        <v>463</v>
      </c>
      <c r="H238" s="10" t="s">
        <v>222</v>
      </c>
      <c r="I238" s="16" t="s">
        <v>45</v>
      </c>
      <c r="J238" s="12" t="s">
        <v>46</v>
      </c>
      <c r="K238" s="10" t="s">
        <v>441</v>
      </c>
      <c r="L238" s="16" t="s">
        <v>45</v>
      </c>
      <c r="M238" s="10" t="s">
        <v>49</v>
      </c>
      <c r="N238" s="16" t="s">
        <v>45</v>
      </c>
      <c r="O238" s="10" t="s">
        <v>50</v>
      </c>
      <c r="P238" s="9" t="str">
        <f t="shared" si="1"/>
        <v>N/I</v>
      </c>
      <c r="Q238" s="9" t="str">
        <f t="shared" si="2"/>
        <v>N/I</v>
      </c>
      <c r="R238" s="9" t="str">
        <f t="shared" si="3"/>
        <v>N/I</v>
      </c>
    </row>
    <row r="239">
      <c r="A239" s="11" t="s">
        <v>460</v>
      </c>
      <c r="B239" s="11" t="s">
        <v>461</v>
      </c>
      <c r="C239" s="12" t="s">
        <v>52</v>
      </c>
      <c r="D239" s="34" t="s">
        <v>467</v>
      </c>
      <c r="E239" s="10" t="s">
        <v>227</v>
      </c>
      <c r="F239" s="10" t="s">
        <v>466</v>
      </c>
      <c r="G239" s="12" t="s">
        <v>463</v>
      </c>
      <c r="H239" s="10" t="s">
        <v>222</v>
      </c>
      <c r="I239" s="16" t="s">
        <v>45</v>
      </c>
      <c r="J239" s="12" t="s">
        <v>46</v>
      </c>
      <c r="K239" s="10" t="s">
        <v>441</v>
      </c>
      <c r="L239" s="16" t="s">
        <v>45</v>
      </c>
      <c r="M239" s="10" t="s">
        <v>49</v>
      </c>
      <c r="N239" s="16" t="s">
        <v>45</v>
      </c>
      <c r="O239" s="10" t="s">
        <v>50</v>
      </c>
      <c r="P239" s="9" t="str">
        <f t="shared" si="1"/>
        <v>N/I</v>
      </c>
      <c r="Q239" s="9" t="str">
        <f t="shared" si="2"/>
        <v>N/I</v>
      </c>
      <c r="R239" s="9" t="str">
        <f t="shared" si="3"/>
        <v>N/I</v>
      </c>
    </row>
    <row r="240">
      <c r="A240" s="11" t="s">
        <v>460</v>
      </c>
      <c r="B240" s="11" t="s">
        <v>461</v>
      </c>
      <c r="C240" s="12" t="s">
        <v>52</v>
      </c>
      <c r="D240" s="34" t="s">
        <v>469</v>
      </c>
      <c r="E240" s="10" t="s">
        <v>227</v>
      </c>
      <c r="F240" s="10" t="s">
        <v>466</v>
      </c>
      <c r="G240" s="12" t="s">
        <v>463</v>
      </c>
      <c r="H240" s="10" t="s">
        <v>222</v>
      </c>
      <c r="I240" s="16" t="s">
        <v>45</v>
      </c>
      <c r="J240" s="12" t="s">
        <v>46</v>
      </c>
      <c r="K240" s="10" t="s">
        <v>441</v>
      </c>
      <c r="L240" s="16" t="s">
        <v>45</v>
      </c>
      <c r="M240" s="10" t="s">
        <v>49</v>
      </c>
      <c r="N240" s="16" t="s">
        <v>45</v>
      </c>
      <c r="O240" s="10" t="s">
        <v>50</v>
      </c>
      <c r="P240" s="9" t="str">
        <f t="shared" si="1"/>
        <v>N/I</v>
      </c>
      <c r="Q240" s="9" t="str">
        <f t="shared" si="2"/>
        <v>N/I</v>
      </c>
      <c r="R240" s="9" t="str">
        <f t="shared" si="3"/>
        <v>N/I</v>
      </c>
    </row>
    <row r="241">
      <c r="A241" s="11" t="s">
        <v>460</v>
      </c>
      <c r="B241" s="11" t="s">
        <v>461</v>
      </c>
      <c r="C241" s="12" t="s">
        <v>52</v>
      </c>
      <c r="D241" s="34" t="s">
        <v>470</v>
      </c>
      <c r="E241" s="10" t="s">
        <v>227</v>
      </c>
      <c r="F241" s="10" t="s">
        <v>466</v>
      </c>
      <c r="G241" s="12" t="s">
        <v>463</v>
      </c>
      <c r="H241" s="10" t="s">
        <v>222</v>
      </c>
      <c r="I241" s="16" t="s">
        <v>45</v>
      </c>
      <c r="J241" s="12" t="s">
        <v>46</v>
      </c>
      <c r="K241" s="10" t="s">
        <v>441</v>
      </c>
      <c r="L241" s="16" t="s">
        <v>45</v>
      </c>
      <c r="M241" s="10" t="s">
        <v>49</v>
      </c>
      <c r="N241" s="16" t="s">
        <v>45</v>
      </c>
      <c r="O241" s="10" t="s">
        <v>50</v>
      </c>
      <c r="P241" s="9" t="str">
        <f t="shared" si="1"/>
        <v>N/I</v>
      </c>
      <c r="Q241" s="9" t="str">
        <f t="shared" si="2"/>
        <v>N/I</v>
      </c>
      <c r="R241" s="9" t="str">
        <f t="shared" si="3"/>
        <v>N/I</v>
      </c>
    </row>
    <row r="242">
      <c r="A242" s="11" t="s">
        <v>460</v>
      </c>
      <c r="B242" s="11" t="s">
        <v>461</v>
      </c>
      <c r="C242" s="12" t="s">
        <v>52</v>
      </c>
      <c r="D242" s="34" t="s">
        <v>471</v>
      </c>
      <c r="E242" s="10" t="s">
        <v>227</v>
      </c>
      <c r="F242" s="10" t="s">
        <v>466</v>
      </c>
      <c r="G242" s="12" t="s">
        <v>463</v>
      </c>
      <c r="H242" s="10" t="s">
        <v>222</v>
      </c>
      <c r="I242" s="16" t="s">
        <v>45</v>
      </c>
      <c r="J242" s="12" t="s">
        <v>46</v>
      </c>
      <c r="K242" s="10" t="s">
        <v>441</v>
      </c>
      <c r="L242" s="16" t="s">
        <v>45</v>
      </c>
      <c r="M242" s="10" t="s">
        <v>49</v>
      </c>
      <c r="N242" s="16" t="s">
        <v>45</v>
      </c>
      <c r="O242" s="10" t="s">
        <v>50</v>
      </c>
      <c r="P242" s="9" t="str">
        <f t="shared" si="1"/>
        <v>N/I</v>
      </c>
      <c r="Q242" s="9" t="str">
        <f t="shared" si="2"/>
        <v>N/I</v>
      </c>
      <c r="R242" s="9" t="str">
        <f t="shared" si="3"/>
        <v>N/I</v>
      </c>
    </row>
    <row r="243">
      <c r="A243" s="11" t="s">
        <v>460</v>
      </c>
      <c r="B243" s="11" t="s">
        <v>461</v>
      </c>
      <c r="C243" s="12" t="s">
        <v>52</v>
      </c>
      <c r="D243" s="34" t="s">
        <v>473</v>
      </c>
      <c r="E243" s="10" t="s">
        <v>227</v>
      </c>
      <c r="F243" s="10" t="s">
        <v>466</v>
      </c>
      <c r="G243" s="12" t="s">
        <v>463</v>
      </c>
      <c r="H243" s="10" t="s">
        <v>222</v>
      </c>
      <c r="I243" s="16" t="s">
        <v>45</v>
      </c>
      <c r="J243" s="12" t="s">
        <v>46</v>
      </c>
      <c r="K243" s="10" t="s">
        <v>441</v>
      </c>
      <c r="L243" s="16" t="s">
        <v>45</v>
      </c>
      <c r="M243" s="10" t="s">
        <v>49</v>
      </c>
      <c r="N243" s="16" t="s">
        <v>45</v>
      </c>
      <c r="O243" s="10" t="s">
        <v>50</v>
      </c>
      <c r="P243" s="9" t="str">
        <f t="shared" si="1"/>
        <v>N/I</v>
      </c>
      <c r="Q243" s="9" t="str">
        <f t="shared" si="2"/>
        <v>N/I</v>
      </c>
      <c r="R243" s="9" t="str">
        <f t="shared" si="3"/>
        <v>N/I</v>
      </c>
    </row>
    <row r="244">
      <c r="A244" s="11" t="s">
        <v>460</v>
      </c>
      <c r="B244" s="11" t="s">
        <v>461</v>
      </c>
      <c r="C244" s="12" t="s">
        <v>52</v>
      </c>
      <c r="D244" s="34" t="s">
        <v>474</v>
      </c>
      <c r="E244" s="10" t="s">
        <v>227</v>
      </c>
      <c r="F244" s="10" t="s">
        <v>466</v>
      </c>
      <c r="G244" s="12" t="s">
        <v>463</v>
      </c>
      <c r="H244" s="10" t="s">
        <v>222</v>
      </c>
      <c r="I244" s="16" t="s">
        <v>45</v>
      </c>
      <c r="J244" s="12" t="s">
        <v>46</v>
      </c>
      <c r="K244" s="10" t="s">
        <v>441</v>
      </c>
      <c r="L244" s="16" t="s">
        <v>45</v>
      </c>
      <c r="M244" s="10" t="s">
        <v>49</v>
      </c>
      <c r="N244" s="16" t="s">
        <v>45</v>
      </c>
      <c r="O244" s="10" t="s">
        <v>50</v>
      </c>
      <c r="P244" s="9" t="str">
        <f t="shared" si="1"/>
        <v>N/I</v>
      </c>
      <c r="Q244" s="9" t="str">
        <f t="shared" si="2"/>
        <v>N/I</v>
      </c>
      <c r="R244" s="9" t="str">
        <f t="shared" si="3"/>
        <v>N/I</v>
      </c>
    </row>
    <row r="245">
      <c r="A245" s="11" t="s">
        <v>460</v>
      </c>
      <c r="B245" s="11" t="s">
        <v>461</v>
      </c>
      <c r="C245" s="12" t="s">
        <v>52</v>
      </c>
      <c r="D245" s="34" t="s">
        <v>475</v>
      </c>
      <c r="E245" s="10" t="s">
        <v>227</v>
      </c>
      <c r="F245" s="10" t="s">
        <v>466</v>
      </c>
      <c r="G245" s="12" t="s">
        <v>463</v>
      </c>
      <c r="H245" s="10" t="s">
        <v>222</v>
      </c>
      <c r="I245" s="16" t="s">
        <v>45</v>
      </c>
      <c r="J245" s="12" t="s">
        <v>46</v>
      </c>
      <c r="K245" s="10" t="s">
        <v>441</v>
      </c>
      <c r="L245" s="16" t="s">
        <v>45</v>
      </c>
      <c r="M245" s="10" t="s">
        <v>49</v>
      </c>
      <c r="N245" s="16" t="s">
        <v>45</v>
      </c>
      <c r="O245" s="10" t="s">
        <v>50</v>
      </c>
      <c r="P245" s="9" t="str">
        <f t="shared" si="1"/>
        <v>N/I</v>
      </c>
      <c r="Q245" s="9" t="str">
        <f t="shared" si="2"/>
        <v>N/I</v>
      </c>
      <c r="R245" s="9" t="str">
        <f t="shared" si="3"/>
        <v>N/I</v>
      </c>
    </row>
    <row r="246">
      <c r="A246" s="11" t="s">
        <v>460</v>
      </c>
      <c r="B246" s="11" t="s">
        <v>461</v>
      </c>
      <c r="C246" s="12" t="s">
        <v>79</v>
      </c>
      <c r="D246" s="36" t="s">
        <v>476</v>
      </c>
      <c r="E246" s="16" t="s">
        <v>45</v>
      </c>
      <c r="F246" s="30" t="s">
        <v>478</v>
      </c>
      <c r="G246" s="37" t="s">
        <v>463</v>
      </c>
      <c r="H246" s="30" t="s">
        <v>222</v>
      </c>
      <c r="I246" s="16" t="s">
        <v>45</v>
      </c>
      <c r="J246" s="16" t="s">
        <v>45</v>
      </c>
      <c r="K246" s="16" t="s">
        <v>45</v>
      </c>
      <c r="L246" s="16" t="s">
        <v>45</v>
      </c>
      <c r="M246" s="10" t="s">
        <v>49</v>
      </c>
      <c r="N246" s="16" t="s">
        <v>45</v>
      </c>
      <c r="O246" s="10" t="s">
        <v>50</v>
      </c>
      <c r="P246" s="9" t="str">
        <f t="shared" si="1"/>
        <v>N/I</v>
      </c>
      <c r="Q246" s="9" t="str">
        <f t="shared" si="2"/>
        <v>N/I</v>
      </c>
      <c r="R246" s="9" t="str">
        <f t="shared" si="3"/>
        <v>N/I</v>
      </c>
    </row>
    <row r="247">
      <c r="A247" s="11" t="s">
        <v>460</v>
      </c>
      <c r="B247" s="11" t="s">
        <v>461</v>
      </c>
      <c r="C247" s="12" t="s">
        <v>52</v>
      </c>
      <c r="D247" s="33" t="s">
        <v>480</v>
      </c>
      <c r="E247" s="16" t="s">
        <v>45</v>
      </c>
      <c r="F247" s="10" t="s">
        <v>481</v>
      </c>
      <c r="G247" s="12" t="s">
        <v>463</v>
      </c>
      <c r="H247" s="10" t="s">
        <v>222</v>
      </c>
      <c r="I247" s="16" t="s">
        <v>45</v>
      </c>
      <c r="J247" s="16" t="s">
        <v>45</v>
      </c>
      <c r="K247" s="16" t="s">
        <v>45</v>
      </c>
      <c r="L247" s="16" t="s">
        <v>45</v>
      </c>
      <c r="M247" s="16" t="s">
        <v>45</v>
      </c>
      <c r="N247" s="16" t="s">
        <v>45</v>
      </c>
      <c r="O247" s="16" t="s">
        <v>45</v>
      </c>
      <c r="P247" s="9" t="str">
        <f t="shared" si="1"/>
        <v>N/I</v>
      </c>
      <c r="Q247" s="9" t="str">
        <f t="shared" si="2"/>
        <v>N/I</v>
      </c>
      <c r="R247" s="9" t="str">
        <f t="shared" si="3"/>
        <v>N/I</v>
      </c>
    </row>
    <row r="248">
      <c r="A248" s="11" t="s">
        <v>460</v>
      </c>
      <c r="B248" s="11" t="s">
        <v>461</v>
      </c>
      <c r="C248" s="12" t="s">
        <v>52</v>
      </c>
      <c r="D248" s="33" t="s">
        <v>482</v>
      </c>
      <c r="E248" s="16" t="s">
        <v>45</v>
      </c>
      <c r="F248" s="10" t="s">
        <v>481</v>
      </c>
      <c r="G248" s="12" t="s">
        <v>463</v>
      </c>
      <c r="H248" s="10" t="s">
        <v>222</v>
      </c>
      <c r="I248" s="16" t="s">
        <v>45</v>
      </c>
      <c r="J248" s="16" t="s">
        <v>45</v>
      </c>
      <c r="K248" s="16" t="s">
        <v>45</v>
      </c>
      <c r="L248" s="16" t="s">
        <v>45</v>
      </c>
      <c r="M248" s="16" t="s">
        <v>45</v>
      </c>
      <c r="N248" s="16" t="s">
        <v>45</v>
      </c>
      <c r="O248" s="16" t="s">
        <v>45</v>
      </c>
      <c r="P248" s="9" t="str">
        <f t="shared" si="1"/>
        <v>N/I</v>
      </c>
      <c r="Q248" s="9" t="str">
        <f t="shared" si="2"/>
        <v>N/I</v>
      </c>
      <c r="R248" s="9" t="str">
        <f t="shared" si="3"/>
        <v>N/I</v>
      </c>
    </row>
    <row r="249">
      <c r="A249" s="11" t="s">
        <v>460</v>
      </c>
      <c r="B249" s="11" t="s">
        <v>461</v>
      </c>
      <c r="C249" s="12" t="s">
        <v>52</v>
      </c>
      <c r="D249" s="41" t="s">
        <v>483</v>
      </c>
      <c r="E249" s="10" t="s">
        <v>356</v>
      </c>
      <c r="F249" s="10" t="s">
        <v>484</v>
      </c>
      <c r="G249" s="12" t="s">
        <v>463</v>
      </c>
      <c r="H249" s="10" t="s">
        <v>222</v>
      </c>
      <c r="I249" s="16" t="s">
        <v>45</v>
      </c>
      <c r="J249" s="12" t="s">
        <v>355</v>
      </c>
      <c r="K249" s="10" t="s">
        <v>485</v>
      </c>
      <c r="L249" s="16" t="s">
        <v>45</v>
      </c>
      <c r="M249" s="10" t="s">
        <v>49</v>
      </c>
      <c r="N249" s="16" t="s">
        <v>45</v>
      </c>
      <c r="O249" s="10" t="s">
        <v>486</v>
      </c>
      <c r="P249" s="9" t="str">
        <f t="shared" si="1"/>
        <v>N/I</v>
      </c>
      <c r="Q249" s="9" t="str">
        <f t="shared" si="2"/>
        <v>N/I</v>
      </c>
      <c r="R249" s="9" t="str">
        <f t="shared" si="3"/>
        <v>N/I</v>
      </c>
    </row>
    <row r="250">
      <c r="A250" s="11" t="s">
        <v>460</v>
      </c>
      <c r="B250" s="11" t="s">
        <v>461</v>
      </c>
      <c r="C250" s="12" t="s">
        <v>52</v>
      </c>
      <c r="D250" s="41" t="s">
        <v>487</v>
      </c>
      <c r="E250" s="10" t="s">
        <v>356</v>
      </c>
      <c r="F250" s="10" t="s">
        <v>484</v>
      </c>
      <c r="G250" s="12" t="s">
        <v>463</v>
      </c>
      <c r="H250" s="10" t="s">
        <v>222</v>
      </c>
      <c r="I250" s="16" t="s">
        <v>45</v>
      </c>
      <c r="J250" s="12" t="s">
        <v>355</v>
      </c>
      <c r="K250" s="10" t="s">
        <v>485</v>
      </c>
      <c r="L250" s="16" t="s">
        <v>45</v>
      </c>
      <c r="M250" s="10" t="s">
        <v>49</v>
      </c>
      <c r="N250" s="16" t="s">
        <v>45</v>
      </c>
      <c r="O250" s="10" t="s">
        <v>486</v>
      </c>
      <c r="P250" s="9" t="str">
        <f t="shared" si="1"/>
        <v>N/I</v>
      </c>
      <c r="Q250" s="9" t="str">
        <f t="shared" si="2"/>
        <v>N/I</v>
      </c>
      <c r="R250" s="9" t="str">
        <f t="shared" si="3"/>
        <v>N/I</v>
      </c>
    </row>
    <row r="251">
      <c r="A251" s="11" t="s">
        <v>460</v>
      </c>
      <c r="B251" s="11" t="s">
        <v>461</v>
      </c>
      <c r="C251" s="12" t="s">
        <v>52</v>
      </c>
      <c r="D251" s="41" t="s">
        <v>488</v>
      </c>
      <c r="E251" s="10" t="s">
        <v>356</v>
      </c>
      <c r="F251" s="10" t="s">
        <v>484</v>
      </c>
      <c r="G251" s="12" t="s">
        <v>463</v>
      </c>
      <c r="H251" s="10" t="s">
        <v>222</v>
      </c>
      <c r="I251" s="16" t="s">
        <v>45</v>
      </c>
      <c r="J251" s="12" t="s">
        <v>355</v>
      </c>
      <c r="K251" s="10" t="s">
        <v>485</v>
      </c>
      <c r="L251" s="16" t="s">
        <v>45</v>
      </c>
      <c r="M251" s="10" t="s">
        <v>49</v>
      </c>
      <c r="N251" s="16" t="s">
        <v>45</v>
      </c>
      <c r="O251" s="10" t="s">
        <v>486</v>
      </c>
      <c r="P251" s="9" t="str">
        <f t="shared" si="1"/>
        <v>N/I</v>
      </c>
      <c r="Q251" s="9" t="str">
        <f t="shared" si="2"/>
        <v>N/I</v>
      </c>
      <c r="R251" s="9" t="str">
        <f t="shared" si="3"/>
        <v>N/I</v>
      </c>
    </row>
    <row r="252">
      <c r="A252" s="11" t="s">
        <v>460</v>
      </c>
      <c r="B252" s="11" t="s">
        <v>461</v>
      </c>
      <c r="C252" s="12" t="s">
        <v>52</v>
      </c>
      <c r="D252" s="41" t="s">
        <v>489</v>
      </c>
      <c r="E252" s="10" t="s">
        <v>356</v>
      </c>
      <c r="F252" s="10" t="s">
        <v>484</v>
      </c>
      <c r="G252" s="12" t="s">
        <v>463</v>
      </c>
      <c r="H252" s="10" t="s">
        <v>222</v>
      </c>
      <c r="I252" s="16" t="s">
        <v>45</v>
      </c>
      <c r="J252" s="12" t="s">
        <v>355</v>
      </c>
      <c r="K252" s="10" t="s">
        <v>485</v>
      </c>
      <c r="L252" s="16" t="s">
        <v>45</v>
      </c>
      <c r="M252" s="10" t="s">
        <v>49</v>
      </c>
      <c r="N252" s="16" t="s">
        <v>45</v>
      </c>
      <c r="O252" s="10" t="s">
        <v>486</v>
      </c>
      <c r="P252" s="9" t="str">
        <f t="shared" si="1"/>
        <v>N/I</v>
      </c>
      <c r="Q252" s="9" t="str">
        <f t="shared" si="2"/>
        <v>N/I</v>
      </c>
      <c r="R252" s="9" t="str">
        <f t="shared" si="3"/>
        <v>N/I</v>
      </c>
    </row>
    <row r="253">
      <c r="A253" s="11" t="s">
        <v>460</v>
      </c>
      <c r="B253" s="11" t="s">
        <v>461</v>
      </c>
      <c r="C253" s="12" t="s">
        <v>52</v>
      </c>
      <c r="D253" s="41" t="s">
        <v>490</v>
      </c>
      <c r="E253" s="10" t="s">
        <v>356</v>
      </c>
      <c r="F253" s="10" t="s">
        <v>484</v>
      </c>
      <c r="G253" s="12" t="s">
        <v>463</v>
      </c>
      <c r="H253" s="10" t="s">
        <v>222</v>
      </c>
      <c r="I253" s="16" t="s">
        <v>45</v>
      </c>
      <c r="J253" s="12" t="s">
        <v>355</v>
      </c>
      <c r="K253" s="10" t="s">
        <v>485</v>
      </c>
      <c r="L253" s="16" t="s">
        <v>45</v>
      </c>
      <c r="M253" s="10" t="s">
        <v>49</v>
      </c>
      <c r="N253" s="16" t="s">
        <v>45</v>
      </c>
      <c r="O253" s="10" t="s">
        <v>486</v>
      </c>
      <c r="P253" s="9" t="str">
        <f t="shared" si="1"/>
        <v>N/I</v>
      </c>
      <c r="Q253" s="9" t="str">
        <f t="shared" si="2"/>
        <v>N/I</v>
      </c>
      <c r="R253" s="9" t="str">
        <f t="shared" si="3"/>
        <v>N/I</v>
      </c>
    </row>
    <row r="254">
      <c r="A254" s="11" t="s">
        <v>460</v>
      </c>
      <c r="B254" s="11" t="s">
        <v>461</v>
      </c>
      <c r="C254" s="12" t="s">
        <v>52</v>
      </c>
      <c r="D254" s="41" t="s">
        <v>491</v>
      </c>
      <c r="E254" s="10" t="s">
        <v>356</v>
      </c>
      <c r="F254" s="10" t="s">
        <v>484</v>
      </c>
      <c r="G254" s="12" t="s">
        <v>463</v>
      </c>
      <c r="H254" s="10" t="s">
        <v>222</v>
      </c>
      <c r="I254" s="16" t="s">
        <v>45</v>
      </c>
      <c r="J254" s="12" t="s">
        <v>355</v>
      </c>
      <c r="K254" s="10" t="s">
        <v>485</v>
      </c>
      <c r="L254" s="16" t="s">
        <v>45</v>
      </c>
      <c r="M254" s="10" t="s">
        <v>49</v>
      </c>
      <c r="N254" s="16" t="s">
        <v>45</v>
      </c>
      <c r="O254" s="10" t="s">
        <v>486</v>
      </c>
      <c r="P254" s="9" t="str">
        <f t="shared" si="1"/>
        <v>N/I</v>
      </c>
      <c r="Q254" s="9" t="str">
        <f t="shared" si="2"/>
        <v>N/I</v>
      </c>
      <c r="R254" s="9" t="str">
        <f t="shared" si="3"/>
        <v>N/I</v>
      </c>
    </row>
    <row r="255">
      <c r="A255" s="11" t="s">
        <v>460</v>
      </c>
      <c r="B255" s="11" t="s">
        <v>461</v>
      </c>
      <c r="C255" s="12" t="s">
        <v>52</v>
      </c>
      <c r="D255" s="41" t="s">
        <v>492</v>
      </c>
      <c r="E255" s="10" t="s">
        <v>356</v>
      </c>
      <c r="F255" s="10" t="s">
        <v>484</v>
      </c>
      <c r="G255" s="12" t="s">
        <v>463</v>
      </c>
      <c r="H255" s="10" t="s">
        <v>222</v>
      </c>
      <c r="I255" s="16" t="s">
        <v>45</v>
      </c>
      <c r="J255" s="12" t="s">
        <v>355</v>
      </c>
      <c r="K255" s="10" t="s">
        <v>485</v>
      </c>
      <c r="L255" s="16" t="s">
        <v>45</v>
      </c>
      <c r="M255" s="10" t="s">
        <v>49</v>
      </c>
      <c r="N255" s="16" t="s">
        <v>45</v>
      </c>
      <c r="O255" s="10" t="s">
        <v>486</v>
      </c>
      <c r="P255" s="9" t="str">
        <f t="shared" si="1"/>
        <v>N/I</v>
      </c>
      <c r="Q255" s="9" t="str">
        <f t="shared" si="2"/>
        <v>N/I</v>
      </c>
      <c r="R255" s="9" t="str">
        <f t="shared" si="3"/>
        <v>N/I</v>
      </c>
    </row>
    <row r="256">
      <c r="A256" s="11" t="s">
        <v>460</v>
      </c>
      <c r="B256" s="11" t="s">
        <v>461</v>
      </c>
      <c r="C256" s="12" t="s">
        <v>52</v>
      </c>
      <c r="D256" s="41" t="s">
        <v>493</v>
      </c>
      <c r="E256" s="10" t="s">
        <v>356</v>
      </c>
      <c r="F256" s="10" t="s">
        <v>484</v>
      </c>
      <c r="G256" s="12" t="s">
        <v>463</v>
      </c>
      <c r="H256" s="10" t="s">
        <v>222</v>
      </c>
      <c r="I256" s="16" t="s">
        <v>45</v>
      </c>
      <c r="J256" s="12" t="s">
        <v>355</v>
      </c>
      <c r="K256" s="10" t="s">
        <v>485</v>
      </c>
      <c r="L256" s="16" t="s">
        <v>45</v>
      </c>
      <c r="M256" s="10" t="s">
        <v>49</v>
      </c>
      <c r="N256" s="16" t="s">
        <v>45</v>
      </c>
      <c r="O256" s="10" t="s">
        <v>486</v>
      </c>
      <c r="P256" s="9" t="str">
        <f t="shared" si="1"/>
        <v>N/I</v>
      </c>
      <c r="Q256" s="9" t="str">
        <f t="shared" si="2"/>
        <v>N/I</v>
      </c>
      <c r="R256" s="9" t="str">
        <f t="shared" si="3"/>
        <v>N/I</v>
      </c>
    </row>
    <row r="257">
      <c r="A257" s="11" t="s">
        <v>460</v>
      </c>
      <c r="B257" s="11" t="s">
        <v>461</v>
      </c>
      <c r="C257" s="12" t="s">
        <v>94</v>
      </c>
      <c r="D257" s="27" t="s">
        <v>494</v>
      </c>
      <c r="E257" s="10" t="s">
        <v>356</v>
      </c>
      <c r="F257" s="10" t="s">
        <v>495</v>
      </c>
      <c r="G257" s="12" t="s">
        <v>463</v>
      </c>
      <c r="H257" s="10" t="s">
        <v>222</v>
      </c>
      <c r="I257" s="16" t="s">
        <v>45</v>
      </c>
      <c r="J257" s="12" t="s">
        <v>355</v>
      </c>
      <c r="K257" s="10" t="s">
        <v>485</v>
      </c>
      <c r="L257" s="16" t="s">
        <v>45</v>
      </c>
      <c r="M257" s="10" t="s">
        <v>49</v>
      </c>
      <c r="N257" s="16" t="s">
        <v>45</v>
      </c>
      <c r="O257" s="10" t="s">
        <v>486</v>
      </c>
      <c r="P257" s="9" t="str">
        <f t="shared" si="1"/>
        <v>N/I</v>
      </c>
      <c r="Q257" s="9" t="str">
        <f t="shared" si="2"/>
        <v>N/I</v>
      </c>
      <c r="R257" s="9" t="str">
        <f t="shared" si="3"/>
        <v>N/I</v>
      </c>
    </row>
    <row r="258">
      <c r="A258" s="11" t="s">
        <v>460</v>
      </c>
      <c r="B258" s="11" t="s">
        <v>461</v>
      </c>
      <c r="C258" s="12" t="s">
        <v>94</v>
      </c>
      <c r="D258" s="27" t="s">
        <v>496</v>
      </c>
      <c r="E258" s="10" t="s">
        <v>356</v>
      </c>
      <c r="F258" s="10" t="s">
        <v>495</v>
      </c>
      <c r="G258" s="12" t="s">
        <v>463</v>
      </c>
      <c r="H258" s="10" t="s">
        <v>222</v>
      </c>
      <c r="I258" s="16" t="s">
        <v>45</v>
      </c>
      <c r="J258" s="12" t="s">
        <v>355</v>
      </c>
      <c r="K258" s="10" t="s">
        <v>485</v>
      </c>
      <c r="L258" s="16" t="s">
        <v>45</v>
      </c>
      <c r="M258" s="10" t="s">
        <v>49</v>
      </c>
      <c r="N258" s="16" t="s">
        <v>45</v>
      </c>
      <c r="O258" s="10" t="s">
        <v>486</v>
      </c>
      <c r="P258" s="9" t="str">
        <f t="shared" si="1"/>
        <v>N/I</v>
      </c>
      <c r="Q258" s="9" t="str">
        <f t="shared" si="2"/>
        <v>N/I</v>
      </c>
      <c r="R258" s="9" t="str">
        <f t="shared" si="3"/>
        <v>N/I</v>
      </c>
    </row>
    <row r="259">
      <c r="A259" s="11" t="s">
        <v>460</v>
      </c>
      <c r="B259" s="11" t="s">
        <v>461</v>
      </c>
      <c r="C259" s="12" t="s">
        <v>94</v>
      </c>
      <c r="D259" s="27" t="s">
        <v>497</v>
      </c>
      <c r="E259" s="10" t="s">
        <v>356</v>
      </c>
      <c r="F259" s="10" t="s">
        <v>495</v>
      </c>
      <c r="G259" s="12" t="s">
        <v>463</v>
      </c>
      <c r="H259" s="10" t="s">
        <v>222</v>
      </c>
      <c r="I259" s="16" t="s">
        <v>45</v>
      </c>
      <c r="J259" s="12" t="s">
        <v>355</v>
      </c>
      <c r="K259" s="10" t="s">
        <v>485</v>
      </c>
      <c r="L259" s="16" t="s">
        <v>45</v>
      </c>
      <c r="M259" s="10" t="s">
        <v>49</v>
      </c>
      <c r="N259" s="16" t="s">
        <v>45</v>
      </c>
      <c r="O259" s="10" t="s">
        <v>486</v>
      </c>
      <c r="P259" s="9" t="str">
        <f t="shared" si="1"/>
        <v>N/I</v>
      </c>
      <c r="Q259" s="9" t="str">
        <f t="shared" si="2"/>
        <v>N/I</v>
      </c>
      <c r="R259" s="9" t="str">
        <f t="shared" si="3"/>
        <v>N/I</v>
      </c>
    </row>
    <row r="260">
      <c r="A260" s="11" t="s">
        <v>460</v>
      </c>
      <c r="B260" s="11" t="s">
        <v>461</v>
      </c>
      <c r="C260" s="12" t="s">
        <v>94</v>
      </c>
      <c r="D260" s="27" t="s">
        <v>498</v>
      </c>
      <c r="E260" s="10" t="s">
        <v>356</v>
      </c>
      <c r="F260" s="10" t="s">
        <v>495</v>
      </c>
      <c r="G260" s="12" t="s">
        <v>463</v>
      </c>
      <c r="H260" s="10" t="s">
        <v>222</v>
      </c>
      <c r="I260" s="16" t="s">
        <v>45</v>
      </c>
      <c r="J260" s="12" t="s">
        <v>355</v>
      </c>
      <c r="K260" s="10" t="s">
        <v>485</v>
      </c>
      <c r="L260" s="16" t="s">
        <v>45</v>
      </c>
      <c r="M260" s="10" t="s">
        <v>49</v>
      </c>
      <c r="N260" s="16" t="s">
        <v>45</v>
      </c>
      <c r="O260" s="10" t="s">
        <v>486</v>
      </c>
      <c r="P260" s="9" t="str">
        <f t="shared" si="1"/>
        <v>N/I</v>
      </c>
      <c r="Q260" s="9" t="str">
        <f t="shared" si="2"/>
        <v>N/I</v>
      </c>
      <c r="R260" s="9" t="str">
        <f t="shared" si="3"/>
        <v>N/I</v>
      </c>
    </row>
    <row r="261">
      <c r="A261" s="11" t="s">
        <v>500</v>
      </c>
      <c r="B261" s="11" t="s">
        <v>501</v>
      </c>
      <c r="C261" s="12" t="s">
        <v>502</v>
      </c>
      <c r="D261" s="34" t="s">
        <v>503</v>
      </c>
      <c r="E261" s="10" t="s">
        <v>508</v>
      </c>
      <c r="F261" s="10" t="s">
        <v>507</v>
      </c>
      <c r="G261" s="12" t="s">
        <v>504</v>
      </c>
      <c r="H261" s="10" t="s">
        <v>216</v>
      </c>
      <c r="I261" s="16" t="s">
        <v>45</v>
      </c>
      <c r="J261" s="12" t="s">
        <v>46</v>
      </c>
      <c r="K261" s="10" t="s">
        <v>226</v>
      </c>
      <c r="L261" s="16" t="s">
        <v>45</v>
      </c>
      <c r="M261" s="16" t="s">
        <v>45</v>
      </c>
      <c r="N261" s="16" t="s">
        <v>45</v>
      </c>
      <c r="O261" s="10" t="s">
        <v>50</v>
      </c>
      <c r="P261" s="9" t="str">
        <f t="shared" si="1"/>
        <v>N/I</v>
      </c>
      <c r="Q261" s="9" t="str">
        <f t="shared" si="2"/>
        <v>N/I</v>
      </c>
      <c r="R261" s="9" t="str">
        <f t="shared" si="3"/>
        <v>N/I</v>
      </c>
    </row>
    <row r="262">
      <c r="A262" s="11" t="s">
        <v>509</v>
      </c>
      <c r="B262" s="11" t="s">
        <v>510</v>
      </c>
      <c r="C262" s="12" t="s">
        <v>94</v>
      </c>
      <c r="D262" s="27" t="s">
        <v>511</v>
      </c>
      <c r="E262" s="16" t="s">
        <v>45</v>
      </c>
      <c r="F262" s="10" t="s">
        <v>515</v>
      </c>
      <c r="G262" s="12" t="s">
        <v>512</v>
      </c>
      <c r="H262" s="10" t="s">
        <v>216</v>
      </c>
      <c r="I262" s="16" t="s">
        <v>45</v>
      </c>
      <c r="J262" s="16" t="s">
        <v>45</v>
      </c>
      <c r="K262" s="16" t="s">
        <v>45</v>
      </c>
      <c r="L262" s="16" t="s">
        <v>45</v>
      </c>
      <c r="M262" s="10" t="s">
        <v>49</v>
      </c>
      <c r="N262" s="16" t="s">
        <v>45</v>
      </c>
      <c r="O262" s="16" t="s">
        <v>45</v>
      </c>
      <c r="P262" s="9" t="str">
        <f t="shared" si="1"/>
        <v>N/I</v>
      </c>
      <c r="Q262" s="9" t="str">
        <f t="shared" si="2"/>
        <v>N/I</v>
      </c>
      <c r="R262" s="9" t="str">
        <f t="shared" si="3"/>
        <v>N/I</v>
      </c>
    </row>
    <row r="263">
      <c r="A263" s="11" t="s">
        <v>517</v>
      </c>
      <c r="B263" s="11" t="s">
        <v>518</v>
      </c>
      <c r="C263" s="12" t="s">
        <v>519</v>
      </c>
      <c r="D263" s="27">
        <v>150016.0</v>
      </c>
      <c r="E263" s="16" t="s">
        <v>45</v>
      </c>
      <c r="F263" s="10" t="s">
        <v>524</v>
      </c>
      <c r="G263" s="12" t="s">
        <v>520</v>
      </c>
      <c r="H263" s="10" t="s">
        <v>521</v>
      </c>
      <c r="I263" s="16" t="s">
        <v>45</v>
      </c>
      <c r="J263" s="16" t="s">
        <v>45</v>
      </c>
      <c r="K263" s="16" t="s">
        <v>45</v>
      </c>
      <c r="L263" s="16" t="s">
        <v>45</v>
      </c>
      <c r="M263" s="16" t="s">
        <v>45</v>
      </c>
      <c r="N263" s="16" t="s">
        <v>45</v>
      </c>
      <c r="O263" s="16" t="s">
        <v>45</v>
      </c>
      <c r="P263" s="9" t="str">
        <f t="shared" si="1"/>
        <v>N/I</v>
      </c>
      <c r="Q263" s="9" t="str">
        <f t="shared" si="2"/>
        <v>N/I</v>
      </c>
      <c r="R263" s="9" t="str">
        <f t="shared" si="3"/>
        <v>N/I</v>
      </c>
    </row>
    <row r="264">
      <c r="A264" s="11" t="s">
        <v>525</v>
      </c>
      <c r="B264" s="11"/>
      <c r="C264" s="12" t="s">
        <v>448</v>
      </c>
      <c r="D264" s="27" t="s">
        <v>526</v>
      </c>
      <c r="E264" s="10" t="s">
        <v>356</v>
      </c>
      <c r="F264" s="10" t="s">
        <v>529</v>
      </c>
      <c r="G264" s="12" t="s">
        <v>463</v>
      </c>
      <c r="H264" s="10" t="s">
        <v>222</v>
      </c>
      <c r="I264" s="16" t="s">
        <v>45</v>
      </c>
      <c r="J264" s="12" t="s">
        <v>46</v>
      </c>
      <c r="K264" s="10" t="s">
        <v>485</v>
      </c>
      <c r="L264" s="16" t="s">
        <v>45</v>
      </c>
      <c r="M264" s="10" t="s">
        <v>49</v>
      </c>
      <c r="N264" s="16" t="s">
        <v>45</v>
      </c>
      <c r="O264" s="10" t="s">
        <v>320</v>
      </c>
      <c r="P264" s="9" t="str">
        <f t="shared" si="1"/>
        <v>N/I</v>
      </c>
      <c r="Q264" s="9" t="str">
        <f t="shared" si="2"/>
        <v>N/I</v>
      </c>
      <c r="R264" s="9" t="str">
        <f t="shared" si="3"/>
        <v>N/I</v>
      </c>
    </row>
    <row r="265">
      <c r="A265" s="11" t="s">
        <v>531</v>
      </c>
      <c r="B265" s="11" t="s">
        <v>532</v>
      </c>
      <c r="C265" s="12" t="s">
        <v>58</v>
      </c>
      <c r="D265" s="42" t="s">
        <v>533</v>
      </c>
      <c r="E265" s="10" t="s">
        <v>538</v>
      </c>
      <c r="F265" s="10" t="s">
        <v>537</v>
      </c>
      <c r="G265" s="12" t="s">
        <v>534</v>
      </c>
      <c r="H265" s="10" t="s">
        <v>521</v>
      </c>
      <c r="I265" s="10" t="s">
        <v>354</v>
      </c>
      <c r="J265" s="12" t="s">
        <v>46</v>
      </c>
      <c r="K265" s="10" t="s">
        <v>485</v>
      </c>
      <c r="L265" s="16" t="s">
        <v>45</v>
      </c>
      <c r="M265" s="16" t="s">
        <v>45</v>
      </c>
      <c r="N265" s="16" t="s">
        <v>45</v>
      </c>
      <c r="O265" s="10" t="s">
        <v>50</v>
      </c>
      <c r="P265" s="9" t="str">
        <f t="shared" si="1"/>
        <v>N/I</v>
      </c>
      <c r="Q265" s="9" t="str">
        <f t="shared" si="2"/>
        <v>N/I</v>
      </c>
      <c r="R265" s="9" t="str">
        <f t="shared" si="3"/>
        <v>N/I</v>
      </c>
    </row>
    <row r="266">
      <c r="A266" s="11" t="s">
        <v>531</v>
      </c>
      <c r="B266" s="11" t="s">
        <v>539</v>
      </c>
      <c r="C266" s="12" t="s">
        <v>58</v>
      </c>
      <c r="D266" s="42" t="s">
        <v>540</v>
      </c>
      <c r="E266" s="10" t="s">
        <v>538</v>
      </c>
      <c r="F266" s="10" t="s">
        <v>544</v>
      </c>
      <c r="G266" s="12" t="s">
        <v>541</v>
      </c>
      <c r="H266" s="10" t="s">
        <v>283</v>
      </c>
      <c r="I266" s="10" t="s">
        <v>354</v>
      </c>
      <c r="J266" s="12" t="s">
        <v>46</v>
      </c>
      <c r="K266" s="10" t="s">
        <v>485</v>
      </c>
      <c r="L266" s="16" t="s">
        <v>45</v>
      </c>
      <c r="M266" s="16" t="s">
        <v>45</v>
      </c>
      <c r="N266" s="16" t="s">
        <v>45</v>
      </c>
      <c r="O266" s="10" t="s">
        <v>320</v>
      </c>
      <c r="P266" s="9" t="str">
        <f t="shared" si="1"/>
        <v>N/I</v>
      </c>
      <c r="Q266" s="9" t="str">
        <f t="shared" si="2"/>
        <v>N/I</v>
      </c>
      <c r="R266" s="9" t="str">
        <f t="shared" si="3"/>
        <v>N/I</v>
      </c>
    </row>
    <row r="267">
      <c r="A267" s="11" t="s">
        <v>531</v>
      </c>
      <c r="B267" s="11" t="s">
        <v>539</v>
      </c>
      <c r="C267" s="12" t="s">
        <v>58</v>
      </c>
      <c r="D267" s="42" t="s">
        <v>545</v>
      </c>
      <c r="E267" s="10" t="s">
        <v>538</v>
      </c>
      <c r="F267" s="10" t="s">
        <v>544</v>
      </c>
      <c r="G267" s="12" t="s">
        <v>541</v>
      </c>
      <c r="H267" s="10" t="s">
        <v>283</v>
      </c>
      <c r="I267" s="10" t="s">
        <v>354</v>
      </c>
      <c r="J267" s="12" t="s">
        <v>46</v>
      </c>
      <c r="K267" s="10" t="s">
        <v>485</v>
      </c>
      <c r="L267" s="16" t="s">
        <v>45</v>
      </c>
      <c r="M267" s="16" t="s">
        <v>45</v>
      </c>
      <c r="N267" s="16" t="s">
        <v>45</v>
      </c>
      <c r="O267" s="10" t="s">
        <v>320</v>
      </c>
      <c r="P267" s="9" t="str">
        <f t="shared" si="1"/>
        <v>N/I</v>
      </c>
      <c r="Q267" s="9" t="str">
        <f t="shared" si="2"/>
        <v>N/I</v>
      </c>
      <c r="R267" s="9" t="str">
        <f t="shared" si="3"/>
        <v>N/I</v>
      </c>
    </row>
    <row r="268">
      <c r="A268" s="11" t="s">
        <v>531</v>
      </c>
      <c r="B268" s="11" t="s">
        <v>539</v>
      </c>
      <c r="C268" s="12" t="s">
        <v>58</v>
      </c>
      <c r="D268" s="42" t="s">
        <v>546</v>
      </c>
      <c r="E268" s="10" t="s">
        <v>538</v>
      </c>
      <c r="F268" s="10" t="s">
        <v>544</v>
      </c>
      <c r="G268" s="12" t="s">
        <v>541</v>
      </c>
      <c r="H268" s="10" t="s">
        <v>283</v>
      </c>
      <c r="I268" s="10" t="s">
        <v>354</v>
      </c>
      <c r="J268" s="12" t="s">
        <v>46</v>
      </c>
      <c r="K268" s="10" t="s">
        <v>485</v>
      </c>
      <c r="L268" s="16" t="s">
        <v>45</v>
      </c>
      <c r="M268" s="16" t="s">
        <v>45</v>
      </c>
      <c r="N268" s="16" t="s">
        <v>45</v>
      </c>
      <c r="O268" s="10" t="s">
        <v>320</v>
      </c>
      <c r="P268" s="9" t="str">
        <f t="shared" si="1"/>
        <v>N/I</v>
      </c>
      <c r="Q268" s="9" t="str">
        <f t="shared" si="2"/>
        <v>N/I</v>
      </c>
      <c r="R268" s="9" t="str">
        <f t="shared" si="3"/>
        <v>N/I</v>
      </c>
    </row>
    <row r="269">
      <c r="A269" s="11" t="s">
        <v>531</v>
      </c>
      <c r="B269" s="11" t="s">
        <v>539</v>
      </c>
      <c r="C269" s="12" t="s">
        <v>58</v>
      </c>
      <c r="D269" s="42" t="s">
        <v>547</v>
      </c>
      <c r="E269" s="10" t="s">
        <v>538</v>
      </c>
      <c r="F269" s="10" t="s">
        <v>544</v>
      </c>
      <c r="G269" s="12" t="s">
        <v>541</v>
      </c>
      <c r="H269" s="10" t="s">
        <v>283</v>
      </c>
      <c r="I269" s="10" t="s">
        <v>354</v>
      </c>
      <c r="J269" s="12" t="s">
        <v>46</v>
      </c>
      <c r="K269" s="10" t="s">
        <v>485</v>
      </c>
      <c r="L269" s="16" t="s">
        <v>45</v>
      </c>
      <c r="M269" s="16" t="s">
        <v>45</v>
      </c>
      <c r="N269" s="16" t="s">
        <v>45</v>
      </c>
      <c r="O269" s="10" t="s">
        <v>320</v>
      </c>
      <c r="P269" s="9" t="str">
        <f t="shared" si="1"/>
        <v>N/I</v>
      </c>
      <c r="Q269" s="9" t="str">
        <f t="shared" si="2"/>
        <v>N/I</v>
      </c>
      <c r="R269" s="9" t="str">
        <f t="shared" si="3"/>
        <v>N/I</v>
      </c>
    </row>
    <row r="270">
      <c r="A270" s="11" t="s">
        <v>531</v>
      </c>
      <c r="B270" s="11" t="s">
        <v>539</v>
      </c>
      <c r="C270" s="12" t="s">
        <v>58</v>
      </c>
      <c r="D270" s="42" t="s">
        <v>548</v>
      </c>
      <c r="E270" s="10" t="s">
        <v>538</v>
      </c>
      <c r="F270" s="10" t="s">
        <v>544</v>
      </c>
      <c r="G270" s="12" t="s">
        <v>541</v>
      </c>
      <c r="H270" s="10" t="s">
        <v>283</v>
      </c>
      <c r="I270" s="10" t="s">
        <v>354</v>
      </c>
      <c r="J270" s="12" t="s">
        <v>46</v>
      </c>
      <c r="K270" s="10" t="s">
        <v>485</v>
      </c>
      <c r="L270" s="16" t="s">
        <v>45</v>
      </c>
      <c r="M270" s="16" t="s">
        <v>45</v>
      </c>
      <c r="N270" s="16" t="s">
        <v>45</v>
      </c>
      <c r="O270" s="10" t="s">
        <v>320</v>
      </c>
      <c r="P270" s="9" t="str">
        <f t="shared" si="1"/>
        <v>N/I</v>
      </c>
      <c r="Q270" s="9" t="str">
        <f t="shared" si="2"/>
        <v>N/I</v>
      </c>
      <c r="R270" s="9" t="str">
        <f t="shared" si="3"/>
        <v>N/I</v>
      </c>
    </row>
    <row r="271">
      <c r="A271" s="11" t="s">
        <v>531</v>
      </c>
      <c r="B271" s="11" t="s">
        <v>539</v>
      </c>
      <c r="C271" s="12" t="s">
        <v>58</v>
      </c>
      <c r="D271" s="42" t="s">
        <v>549</v>
      </c>
      <c r="E271" s="10" t="s">
        <v>538</v>
      </c>
      <c r="F271" s="10" t="s">
        <v>544</v>
      </c>
      <c r="G271" s="12" t="s">
        <v>541</v>
      </c>
      <c r="H271" s="10" t="s">
        <v>283</v>
      </c>
      <c r="I271" s="10" t="s">
        <v>354</v>
      </c>
      <c r="J271" s="12" t="s">
        <v>46</v>
      </c>
      <c r="K271" s="10" t="s">
        <v>485</v>
      </c>
      <c r="L271" s="16" t="s">
        <v>45</v>
      </c>
      <c r="M271" s="16" t="s">
        <v>45</v>
      </c>
      <c r="N271" s="16" t="s">
        <v>45</v>
      </c>
      <c r="O271" s="10" t="s">
        <v>320</v>
      </c>
      <c r="P271" s="9" t="str">
        <f t="shared" si="1"/>
        <v>N/I</v>
      </c>
      <c r="Q271" s="9" t="str">
        <f t="shared" si="2"/>
        <v>N/I</v>
      </c>
      <c r="R271" s="9" t="str">
        <f t="shared" si="3"/>
        <v>N/I</v>
      </c>
    </row>
    <row r="272">
      <c r="A272" s="11" t="s">
        <v>531</v>
      </c>
      <c r="B272" s="11" t="s">
        <v>539</v>
      </c>
      <c r="C272" s="12" t="s">
        <v>94</v>
      </c>
      <c r="D272" s="42" t="s">
        <v>550</v>
      </c>
      <c r="E272" s="10" t="s">
        <v>538</v>
      </c>
      <c r="F272" s="10" t="s">
        <v>544</v>
      </c>
      <c r="G272" s="12" t="s">
        <v>541</v>
      </c>
      <c r="H272" s="10" t="s">
        <v>283</v>
      </c>
      <c r="I272" s="10" t="s">
        <v>354</v>
      </c>
      <c r="J272" s="12" t="s">
        <v>46</v>
      </c>
      <c r="K272" s="10" t="s">
        <v>485</v>
      </c>
      <c r="L272" s="16" t="s">
        <v>45</v>
      </c>
      <c r="M272" s="16" t="s">
        <v>45</v>
      </c>
      <c r="N272" s="16" t="s">
        <v>45</v>
      </c>
      <c r="O272" s="10" t="s">
        <v>320</v>
      </c>
      <c r="P272" s="9" t="str">
        <f t="shared" si="1"/>
        <v>N/I</v>
      </c>
      <c r="Q272" s="9" t="str">
        <f t="shared" si="2"/>
        <v>N/I</v>
      </c>
      <c r="R272" s="9" t="str">
        <f t="shared" si="3"/>
        <v>N/I</v>
      </c>
    </row>
    <row r="273">
      <c r="A273" s="11" t="s">
        <v>531</v>
      </c>
      <c r="B273" s="11" t="s">
        <v>539</v>
      </c>
      <c r="C273" s="12" t="s">
        <v>94</v>
      </c>
      <c r="D273" s="42" t="s">
        <v>551</v>
      </c>
      <c r="E273" s="10" t="s">
        <v>538</v>
      </c>
      <c r="F273" s="10" t="s">
        <v>544</v>
      </c>
      <c r="G273" s="12" t="s">
        <v>541</v>
      </c>
      <c r="H273" s="10" t="s">
        <v>283</v>
      </c>
      <c r="I273" s="10" t="s">
        <v>354</v>
      </c>
      <c r="J273" s="12" t="s">
        <v>46</v>
      </c>
      <c r="K273" s="10" t="s">
        <v>485</v>
      </c>
      <c r="L273" s="16" t="s">
        <v>45</v>
      </c>
      <c r="M273" s="16" t="s">
        <v>45</v>
      </c>
      <c r="N273" s="16" t="s">
        <v>45</v>
      </c>
      <c r="O273" s="10" t="s">
        <v>320</v>
      </c>
      <c r="P273" s="9" t="str">
        <f t="shared" si="1"/>
        <v>N/I</v>
      </c>
      <c r="Q273" s="9" t="str">
        <f t="shared" si="2"/>
        <v>N/I</v>
      </c>
      <c r="R273" s="9" t="str">
        <f t="shared" si="3"/>
        <v>N/I</v>
      </c>
    </row>
    <row r="274">
      <c r="A274" s="11" t="s">
        <v>531</v>
      </c>
      <c r="B274" s="11" t="s">
        <v>539</v>
      </c>
      <c r="C274" s="12" t="s">
        <v>94</v>
      </c>
      <c r="D274" s="42" t="s">
        <v>552</v>
      </c>
      <c r="E274" s="10" t="s">
        <v>538</v>
      </c>
      <c r="F274" s="10" t="s">
        <v>544</v>
      </c>
      <c r="G274" s="12" t="s">
        <v>541</v>
      </c>
      <c r="H274" s="10" t="s">
        <v>283</v>
      </c>
      <c r="I274" s="10" t="s">
        <v>354</v>
      </c>
      <c r="J274" s="12" t="s">
        <v>46</v>
      </c>
      <c r="K274" s="10" t="s">
        <v>485</v>
      </c>
      <c r="L274" s="16" t="s">
        <v>45</v>
      </c>
      <c r="M274" s="16" t="s">
        <v>45</v>
      </c>
      <c r="N274" s="16" t="s">
        <v>45</v>
      </c>
      <c r="O274" s="10" t="s">
        <v>320</v>
      </c>
      <c r="P274" s="9" t="str">
        <f t="shared" si="1"/>
        <v>N/I</v>
      </c>
      <c r="Q274" s="9" t="str">
        <f t="shared" si="2"/>
        <v>N/I</v>
      </c>
      <c r="R274" s="9" t="str">
        <f t="shared" si="3"/>
        <v>N/I</v>
      </c>
    </row>
    <row r="275">
      <c r="A275" s="11" t="s">
        <v>531</v>
      </c>
      <c r="B275" s="11" t="s">
        <v>539</v>
      </c>
      <c r="C275" s="12" t="s">
        <v>52</v>
      </c>
      <c r="D275" s="27" t="s">
        <v>553</v>
      </c>
      <c r="E275" s="10" t="s">
        <v>538</v>
      </c>
      <c r="F275" s="10" t="s">
        <v>537</v>
      </c>
      <c r="G275" s="12" t="s">
        <v>541</v>
      </c>
      <c r="H275" s="10" t="s">
        <v>283</v>
      </c>
      <c r="I275" s="10" t="s">
        <v>354</v>
      </c>
      <c r="J275" s="12" t="s">
        <v>46</v>
      </c>
      <c r="K275" s="10" t="s">
        <v>485</v>
      </c>
      <c r="L275" s="16" t="s">
        <v>45</v>
      </c>
      <c r="M275" s="16" t="s">
        <v>45</v>
      </c>
      <c r="N275" s="16" t="s">
        <v>45</v>
      </c>
      <c r="O275" s="10" t="s">
        <v>50</v>
      </c>
      <c r="P275" s="9" t="str">
        <f t="shared" si="1"/>
        <v>N/I</v>
      </c>
      <c r="Q275" s="9" t="str">
        <f t="shared" si="2"/>
        <v>N/I</v>
      </c>
      <c r="R275" s="9" t="str">
        <f t="shared" si="3"/>
        <v>N/I</v>
      </c>
    </row>
    <row r="276">
      <c r="A276" s="11" t="s">
        <v>531</v>
      </c>
      <c r="B276" s="11" t="s">
        <v>539</v>
      </c>
      <c r="C276" s="12" t="s">
        <v>52</v>
      </c>
      <c r="D276" s="27" t="s">
        <v>554</v>
      </c>
      <c r="E276" s="10" t="s">
        <v>538</v>
      </c>
      <c r="F276" s="10" t="s">
        <v>537</v>
      </c>
      <c r="G276" s="12" t="s">
        <v>541</v>
      </c>
      <c r="H276" s="10" t="s">
        <v>283</v>
      </c>
      <c r="I276" s="10" t="s">
        <v>354</v>
      </c>
      <c r="J276" s="12" t="s">
        <v>46</v>
      </c>
      <c r="K276" s="10" t="s">
        <v>485</v>
      </c>
      <c r="L276" s="16" t="s">
        <v>45</v>
      </c>
      <c r="M276" s="16" t="s">
        <v>45</v>
      </c>
      <c r="N276" s="16" t="s">
        <v>45</v>
      </c>
      <c r="O276" s="10" t="s">
        <v>50</v>
      </c>
      <c r="P276" s="9" t="str">
        <f t="shared" si="1"/>
        <v>N/I</v>
      </c>
      <c r="Q276" s="9" t="str">
        <f t="shared" si="2"/>
        <v>N/I</v>
      </c>
      <c r="R276" s="9" t="str">
        <f t="shared" si="3"/>
        <v>N/I</v>
      </c>
    </row>
    <row r="277">
      <c r="A277" s="11" t="s">
        <v>531</v>
      </c>
      <c r="B277" s="11" t="s">
        <v>539</v>
      </c>
      <c r="C277" s="12" t="s">
        <v>52</v>
      </c>
      <c r="D277" s="27" t="s">
        <v>555</v>
      </c>
      <c r="E277" s="10" t="s">
        <v>538</v>
      </c>
      <c r="F277" s="10" t="s">
        <v>537</v>
      </c>
      <c r="G277" s="12" t="s">
        <v>541</v>
      </c>
      <c r="H277" s="10" t="s">
        <v>283</v>
      </c>
      <c r="I277" s="10" t="s">
        <v>354</v>
      </c>
      <c r="J277" s="12" t="s">
        <v>46</v>
      </c>
      <c r="K277" s="10" t="s">
        <v>485</v>
      </c>
      <c r="L277" s="16" t="s">
        <v>45</v>
      </c>
      <c r="M277" s="16" t="s">
        <v>45</v>
      </c>
      <c r="N277" s="16" t="s">
        <v>45</v>
      </c>
      <c r="O277" s="10" t="s">
        <v>50</v>
      </c>
      <c r="P277" s="9" t="str">
        <f t="shared" si="1"/>
        <v>N/I</v>
      </c>
      <c r="Q277" s="9" t="str">
        <f t="shared" si="2"/>
        <v>N/I</v>
      </c>
      <c r="R277" s="9" t="str">
        <f t="shared" si="3"/>
        <v>N/I</v>
      </c>
    </row>
    <row r="278">
      <c r="A278" s="11" t="s">
        <v>531</v>
      </c>
      <c r="B278" s="11" t="s">
        <v>539</v>
      </c>
      <c r="C278" s="12" t="s">
        <v>52</v>
      </c>
      <c r="D278" s="27" t="s">
        <v>556</v>
      </c>
      <c r="E278" s="10" t="s">
        <v>538</v>
      </c>
      <c r="F278" s="10" t="s">
        <v>537</v>
      </c>
      <c r="G278" s="12" t="s">
        <v>541</v>
      </c>
      <c r="H278" s="10" t="s">
        <v>283</v>
      </c>
      <c r="I278" s="10" t="s">
        <v>354</v>
      </c>
      <c r="J278" s="12" t="s">
        <v>46</v>
      </c>
      <c r="K278" s="10" t="s">
        <v>485</v>
      </c>
      <c r="L278" s="16" t="s">
        <v>45</v>
      </c>
      <c r="M278" s="16" t="s">
        <v>45</v>
      </c>
      <c r="N278" s="16" t="s">
        <v>45</v>
      </c>
      <c r="O278" s="10" t="s">
        <v>50</v>
      </c>
      <c r="P278" s="9" t="str">
        <f t="shared" si="1"/>
        <v>N/I</v>
      </c>
      <c r="Q278" s="9" t="str">
        <f t="shared" si="2"/>
        <v>N/I</v>
      </c>
      <c r="R278" s="9" t="str">
        <f t="shared" si="3"/>
        <v>N/I</v>
      </c>
    </row>
    <row r="279">
      <c r="A279" s="11" t="s">
        <v>531</v>
      </c>
      <c r="B279" s="11" t="s">
        <v>539</v>
      </c>
      <c r="C279" s="12" t="s">
        <v>58</v>
      </c>
      <c r="D279" s="27" t="s">
        <v>557</v>
      </c>
      <c r="E279" s="10" t="s">
        <v>538</v>
      </c>
      <c r="F279" s="10" t="s">
        <v>537</v>
      </c>
      <c r="G279" s="12" t="s">
        <v>541</v>
      </c>
      <c r="H279" s="10" t="s">
        <v>283</v>
      </c>
      <c r="I279" s="10" t="s">
        <v>354</v>
      </c>
      <c r="J279" s="12" t="s">
        <v>46</v>
      </c>
      <c r="K279" s="10" t="s">
        <v>485</v>
      </c>
      <c r="L279" s="16" t="s">
        <v>45</v>
      </c>
      <c r="M279" s="16" t="s">
        <v>45</v>
      </c>
      <c r="N279" s="16" t="s">
        <v>45</v>
      </c>
      <c r="O279" s="10" t="s">
        <v>50</v>
      </c>
      <c r="P279" s="9" t="str">
        <f t="shared" si="1"/>
        <v>N/I</v>
      </c>
      <c r="Q279" s="9" t="str">
        <f t="shared" si="2"/>
        <v>N/I</v>
      </c>
      <c r="R279" s="9" t="str">
        <f t="shared" si="3"/>
        <v>N/I</v>
      </c>
    </row>
    <row r="280">
      <c r="A280" s="11" t="s">
        <v>558</v>
      </c>
      <c r="B280" s="11" t="s">
        <v>559</v>
      </c>
      <c r="C280" s="12" t="s">
        <v>94</v>
      </c>
      <c r="D280" s="42" t="s">
        <v>560</v>
      </c>
      <c r="E280" s="10" t="s">
        <v>538</v>
      </c>
      <c r="F280" s="10" t="s">
        <v>544</v>
      </c>
      <c r="G280" s="12" t="s">
        <v>561</v>
      </c>
      <c r="H280" s="10" t="s">
        <v>562</v>
      </c>
      <c r="I280" s="10" t="s">
        <v>354</v>
      </c>
      <c r="J280" s="12" t="s">
        <v>46</v>
      </c>
      <c r="K280" s="10" t="s">
        <v>485</v>
      </c>
      <c r="L280" s="16" t="s">
        <v>45</v>
      </c>
      <c r="M280" s="16" t="s">
        <v>45</v>
      </c>
      <c r="N280" s="16" t="s">
        <v>45</v>
      </c>
      <c r="O280" s="10" t="s">
        <v>320</v>
      </c>
      <c r="P280" s="9" t="str">
        <f t="shared" si="1"/>
        <v>N/I</v>
      </c>
      <c r="Q280" s="9" t="str">
        <f t="shared" si="2"/>
        <v>N/I</v>
      </c>
      <c r="R280" s="9" t="str">
        <f t="shared" si="3"/>
        <v>N/I</v>
      </c>
    </row>
    <row r="281">
      <c r="A281" s="11" t="s">
        <v>558</v>
      </c>
      <c r="B281" s="11" t="s">
        <v>559</v>
      </c>
      <c r="C281" s="12" t="s">
        <v>52</v>
      </c>
      <c r="D281" s="42" t="s">
        <v>565</v>
      </c>
      <c r="E281" s="10" t="s">
        <v>538</v>
      </c>
      <c r="F281" s="10" t="s">
        <v>568</v>
      </c>
      <c r="G281" s="12" t="s">
        <v>561</v>
      </c>
      <c r="H281" s="10" t="s">
        <v>562</v>
      </c>
      <c r="I281" s="10" t="s">
        <v>354</v>
      </c>
      <c r="J281" s="12" t="s">
        <v>46</v>
      </c>
      <c r="K281" s="10" t="s">
        <v>485</v>
      </c>
      <c r="L281" s="16" t="s">
        <v>45</v>
      </c>
      <c r="M281" s="16" t="s">
        <v>45</v>
      </c>
      <c r="N281" s="16" t="s">
        <v>45</v>
      </c>
      <c r="O281" s="10" t="s">
        <v>320</v>
      </c>
      <c r="P281" s="9" t="str">
        <f t="shared" si="1"/>
        <v>N/I</v>
      </c>
      <c r="Q281" s="9" t="str">
        <f t="shared" si="2"/>
        <v>N/I</v>
      </c>
      <c r="R281" s="9" t="str">
        <f t="shared" si="3"/>
        <v>N/I</v>
      </c>
    </row>
    <row r="282">
      <c r="A282" s="11" t="s">
        <v>558</v>
      </c>
      <c r="B282" s="11" t="s">
        <v>559</v>
      </c>
      <c r="C282" s="12" t="s">
        <v>79</v>
      </c>
      <c r="D282" s="42" t="s">
        <v>569</v>
      </c>
      <c r="E282" s="10" t="s">
        <v>538</v>
      </c>
      <c r="F282" s="10" t="s">
        <v>568</v>
      </c>
      <c r="G282" s="12" t="s">
        <v>561</v>
      </c>
      <c r="H282" s="10" t="s">
        <v>562</v>
      </c>
      <c r="I282" s="10" t="s">
        <v>354</v>
      </c>
      <c r="J282" s="12" t="s">
        <v>355</v>
      </c>
      <c r="K282" s="10" t="s">
        <v>485</v>
      </c>
      <c r="L282" s="16" t="s">
        <v>45</v>
      </c>
      <c r="M282" s="16" t="s">
        <v>45</v>
      </c>
      <c r="N282" s="16" t="s">
        <v>45</v>
      </c>
      <c r="O282" s="16" t="s">
        <v>45</v>
      </c>
      <c r="P282" s="9" t="str">
        <f t="shared" si="1"/>
        <v>N/I</v>
      </c>
      <c r="Q282" s="9" t="str">
        <f t="shared" si="2"/>
        <v>N/I</v>
      </c>
      <c r="R282" s="9" t="str">
        <f t="shared" si="3"/>
        <v>N/I</v>
      </c>
    </row>
    <row r="283">
      <c r="A283" s="11" t="s">
        <v>558</v>
      </c>
      <c r="B283" s="11" t="s">
        <v>559</v>
      </c>
      <c r="C283" s="12" t="s">
        <v>79</v>
      </c>
      <c r="D283" s="42" t="s">
        <v>570</v>
      </c>
      <c r="E283" s="10" t="s">
        <v>538</v>
      </c>
      <c r="F283" s="10" t="s">
        <v>568</v>
      </c>
      <c r="G283" s="12" t="s">
        <v>561</v>
      </c>
      <c r="H283" s="10" t="s">
        <v>562</v>
      </c>
      <c r="I283" s="10" t="s">
        <v>354</v>
      </c>
      <c r="J283" s="12" t="s">
        <v>355</v>
      </c>
      <c r="K283" s="10" t="s">
        <v>485</v>
      </c>
      <c r="L283" s="16" t="s">
        <v>45</v>
      </c>
      <c r="M283" s="16" t="s">
        <v>45</v>
      </c>
      <c r="N283" s="16" t="s">
        <v>45</v>
      </c>
      <c r="O283" s="16" t="s">
        <v>45</v>
      </c>
      <c r="P283" s="9" t="str">
        <f t="shared" si="1"/>
        <v>N/I</v>
      </c>
      <c r="Q283" s="9" t="str">
        <f t="shared" si="2"/>
        <v>N/I</v>
      </c>
      <c r="R283" s="9" t="str">
        <f t="shared" si="3"/>
        <v>N/I</v>
      </c>
    </row>
    <row r="284">
      <c r="A284" s="11" t="s">
        <v>558</v>
      </c>
      <c r="B284" s="11" t="s">
        <v>559</v>
      </c>
      <c r="C284" s="12" t="s">
        <v>79</v>
      </c>
      <c r="D284" s="42" t="s">
        <v>571</v>
      </c>
      <c r="E284" s="10" t="s">
        <v>538</v>
      </c>
      <c r="F284" s="10" t="s">
        <v>568</v>
      </c>
      <c r="G284" s="12" t="s">
        <v>561</v>
      </c>
      <c r="H284" s="10" t="s">
        <v>562</v>
      </c>
      <c r="I284" s="10" t="s">
        <v>354</v>
      </c>
      <c r="J284" s="12" t="s">
        <v>355</v>
      </c>
      <c r="K284" s="10" t="s">
        <v>485</v>
      </c>
      <c r="L284" s="16" t="s">
        <v>45</v>
      </c>
      <c r="M284" s="16" t="s">
        <v>45</v>
      </c>
      <c r="N284" s="16" t="s">
        <v>45</v>
      </c>
      <c r="O284" s="16" t="s">
        <v>45</v>
      </c>
      <c r="P284" s="9" t="str">
        <f t="shared" si="1"/>
        <v>N/I</v>
      </c>
      <c r="Q284" s="9" t="str">
        <f t="shared" si="2"/>
        <v>N/I</v>
      </c>
      <c r="R284" s="9" t="str">
        <f t="shared" si="3"/>
        <v>N/I</v>
      </c>
    </row>
    <row r="285">
      <c r="A285" s="11" t="s">
        <v>558</v>
      </c>
      <c r="B285" s="11" t="s">
        <v>559</v>
      </c>
      <c r="C285" s="12" t="s">
        <v>52</v>
      </c>
      <c r="D285" s="42" t="s">
        <v>572</v>
      </c>
      <c r="E285" s="10" t="s">
        <v>538</v>
      </c>
      <c r="F285" s="10" t="s">
        <v>568</v>
      </c>
      <c r="G285" s="12" t="s">
        <v>561</v>
      </c>
      <c r="H285" s="10" t="s">
        <v>562</v>
      </c>
      <c r="I285" s="10" t="s">
        <v>354</v>
      </c>
      <c r="J285" s="12" t="s">
        <v>355</v>
      </c>
      <c r="K285" s="10" t="s">
        <v>485</v>
      </c>
      <c r="L285" s="16" t="s">
        <v>45</v>
      </c>
      <c r="M285" s="16" t="s">
        <v>45</v>
      </c>
      <c r="N285" s="16" t="s">
        <v>45</v>
      </c>
      <c r="O285" s="16" t="s">
        <v>45</v>
      </c>
      <c r="P285" s="9" t="str">
        <f t="shared" si="1"/>
        <v>N/I</v>
      </c>
      <c r="Q285" s="9" t="str">
        <f t="shared" si="2"/>
        <v>N/I</v>
      </c>
      <c r="R285" s="9" t="str">
        <f t="shared" si="3"/>
        <v>N/I</v>
      </c>
    </row>
    <row r="286">
      <c r="A286" s="11" t="s">
        <v>558</v>
      </c>
      <c r="B286" s="11" t="s">
        <v>559</v>
      </c>
      <c r="C286" s="12" t="s">
        <v>58</v>
      </c>
      <c r="D286" s="42" t="s">
        <v>573</v>
      </c>
      <c r="E286" s="10" t="s">
        <v>538</v>
      </c>
      <c r="F286" s="10" t="s">
        <v>544</v>
      </c>
      <c r="G286" s="12" t="s">
        <v>561</v>
      </c>
      <c r="H286" s="10" t="s">
        <v>562</v>
      </c>
      <c r="I286" s="10" t="s">
        <v>354</v>
      </c>
      <c r="J286" s="12" t="s">
        <v>355</v>
      </c>
      <c r="K286" s="10" t="s">
        <v>485</v>
      </c>
      <c r="L286" s="16" t="s">
        <v>45</v>
      </c>
      <c r="M286" s="16" t="s">
        <v>45</v>
      </c>
      <c r="N286" s="16" t="s">
        <v>45</v>
      </c>
      <c r="O286" s="16" t="s">
        <v>45</v>
      </c>
      <c r="P286" s="9" t="str">
        <f t="shared" si="1"/>
        <v>N/I</v>
      </c>
      <c r="Q286" s="9" t="str">
        <f t="shared" si="2"/>
        <v>N/I</v>
      </c>
      <c r="R286" s="9" t="str">
        <f t="shared" si="3"/>
        <v>N/I</v>
      </c>
    </row>
    <row r="287">
      <c r="A287" s="11" t="s">
        <v>558</v>
      </c>
      <c r="B287" s="11" t="s">
        <v>559</v>
      </c>
      <c r="C287" s="12" t="s">
        <v>52</v>
      </c>
      <c r="D287" s="27" t="s">
        <v>574</v>
      </c>
      <c r="E287" s="10" t="s">
        <v>538</v>
      </c>
      <c r="F287" s="10" t="s">
        <v>537</v>
      </c>
      <c r="G287" s="12" t="s">
        <v>561</v>
      </c>
      <c r="H287" s="10" t="s">
        <v>562</v>
      </c>
      <c r="I287" s="10" t="s">
        <v>354</v>
      </c>
      <c r="J287" s="12" t="s">
        <v>355</v>
      </c>
      <c r="K287" s="10" t="s">
        <v>485</v>
      </c>
      <c r="L287" s="16" t="s">
        <v>45</v>
      </c>
      <c r="M287" s="16" t="s">
        <v>45</v>
      </c>
      <c r="N287" s="16" t="s">
        <v>45</v>
      </c>
      <c r="O287" s="16" t="s">
        <v>45</v>
      </c>
      <c r="P287" s="9" t="str">
        <f t="shared" si="1"/>
        <v>N/I</v>
      </c>
      <c r="Q287" s="9" t="str">
        <f t="shared" si="2"/>
        <v>N/I</v>
      </c>
      <c r="R287" s="9" t="str">
        <f t="shared" si="3"/>
        <v>N/I</v>
      </c>
    </row>
    <row r="288">
      <c r="A288" s="11" t="s">
        <v>558</v>
      </c>
      <c r="B288" s="11" t="s">
        <v>559</v>
      </c>
      <c r="C288" s="12" t="s">
        <v>52</v>
      </c>
      <c r="D288" s="27" t="s">
        <v>575</v>
      </c>
      <c r="E288" s="10" t="s">
        <v>538</v>
      </c>
      <c r="F288" s="10" t="s">
        <v>537</v>
      </c>
      <c r="G288" s="12" t="s">
        <v>561</v>
      </c>
      <c r="H288" s="10" t="s">
        <v>562</v>
      </c>
      <c r="I288" s="10" t="s">
        <v>354</v>
      </c>
      <c r="J288" s="12" t="s">
        <v>355</v>
      </c>
      <c r="K288" s="10" t="s">
        <v>485</v>
      </c>
      <c r="L288" s="16" t="s">
        <v>45</v>
      </c>
      <c r="M288" s="16" t="s">
        <v>45</v>
      </c>
      <c r="N288" s="16" t="s">
        <v>45</v>
      </c>
      <c r="O288" s="16" t="s">
        <v>45</v>
      </c>
      <c r="P288" s="9" t="str">
        <f t="shared" si="1"/>
        <v>N/I</v>
      </c>
      <c r="Q288" s="9" t="str">
        <f t="shared" si="2"/>
        <v>N/I</v>
      </c>
      <c r="R288" s="9" t="str">
        <f t="shared" si="3"/>
        <v>N/I</v>
      </c>
    </row>
    <row r="289">
      <c r="A289" s="11" t="s">
        <v>558</v>
      </c>
      <c r="B289" s="11" t="s">
        <v>559</v>
      </c>
      <c r="C289" s="12" t="s">
        <v>52</v>
      </c>
      <c r="D289" s="27" t="s">
        <v>576</v>
      </c>
      <c r="E289" s="10" t="s">
        <v>538</v>
      </c>
      <c r="F289" s="10" t="s">
        <v>537</v>
      </c>
      <c r="G289" s="12" t="s">
        <v>561</v>
      </c>
      <c r="H289" s="10" t="s">
        <v>562</v>
      </c>
      <c r="I289" s="10" t="s">
        <v>354</v>
      </c>
      <c r="J289" s="12" t="s">
        <v>355</v>
      </c>
      <c r="K289" s="10" t="s">
        <v>485</v>
      </c>
      <c r="L289" s="16" t="s">
        <v>45</v>
      </c>
      <c r="M289" s="16" t="s">
        <v>45</v>
      </c>
      <c r="N289" s="16" t="s">
        <v>45</v>
      </c>
      <c r="O289" s="16" t="s">
        <v>45</v>
      </c>
      <c r="P289" s="9" t="str">
        <f t="shared" si="1"/>
        <v>N/I</v>
      </c>
      <c r="Q289" s="9" t="str">
        <f t="shared" si="2"/>
        <v>N/I</v>
      </c>
      <c r="R289" s="9" t="str">
        <f t="shared" si="3"/>
        <v>N/I</v>
      </c>
    </row>
    <row r="290">
      <c r="A290" s="11" t="s">
        <v>558</v>
      </c>
      <c r="B290" s="11" t="s">
        <v>559</v>
      </c>
      <c r="C290" s="12" t="s">
        <v>58</v>
      </c>
      <c r="D290" s="27" t="s">
        <v>577</v>
      </c>
      <c r="E290" s="10" t="s">
        <v>538</v>
      </c>
      <c r="F290" s="10" t="s">
        <v>537</v>
      </c>
      <c r="G290" s="12" t="s">
        <v>561</v>
      </c>
      <c r="H290" s="10" t="s">
        <v>562</v>
      </c>
      <c r="I290" s="10" t="s">
        <v>354</v>
      </c>
      <c r="J290" s="12" t="s">
        <v>355</v>
      </c>
      <c r="K290" s="10" t="s">
        <v>485</v>
      </c>
      <c r="L290" s="16" t="s">
        <v>45</v>
      </c>
      <c r="M290" s="16" t="s">
        <v>45</v>
      </c>
      <c r="N290" s="16" t="s">
        <v>45</v>
      </c>
      <c r="O290" s="16" t="s">
        <v>45</v>
      </c>
      <c r="P290" s="9" t="str">
        <f t="shared" si="1"/>
        <v>N/I</v>
      </c>
      <c r="Q290" s="9" t="str">
        <f t="shared" si="2"/>
        <v>N/I</v>
      </c>
      <c r="R290" s="9" t="str">
        <f t="shared" si="3"/>
        <v>N/I</v>
      </c>
    </row>
    <row r="291">
      <c r="A291" s="11" t="s">
        <v>558</v>
      </c>
      <c r="B291" s="11" t="s">
        <v>559</v>
      </c>
      <c r="C291" s="12" t="s">
        <v>79</v>
      </c>
      <c r="D291" s="34" t="s">
        <v>578</v>
      </c>
      <c r="E291" s="10" t="s">
        <v>390</v>
      </c>
      <c r="F291" s="10" t="s">
        <v>579</v>
      </c>
      <c r="G291" s="12" t="s">
        <v>561</v>
      </c>
      <c r="H291" s="10" t="s">
        <v>562</v>
      </c>
      <c r="I291" s="16" t="s">
        <v>45</v>
      </c>
      <c r="J291" s="12" t="s">
        <v>46</v>
      </c>
      <c r="K291" s="10" t="s">
        <v>226</v>
      </c>
      <c r="L291" s="16" t="s">
        <v>45</v>
      </c>
      <c r="M291" s="10" t="s">
        <v>49</v>
      </c>
      <c r="N291" s="16" t="s">
        <v>45</v>
      </c>
      <c r="O291" s="10" t="s">
        <v>320</v>
      </c>
      <c r="P291" s="9" t="str">
        <f t="shared" si="1"/>
        <v>N/I</v>
      </c>
      <c r="Q291" s="9" t="str">
        <f t="shared" si="2"/>
        <v>N/I</v>
      </c>
      <c r="R291" s="9" t="str">
        <f t="shared" si="3"/>
        <v>N/I</v>
      </c>
    </row>
    <row r="292">
      <c r="A292" s="11" t="s">
        <v>558</v>
      </c>
      <c r="B292" s="11" t="s">
        <v>580</v>
      </c>
      <c r="C292" s="12" t="s">
        <v>94</v>
      </c>
      <c r="D292" s="42" t="s">
        <v>581</v>
      </c>
      <c r="E292" s="10" t="s">
        <v>538</v>
      </c>
      <c r="F292" s="10" t="s">
        <v>544</v>
      </c>
      <c r="G292" s="12" t="s">
        <v>582</v>
      </c>
      <c r="H292" s="10" t="s">
        <v>583</v>
      </c>
      <c r="I292" s="10" t="s">
        <v>354</v>
      </c>
      <c r="J292" s="12" t="s">
        <v>46</v>
      </c>
      <c r="K292" s="10" t="s">
        <v>485</v>
      </c>
      <c r="L292" s="16" t="s">
        <v>45</v>
      </c>
      <c r="M292" s="16" t="s">
        <v>45</v>
      </c>
      <c r="N292" s="16" t="s">
        <v>45</v>
      </c>
      <c r="O292" s="10" t="s">
        <v>320</v>
      </c>
      <c r="P292" s="9" t="str">
        <f t="shared" si="1"/>
        <v>N/I</v>
      </c>
      <c r="Q292" s="9" t="str">
        <f t="shared" si="2"/>
        <v>N/I</v>
      </c>
      <c r="R292" s="9" t="str">
        <f t="shared" si="3"/>
        <v>N/I</v>
      </c>
    </row>
    <row r="293">
      <c r="A293" s="11" t="s">
        <v>558</v>
      </c>
      <c r="B293" s="11" t="s">
        <v>580</v>
      </c>
      <c r="C293" s="12" t="s">
        <v>94</v>
      </c>
      <c r="D293" s="42" t="s">
        <v>586</v>
      </c>
      <c r="E293" s="10" t="s">
        <v>538</v>
      </c>
      <c r="F293" s="10" t="s">
        <v>544</v>
      </c>
      <c r="G293" s="12" t="s">
        <v>582</v>
      </c>
      <c r="H293" s="10" t="s">
        <v>583</v>
      </c>
      <c r="I293" s="10" t="s">
        <v>354</v>
      </c>
      <c r="J293" s="12" t="s">
        <v>46</v>
      </c>
      <c r="K293" s="10" t="s">
        <v>485</v>
      </c>
      <c r="L293" s="16" t="s">
        <v>45</v>
      </c>
      <c r="M293" s="16" t="s">
        <v>45</v>
      </c>
      <c r="N293" s="16" t="s">
        <v>45</v>
      </c>
      <c r="O293" s="10" t="s">
        <v>320</v>
      </c>
      <c r="P293" s="9" t="str">
        <f t="shared" si="1"/>
        <v>N/I</v>
      </c>
      <c r="Q293" s="9" t="str">
        <f t="shared" si="2"/>
        <v>N/I</v>
      </c>
      <c r="R293" s="9" t="str">
        <f t="shared" si="3"/>
        <v>N/I</v>
      </c>
    </row>
    <row r="294">
      <c r="A294" s="11" t="s">
        <v>558</v>
      </c>
      <c r="B294" s="11" t="s">
        <v>580</v>
      </c>
      <c r="C294" s="12" t="s">
        <v>58</v>
      </c>
      <c r="D294" s="42" t="s">
        <v>587</v>
      </c>
      <c r="E294" s="10" t="s">
        <v>538</v>
      </c>
      <c r="F294" s="10" t="s">
        <v>544</v>
      </c>
      <c r="G294" s="12" t="s">
        <v>582</v>
      </c>
      <c r="H294" s="10" t="s">
        <v>583</v>
      </c>
      <c r="I294" s="10" t="s">
        <v>354</v>
      </c>
      <c r="J294" s="12" t="s">
        <v>46</v>
      </c>
      <c r="K294" s="10" t="s">
        <v>485</v>
      </c>
      <c r="L294" s="16" t="s">
        <v>45</v>
      </c>
      <c r="M294" s="16" t="s">
        <v>45</v>
      </c>
      <c r="N294" s="16" t="s">
        <v>45</v>
      </c>
      <c r="O294" s="10" t="s">
        <v>320</v>
      </c>
      <c r="P294" s="9" t="str">
        <f t="shared" si="1"/>
        <v>N/I</v>
      </c>
      <c r="Q294" s="9" t="str">
        <f t="shared" si="2"/>
        <v>N/I</v>
      </c>
      <c r="R294" s="9" t="str">
        <f t="shared" si="3"/>
        <v>N/I</v>
      </c>
    </row>
    <row r="295">
      <c r="A295" s="11" t="s">
        <v>531</v>
      </c>
      <c r="B295" s="11" t="s">
        <v>588</v>
      </c>
      <c r="C295" s="12" t="s">
        <v>94</v>
      </c>
      <c r="D295" s="42" t="s">
        <v>589</v>
      </c>
      <c r="E295" s="10" t="s">
        <v>538</v>
      </c>
      <c r="F295" s="10" t="s">
        <v>544</v>
      </c>
      <c r="G295" s="12" t="s">
        <v>590</v>
      </c>
      <c r="H295" s="10" t="s">
        <v>262</v>
      </c>
      <c r="I295" s="10" t="s">
        <v>354</v>
      </c>
      <c r="J295" s="12" t="s">
        <v>46</v>
      </c>
      <c r="K295" s="10" t="s">
        <v>485</v>
      </c>
      <c r="L295" s="16" t="s">
        <v>45</v>
      </c>
      <c r="M295" s="16" t="s">
        <v>45</v>
      </c>
      <c r="N295" s="16" t="s">
        <v>45</v>
      </c>
      <c r="O295" s="10" t="s">
        <v>320</v>
      </c>
      <c r="P295" s="9" t="str">
        <f t="shared" si="1"/>
        <v>N/I</v>
      </c>
      <c r="Q295" s="9" t="str">
        <f t="shared" si="2"/>
        <v>N/I</v>
      </c>
      <c r="R295" s="9" t="str">
        <f t="shared" si="3"/>
        <v>N/I</v>
      </c>
    </row>
    <row r="296">
      <c r="A296" s="11" t="s">
        <v>531</v>
      </c>
      <c r="B296" s="11" t="s">
        <v>588</v>
      </c>
      <c r="C296" s="12" t="s">
        <v>94</v>
      </c>
      <c r="D296" s="42" t="s">
        <v>593</v>
      </c>
      <c r="E296" s="10" t="s">
        <v>538</v>
      </c>
      <c r="F296" s="10" t="s">
        <v>544</v>
      </c>
      <c r="G296" s="12" t="s">
        <v>590</v>
      </c>
      <c r="H296" s="10" t="s">
        <v>262</v>
      </c>
      <c r="I296" s="10" t="s">
        <v>354</v>
      </c>
      <c r="J296" s="12" t="s">
        <v>46</v>
      </c>
      <c r="K296" s="10" t="s">
        <v>485</v>
      </c>
      <c r="L296" s="16" t="s">
        <v>45</v>
      </c>
      <c r="M296" s="16" t="s">
        <v>45</v>
      </c>
      <c r="N296" s="16" t="s">
        <v>45</v>
      </c>
      <c r="O296" s="10" t="s">
        <v>320</v>
      </c>
      <c r="P296" s="9" t="str">
        <f t="shared" si="1"/>
        <v>N/I</v>
      </c>
      <c r="Q296" s="9" t="str">
        <f t="shared" si="2"/>
        <v>N/I</v>
      </c>
      <c r="R296" s="9" t="str">
        <f t="shared" si="3"/>
        <v>N/I</v>
      </c>
    </row>
    <row r="297">
      <c r="A297" s="11" t="s">
        <v>531</v>
      </c>
      <c r="B297" s="11" t="s">
        <v>594</v>
      </c>
      <c r="C297" s="12" t="s">
        <v>94</v>
      </c>
      <c r="D297" s="34" t="s">
        <v>595</v>
      </c>
      <c r="E297" s="10" t="s">
        <v>390</v>
      </c>
      <c r="F297" s="10" t="s">
        <v>599</v>
      </c>
      <c r="G297" s="12" t="s">
        <v>596</v>
      </c>
      <c r="H297" s="10" t="s">
        <v>283</v>
      </c>
      <c r="I297" s="16" t="s">
        <v>45</v>
      </c>
      <c r="J297" s="12" t="s">
        <v>46</v>
      </c>
      <c r="K297" s="10" t="s">
        <v>226</v>
      </c>
      <c r="L297" s="16" t="s">
        <v>45</v>
      </c>
      <c r="M297" s="10" t="s">
        <v>49</v>
      </c>
      <c r="N297" s="16" t="s">
        <v>45</v>
      </c>
      <c r="O297" s="10" t="s">
        <v>320</v>
      </c>
      <c r="P297" s="9" t="str">
        <f t="shared" si="1"/>
        <v>N/I</v>
      </c>
      <c r="Q297" s="9" t="str">
        <f t="shared" si="2"/>
        <v>N/I</v>
      </c>
      <c r="R297" s="9" t="str">
        <f t="shared" si="3"/>
        <v>N/I</v>
      </c>
    </row>
    <row r="298">
      <c r="A298" s="11" t="s">
        <v>531</v>
      </c>
      <c r="B298" s="11" t="s">
        <v>600</v>
      </c>
      <c r="C298" s="12" t="s">
        <v>52</v>
      </c>
      <c r="D298" s="27" t="s">
        <v>601</v>
      </c>
      <c r="E298" s="10" t="s">
        <v>538</v>
      </c>
      <c r="F298" s="10" t="s">
        <v>537</v>
      </c>
      <c r="G298" s="12" t="s">
        <v>602</v>
      </c>
      <c r="H298" s="10" t="s">
        <v>262</v>
      </c>
      <c r="I298" s="10" t="s">
        <v>354</v>
      </c>
      <c r="J298" s="12" t="s">
        <v>46</v>
      </c>
      <c r="K298" s="10" t="s">
        <v>485</v>
      </c>
      <c r="L298" s="16" t="s">
        <v>45</v>
      </c>
      <c r="M298" s="16" t="s">
        <v>45</v>
      </c>
      <c r="N298" s="16" t="s">
        <v>45</v>
      </c>
      <c r="O298" s="10" t="s">
        <v>50</v>
      </c>
      <c r="P298" s="9" t="str">
        <f t="shared" si="1"/>
        <v>N/I</v>
      </c>
      <c r="Q298" s="9" t="str">
        <f t="shared" si="2"/>
        <v>N/I</v>
      </c>
      <c r="R298" s="9" t="str">
        <f t="shared" si="3"/>
        <v>N/I</v>
      </c>
    </row>
    <row r="299">
      <c r="A299" s="11" t="s">
        <v>531</v>
      </c>
      <c r="B299" s="11" t="s">
        <v>600</v>
      </c>
      <c r="C299" s="12" t="s">
        <v>52</v>
      </c>
      <c r="D299" s="27" t="s">
        <v>605</v>
      </c>
      <c r="E299" s="10" t="s">
        <v>538</v>
      </c>
      <c r="F299" s="10" t="s">
        <v>537</v>
      </c>
      <c r="G299" s="12" t="s">
        <v>602</v>
      </c>
      <c r="H299" s="10" t="s">
        <v>262</v>
      </c>
      <c r="I299" s="10" t="s">
        <v>354</v>
      </c>
      <c r="J299" s="12" t="s">
        <v>46</v>
      </c>
      <c r="K299" s="10" t="s">
        <v>485</v>
      </c>
      <c r="L299" s="16" t="s">
        <v>45</v>
      </c>
      <c r="M299" s="16" t="s">
        <v>45</v>
      </c>
      <c r="N299" s="16" t="s">
        <v>45</v>
      </c>
      <c r="O299" s="10" t="s">
        <v>50</v>
      </c>
      <c r="P299" s="9" t="str">
        <f t="shared" si="1"/>
        <v>N/I</v>
      </c>
      <c r="Q299" s="9" t="str">
        <f t="shared" si="2"/>
        <v>N/I</v>
      </c>
      <c r="R299" s="9" t="str">
        <f t="shared" si="3"/>
        <v>N/I</v>
      </c>
    </row>
    <row r="300">
      <c r="A300" s="11" t="s">
        <v>531</v>
      </c>
      <c r="B300" s="11" t="s">
        <v>600</v>
      </c>
      <c r="C300" s="12" t="s">
        <v>58</v>
      </c>
      <c r="D300" s="27" t="s">
        <v>606</v>
      </c>
      <c r="E300" s="10" t="s">
        <v>538</v>
      </c>
      <c r="F300" s="10" t="s">
        <v>537</v>
      </c>
      <c r="G300" s="12" t="s">
        <v>602</v>
      </c>
      <c r="H300" s="10" t="s">
        <v>262</v>
      </c>
      <c r="I300" s="10" t="s">
        <v>354</v>
      </c>
      <c r="J300" s="12" t="s">
        <v>46</v>
      </c>
      <c r="K300" s="10" t="s">
        <v>485</v>
      </c>
      <c r="L300" s="16" t="s">
        <v>45</v>
      </c>
      <c r="M300" s="16" t="s">
        <v>45</v>
      </c>
      <c r="N300" s="16" t="s">
        <v>45</v>
      </c>
      <c r="O300" s="10" t="s">
        <v>50</v>
      </c>
      <c r="P300" s="9" t="str">
        <f t="shared" si="1"/>
        <v>N/I</v>
      </c>
      <c r="Q300" s="9" t="str">
        <f t="shared" si="2"/>
        <v>N/I</v>
      </c>
      <c r="R300" s="9" t="str">
        <f t="shared" si="3"/>
        <v>N/I</v>
      </c>
    </row>
    <row r="301">
      <c r="A301" s="11" t="s">
        <v>531</v>
      </c>
      <c r="B301" s="11" t="s">
        <v>600</v>
      </c>
      <c r="C301" s="12" t="s">
        <v>52</v>
      </c>
      <c r="D301" s="25" t="s">
        <v>187</v>
      </c>
      <c r="E301" s="10" t="s">
        <v>538</v>
      </c>
      <c r="F301" s="10" t="s">
        <v>537</v>
      </c>
      <c r="G301" s="12" t="s">
        <v>602</v>
      </c>
      <c r="H301" s="10" t="s">
        <v>262</v>
      </c>
      <c r="I301" s="10" t="s">
        <v>354</v>
      </c>
      <c r="J301" s="12" t="s">
        <v>46</v>
      </c>
      <c r="K301" s="10" t="s">
        <v>485</v>
      </c>
      <c r="L301" s="16" t="s">
        <v>45</v>
      </c>
      <c r="M301" s="16" t="s">
        <v>45</v>
      </c>
      <c r="N301" s="16" t="s">
        <v>45</v>
      </c>
      <c r="O301" s="10" t="s">
        <v>50</v>
      </c>
      <c r="P301" s="9" t="str">
        <f t="shared" si="1"/>
        <v>N/I</v>
      </c>
      <c r="Q301" s="9" t="str">
        <f t="shared" si="2"/>
        <v>N/I</v>
      </c>
      <c r="R301" s="9" t="str">
        <f t="shared" si="3"/>
        <v>N/I</v>
      </c>
    </row>
    <row r="302">
      <c r="A302" s="11" t="s">
        <v>558</v>
      </c>
      <c r="B302" s="11" t="s">
        <v>607</v>
      </c>
      <c r="C302" s="12" t="s">
        <v>94</v>
      </c>
      <c r="D302" s="42" t="s">
        <v>608</v>
      </c>
      <c r="E302" s="10" t="s">
        <v>538</v>
      </c>
      <c r="F302" s="10" t="s">
        <v>544</v>
      </c>
      <c r="G302" s="12" t="s">
        <v>609</v>
      </c>
      <c r="H302" s="10" t="s">
        <v>610</v>
      </c>
      <c r="I302" s="10" t="s">
        <v>354</v>
      </c>
      <c r="J302" s="12" t="s">
        <v>46</v>
      </c>
      <c r="K302" s="10" t="s">
        <v>485</v>
      </c>
      <c r="L302" s="16" t="s">
        <v>45</v>
      </c>
      <c r="M302" s="16" t="s">
        <v>45</v>
      </c>
      <c r="N302" s="16" t="s">
        <v>45</v>
      </c>
      <c r="O302" s="10" t="s">
        <v>320</v>
      </c>
      <c r="P302" s="9" t="str">
        <f t="shared" si="1"/>
        <v>N/I</v>
      </c>
      <c r="Q302" s="9" t="str">
        <f t="shared" si="2"/>
        <v>N/I</v>
      </c>
      <c r="R302" s="9" t="str">
        <f t="shared" si="3"/>
        <v>N/I</v>
      </c>
    </row>
    <row r="303">
      <c r="A303" s="11" t="s">
        <v>531</v>
      </c>
      <c r="B303" s="11" t="s">
        <v>613</v>
      </c>
      <c r="C303" s="12" t="s">
        <v>52</v>
      </c>
      <c r="D303" s="27" t="s">
        <v>614</v>
      </c>
      <c r="E303" s="10" t="s">
        <v>538</v>
      </c>
      <c r="F303" s="10" t="s">
        <v>537</v>
      </c>
      <c r="G303" s="12" t="s">
        <v>615</v>
      </c>
      <c r="H303" s="10" t="s">
        <v>521</v>
      </c>
      <c r="I303" s="10" t="s">
        <v>354</v>
      </c>
      <c r="J303" s="12" t="s">
        <v>46</v>
      </c>
      <c r="K303" s="10" t="s">
        <v>485</v>
      </c>
      <c r="L303" s="16" t="s">
        <v>45</v>
      </c>
      <c r="M303" s="16" t="s">
        <v>45</v>
      </c>
      <c r="N303" s="16" t="s">
        <v>45</v>
      </c>
      <c r="O303" s="10" t="s">
        <v>50</v>
      </c>
      <c r="P303" s="9" t="str">
        <f t="shared" si="1"/>
        <v>N/I</v>
      </c>
      <c r="Q303" s="9" t="str">
        <f t="shared" si="2"/>
        <v>N/I</v>
      </c>
      <c r="R303" s="9" t="str">
        <f t="shared" si="3"/>
        <v>N/I</v>
      </c>
    </row>
    <row r="304">
      <c r="A304" s="11" t="s">
        <v>531</v>
      </c>
      <c r="B304" s="11" t="s">
        <v>613</v>
      </c>
      <c r="C304" s="12" t="s">
        <v>58</v>
      </c>
      <c r="D304" s="27" t="s">
        <v>618</v>
      </c>
      <c r="E304" s="10" t="s">
        <v>538</v>
      </c>
      <c r="F304" s="10" t="s">
        <v>537</v>
      </c>
      <c r="G304" s="12" t="s">
        <v>615</v>
      </c>
      <c r="H304" s="10" t="s">
        <v>521</v>
      </c>
      <c r="I304" s="10" t="s">
        <v>354</v>
      </c>
      <c r="J304" s="12" t="s">
        <v>46</v>
      </c>
      <c r="K304" s="10" t="s">
        <v>485</v>
      </c>
      <c r="L304" s="16" t="s">
        <v>45</v>
      </c>
      <c r="M304" s="16" t="s">
        <v>45</v>
      </c>
      <c r="N304" s="16" t="s">
        <v>45</v>
      </c>
      <c r="O304" s="10" t="s">
        <v>50</v>
      </c>
      <c r="P304" s="9" t="str">
        <f t="shared" si="1"/>
        <v>N/I</v>
      </c>
      <c r="Q304" s="9" t="str">
        <f t="shared" si="2"/>
        <v>N/I</v>
      </c>
      <c r="R304" s="9" t="str">
        <f t="shared" si="3"/>
        <v>N/I</v>
      </c>
    </row>
    <row r="305">
      <c r="A305" s="11" t="s">
        <v>558</v>
      </c>
      <c r="B305" s="11" t="s">
        <v>619</v>
      </c>
      <c r="C305" s="12" t="s">
        <v>94</v>
      </c>
      <c r="D305" s="42" t="s">
        <v>620</v>
      </c>
      <c r="E305" s="10" t="s">
        <v>538</v>
      </c>
      <c r="F305" s="10" t="s">
        <v>544</v>
      </c>
      <c r="G305" s="12" t="s">
        <v>621</v>
      </c>
      <c r="H305" s="10" t="s">
        <v>132</v>
      </c>
      <c r="I305" s="10" t="s">
        <v>354</v>
      </c>
      <c r="J305" s="12" t="s">
        <v>46</v>
      </c>
      <c r="K305" s="10" t="s">
        <v>485</v>
      </c>
      <c r="L305" s="16" t="s">
        <v>45</v>
      </c>
      <c r="M305" s="16" t="s">
        <v>45</v>
      </c>
      <c r="N305" s="16" t="s">
        <v>45</v>
      </c>
      <c r="O305" s="10" t="s">
        <v>320</v>
      </c>
      <c r="P305" s="9" t="str">
        <f t="shared" si="1"/>
        <v>N/I</v>
      </c>
      <c r="Q305" s="9" t="str">
        <f t="shared" si="2"/>
        <v>N/I</v>
      </c>
      <c r="R305" s="9" t="str">
        <f t="shared" si="3"/>
        <v>N/I</v>
      </c>
    </row>
    <row r="306">
      <c r="A306" s="11" t="s">
        <v>558</v>
      </c>
      <c r="B306" s="11" t="s">
        <v>619</v>
      </c>
      <c r="C306" s="12" t="s">
        <v>58</v>
      </c>
      <c r="D306" s="42" t="s">
        <v>624</v>
      </c>
      <c r="E306" s="10" t="s">
        <v>538</v>
      </c>
      <c r="F306" s="10" t="s">
        <v>544</v>
      </c>
      <c r="G306" s="12" t="s">
        <v>621</v>
      </c>
      <c r="H306" s="10" t="s">
        <v>132</v>
      </c>
      <c r="I306" s="10" t="s">
        <v>354</v>
      </c>
      <c r="J306" s="12" t="s">
        <v>46</v>
      </c>
      <c r="K306" s="10" t="s">
        <v>485</v>
      </c>
      <c r="L306" s="16" t="s">
        <v>45</v>
      </c>
      <c r="M306" s="16" t="s">
        <v>45</v>
      </c>
      <c r="N306" s="16" t="s">
        <v>45</v>
      </c>
      <c r="O306" s="10" t="s">
        <v>320</v>
      </c>
      <c r="P306" s="9" t="str">
        <f t="shared" si="1"/>
        <v>N/I</v>
      </c>
      <c r="Q306" s="9" t="str">
        <f t="shared" si="2"/>
        <v>N/I</v>
      </c>
      <c r="R306" s="9" t="str">
        <f t="shared" si="3"/>
        <v>N/I</v>
      </c>
    </row>
    <row r="307">
      <c r="A307" s="11" t="s">
        <v>531</v>
      </c>
      <c r="B307" s="11" t="s">
        <v>625</v>
      </c>
      <c r="C307" s="12" t="s">
        <v>52</v>
      </c>
      <c r="D307" s="42" t="s">
        <v>626</v>
      </c>
      <c r="E307" s="10" t="s">
        <v>538</v>
      </c>
      <c r="F307" s="10" t="s">
        <v>568</v>
      </c>
      <c r="G307" s="12" t="s">
        <v>627</v>
      </c>
      <c r="H307" s="10" t="s">
        <v>283</v>
      </c>
      <c r="I307" s="10" t="s">
        <v>354</v>
      </c>
      <c r="J307" s="12" t="s">
        <v>355</v>
      </c>
      <c r="K307" s="10" t="s">
        <v>485</v>
      </c>
      <c r="L307" s="16" t="s">
        <v>45</v>
      </c>
      <c r="M307" s="16" t="s">
        <v>45</v>
      </c>
      <c r="N307" s="16" t="s">
        <v>45</v>
      </c>
      <c r="O307" s="16" t="s">
        <v>45</v>
      </c>
      <c r="P307" s="9" t="str">
        <f t="shared" si="1"/>
        <v>N/I</v>
      </c>
      <c r="Q307" s="9" t="str">
        <f t="shared" si="2"/>
        <v>N/I</v>
      </c>
      <c r="R307" s="9" t="str">
        <f t="shared" si="3"/>
        <v>N/I</v>
      </c>
    </row>
    <row r="308">
      <c r="A308" s="11" t="s">
        <v>531</v>
      </c>
      <c r="B308" s="11" t="s">
        <v>625</v>
      </c>
      <c r="C308" s="12" t="s">
        <v>79</v>
      </c>
      <c r="D308" s="42" t="s">
        <v>630</v>
      </c>
      <c r="E308" s="10" t="s">
        <v>538</v>
      </c>
      <c r="F308" s="10" t="s">
        <v>568</v>
      </c>
      <c r="G308" s="12" t="s">
        <v>627</v>
      </c>
      <c r="H308" s="10" t="s">
        <v>283</v>
      </c>
      <c r="I308" s="10" t="s">
        <v>354</v>
      </c>
      <c r="J308" s="12" t="s">
        <v>355</v>
      </c>
      <c r="K308" s="10" t="s">
        <v>485</v>
      </c>
      <c r="L308" s="16" t="s">
        <v>45</v>
      </c>
      <c r="M308" s="16" t="s">
        <v>45</v>
      </c>
      <c r="N308" s="16" t="s">
        <v>45</v>
      </c>
      <c r="O308" s="16" t="s">
        <v>45</v>
      </c>
      <c r="P308" s="9" t="str">
        <f t="shared" si="1"/>
        <v>N/I</v>
      </c>
      <c r="Q308" s="9" t="str">
        <f t="shared" si="2"/>
        <v>N/I</v>
      </c>
      <c r="R308" s="9" t="str">
        <f t="shared" si="3"/>
        <v>N/I</v>
      </c>
    </row>
    <row r="309">
      <c r="A309" s="11" t="s">
        <v>531</v>
      </c>
      <c r="B309" s="11" t="s">
        <v>625</v>
      </c>
      <c r="C309" s="12" t="s">
        <v>52</v>
      </c>
      <c r="D309" s="42" t="s">
        <v>631</v>
      </c>
      <c r="E309" s="10" t="s">
        <v>538</v>
      </c>
      <c r="F309" s="10" t="s">
        <v>568</v>
      </c>
      <c r="G309" s="12" t="s">
        <v>627</v>
      </c>
      <c r="H309" s="10" t="s">
        <v>283</v>
      </c>
      <c r="I309" s="10" t="s">
        <v>354</v>
      </c>
      <c r="J309" s="12" t="s">
        <v>46</v>
      </c>
      <c r="K309" s="10" t="s">
        <v>485</v>
      </c>
      <c r="L309" s="16" t="s">
        <v>45</v>
      </c>
      <c r="M309" s="16" t="s">
        <v>45</v>
      </c>
      <c r="N309" s="16" t="s">
        <v>45</v>
      </c>
      <c r="O309" s="10" t="s">
        <v>50</v>
      </c>
      <c r="P309" s="9" t="str">
        <f t="shared" si="1"/>
        <v>N/I</v>
      </c>
      <c r="Q309" s="9" t="str">
        <f t="shared" si="2"/>
        <v>N/I</v>
      </c>
      <c r="R309" s="9" t="str">
        <f t="shared" si="3"/>
        <v>N/I</v>
      </c>
    </row>
    <row r="310">
      <c r="A310" s="11" t="s">
        <v>531</v>
      </c>
      <c r="B310" s="11" t="s">
        <v>625</v>
      </c>
      <c r="C310" s="12" t="s">
        <v>52</v>
      </c>
      <c r="D310" s="42" t="s">
        <v>632</v>
      </c>
      <c r="E310" s="10" t="s">
        <v>538</v>
      </c>
      <c r="F310" s="10" t="s">
        <v>568</v>
      </c>
      <c r="G310" s="12" t="s">
        <v>627</v>
      </c>
      <c r="H310" s="10" t="s">
        <v>283</v>
      </c>
      <c r="I310" s="10" t="s">
        <v>354</v>
      </c>
      <c r="J310" s="12" t="s">
        <v>46</v>
      </c>
      <c r="K310" s="10" t="s">
        <v>485</v>
      </c>
      <c r="L310" s="16" t="s">
        <v>45</v>
      </c>
      <c r="M310" s="16" t="s">
        <v>45</v>
      </c>
      <c r="N310" s="16" t="s">
        <v>45</v>
      </c>
      <c r="O310" s="10" t="s">
        <v>50</v>
      </c>
      <c r="P310" s="9" t="str">
        <f t="shared" si="1"/>
        <v>N/I</v>
      </c>
      <c r="Q310" s="9" t="str">
        <f t="shared" si="2"/>
        <v>N/I</v>
      </c>
      <c r="R310" s="9" t="str">
        <f t="shared" si="3"/>
        <v>N/I</v>
      </c>
    </row>
    <row r="311">
      <c r="A311" s="11" t="s">
        <v>531</v>
      </c>
      <c r="B311" s="11" t="s">
        <v>625</v>
      </c>
      <c r="C311" s="12" t="s">
        <v>52</v>
      </c>
      <c r="D311" s="42" t="s">
        <v>633</v>
      </c>
      <c r="E311" s="10" t="s">
        <v>538</v>
      </c>
      <c r="F311" s="10" t="s">
        <v>568</v>
      </c>
      <c r="G311" s="12" t="s">
        <v>627</v>
      </c>
      <c r="H311" s="10" t="s">
        <v>283</v>
      </c>
      <c r="I311" s="10" t="s">
        <v>354</v>
      </c>
      <c r="J311" s="12" t="s">
        <v>46</v>
      </c>
      <c r="K311" s="10" t="s">
        <v>485</v>
      </c>
      <c r="L311" s="16" t="s">
        <v>45</v>
      </c>
      <c r="M311" s="16" t="s">
        <v>45</v>
      </c>
      <c r="N311" s="16" t="s">
        <v>45</v>
      </c>
      <c r="O311" s="10" t="s">
        <v>50</v>
      </c>
      <c r="P311" s="9" t="str">
        <f t="shared" si="1"/>
        <v>N/I</v>
      </c>
      <c r="Q311" s="9" t="str">
        <f t="shared" si="2"/>
        <v>N/I</v>
      </c>
      <c r="R311" s="9" t="str">
        <f t="shared" si="3"/>
        <v>N/I</v>
      </c>
    </row>
    <row r="312">
      <c r="A312" s="11" t="s">
        <v>531</v>
      </c>
      <c r="B312" s="11" t="s">
        <v>625</v>
      </c>
      <c r="C312" s="12" t="s">
        <v>52</v>
      </c>
      <c r="D312" s="42" t="s">
        <v>634</v>
      </c>
      <c r="E312" s="10" t="s">
        <v>538</v>
      </c>
      <c r="F312" s="10" t="s">
        <v>568</v>
      </c>
      <c r="G312" s="12" t="s">
        <v>627</v>
      </c>
      <c r="H312" s="10" t="s">
        <v>283</v>
      </c>
      <c r="I312" s="10" t="s">
        <v>354</v>
      </c>
      <c r="J312" s="12" t="s">
        <v>46</v>
      </c>
      <c r="K312" s="10" t="s">
        <v>485</v>
      </c>
      <c r="L312" s="16" t="s">
        <v>45</v>
      </c>
      <c r="M312" s="16" t="s">
        <v>45</v>
      </c>
      <c r="N312" s="16" t="s">
        <v>45</v>
      </c>
      <c r="O312" s="10" t="s">
        <v>50</v>
      </c>
      <c r="P312" s="9" t="str">
        <f t="shared" si="1"/>
        <v>N/I</v>
      </c>
      <c r="Q312" s="9" t="str">
        <f t="shared" si="2"/>
        <v>N/I</v>
      </c>
      <c r="R312" s="9" t="str">
        <f t="shared" si="3"/>
        <v>N/I</v>
      </c>
    </row>
    <row r="313">
      <c r="A313" s="11" t="s">
        <v>531</v>
      </c>
      <c r="B313" s="11" t="s">
        <v>625</v>
      </c>
      <c r="C313" s="12" t="s">
        <v>52</v>
      </c>
      <c r="D313" s="27" t="s">
        <v>635</v>
      </c>
      <c r="E313" s="10" t="s">
        <v>538</v>
      </c>
      <c r="F313" s="10" t="s">
        <v>537</v>
      </c>
      <c r="G313" s="12" t="s">
        <v>627</v>
      </c>
      <c r="H313" s="10" t="s">
        <v>283</v>
      </c>
      <c r="I313" s="10" t="s">
        <v>354</v>
      </c>
      <c r="J313" s="12" t="s">
        <v>46</v>
      </c>
      <c r="K313" s="10" t="s">
        <v>485</v>
      </c>
      <c r="L313" s="16" t="s">
        <v>45</v>
      </c>
      <c r="M313" s="16" t="s">
        <v>45</v>
      </c>
      <c r="N313" s="16" t="s">
        <v>45</v>
      </c>
      <c r="O313" s="10" t="s">
        <v>50</v>
      </c>
      <c r="P313" s="9" t="str">
        <f t="shared" si="1"/>
        <v>N/I</v>
      </c>
      <c r="Q313" s="9" t="str">
        <f t="shared" si="2"/>
        <v>N/I</v>
      </c>
      <c r="R313" s="9" t="str">
        <f t="shared" si="3"/>
        <v>N/I</v>
      </c>
    </row>
    <row r="314">
      <c r="A314" s="11" t="s">
        <v>531</v>
      </c>
      <c r="B314" s="11" t="s">
        <v>625</v>
      </c>
      <c r="C314" s="12" t="s">
        <v>52</v>
      </c>
      <c r="D314" s="27" t="s">
        <v>637</v>
      </c>
      <c r="E314" s="10" t="s">
        <v>538</v>
      </c>
      <c r="F314" s="10" t="s">
        <v>537</v>
      </c>
      <c r="G314" s="12" t="s">
        <v>627</v>
      </c>
      <c r="H314" s="10" t="s">
        <v>283</v>
      </c>
      <c r="I314" s="10" t="s">
        <v>354</v>
      </c>
      <c r="J314" s="12" t="s">
        <v>46</v>
      </c>
      <c r="K314" s="10" t="s">
        <v>485</v>
      </c>
      <c r="L314" s="16" t="s">
        <v>45</v>
      </c>
      <c r="M314" s="16" t="s">
        <v>45</v>
      </c>
      <c r="N314" s="16" t="s">
        <v>45</v>
      </c>
      <c r="O314" s="10" t="s">
        <v>50</v>
      </c>
      <c r="P314" s="9" t="str">
        <f t="shared" si="1"/>
        <v>N/I</v>
      </c>
      <c r="Q314" s="9" t="str">
        <f t="shared" si="2"/>
        <v>N/I</v>
      </c>
      <c r="R314" s="9" t="str">
        <f t="shared" si="3"/>
        <v>N/I</v>
      </c>
    </row>
    <row r="315">
      <c r="A315" s="11" t="s">
        <v>531</v>
      </c>
      <c r="B315" s="11" t="s">
        <v>625</v>
      </c>
      <c r="C315" s="12" t="s">
        <v>58</v>
      </c>
      <c r="D315" s="27" t="s">
        <v>638</v>
      </c>
      <c r="E315" s="10" t="s">
        <v>538</v>
      </c>
      <c r="F315" s="10" t="s">
        <v>537</v>
      </c>
      <c r="G315" s="12" t="s">
        <v>627</v>
      </c>
      <c r="H315" s="10" t="s">
        <v>283</v>
      </c>
      <c r="I315" s="10" t="s">
        <v>354</v>
      </c>
      <c r="J315" s="12" t="s">
        <v>46</v>
      </c>
      <c r="K315" s="10" t="s">
        <v>485</v>
      </c>
      <c r="L315" s="16" t="s">
        <v>45</v>
      </c>
      <c r="M315" s="16" t="s">
        <v>45</v>
      </c>
      <c r="N315" s="16" t="s">
        <v>45</v>
      </c>
      <c r="O315" s="10" t="s">
        <v>50</v>
      </c>
      <c r="P315" s="9" t="str">
        <f t="shared" si="1"/>
        <v>N/I</v>
      </c>
      <c r="Q315" s="9" t="str">
        <f t="shared" si="2"/>
        <v>N/I</v>
      </c>
      <c r="R315" s="9" t="str">
        <f t="shared" si="3"/>
        <v>N/I</v>
      </c>
    </row>
    <row r="316">
      <c r="A316" s="11" t="s">
        <v>531</v>
      </c>
      <c r="B316" s="11" t="s">
        <v>625</v>
      </c>
      <c r="C316" s="12" t="s">
        <v>52</v>
      </c>
      <c r="D316" s="27" t="s">
        <v>639</v>
      </c>
      <c r="E316" s="10" t="s">
        <v>538</v>
      </c>
      <c r="F316" s="10" t="s">
        <v>537</v>
      </c>
      <c r="G316" s="12" t="s">
        <v>627</v>
      </c>
      <c r="H316" s="10" t="s">
        <v>283</v>
      </c>
      <c r="I316" s="10" t="s">
        <v>354</v>
      </c>
      <c r="J316" s="12" t="s">
        <v>46</v>
      </c>
      <c r="K316" s="10" t="s">
        <v>485</v>
      </c>
      <c r="L316" s="16" t="s">
        <v>45</v>
      </c>
      <c r="M316" s="16" t="s">
        <v>45</v>
      </c>
      <c r="N316" s="16" t="s">
        <v>45</v>
      </c>
      <c r="O316" s="10" t="s">
        <v>50</v>
      </c>
      <c r="P316" s="9" t="str">
        <f t="shared" si="1"/>
        <v>N/I</v>
      </c>
      <c r="Q316" s="9" t="str">
        <f t="shared" si="2"/>
        <v>N/I</v>
      </c>
      <c r="R316" s="9" t="str">
        <f t="shared" si="3"/>
        <v>N/I</v>
      </c>
    </row>
    <row r="317">
      <c r="A317" s="11" t="s">
        <v>531</v>
      </c>
      <c r="B317" s="11" t="s">
        <v>625</v>
      </c>
      <c r="C317" s="12" t="s">
        <v>52</v>
      </c>
      <c r="D317" s="27" t="s">
        <v>640</v>
      </c>
      <c r="E317" s="10" t="s">
        <v>538</v>
      </c>
      <c r="F317" s="10" t="s">
        <v>537</v>
      </c>
      <c r="G317" s="12" t="s">
        <v>627</v>
      </c>
      <c r="H317" s="10" t="s">
        <v>283</v>
      </c>
      <c r="I317" s="10" t="s">
        <v>354</v>
      </c>
      <c r="J317" s="12" t="s">
        <v>46</v>
      </c>
      <c r="K317" s="10" t="s">
        <v>485</v>
      </c>
      <c r="L317" s="16" t="s">
        <v>45</v>
      </c>
      <c r="M317" s="16" t="s">
        <v>45</v>
      </c>
      <c r="N317" s="16" t="s">
        <v>45</v>
      </c>
      <c r="O317" s="10" t="s">
        <v>50</v>
      </c>
      <c r="P317" s="9" t="str">
        <f t="shared" si="1"/>
        <v>N/I</v>
      </c>
      <c r="Q317" s="9" t="str">
        <f t="shared" si="2"/>
        <v>N/I</v>
      </c>
      <c r="R317" s="9" t="str">
        <f t="shared" si="3"/>
        <v>N/I</v>
      </c>
    </row>
    <row r="318">
      <c r="A318" s="11" t="s">
        <v>558</v>
      </c>
      <c r="B318" s="11" t="s">
        <v>641</v>
      </c>
      <c r="C318" s="12" t="s">
        <v>58</v>
      </c>
      <c r="D318" s="42" t="s">
        <v>642</v>
      </c>
      <c r="E318" s="10" t="s">
        <v>538</v>
      </c>
      <c r="F318" s="10" t="s">
        <v>544</v>
      </c>
      <c r="G318" s="12" t="s">
        <v>643</v>
      </c>
      <c r="H318" s="10" t="s">
        <v>583</v>
      </c>
      <c r="I318" s="10" t="s">
        <v>354</v>
      </c>
      <c r="J318" s="12" t="s">
        <v>46</v>
      </c>
      <c r="K318" s="10" t="s">
        <v>485</v>
      </c>
      <c r="L318" s="16" t="s">
        <v>45</v>
      </c>
      <c r="M318" s="16" t="s">
        <v>45</v>
      </c>
      <c r="N318" s="16" t="s">
        <v>45</v>
      </c>
      <c r="O318" s="10" t="s">
        <v>320</v>
      </c>
      <c r="P318" s="9" t="str">
        <f t="shared" si="1"/>
        <v>N/I</v>
      </c>
      <c r="Q318" s="9" t="str">
        <f t="shared" si="2"/>
        <v>N/I</v>
      </c>
      <c r="R318" s="9" t="str">
        <f t="shared" si="3"/>
        <v>N/I</v>
      </c>
    </row>
    <row r="319">
      <c r="A319" s="11" t="s">
        <v>558</v>
      </c>
      <c r="B319" s="11" t="s">
        <v>641</v>
      </c>
      <c r="C319" s="12" t="s">
        <v>58</v>
      </c>
      <c r="D319" s="42" t="s">
        <v>646</v>
      </c>
      <c r="E319" s="10" t="s">
        <v>538</v>
      </c>
      <c r="F319" s="10" t="s">
        <v>537</v>
      </c>
      <c r="G319" s="12" t="s">
        <v>643</v>
      </c>
      <c r="H319" s="10" t="s">
        <v>583</v>
      </c>
      <c r="I319" s="10" t="s">
        <v>354</v>
      </c>
      <c r="J319" s="12" t="s">
        <v>46</v>
      </c>
      <c r="K319" s="10" t="s">
        <v>485</v>
      </c>
      <c r="L319" s="16" t="s">
        <v>45</v>
      </c>
      <c r="M319" s="16" t="s">
        <v>45</v>
      </c>
      <c r="N319" s="16" t="s">
        <v>45</v>
      </c>
      <c r="O319" s="10" t="s">
        <v>50</v>
      </c>
      <c r="P319" s="9" t="str">
        <f t="shared" si="1"/>
        <v>N/I</v>
      </c>
      <c r="Q319" s="9" t="str">
        <f t="shared" si="2"/>
        <v>N/I</v>
      </c>
      <c r="R319" s="9" t="str">
        <f t="shared" si="3"/>
        <v>N/I</v>
      </c>
    </row>
    <row r="320">
      <c r="A320" s="11" t="s">
        <v>558</v>
      </c>
      <c r="B320" s="11" t="s">
        <v>641</v>
      </c>
      <c r="C320" s="12" t="s">
        <v>52</v>
      </c>
      <c r="D320" s="42" t="s">
        <v>647</v>
      </c>
      <c r="E320" s="10" t="s">
        <v>538</v>
      </c>
      <c r="F320" s="10" t="s">
        <v>537</v>
      </c>
      <c r="G320" s="12" t="s">
        <v>643</v>
      </c>
      <c r="H320" s="10" t="s">
        <v>583</v>
      </c>
      <c r="I320" s="10" t="s">
        <v>354</v>
      </c>
      <c r="J320" s="12" t="s">
        <v>46</v>
      </c>
      <c r="K320" s="10" t="s">
        <v>485</v>
      </c>
      <c r="L320" s="16" t="s">
        <v>45</v>
      </c>
      <c r="M320" s="16" t="s">
        <v>45</v>
      </c>
      <c r="N320" s="16" t="s">
        <v>45</v>
      </c>
      <c r="O320" s="10" t="s">
        <v>50</v>
      </c>
      <c r="P320" s="9" t="str">
        <f t="shared" si="1"/>
        <v>N/I</v>
      </c>
      <c r="Q320" s="9" t="str">
        <f t="shared" si="2"/>
        <v>N/I</v>
      </c>
      <c r="R320" s="9" t="str">
        <f t="shared" si="3"/>
        <v>N/I</v>
      </c>
    </row>
    <row r="321">
      <c r="A321" s="11" t="s">
        <v>558</v>
      </c>
      <c r="B321" s="11" t="s">
        <v>641</v>
      </c>
      <c r="C321" s="12" t="s">
        <v>52</v>
      </c>
      <c r="D321" s="42" t="s">
        <v>648</v>
      </c>
      <c r="E321" s="10" t="s">
        <v>538</v>
      </c>
      <c r="F321" s="10" t="s">
        <v>537</v>
      </c>
      <c r="G321" s="12" t="s">
        <v>643</v>
      </c>
      <c r="H321" s="10" t="s">
        <v>583</v>
      </c>
      <c r="I321" s="10" t="s">
        <v>354</v>
      </c>
      <c r="J321" s="12" t="s">
        <v>46</v>
      </c>
      <c r="K321" s="10" t="s">
        <v>485</v>
      </c>
      <c r="L321" s="16" t="s">
        <v>45</v>
      </c>
      <c r="M321" s="16" t="s">
        <v>45</v>
      </c>
      <c r="N321" s="16" t="s">
        <v>45</v>
      </c>
      <c r="O321" s="10" t="s">
        <v>50</v>
      </c>
      <c r="P321" s="9" t="str">
        <f t="shared" si="1"/>
        <v>N/I</v>
      </c>
      <c r="Q321" s="9" t="str">
        <f t="shared" si="2"/>
        <v>N/I</v>
      </c>
      <c r="R321" s="9" t="str">
        <f t="shared" si="3"/>
        <v>N/I</v>
      </c>
    </row>
    <row r="322">
      <c r="A322" s="11" t="s">
        <v>558</v>
      </c>
      <c r="B322" s="11" t="s">
        <v>641</v>
      </c>
      <c r="C322" s="12" t="s">
        <v>52</v>
      </c>
      <c r="D322" s="25" t="s">
        <v>187</v>
      </c>
      <c r="E322" s="10" t="s">
        <v>538</v>
      </c>
      <c r="F322" s="10" t="s">
        <v>537</v>
      </c>
      <c r="G322" s="12" t="s">
        <v>643</v>
      </c>
      <c r="H322" s="10" t="s">
        <v>583</v>
      </c>
      <c r="I322" s="10" t="s">
        <v>354</v>
      </c>
      <c r="J322" s="12" t="s">
        <v>46</v>
      </c>
      <c r="K322" s="10" t="s">
        <v>485</v>
      </c>
      <c r="L322" s="16" t="s">
        <v>45</v>
      </c>
      <c r="M322" s="16" t="s">
        <v>45</v>
      </c>
      <c r="N322" s="16" t="s">
        <v>45</v>
      </c>
      <c r="O322" s="10" t="s">
        <v>50</v>
      </c>
      <c r="P322" s="9" t="str">
        <f t="shared" si="1"/>
        <v>N/I</v>
      </c>
      <c r="Q322" s="9" t="str">
        <f t="shared" si="2"/>
        <v>N/I</v>
      </c>
      <c r="R322" s="9" t="str">
        <f t="shared" si="3"/>
        <v>N/I</v>
      </c>
    </row>
    <row r="323">
      <c r="A323" s="11" t="s">
        <v>558</v>
      </c>
      <c r="B323" s="11" t="s">
        <v>649</v>
      </c>
      <c r="C323" s="12" t="s">
        <v>58</v>
      </c>
      <c r="D323" s="42" t="s">
        <v>650</v>
      </c>
      <c r="E323" s="10" t="s">
        <v>538</v>
      </c>
      <c r="F323" s="10" t="s">
        <v>544</v>
      </c>
      <c r="G323" s="12" t="s">
        <v>651</v>
      </c>
      <c r="H323" s="10" t="s">
        <v>652</v>
      </c>
      <c r="I323" s="10" t="s">
        <v>354</v>
      </c>
      <c r="J323" s="12" t="s">
        <v>46</v>
      </c>
      <c r="K323" s="10" t="s">
        <v>485</v>
      </c>
      <c r="L323" s="16" t="s">
        <v>45</v>
      </c>
      <c r="M323" s="16" t="s">
        <v>45</v>
      </c>
      <c r="N323" s="16" t="s">
        <v>45</v>
      </c>
      <c r="O323" s="10" t="s">
        <v>320</v>
      </c>
      <c r="P323" s="9" t="str">
        <f t="shared" si="1"/>
        <v>N/I</v>
      </c>
      <c r="Q323" s="9" t="str">
        <f t="shared" si="2"/>
        <v>N/I</v>
      </c>
      <c r="R323" s="9" t="str">
        <f t="shared" si="3"/>
        <v>N/I</v>
      </c>
    </row>
    <row r="324">
      <c r="A324" s="11" t="s">
        <v>558</v>
      </c>
      <c r="B324" s="11" t="s">
        <v>649</v>
      </c>
      <c r="C324" s="12" t="s">
        <v>94</v>
      </c>
      <c r="D324" s="42" t="s">
        <v>655</v>
      </c>
      <c r="E324" s="10" t="s">
        <v>538</v>
      </c>
      <c r="F324" s="10" t="s">
        <v>544</v>
      </c>
      <c r="G324" s="12" t="s">
        <v>651</v>
      </c>
      <c r="H324" s="10" t="s">
        <v>652</v>
      </c>
      <c r="I324" s="10" t="s">
        <v>354</v>
      </c>
      <c r="J324" s="12" t="s">
        <v>46</v>
      </c>
      <c r="K324" s="10" t="s">
        <v>485</v>
      </c>
      <c r="L324" s="16" t="s">
        <v>45</v>
      </c>
      <c r="M324" s="16" t="s">
        <v>45</v>
      </c>
      <c r="N324" s="16" t="s">
        <v>45</v>
      </c>
      <c r="O324" s="10" t="s">
        <v>320</v>
      </c>
      <c r="P324" s="9" t="str">
        <f t="shared" si="1"/>
        <v>N/I</v>
      </c>
      <c r="Q324" s="9" t="str">
        <f t="shared" si="2"/>
        <v>N/I</v>
      </c>
      <c r="R324" s="9" t="str">
        <f t="shared" si="3"/>
        <v>N/I</v>
      </c>
    </row>
    <row r="325">
      <c r="A325" s="11" t="s">
        <v>657</v>
      </c>
      <c r="B325" s="11" t="s">
        <v>658</v>
      </c>
      <c r="C325" s="12" t="s">
        <v>502</v>
      </c>
      <c r="D325" s="27" t="s">
        <v>659</v>
      </c>
      <c r="E325" s="10" t="s">
        <v>291</v>
      </c>
      <c r="F325" s="10" t="s">
        <v>663</v>
      </c>
      <c r="G325" s="12" t="s">
        <v>660</v>
      </c>
      <c r="H325" s="10" t="s">
        <v>216</v>
      </c>
      <c r="I325" s="16" t="s">
        <v>45</v>
      </c>
      <c r="J325" s="10" t="s">
        <v>318</v>
      </c>
      <c r="K325" s="10" t="s">
        <v>319</v>
      </c>
      <c r="L325" s="16" t="s">
        <v>45</v>
      </c>
      <c r="M325" s="10" t="s">
        <v>49</v>
      </c>
      <c r="N325" s="10" t="s">
        <v>664</v>
      </c>
      <c r="O325" s="10" t="s">
        <v>320</v>
      </c>
      <c r="P325" s="9" t="str">
        <f t="shared" si="1"/>
        <v>N/I</v>
      </c>
      <c r="Q325" s="9" t="str">
        <f t="shared" si="2"/>
        <v>N/I</v>
      </c>
      <c r="R325" s="9" t="str">
        <f t="shared" si="3"/>
        <v>N/I</v>
      </c>
    </row>
    <row r="326">
      <c r="A326" s="11" t="s">
        <v>665</v>
      </c>
      <c r="B326" s="11" t="s">
        <v>666</v>
      </c>
      <c r="C326" s="12" t="s">
        <v>502</v>
      </c>
      <c r="D326" s="23" t="s">
        <v>667</v>
      </c>
      <c r="E326" s="16" t="s">
        <v>45</v>
      </c>
      <c r="F326" s="10" t="s">
        <v>671</v>
      </c>
      <c r="G326" s="12" t="s">
        <v>668</v>
      </c>
      <c r="H326" s="10" t="s">
        <v>216</v>
      </c>
      <c r="I326" s="16" t="s">
        <v>45</v>
      </c>
      <c r="J326" s="16" t="s">
        <v>45</v>
      </c>
      <c r="K326" s="16" t="s">
        <v>45</v>
      </c>
      <c r="L326" s="16" t="s">
        <v>45</v>
      </c>
      <c r="M326" s="16" t="s">
        <v>45</v>
      </c>
      <c r="N326" s="16" t="s">
        <v>45</v>
      </c>
      <c r="O326" s="10" t="s">
        <v>50</v>
      </c>
      <c r="P326" s="9" t="str">
        <f t="shared" si="1"/>
        <v>N/I</v>
      </c>
      <c r="Q326" s="9" t="str">
        <f t="shared" si="2"/>
        <v>N/I</v>
      </c>
      <c r="R326" s="9" t="str">
        <f t="shared" si="3"/>
        <v>N/I</v>
      </c>
    </row>
    <row r="327">
      <c r="A327" s="11" t="s">
        <v>673</v>
      </c>
      <c r="B327" s="11" t="s">
        <v>674</v>
      </c>
      <c r="C327" s="12" t="s">
        <v>675</v>
      </c>
      <c r="D327" s="20" t="s">
        <v>676</v>
      </c>
      <c r="E327" s="16" t="s">
        <v>45</v>
      </c>
      <c r="F327" s="10" t="s">
        <v>679</v>
      </c>
      <c r="G327" s="12" t="s">
        <v>370</v>
      </c>
      <c r="H327" s="10" t="s">
        <v>89</v>
      </c>
      <c r="I327" s="10" t="s">
        <v>680</v>
      </c>
      <c r="J327" s="12" t="s">
        <v>46</v>
      </c>
      <c r="K327" s="10" t="s">
        <v>680</v>
      </c>
      <c r="L327" s="16" t="s">
        <v>45</v>
      </c>
      <c r="M327" s="10" t="s">
        <v>49</v>
      </c>
      <c r="N327" s="10" t="s">
        <v>48</v>
      </c>
      <c r="O327" s="10" t="s">
        <v>320</v>
      </c>
      <c r="P327" s="9" t="str">
        <f t="shared" si="1"/>
        <v>N/I</v>
      </c>
      <c r="Q327" s="9" t="str">
        <f t="shared" si="2"/>
        <v>N/I</v>
      </c>
      <c r="R327" s="9" t="str">
        <f t="shared" si="3"/>
        <v>N/I</v>
      </c>
    </row>
    <row r="328">
      <c r="A328" s="11" t="s">
        <v>682</v>
      </c>
      <c r="B328" s="11" t="s">
        <v>683</v>
      </c>
      <c r="C328" s="12" t="s">
        <v>55</v>
      </c>
      <c r="D328" s="20" t="s">
        <v>684</v>
      </c>
      <c r="E328" s="16" t="s">
        <v>45</v>
      </c>
      <c r="F328" s="10" t="s">
        <v>688</v>
      </c>
      <c r="G328" s="12" t="s">
        <v>685</v>
      </c>
      <c r="H328" s="10" t="s">
        <v>197</v>
      </c>
      <c r="I328" s="16" t="s">
        <v>45</v>
      </c>
      <c r="J328" s="16" t="s">
        <v>45</v>
      </c>
      <c r="K328" s="16" t="s">
        <v>45</v>
      </c>
      <c r="L328" s="16" t="s">
        <v>45</v>
      </c>
      <c r="M328" s="16" t="s">
        <v>45</v>
      </c>
      <c r="N328" s="16" t="s">
        <v>45</v>
      </c>
      <c r="O328" s="10" t="s">
        <v>50</v>
      </c>
      <c r="P328" s="9" t="str">
        <f t="shared" si="1"/>
        <v>N/I</v>
      </c>
      <c r="Q328" s="9" t="str">
        <f t="shared" si="2"/>
        <v>N/I</v>
      </c>
      <c r="R328" s="9" t="str">
        <f t="shared" si="3"/>
        <v>N/I</v>
      </c>
    </row>
    <row r="329">
      <c r="A329" s="11" t="s">
        <v>682</v>
      </c>
      <c r="B329" s="11" t="s">
        <v>683</v>
      </c>
      <c r="C329" s="12" t="s">
        <v>254</v>
      </c>
      <c r="D329" s="20" t="s">
        <v>689</v>
      </c>
      <c r="E329" s="16" t="s">
        <v>45</v>
      </c>
      <c r="F329" s="10" t="s">
        <v>688</v>
      </c>
      <c r="G329" s="12" t="s">
        <v>685</v>
      </c>
      <c r="H329" s="10" t="s">
        <v>197</v>
      </c>
      <c r="I329" s="16" t="s">
        <v>45</v>
      </c>
      <c r="J329" s="16" t="s">
        <v>45</v>
      </c>
      <c r="K329" s="16" t="s">
        <v>45</v>
      </c>
      <c r="L329" s="16" t="s">
        <v>45</v>
      </c>
      <c r="M329" s="16" t="s">
        <v>45</v>
      </c>
      <c r="N329" s="16" t="s">
        <v>45</v>
      </c>
      <c r="O329" s="10" t="s">
        <v>50</v>
      </c>
      <c r="P329" s="9" t="str">
        <f t="shared" si="1"/>
        <v>N/I</v>
      </c>
      <c r="Q329" s="9" t="str">
        <f t="shared" si="2"/>
        <v>N/I</v>
      </c>
      <c r="R329" s="9" t="str">
        <f t="shared" si="3"/>
        <v>N/I</v>
      </c>
    </row>
    <row r="330">
      <c r="A330" s="11" t="s">
        <v>691</v>
      </c>
      <c r="B330" s="11" t="s">
        <v>692</v>
      </c>
      <c r="C330" s="12" t="s">
        <v>94</v>
      </c>
      <c r="D330" s="13" t="s">
        <v>693</v>
      </c>
      <c r="E330" s="10" t="s">
        <v>291</v>
      </c>
      <c r="F330" s="10" t="s">
        <v>696</v>
      </c>
      <c r="G330" s="12" t="s">
        <v>246</v>
      </c>
      <c r="H330" s="10" t="s">
        <v>247</v>
      </c>
      <c r="I330" s="16" t="s">
        <v>45</v>
      </c>
      <c r="J330" s="10" t="s">
        <v>318</v>
      </c>
      <c r="K330" s="10" t="s">
        <v>319</v>
      </c>
      <c r="L330" s="16" t="s">
        <v>45</v>
      </c>
      <c r="M330" s="10" t="s">
        <v>49</v>
      </c>
      <c r="N330" s="10" t="s">
        <v>664</v>
      </c>
      <c r="O330" s="10" t="s">
        <v>320</v>
      </c>
      <c r="P330" s="9" t="str">
        <f t="shared" si="1"/>
        <v>N/I</v>
      </c>
      <c r="Q330" s="9" t="str">
        <f t="shared" si="2"/>
        <v>N/I</v>
      </c>
      <c r="R330" s="9" t="str">
        <f t="shared" si="3"/>
        <v>N/I</v>
      </c>
    </row>
    <row r="331">
      <c r="A331" s="11" t="s">
        <v>691</v>
      </c>
      <c r="B331" s="11" t="s">
        <v>692</v>
      </c>
      <c r="C331" s="12" t="s">
        <v>94</v>
      </c>
      <c r="D331" s="13" t="s">
        <v>697</v>
      </c>
      <c r="E331" s="10" t="s">
        <v>291</v>
      </c>
      <c r="F331" s="10" t="s">
        <v>696</v>
      </c>
      <c r="G331" s="12" t="s">
        <v>246</v>
      </c>
      <c r="H331" s="10" t="s">
        <v>247</v>
      </c>
      <c r="I331" s="16" t="s">
        <v>45</v>
      </c>
      <c r="J331" s="10" t="s">
        <v>318</v>
      </c>
      <c r="K331" s="10" t="s">
        <v>319</v>
      </c>
      <c r="L331" s="16" t="s">
        <v>45</v>
      </c>
      <c r="M331" s="10" t="s">
        <v>49</v>
      </c>
      <c r="N331" s="10" t="s">
        <v>664</v>
      </c>
      <c r="O331" s="10" t="s">
        <v>320</v>
      </c>
      <c r="P331" s="9" t="str">
        <f t="shared" si="1"/>
        <v>N/I</v>
      </c>
      <c r="Q331" s="9" t="str">
        <f t="shared" si="2"/>
        <v>N/I</v>
      </c>
      <c r="R331" s="9" t="str">
        <f t="shared" si="3"/>
        <v>N/I</v>
      </c>
    </row>
    <row r="332">
      <c r="A332" s="11" t="s">
        <v>691</v>
      </c>
      <c r="B332" s="11" t="s">
        <v>692</v>
      </c>
      <c r="C332" s="12" t="s">
        <v>94</v>
      </c>
      <c r="D332" s="13" t="s">
        <v>698</v>
      </c>
      <c r="E332" s="10" t="s">
        <v>291</v>
      </c>
      <c r="F332" s="10" t="s">
        <v>696</v>
      </c>
      <c r="G332" s="12" t="s">
        <v>246</v>
      </c>
      <c r="H332" s="10" t="s">
        <v>247</v>
      </c>
      <c r="I332" s="16" t="s">
        <v>45</v>
      </c>
      <c r="J332" s="10" t="s">
        <v>318</v>
      </c>
      <c r="K332" s="10" t="s">
        <v>319</v>
      </c>
      <c r="L332" s="16" t="s">
        <v>45</v>
      </c>
      <c r="M332" s="10" t="s">
        <v>49</v>
      </c>
      <c r="N332" s="10" t="s">
        <v>664</v>
      </c>
      <c r="O332" s="10" t="s">
        <v>320</v>
      </c>
      <c r="P332" s="9" t="str">
        <f t="shared" si="1"/>
        <v>N/I</v>
      </c>
      <c r="Q332" s="9" t="str">
        <f t="shared" si="2"/>
        <v>N/I</v>
      </c>
      <c r="R332" s="9" t="str">
        <f t="shared" si="3"/>
        <v>N/I</v>
      </c>
    </row>
    <row r="333">
      <c r="A333" s="11" t="s">
        <v>700</v>
      </c>
      <c r="B333" s="11" t="s">
        <v>701</v>
      </c>
      <c r="C333" s="12" t="s">
        <v>448</v>
      </c>
      <c r="D333" s="27" t="s">
        <v>702</v>
      </c>
      <c r="E333" s="10" t="s">
        <v>291</v>
      </c>
      <c r="F333" s="10" t="s">
        <v>705</v>
      </c>
      <c r="G333" s="12" t="s">
        <v>246</v>
      </c>
      <c r="H333" s="10" t="s">
        <v>247</v>
      </c>
      <c r="I333" s="10" t="s">
        <v>706</v>
      </c>
      <c r="J333" s="12" t="s">
        <v>355</v>
      </c>
      <c r="K333" s="10" t="s">
        <v>227</v>
      </c>
      <c r="L333" s="16" t="s">
        <v>45</v>
      </c>
      <c r="M333" s="10" t="s">
        <v>49</v>
      </c>
      <c r="N333" s="16" t="s">
        <v>45</v>
      </c>
      <c r="O333" s="16" t="s">
        <v>45</v>
      </c>
      <c r="P333" s="9" t="str">
        <f t="shared" si="1"/>
        <v>N/I</v>
      </c>
      <c r="Q333" s="9" t="str">
        <f t="shared" si="2"/>
        <v>N/I</v>
      </c>
      <c r="R333" s="9" t="str">
        <f t="shared" si="3"/>
        <v>N/I</v>
      </c>
    </row>
    <row r="334">
      <c r="A334" s="11" t="s">
        <v>700</v>
      </c>
      <c r="B334" s="11" t="s">
        <v>701</v>
      </c>
      <c r="C334" s="12" t="s">
        <v>448</v>
      </c>
      <c r="D334" s="27" t="s">
        <v>707</v>
      </c>
      <c r="E334" s="10" t="s">
        <v>291</v>
      </c>
      <c r="F334" s="10" t="s">
        <v>705</v>
      </c>
      <c r="G334" s="12" t="s">
        <v>246</v>
      </c>
      <c r="H334" s="10" t="s">
        <v>247</v>
      </c>
      <c r="I334" s="10" t="s">
        <v>706</v>
      </c>
      <c r="J334" s="12" t="s">
        <v>355</v>
      </c>
      <c r="K334" s="10" t="s">
        <v>227</v>
      </c>
      <c r="L334" s="16" t="s">
        <v>45</v>
      </c>
      <c r="M334" s="10" t="s">
        <v>49</v>
      </c>
      <c r="N334" s="16" t="s">
        <v>45</v>
      </c>
      <c r="O334" s="16" t="s">
        <v>45</v>
      </c>
      <c r="P334" s="9" t="str">
        <f t="shared" si="1"/>
        <v>N/I</v>
      </c>
      <c r="Q334" s="9" t="str">
        <f t="shared" si="2"/>
        <v>N/I</v>
      </c>
      <c r="R334" s="9" t="str">
        <f t="shared" si="3"/>
        <v>N/I</v>
      </c>
    </row>
    <row r="335">
      <c r="A335" s="11" t="s">
        <v>709</v>
      </c>
      <c r="B335" s="11" t="s">
        <v>710</v>
      </c>
      <c r="C335" s="12" t="s">
        <v>711</v>
      </c>
      <c r="D335" s="13" t="s">
        <v>712</v>
      </c>
      <c r="E335" s="10" t="s">
        <v>342</v>
      </c>
      <c r="F335" s="10" t="s">
        <v>716</v>
      </c>
      <c r="G335" s="12" t="s">
        <v>713</v>
      </c>
      <c r="H335" s="10" t="s">
        <v>283</v>
      </c>
      <c r="I335" s="10" t="s">
        <v>354</v>
      </c>
      <c r="J335" s="10" t="s">
        <v>318</v>
      </c>
      <c r="K335" s="10" t="s">
        <v>717</v>
      </c>
      <c r="L335" s="10" t="s">
        <v>291</v>
      </c>
      <c r="M335" s="10" t="s">
        <v>49</v>
      </c>
      <c r="N335" s="16" t="s">
        <v>45</v>
      </c>
      <c r="O335" s="10" t="s">
        <v>50</v>
      </c>
      <c r="P335" s="9" t="str">
        <f t="shared" si="1"/>
        <v>N/I</v>
      </c>
      <c r="Q335" s="9" t="str">
        <f t="shared" si="2"/>
        <v>N/I</v>
      </c>
      <c r="R335" s="9" t="str">
        <f t="shared" si="3"/>
        <v>N/I</v>
      </c>
    </row>
    <row r="336">
      <c r="A336" s="11" t="s">
        <v>709</v>
      </c>
      <c r="B336" s="11" t="s">
        <v>718</v>
      </c>
      <c r="C336" s="12" t="s">
        <v>52</v>
      </c>
      <c r="D336" s="13" t="s">
        <v>719</v>
      </c>
      <c r="E336" s="10" t="s">
        <v>342</v>
      </c>
      <c r="F336" s="10" t="s">
        <v>716</v>
      </c>
      <c r="G336" s="12" t="s">
        <v>720</v>
      </c>
      <c r="H336" s="10" t="s">
        <v>721</v>
      </c>
      <c r="I336" s="10" t="s">
        <v>354</v>
      </c>
      <c r="J336" s="10" t="s">
        <v>318</v>
      </c>
      <c r="K336" s="10" t="s">
        <v>717</v>
      </c>
      <c r="L336" s="10" t="s">
        <v>291</v>
      </c>
      <c r="M336" s="10" t="s">
        <v>49</v>
      </c>
      <c r="N336" s="16" t="s">
        <v>45</v>
      </c>
      <c r="O336" s="10" t="s">
        <v>50</v>
      </c>
      <c r="P336" s="9" t="str">
        <f t="shared" si="1"/>
        <v>N/I</v>
      </c>
      <c r="Q336" s="9" t="str">
        <f t="shared" si="2"/>
        <v>N/I</v>
      </c>
      <c r="R336" s="9" t="str">
        <f t="shared" si="3"/>
        <v>N/I</v>
      </c>
    </row>
    <row r="337">
      <c r="A337" s="11" t="s">
        <v>709</v>
      </c>
      <c r="B337" s="11" t="s">
        <v>724</v>
      </c>
      <c r="C337" s="12" t="s">
        <v>52</v>
      </c>
      <c r="D337" s="13" t="s">
        <v>725</v>
      </c>
      <c r="E337" s="10" t="s">
        <v>342</v>
      </c>
      <c r="F337" s="10" t="s">
        <v>716</v>
      </c>
      <c r="G337" s="12" t="s">
        <v>131</v>
      </c>
      <c r="H337" s="10" t="s">
        <v>132</v>
      </c>
      <c r="I337" s="10" t="s">
        <v>354</v>
      </c>
      <c r="J337" s="10" t="s">
        <v>318</v>
      </c>
      <c r="K337" s="10" t="s">
        <v>717</v>
      </c>
      <c r="L337" s="10" t="s">
        <v>291</v>
      </c>
      <c r="M337" s="10" t="s">
        <v>49</v>
      </c>
      <c r="N337" s="16" t="s">
        <v>45</v>
      </c>
      <c r="O337" s="10" t="s">
        <v>50</v>
      </c>
      <c r="P337" s="9" t="str">
        <f t="shared" si="1"/>
        <v>N/I</v>
      </c>
      <c r="Q337" s="9" t="str">
        <f t="shared" si="2"/>
        <v>N/I</v>
      </c>
      <c r="R337" s="9" t="str">
        <f t="shared" si="3"/>
        <v>N/I</v>
      </c>
    </row>
    <row r="338">
      <c r="A338" s="11" t="s">
        <v>709</v>
      </c>
      <c r="B338" s="11" t="s">
        <v>724</v>
      </c>
      <c r="C338" s="12" t="s">
        <v>711</v>
      </c>
      <c r="D338" s="13" t="s">
        <v>728</v>
      </c>
      <c r="E338" s="10" t="s">
        <v>342</v>
      </c>
      <c r="F338" s="10" t="s">
        <v>716</v>
      </c>
      <c r="G338" s="12" t="s">
        <v>131</v>
      </c>
      <c r="H338" s="10" t="s">
        <v>132</v>
      </c>
      <c r="I338" s="10" t="s">
        <v>354</v>
      </c>
      <c r="J338" s="10" t="s">
        <v>318</v>
      </c>
      <c r="K338" s="10" t="s">
        <v>717</v>
      </c>
      <c r="L338" s="10" t="s">
        <v>291</v>
      </c>
      <c r="M338" s="10" t="s">
        <v>49</v>
      </c>
      <c r="N338" s="16" t="s">
        <v>45</v>
      </c>
      <c r="O338" s="10" t="s">
        <v>50</v>
      </c>
      <c r="P338" s="9" t="str">
        <f t="shared" si="1"/>
        <v>N/I</v>
      </c>
      <c r="Q338" s="9" t="str">
        <f t="shared" si="2"/>
        <v>N/I</v>
      </c>
      <c r="R338" s="9" t="str">
        <f t="shared" si="3"/>
        <v>N/I</v>
      </c>
    </row>
    <row r="339">
      <c r="A339" s="11" t="s">
        <v>709</v>
      </c>
      <c r="B339" s="11" t="s">
        <v>729</v>
      </c>
      <c r="C339" s="12" t="s">
        <v>52</v>
      </c>
      <c r="D339" s="13" t="s">
        <v>730</v>
      </c>
      <c r="E339" s="10" t="s">
        <v>342</v>
      </c>
      <c r="F339" s="10" t="s">
        <v>716</v>
      </c>
      <c r="G339" s="12" t="s">
        <v>463</v>
      </c>
      <c r="H339" s="10" t="s">
        <v>222</v>
      </c>
      <c r="I339" s="10" t="s">
        <v>354</v>
      </c>
      <c r="J339" s="10" t="s">
        <v>318</v>
      </c>
      <c r="K339" s="10" t="s">
        <v>717</v>
      </c>
      <c r="L339" s="10" t="s">
        <v>291</v>
      </c>
      <c r="M339" s="10" t="s">
        <v>49</v>
      </c>
      <c r="N339" s="16" t="s">
        <v>45</v>
      </c>
      <c r="O339" s="10" t="s">
        <v>50</v>
      </c>
      <c r="P339" s="9" t="str">
        <f t="shared" si="1"/>
        <v>N/I</v>
      </c>
      <c r="Q339" s="9" t="str">
        <f t="shared" si="2"/>
        <v>N/I</v>
      </c>
      <c r="R339" s="9" t="str">
        <f t="shared" si="3"/>
        <v>N/I</v>
      </c>
    </row>
    <row r="340">
      <c r="A340" s="11" t="s">
        <v>709</v>
      </c>
      <c r="B340" s="11" t="s">
        <v>729</v>
      </c>
      <c r="C340" s="12" t="s">
        <v>711</v>
      </c>
      <c r="D340" s="13" t="s">
        <v>733</v>
      </c>
      <c r="E340" s="10" t="s">
        <v>342</v>
      </c>
      <c r="F340" s="10" t="s">
        <v>716</v>
      </c>
      <c r="G340" s="12" t="s">
        <v>463</v>
      </c>
      <c r="H340" s="10" t="s">
        <v>222</v>
      </c>
      <c r="I340" s="10" t="s">
        <v>354</v>
      </c>
      <c r="J340" s="10" t="s">
        <v>318</v>
      </c>
      <c r="K340" s="10" t="s">
        <v>717</v>
      </c>
      <c r="L340" s="10" t="s">
        <v>291</v>
      </c>
      <c r="M340" s="10" t="s">
        <v>49</v>
      </c>
      <c r="N340" s="16" t="s">
        <v>45</v>
      </c>
      <c r="O340" s="10" t="s">
        <v>50</v>
      </c>
      <c r="P340" s="9" t="str">
        <f t="shared" si="1"/>
        <v>N/I</v>
      </c>
      <c r="Q340" s="9" t="str">
        <f t="shared" si="2"/>
        <v>N/I</v>
      </c>
      <c r="R340" s="9" t="str">
        <f t="shared" si="3"/>
        <v>N/I</v>
      </c>
    </row>
    <row r="341">
      <c r="A341" s="11" t="s">
        <v>735</v>
      </c>
      <c r="B341" s="11" t="s">
        <v>736</v>
      </c>
      <c r="C341" s="12" t="s">
        <v>94</v>
      </c>
      <c r="D341" s="20" t="s">
        <v>737</v>
      </c>
      <c r="E341" s="10" t="s">
        <v>227</v>
      </c>
      <c r="F341" s="10" t="s">
        <v>741</v>
      </c>
      <c r="G341" s="12" t="s">
        <v>738</v>
      </c>
      <c r="H341" s="10" t="s">
        <v>222</v>
      </c>
      <c r="I341" s="10" t="s">
        <v>680</v>
      </c>
      <c r="J341" s="12" t="s">
        <v>355</v>
      </c>
      <c r="K341" s="16" t="s">
        <v>45</v>
      </c>
      <c r="L341" s="16" t="s">
        <v>45</v>
      </c>
      <c r="M341" s="16" t="s">
        <v>45</v>
      </c>
      <c r="N341" s="16" t="s">
        <v>45</v>
      </c>
      <c r="O341" s="10" t="s">
        <v>50</v>
      </c>
      <c r="P341" s="9" t="str">
        <f t="shared" si="1"/>
        <v>N/I</v>
      </c>
      <c r="Q341" s="9" t="str">
        <f t="shared" si="2"/>
        <v>N/I</v>
      </c>
      <c r="R341" s="9" t="str">
        <f t="shared" si="3"/>
        <v>N/I</v>
      </c>
    </row>
    <row r="342">
      <c r="A342" s="11" t="s">
        <v>735</v>
      </c>
      <c r="B342" s="11" t="s">
        <v>736</v>
      </c>
      <c r="C342" s="12" t="s">
        <v>94</v>
      </c>
      <c r="D342" s="20" t="s">
        <v>742</v>
      </c>
      <c r="E342" s="10" t="s">
        <v>227</v>
      </c>
      <c r="F342" s="10" t="s">
        <v>743</v>
      </c>
      <c r="G342" s="12" t="s">
        <v>738</v>
      </c>
      <c r="H342" s="10" t="s">
        <v>222</v>
      </c>
      <c r="I342" s="10" t="s">
        <v>680</v>
      </c>
      <c r="J342" s="12" t="s">
        <v>355</v>
      </c>
      <c r="K342" s="16" t="s">
        <v>45</v>
      </c>
      <c r="L342" s="16" t="s">
        <v>45</v>
      </c>
      <c r="M342" s="16" t="s">
        <v>45</v>
      </c>
      <c r="N342" s="16" t="s">
        <v>45</v>
      </c>
      <c r="O342" s="10" t="s">
        <v>50</v>
      </c>
      <c r="P342" s="9" t="str">
        <f t="shared" si="1"/>
        <v>N/I</v>
      </c>
      <c r="Q342" s="9" t="str">
        <f t="shared" si="2"/>
        <v>N/I</v>
      </c>
      <c r="R342" s="9" t="str">
        <f t="shared" si="3"/>
        <v>N/I</v>
      </c>
    </row>
    <row r="343">
      <c r="A343" s="11" t="s">
        <v>735</v>
      </c>
      <c r="B343" s="11" t="s">
        <v>736</v>
      </c>
      <c r="C343" s="12" t="s">
        <v>94</v>
      </c>
      <c r="D343" s="20" t="s">
        <v>744</v>
      </c>
      <c r="E343" s="10" t="s">
        <v>227</v>
      </c>
      <c r="F343" s="10" t="s">
        <v>747</v>
      </c>
      <c r="G343" s="12" t="s">
        <v>738</v>
      </c>
      <c r="H343" s="10" t="s">
        <v>222</v>
      </c>
      <c r="I343" s="10" t="s">
        <v>680</v>
      </c>
      <c r="J343" s="12" t="s">
        <v>355</v>
      </c>
      <c r="K343" s="10" t="s">
        <v>226</v>
      </c>
      <c r="L343" s="16" t="s">
        <v>45</v>
      </c>
      <c r="M343" s="16" t="s">
        <v>45</v>
      </c>
      <c r="N343" s="16" t="s">
        <v>45</v>
      </c>
      <c r="O343" s="10" t="s">
        <v>50</v>
      </c>
      <c r="P343" s="9" t="str">
        <f t="shared" si="1"/>
        <v>N/I</v>
      </c>
      <c r="Q343" s="9" t="str">
        <f t="shared" si="2"/>
        <v>N/I</v>
      </c>
      <c r="R343" s="9" t="str">
        <f t="shared" si="3"/>
        <v>N/I</v>
      </c>
    </row>
    <row r="344">
      <c r="A344" s="11" t="s">
        <v>735</v>
      </c>
      <c r="B344" s="11" t="s">
        <v>736</v>
      </c>
      <c r="C344" s="12" t="s">
        <v>94</v>
      </c>
      <c r="D344" s="19" t="s">
        <v>748</v>
      </c>
      <c r="E344" s="10" t="s">
        <v>227</v>
      </c>
      <c r="F344" s="10" t="s">
        <v>749</v>
      </c>
      <c r="G344" s="12" t="s">
        <v>738</v>
      </c>
      <c r="H344" s="10" t="s">
        <v>222</v>
      </c>
      <c r="I344" s="10" t="s">
        <v>680</v>
      </c>
      <c r="J344" s="12" t="s">
        <v>355</v>
      </c>
      <c r="K344" s="10" t="s">
        <v>226</v>
      </c>
      <c r="L344" s="16" t="s">
        <v>45</v>
      </c>
      <c r="M344" s="16" t="s">
        <v>45</v>
      </c>
      <c r="N344" s="16" t="s">
        <v>45</v>
      </c>
      <c r="O344" s="10" t="s">
        <v>50</v>
      </c>
      <c r="P344" s="9" t="str">
        <f t="shared" si="1"/>
        <v>N/I</v>
      </c>
      <c r="Q344" s="9" t="str">
        <f t="shared" si="2"/>
        <v>N/I</v>
      </c>
      <c r="R344" s="9" t="str">
        <f t="shared" si="3"/>
        <v>N/I</v>
      </c>
    </row>
    <row r="345">
      <c r="A345" s="11" t="s">
        <v>735</v>
      </c>
      <c r="B345" s="11" t="s">
        <v>736</v>
      </c>
      <c r="C345" s="12" t="s">
        <v>94</v>
      </c>
      <c r="D345" s="27" t="s">
        <v>750</v>
      </c>
      <c r="E345" s="16" t="s">
        <v>45</v>
      </c>
      <c r="F345" s="10" t="s">
        <v>751</v>
      </c>
      <c r="G345" s="12" t="s">
        <v>738</v>
      </c>
      <c r="H345" s="10" t="s">
        <v>222</v>
      </c>
      <c r="I345" s="16" t="s">
        <v>45</v>
      </c>
      <c r="J345" s="16" t="s">
        <v>45</v>
      </c>
      <c r="K345" s="16" t="s">
        <v>45</v>
      </c>
      <c r="L345" s="16" t="s">
        <v>45</v>
      </c>
      <c r="M345" s="16" t="s">
        <v>45</v>
      </c>
      <c r="N345" s="16" t="s">
        <v>45</v>
      </c>
      <c r="O345" s="10" t="s">
        <v>50</v>
      </c>
      <c r="P345" s="9" t="str">
        <f t="shared" si="1"/>
        <v>N/I</v>
      </c>
      <c r="Q345" s="9" t="str">
        <f t="shared" si="2"/>
        <v>N/I</v>
      </c>
      <c r="R345" s="9" t="str">
        <f t="shared" si="3"/>
        <v>N/I</v>
      </c>
    </row>
    <row r="346">
      <c r="A346" s="11" t="s">
        <v>735</v>
      </c>
      <c r="B346" s="11" t="s">
        <v>736</v>
      </c>
      <c r="C346" s="12" t="s">
        <v>94</v>
      </c>
      <c r="D346" s="27" t="s">
        <v>752</v>
      </c>
      <c r="E346" s="16" t="s">
        <v>45</v>
      </c>
      <c r="F346" s="10" t="s">
        <v>751</v>
      </c>
      <c r="G346" s="12" t="s">
        <v>738</v>
      </c>
      <c r="H346" s="10" t="s">
        <v>222</v>
      </c>
      <c r="I346" s="16" t="s">
        <v>45</v>
      </c>
      <c r="J346" s="16" t="s">
        <v>45</v>
      </c>
      <c r="K346" s="16" t="s">
        <v>45</v>
      </c>
      <c r="L346" s="16" t="s">
        <v>45</v>
      </c>
      <c r="M346" s="16" t="s">
        <v>45</v>
      </c>
      <c r="N346" s="16" t="s">
        <v>45</v>
      </c>
      <c r="O346" s="10" t="s">
        <v>50</v>
      </c>
      <c r="P346" s="9" t="str">
        <f t="shared" si="1"/>
        <v>N/I</v>
      </c>
      <c r="Q346" s="9" t="str">
        <f t="shared" si="2"/>
        <v>N/I</v>
      </c>
      <c r="R346" s="9" t="str">
        <f t="shared" si="3"/>
        <v>N/I</v>
      </c>
    </row>
    <row r="347">
      <c r="A347" s="11" t="s">
        <v>735</v>
      </c>
      <c r="B347" s="11" t="s">
        <v>736</v>
      </c>
      <c r="C347" s="12" t="s">
        <v>94</v>
      </c>
      <c r="D347" s="27" t="s">
        <v>753</v>
      </c>
      <c r="E347" s="16" t="s">
        <v>45</v>
      </c>
      <c r="F347" s="10" t="s">
        <v>751</v>
      </c>
      <c r="G347" s="12" t="s">
        <v>738</v>
      </c>
      <c r="H347" s="10" t="s">
        <v>222</v>
      </c>
      <c r="I347" s="16" t="s">
        <v>45</v>
      </c>
      <c r="J347" s="16" t="s">
        <v>45</v>
      </c>
      <c r="K347" s="16" t="s">
        <v>45</v>
      </c>
      <c r="L347" s="16" t="s">
        <v>45</v>
      </c>
      <c r="M347" s="16" t="s">
        <v>45</v>
      </c>
      <c r="N347" s="16" t="s">
        <v>45</v>
      </c>
      <c r="O347" s="10" t="s">
        <v>50</v>
      </c>
      <c r="P347" s="9" t="str">
        <f t="shared" si="1"/>
        <v>N/I</v>
      </c>
      <c r="Q347" s="9" t="str">
        <f t="shared" si="2"/>
        <v>N/I</v>
      </c>
      <c r="R347" s="9" t="str">
        <f t="shared" si="3"/>
        <v>N/I</v>
      </c>
    </row>
    <row r="348">
      <c r="A348" s="11" t="s">
        <v>735</v>
      </c>
      <c r="B348" s="11" t="s">
        <v>736</v>
      </c>
      <c r="C348" s="12" t="s">
        <v>94</v>
      </c>
      <c r="D348" s="19" t="s">
        <v>754</v>
      </c>
      <c r="E348" s="10" t="s">
        <v>227</v>
      </c>
      <c r="F348" s="10" t="s">
        <v>755</v>
      </c>
      <c r="G348" s="12" t="s">
        <v>738</v>
      </c>
      <c r="H348" s="10" t="s">
        <v>222</v>
      </c>
      <c r="I348" s="10" t="s">
        <v>680</v>
      </c>
      <c r="J348" s="12" t="s">
        <v>355</v>
      </c>
      <c r="K348" s="10" t="s">
        <v>226</v>
      </c>
      <c r="L348" s="16" t="s">
        <v>45</v>
      </c>
      <c r="M348" s="16" t="s">
        <v>45</v>
      </c>
      <c r="N348" s="16" t="s">
        <v>45</v>
      </c>
      <c r="O348" s="10" t="s">
        <v>50</v>
      </c>
      <c r="P348" s="9" t="str">
        <f t="shared" si="1"/>
        <v>N/I</v>
      </c>
      <c r="Q348" s="9" t="str">
        <f t="shared" si="2"/>
        <v>N/I</v>
      </c>
      <c r="R348" s="9" t="str">
        <f t="shared" si="3"/>
        <v>N/I</v>
      </c>
    </row>
    <row r="349">
      <c r="A349" s="11" t="s">
        <v>757</v>
      </c>
      <c r="B349" s="11" t="s">
        <v>758</v>
      </c>
      <c r="C349" s="12" t="s">
        <v>502</v>
      </c>
      <c r="D349" s="20" t="s">
        <v>759</v>
      </c>
      <c r="E349" s="10" t="s">
        <v>227</v>
      </c>
      <c r="F349" s="10" t="s">
        <v>763</v>
      </c>
      <c r="G349" s="12" t="s">
        <v>760</v>
      </c>
      <c r="H349" s="10" t="s">
        <v>521</v>
      </c>
      <c r="I349" s="10" t="s">
        <v>680</v>
      </c>
      <c r="J349" s="10" t="s">
        <v>318</v>
      </c>
      <c r="K349" s="10" t="s">
        <v>319</v>
      </c>
      <c r="L349" s="16" t="s">
        <v>45</v>
      </c>
      <c r="M349" s="10" t="s">
        <v>49</v>
      </c>
      <c r="N349" s="16" t="s">
        <v>45</v>
      </c>
      <c r="O349" s="10" t="s">
        <v>50</v>
      </c>
      <c r="P349" s="9" t="str">
        <f t="shared" si="1"/>
        <v>N/I</v>
      </c>
      <c r="Q349" s="9" t="str">
        <f t="shared" si="2"/>
        <v>N/I</v>
      </c>
      <c r="R349" s="9" t="str">
        <f t="shared" si="3"/>
        <v>N/I</v>
      </c>
    </row>
    <row r="350">
      <c r="A350" s="11" t="s">
        <v>765</v>
      </c>
      <c r="B350" s="11" t="s">
        <v>766</v>
      </c>
      <c r="C350" s="12" t="s">
        <v>52</v>
      </c>
      <c r="D350" s="27" t="s">
        <v>767</v>
      </c>
      <c r="E350" s="16" t="s">
        <v>45</v>
      </c>
      <c r="F350" s="10" t="s">
        <v>771</v>
      </c>
      <c r="G350" s="12" t="s">
        <v>768</v>
      </c>
      <c r="H350" s="10" t="s">
        <v>208</v>
      </c>
      <c r="I350" s="16" t="s">
        <v>45</v>
      </c>
      <c r="J350" s="16" t="s">
        <v>45</v>
      </c>
      <c r="K350" s="16" t="s">
        <v>45</v>
      </c>
      <c r="L350" s="16" t="s">
        <v>45</v>
      </c>
      <c r="M350" s="16" t="s">
        <v>45</v>
      </c>
      <c r="N350" s="16" t="s">
        <v>45</v>
      </c>
      <c r="O350" s="16" t="s">
        <v>45</v>
      </c>
      <c r="P350" s="9" t="str">
        <f t="shared" si="1"/>
        <v>N/I</v>
      </c>
      <c r="Q350" s="9" t="str">
        <f t="shared" si="2"/>
        <v>N/I</v>
      </c>
      <c r="R350" s="9" t="str">
        <f t="shared" si="3"/>
        <v>N/I</v>
      </c>
    </row>
    <row r="351">
      <c r="A351" s="11" t="s">
        <v>765</v>
      </c>
      <c r="B351" s="11" t="s">
        <v>772</v>
      </c>
      <c r="C351" s="12" t="s">
        <v>52</v>
      </c>
      <c r="D351" s="27" t="s">
        <v>773</v>
      </c>
      <c r="E351" s="16" t="s">
        <v>45</v>
      </c>
      <c r="F351" s="10" t="s">
        <v>776</v>
      </c>
      <c r="G351" s="12" t="s">
        <v>39</v>
      </c>
      <c r="H351" s="10" t="s">
        <v>40</v>
      </c>
      <c r="I351" s="16" t="s">
        <v>45</v>
      </c>
      <c r="J351" s="16" t="s">
        <v>45</v>
      </c>
      <c r="K351" s="16" t="s">
        <v>45</v>
      </c>
      <c r="L351" s="16" t="s">
        <v>45</v>
      </c>
      <c r="M351" s="16" t="s">
        <v>45</v>
      </c>
      <c r="N351" s="16" t="s">
        <v>45</v>
      </c>
      <c r="O351" s="16" t="s">
        <v>45</v>
      </c>
      <c r="P351" s="9" t="str">
        <f t="shared" si="1"/>
        <v>N/I</v>
      </c>
      <c r="Q351" s="9" t="str">
        <f t="shared" si="2"/>
        <v>N/I</v>
      </c>
      <c r="R351" s="9" t="str">
        <f t="shared" si="3"/>
        <v>N/I</v>
      </c>
    </row>
    <row r="352">
      <c r="A352" s="11" t="s">
        <v>765</v>
      </c>
      <c r="B352" s="11" t="s">
        <v>772</v>
      </c>
      <c r="C352" s="12" t="s">
        <v>68</v>
      </c>
      <c r="D352" s="27" t="s">
        <v>777</v>
      </c>
      <c r="E352" s="30" t="s">
        <v>780</v>
      </c>
      <c r="F352" s="12" t="s">
        <v>779</v>
      </c>
      <c r="G352" s="12" t="s">
        <v>39</v>
      </c>
      <c r="H352" s="10" t="s">
        <v>40</v>
      </c>
      <c r="I352" s="10" t="s">
        <v>706</v>
      </c>
      <c r="J352" s="30" t="s">
        <v>45</v>
      </c>
      <c r="K352" s="30" t="s">
        <v>45</v>
      </c>
      <c r="L352" s="30" t="s">
        <v>45</v>
      </c>
      <c r="M352" s="30" t="s">
        <v>780</v>
      </c>
      <c r="N352" s="30" t="s">
        <v>45</v>
      </c>
      <c r="O352" s="10" t="s">
        <v>320</v>
      </c>
      <c r="P352" s="9" t="str">
        <f t="shared" si="1"/>
        <v>N/I</v>
      </c>
      <c r="Q352" s="9" t="str">
        <f t="shared" si="2"/>
        <v>N/I</v>
      </c>
      <c r="R352" s="9" t="str">
        <f t="shared" si="3"/>
        <v>N/I</v>
      </c>
    </row>
    <row r="353">
      <c r="A353" s="11" t="s">
        <v>765</v>
      </c>
      <c r="B353" s="11" t="s">
        <v>772</v>
      </c>
      <c r="C353" s="12" t="s">
        <v>68</v>
      </c>
      <c r="D353" s="27" t="s">
        <v>781</v>
      </c>
      <c r="E353" s="30" t="s">
        <v>780</v>
      </c>
      <c r="F353" s="12" t="s">
        <v>779</v>
      </c>
      <c r="G353" s="12" t="s">
        <v>39</v>
      </c>
      <c r="H353" s="10" t="s">
        <v>40</v>
      </c>
      <c r="I353" s="10" t="s">
        <v>706</v>
      </c>
      <c r="J353" s="30" t="s">
        <v>45</v>
      </c>
      <c r="K353" s="30" t="s">
        <v>45</v>
      </c>
      <c r="L353" s="30" t="s">
        <v>45</v>
      </c>
      <c r="M353" s="30" t="s">
        <v>780</v>
      </c>
      <c r="N353" s="30" t="s">
        <v>45</v>
      </c>
      <c r="O353" s="10" t="s">
        <v>320</v>
      </c>
      <c r="P353" s="9" t="str">
        <f t="shared" si="1"/>
        <v>N/I</v>
      </c>
      <c r="Q353" s="9" t="str">
        <f t="shared" si="2"/>
        <v>N/I</v>
      </c>
      <c r="R353" s="9" t="str">
        <f t="shared" si="3"/>
        <v>N/I</v>
      </c>
    </row>
    <row r="354">
      <c r="A354" s="11" t="s">
        <v>765</v>
      </c>
      <c r="B354" s="11" t="s">
        <v>782</v>
      </c>
      <c r="C354" s="12" t="s">
        <v>52</v>
      </c>
      <c r="D354" s="27" t="s">
        <v>783</v>
      </c>
      <c r="E354" s="16" t="s">
        <v>45</v>
      </c>
      <c r="F354" s="10" t="s">
        <v>787</v>
      </c>
      <c r="G354" s="12" t="s">
        <v>784</v>
      </c>
      <c r="H354" s="10" t="s">
        <v>216</v>
      </c>
      <c r="I354" s="16" t="s">
        <v>45</v>
      </c>
      <c r="J354" s="16" t="s">
        <v>45</v>
      </c>
      <c r="K354" s="16" t="s">
        <v>45</v>
      </c>
      <c r="L354" s="16" t="s">
        <v>45</v>
      </c>
      <c r="M354" s="16" t="s">
        <v>45</v>
      </c>
      <c r="N354" s="16" t="s">
        <v>45</v>
      </c>
      <c r="O354" s="16" t="s">
        <v>45</v>
      </c>
      <c r="P354" s="9" t="str">
        <f t="shared" si="1"/>
        <v>N/I</v>
      </c>
      <c r="Q354" s="9" t="str">
        <f t="shared" si="2"/>
        <v>N/I</v>
      </c>
      <c r="R354" s="9" t="str">
        <f t="shared" si="3"/>
        <v>N/I</v>
      </c>
    </row>
    <row r="355">
      <c r="A355" s="11" t="s">
        <v>765</v>
      </c>
      <c r="B355" s="11" t="s">
        <v>788</v>
      </c>
      <c r="C355" s="12" t="s">
        <v>52</v>
      </c>
      <c r="D355" s="27" t="s">
        <v>789</v>
      </c>
      <c r="E355" s="16" t="s">
        <v>45</v>
      </c>
      <c r="F355" s="10" t="s">
        <v>771</v>
      </c>
      <c r="G355" s="12" t="s">
        <v>790</v>
      </c>
      <c r="H355" s="10" t="s">
        <v>791</v>
      </c>
      <c r="I355" s="16" t="s">
        <v>45</v>
      </c>
      <c r="J355" s="16" t="s">
        <v>45</v>
      </c>
      <c r="K355" s="16" t="s">
        <v>45</v>
      </c>
      <c r="L355" s="16" t="s">
        <v>45</v>
      </c>
      <c r="M355" s="16" t="s">
        <v>45</v>
      </c>
      <c r="N355" s="16" t="s">
        <v>45</v>
      </c>
      <c r="O355" s="16" t="s">
        <v>45</v>
      </c>
      <c r="P355" s="9" t="str">
        <f t="shared" si="1"/>
        <v>N/I</v>
      </c>
      <c r="Q355" s="9" t="str">
        <f t="shared" si="2"/>
        <v>N/I</v>
      </c>
      <c r="R355" s="9" t="str">
        <f t="shared" si="3"/>
        <v>N/I</v>
      </c>
    </row>
    <row r="356">
      <c r="A356" s="11" t="s">
        <v>765</v>
      </c>
      <c r="B356" s="11" t="s">
        <v>788</v>
      </c>
      <c r="C356" s="12" t="s">
        <v>68</v>
      </c>
      <c r="D356" s="27" t="s">
        <v>794</v>
      </c>
      <c r="E356" s="30" t="s">
        <v>796</v>
      </c>
      <c r="F356" s="12" t="s">
        <v>779</v>
      </c>
      <c r="G356" s="12" t="s">
        <v>790</v>
      </c>
      <c r="H356" s="10" t="s">
        <v>791</v>
      </c>
      <c r="I356" s="10" t="s">
        <v>706</v>
      </c>
      <c r="J356" s="30" t="s">
        <v>45</v>
      </c>
      <c r="K356" s="30" t="s">
        <v>45</v>
      </c>
      <c r="L356" s="30" t="s">
        <v>45</v>
      </c>
      <c r="M356" s="30" t="s">
        <v>796</v>
      </c>
      <c r="N356" s="30" t="s">
        <v>45</v>
      </c>
      <c r="O356" s="10" t="s">
        <v>320</v>
      </c>
      <c r="P356" s="9" t="str">
        <f t="shared" si="1"/>
        <v>N/I</v>
      </c>
      <c r="Q356" s="9" t="str">
        <f t="shared" si="2"/>
        <v>N/I</v>
      </c>
      <c r="R356" s="9" t="str">
        <f t="shared" si="3"/>
        <v>N/I</v>
      </c>
    </row>
    <row r="357">
      <c r="A357" s="11" t="s">
        <v>765</v>
      </c>
      <c r="B357" s="11" t="s">
        <v>797</v>
      </c>
      <c r="C357" s="12" t="s">
        <v>52</v>
      </c>
      <c r="D357" s="27" t="s">
        <v>798</v>
      </c>
      <c r="E357" s="16" t="s">
        <v>45</v>
      </c>
      <c r="F357" s="10" t="s">
        <v>787</v>
      </c>
      <c r="G357" s="12" t="s">
        <v>799</v>
      </c>
      <c r="H357" s="10" t="s">
        <v>197</v>
      </c>
      <c r="I357" s="16" t="s">
        <v>45</v>
      </c>
      <c r="J357" s="16" t="s">
        <v>45</v>
      </c>
      <c r="K357" s="16" t="s">
        <v>45</v>
      </c>
      <c r="L357" s="16" t="s">
        <v>45</v>
      </c>
      <c r="M357" s="16" t="s">
        <v>45</v>
      </c>
      <c r="N357" s="16" t="s">
        <v>45</v>
      </c>
      <c r="O357" s="16" t="s">
        <v>45</v>
      </c>
      <c r="P357" s="9" t="str">
        <f t="shared" si="1"/>
        <v>N/I</v>
      </c>
      <c r="Q357" s="9" t="str">
        <f t="shared" si="2"/>
        <v>N/I</v>
      </c>
      <c r="R357" s="9" t="str">
        <f t="shared" si="3"/>
        <v>N/I</v>
      </c>
    </row>
    <row r="358">
      <c r="A358" s="11" t="s">
        <v>765</v>
      </c>
      <c r="B358" s="11" t="s">
        <v>802</v>
      </c>
      <c r="C358" s="12" t="s">
        <v>52</v>
      </c>
      <c r="D358" s="27" t="s">
        <v>803</v>
      </c>
      <c r="E358" s="16" t="s">
        <v>45</v>
      </c>
      <c r="F358" s="10" t="s">
        <v>776</v>
      </c>
      <c r="G358" s="12" t="s">
        <v>370</v>
      </c>
      <c r="H358" s="10" t="s">
        <v>89</v>
      </c>
      <c r="I358" s="16" t="s">
        <v>45</v>
      </c>
      <c r="J358" s="16" t="s">
        <v>45</v>
      </c>
      <c r="K358" s="16" t="s">
        <v>45</v>
      </c>
      <c r="L358" s="16" t="s">
        <v>45</v>
      </c>
      <c r="M358" s="16" t="s">
        <v>45</v>
      </c>
      <c r="N358" s="16" t="s">
        <v>45</v>
      </c>
      <c r="O358" s="16" t="s">
        <v>45</v>
      </c>
      <c r="P358" s="9" t="str">
        <f t="shared" si="1"/>
        <v>N/I</v>
      </c>
      <c r="Q358" s="9" t="str">
        <f t="shared" si="2"/>
        <v>N/I</v>
      </c>
      <c r="R358" s="9" t="str">
        <f t="shared" si="3"/>
        <v>N/I</v>
      </c>
    </row>
    <row r="359">
      <c r="A359" s="11" t="s">
        <v>765</v>
      </c>
      <c r="B359" s="11" t="s">
        <v>806</v>
      </c>
      <c r="C359" s="12" t="s">
        <v>52</v>
      </c>
      <c r="D359" s="27" t="s">
        <v>807</v>
      </c>
      <c r="E359" s="16" t="s">
        <v>45</v>
      </c>
      <c r="F359" s="10" t="s">
        <v>787</v>
      </c>
      <c r="G359" s="12" t="s">
        <v>808</v>
      </c>
      <c r="H359" s="10" t="s">
        <v>222</v>
      </c>
      <c r="I359" s="16" t="s">
        <v>45</v>
      </c>
      <c r="J359" s="16" t="s">
        <v>45</v>
      </c>
      <c r="K359" s="16" t="s">
        <v>45</v>
      </c>
      <c r="L359" s="16" t="s">
        <v>45</v>
      </c>
      <c r="M359" s="16" t="s">
        <v>45</v>
      </c>
      <c r="N359" s="16" t="s">
        <v>45</v>
      </c>
      <c r="O359" s="16" t="s">
        <v>45</v>
      </c>
      <c r="P359" s="9" t="str">
        <f t="shared" si="1"/>
        <v>N/I</v>
      </c>
      <c r="Q359" s="9" t="str">
        <f t="shared" si="2"/>
        <v>N/I</v>
      </c>
      <c r="R359" s="9" t="str">
        <f t="shared" si="3"/>
        <v>N/I</v>
      </c>
    </row>
    <row r="360">
      <c r="A360" s="11" t="s">
        <v>765</v>
      </c>
      <c r="B360" s="11" t="s">
        <v>806</v>
      </c>
      <c r="C360" s="12" t="s">
        <v>52</v>
      </c>
      <c r="D360" s="27" t="s">
        <v>811</v>
      </c>
      <c r="E360" s="16" t="s">
        <v>45</v>
      </c>
      <c r="F360" s="10" t="s">
        <v>787</v>
      </c>
      <c r="G360" s="12" t="s">
        <v>808</v>
      </c>
      <c r="H360" s="10" t="s">
        <v>222</v>
      </c>
      <c r="I360" s="16" t="s">
        <v>45</v>
      </c>
      <c r="J360" s="16" t="s">
        <v>45</v>
      </c>
      <c r="K360" s="16" t="s">
        <v>45</v>
      </c>
      <c r="L360" s="16" t="s">
        <v>45</v>
      </c>
      <c r="M360" s="16" t="s">
        <v>45</v>
      </c>
      <c r="N360" s="16" t="s">
        <v>45</v>
      </c>
      <c r="O360" s="16" t="s">
        <v>45</v>
      </c>
      <c r="P360" s="9" t="str">
        <f t="shared" si="1"/>
        <v>N/I</v>
      </c>
      <c r="Q360" s="9" t="str">
        <f t="shared" si="2"/>
        <v>N/I</v>
      </c>
      <c r="R360" s="9" t="str">
        <f t="shared" si="3"/>
        <v>N/I</v>
      </c>
    </row>
    <row r="361">
      <c r="A361" s="11" t="s">
        <v>765</v>
      </c>
      <c r="B361" s="11" t="s">
        <v>806</v>
      </c>
      <c r="C361" s="12" t="s">
        <v>52</v>
      </c>
      <c r="D361" s="27" t="s">
        <v>812</v>
      </c>
      <c r="E361" s="16" t="s">
        <v>45</v>
      </c>
      <c r="F361" s="10" t="s">
        <v>787</v>
      </c>
      <c r="G361" s="12" t="s">
        <v>808</v>
      </c>
      <c r="H361" s="10" t="s">
        <v>222</v>
      </c>
      <c r="I361" s="16" t="s">
        <v>45</v>
      </c>
      <c r="J361" s="16" t="s">
        <v>45</v>
      </c>
      <c r="K361" s="16" t="s">
        <v>45</v>
      </c>
      <c r="L361" s="16" t="s">
        <v>45</v>
      </c>
      <c r="M361" s="16" t="s">
        <v>45</v>
      </c>
      <c r="N361" s="16" t="s">
        <v>45</v>
      </c>
      <c r="O361" s="16" t="s">
        <v>45</v>
      </c>
      <c r="P361" s="9" t="str">
        <f t="shared" si="1"/>
        <v>N/I</v>
      </c>
      <c r="Q361" s="9" t="str">
        <f t="shared" si="2"/>
        <v>N/I</v>
      </c>
      <c r="R361" s="9" t="str">
        <f t="shared" si="3"/>
        <v>N/I</v>
      </c>
    </row>
    <row r="362">
      <c r="A362" s="11" t="s">
        <v>765</v>
      </c>
      <c r="B362" s="11" t="s">
        <v>806</v>
      </c>
      <c r="C362" s="12" t="s">
        <v>52</v>
      </c>
      <c r="D362" s="27" t="s">
        <v>813</v>
      </c>
      <c r="E362" s="16" t="s">
        <v>45</v>
      </c>
      <c r="F362" s="10" t="s">
        <v>787</v>
      </c>
      <c r="G362" s="12" t="s">
        <v>808</v>
      </c>
      <c r="H362" s="10" t="s">
        <v>222</v>
      </c>
      <c r="I362" s="16" t="s">
        <v>45</v>
      </c>
      <c r="J362" s="16" t="s">
        <v>45</v>
      </c>
      <c r="K362" s="16" t="s">
        <v>45</v>
      </c>
      <c r="L362" s="16" t="s">
        <v>45</v>
      </c>
      <c r="M362" s="16" t="s">
        <v>45</v>
      </c>
      <c r="N362" s="16" t="s">
        <v>45</v>
      </c>
      <c r="O362" s="16" t="s">
        <v>45</v>
      </c>
      <c r="P362" s="9" t="str">
        <f t="shared" si="1"/>
        <v>N/I</v>
      </c>
      <c r="Q362" s="9" t="str">
        <f t="shared" si="2"/>
        <v>N/I</v>
      </c>
      <c r="R362" s="9" t="str">
        <f t="shared" si="3"/>
        <v>N/I</v>
      </c>
    </row>
    <row r="363">
      <c r="A363" s="11" t="s">
        <v>765</v>
      </c>
      <c r="B363" s="11" t="s">
        <v>806</v>
      </c>
      <c r="C363" s="12" t="s">
        <v>52</v>
      </c>
      <c r="D363" s="27" t="s">
        <v>814</v>
      </c>
      <c r="E363" s="16" t="s">
        <v>45</v>
      </c>
      <c r="F363" s="10" t="s">
        <v>787</v>
      </c>
      <c r="G363" s="12" t="s">
        <v>808</v>
      </c>
      <c r="H363" s="10" t="s">
        <v>222</v>
      </c>
      <c r="I363" s="16" t="s">
        <v>45</v>
      </c>
      <c r="J363" s="16" t="s">
        <v>45</v>
      </c>
      <c r="K363" s="16" t="s">
        <v>45</v>
      </c>
      <c r="L363" s="16" t="s">
        <v>45</v>
      </c>
      <c r="M363" s="16" t="s">
        <v>45</v>
      </c>
      <c r="N363" s="16" t="s">
        <v>45</v>
      </c>
      <c r="O363" s="16" t="s">
        <v>45</v>
      </c>
      <c r="P363" s="9" t="str">
        <f t="shared" si="1"/>
        <v>N/I</v>
      </c>
      <c r="Q363" s="9" t="str">
        <f t="shared" si="2"/>
        <v>N/I</v>
      </c>
      <c r="R363" s="9" t="str">
        <f t="shared" si="3"/>
        <v>N/I</v>
      </c>
    </row>
    <row r="364">
      <c r="A364" s="11" t="s">
        <v>765</v>
      </c>
      <c r="B364" s="11" t="s">
        <v>815</v>
      </c>
      <c r="C364" s="12" t="s">
        <v>52</v>
      </c>
      <c r="D364" s="27" t="s">
        <v>816</v>
      </c>
      <c r="E364" s="16" t="s">
        <v>45</v>
      </c>
      <c r="F364" s="10" t="s">
        <v>787</v>
      </c>
      <c r="G364" s="12" t="s">
        <v>817</v>
      </c>
      <c r="H364" s="10" t="s">
        <v>197</v>
      </c>
      <c r="I364" s="16" t="s">
        <v>45</v>
      </c>
      <c r="J364" s="16" t="s">
        <v>45</v>
      </c>
      <c r="K364" s="16" t="s">
        <v>45</v>
      </c>
      <c r="L364" s="16" t="s">
        <v>45</v>
      </c>
      <c r="M364" s="16" t="s">
        <v>45</v>
      </c>
      <c r="N364" s="16" t="s">
        <v>45</v>
      </c>
      <c r="O364" s="16" t="s">
        <v>45</v>
      </c>
      <c r="P364" s="9" t="str">
        <f t="shared" si="1"/>
        <v>N/I</v>
      </c>
      <c r="Q364" s="9" t="str">
        <f t="shared" si="2"/>
        <v>N/I</v>
      </c>
      <c r="R364" s="9" t="str">
        <f t="shared" si="3"/>
        <v>N/I</v>
      </c>
    </row>
    <row r="365">
      <c r="A365" s="11" t="s">
        <v>765</v>
      </c>
      <c r="B365" s="11" t="s">
        <v>820</v>
      </c>
      <c r="C365" s="12" t="s">
        <v>52</v>
      </c>
      <c r="D365" s="27" t="s">
        <v>821</v>
      </c>
      <c r="E365" s="16" t="s">
        <v>45</v>
      </c>
      <c r="F365" s="10" t="s">
        <v>787</v>
      </c>
      <c r="G365" s="12" t="s">
        <v>822</v>
      </c>
      <c r="H365" s="10" t="s">
        <v>197</v>
      </c>
      <c r="I365" s="16" t="s">
        <v>45</v>
      </c>
      <c r="J365" s="16" t="s">
        <v>45</v>
      </c>
      <c r="K365" s="16" t="s">
        <v>45</v>
      </c>
      <c r="L365" s="16" t="s">
        <v>45</v>
      </c>
      <c r="M365" s="16" t="s">
        <v>45</v>
      </c>
      <c r="N365" s="16" t="s">
        <v>45</v>
      </c>
      <c r="O365" s="16" t="s">
        <v>45</v>
      </c>
      <c r="P365" s="9" t="str">
        <f t="shared" si="1"/>
        <v>N/I</v>
      </c>
      <c r="Q365" s="9" t="str">
        <f t="shared" si="2"/>
        <v>N/I</v>
      </c>
      <c r="R365" s="9" t="str">
        <f t="shared" si="3"/>
        <v>N/I</v>
      </c>
    </row>
    <row r="366">
      <c r="A366" s="11" t="s">
        <v>765</v>
      </c>
      <c r="B366" s="11" t="s">
        <v>820</v>
      </c>
      <c r="C366" s="12" t="s">
        <v>52</v>
      </c>
      <c r="D366" s="27" t="s">
        <v>825</v>
      </c>
      <c r="E366" s="16" t="s">
        <v>45</v>
      </c>
      <c r="F366" s="10" t="s">
        <v>787</v>
      </c>
      <c r="G366" s="12" t="s">
        <v>822</v>
      </c>
      <c r="H366" s="10" t="s">
        <v>197</v>
      </c>
      <c r="I366" s="16" t="s">
        <v>45</v>
      </c>
      <c r="J366" s="16" t="s">
        <v>45</v>
      </c>
      <c r="K366" s="16" t="s">
        <v>45</v>
      </c>
      <c r="L366" s="16" t="s">
        <v>45</v>
      </c>
      <c r="M366" s="16" t="s">
        <v>45</v>
      </c>
      <c r="N366" s="16" t="s">
        <v>45</v>
      </c>
      <c r="O366" s="16" t="s">
        <v>45</v>
      </c>
      <c r="P366" s="9" t="str">
        <f t="shared" si="1"/>
        <v>N/I</v>
      </c>
      <c r="Q366" s="9" t="str">
        <f t="shared" si="2"/>
        <v>N/I</v>
      </c>
      <c r="R366" s="9" t="str">
        <f t="shared" si="3"/>
        <v>N/I</v>
      </c>
    </row>
    <row r="367">
      <c r="A367" s="11" t="s">
        <v>765</v>
      </c>
      <c r="B367" s="11" t="s">
        <v>820</v>
      </c>
      <c r="C367" s="12" t="s">
        <v>52</v>
      </c>
      <c r="D367" s="27" t="s">
        <v>826</v>
      </c>
      <c r="E367" s="16" t="s">
        <v>45</v>
      </c>
      <c r="F367" s="10" t="s">
        <v>787</v>
      </c>
      <c r="G367" s="12" t="s">
        <v>822</v>
      </c>
      <c r="H367" s="10" t="s">
        <v>197</v>
      </c>
      <c r="I367" s="16" t="s">
        <v>45</v>
      </c>
      <c r="J367" s="16" t="s">
        <v>45</v>
      </c>
      <c r="K367" s="16" t="s">
        <v>45</v>
      </c>
      <c r="L367" s="16" t="s">
        <v>45</v>
      </c>
      <c r="M367" s="16" t="s">
        <v>45</v>
      </c>
      <c r="N367" s="16" t="s">
        <v>45</v>
      </c>
      <c r="O367" s="16" t="s">
        <v>45</v>
      </c>
      <c r="P367" s="9" t="str">
        <f t="shared" si="1"/>
        <v>N/I</v>
      </c>
      <c r="Q367" s="9" t="str">
        <f t="shared" si="2"/>
        <v>N/I</v>
      </c>
      <c r="R367" s="9" t="str">
        <f t="shared" si="3"/>
        <v>N/I</v>
      </c>
    </row>
    <row r="368">
      <c r="A368" s="11" t="s">
        <v>765</v>
      </c>
      <c r="B368" s="11" t="s">
        <v>820</v>
      </c>
      <c r="C368" s="12" t="s">
        <v>52</v>
      </c>
      <c r="D368" s="27" t="s">
        <v>827</v>
      </c>
      <c r="E368" s="16" t="s">
        <v>45</v>
      </c>
      <c r="F368" s="10" t="s">
        <v>787</v>
      </c>
      <c r="G368" s="12" t="s">
        <v>822</v>
      </c>
      <c r="H368" s="10" t="s">
        <v>197</v>
      </c>
      <c r="I368" s="16" t="s">
        <v>45</v>
      </c>
      <c r="J368" s="16" t="s">
        <v>45</v>
      </c>
      <c r="K368" s="16" t="s">
        <v>45</v>
      </c>
      <c r="L368" s="16" t="s">
        <v>45</v>
      </c>
      <c r="M368" s="16" t="s">
        <v>45</v>
      </c>
      <c r="N368" s="16" t="s">
        <v>45</v>
      </c>
      <c r="O368" s="16" t="s">
        <v>45</v>
      </c>
      <c r="P368" s="9" t="str">
        <f t="shared" si="1"/>
        <v>N/I</v>
      </c>
      <c r="Q368" s="9" t="str">
        <f t="shared" si="2"/>
        <v>N/I</v>
      </c>
      <c r="R368" s="9" t="str">
        <f t="shared" si="3"/>
        <v>N/I</v>
      </c>
    </row>
    <row r="369">
      <c r="A369" s="11" t="s">
        <v>765</v>
      </c>
      <c r="B369" s="11" t="s">
        <v>820</v>
      </c>
      <c r="C369" s="12" t="s">
        <v>52</v>
      </c>
      <c r="D369" s="27" t="s">
        <v>828</v>
      </c>
      <c r="E369" s="16" t="s">
        <v>45</v>
      </c>
      <c r="F369" s="10" t="s">
        <v>787</v>
      </c>
      <c r="G369" s="12" t="s">
        <v>822</v>
      </c>
      <c r="H369" s="10" t="s">
        <v>197</v>
      </c>
      <c r="I369" s="16" t="s">
        <v>45</v>
      </c>
      <c r="J369" s="16" t="s">
        <v>45</v>
      </c>
      <c r="K369" s="16" t="s">
        <v>45</v>
      </c>
      <c r="L369" s="16" t="s">
        <v>45</v>
      </c>
      <c r="M369" s="16" t="s">
        <v>45</v>
      </c>
      <c r="N369" s="16" t="s">
        <v>45</v>
      </c>
      <c r="O369" s="16" t="s">
        <v>45</v>
      </c>
      <c r="P369" s="9" t="str">
        <f t="shared" si="1"/>
        <v>N/I</v>
      </c>
      <c r="Q369" s="9" t="str">
        <f t="shared" si="2"/>
        <v>N/I</v>
      </c>
      <c r="R369" s="9" t="str">
        <f t="shared" si="3"/>
        <v>N/I</v>
      </c>
    </row>
    <row r="370">
      <c r="A370" s="11" t="s">
        <v>765</v>
      </c>
      <c r="B370" s="11" t="s">
        <v>829</v>
      </c>
      <c r="C370" s="12" t="s">
        <v>52</v>
      </c>
      <c r="D370" s="27" t="s">
        <v>830</v>
      </c>
      <c r="E370" s="16" t="s">
        <v>45</v>
      </c>
      <c r="F370" s="10" t="s">
        <v>776</v>
      </c>
      <c r="G370" s="12" t="s">
        <v>70</v>
      </c>
      <c r="H370" s="10" t="s">
        <v>63</v>
      </c>
      <c r="I370" s="16" t="s">
        <v>45</v>
      </c>
      <c r="J370" s="16" t="s">
        <v>45</v>
      </c>
      <c r="K370" s="16" t="s">
        <v>45</v>
      </c>
      <c r="L370" s="16" t="s">
        <v>45</v>
      </c>
      <c r="M370" s="16" t="s">
        <v>45</v>
      </c>
      <c r="N370" s="16" t="s">
        <v>45</v>
      </c>
      <c r="O370" s="16" t="s">
        <v>45</v>
      </c>
      <c r="P370" s="9" t="str">
        <f t="shared" si="1"/>
        <v>N/I</v>
      </c>
      <c r="Q370" s="9" t="str">
        <f t="shared" si="2"/>
        <v>N/I</v>
      </c>
      <c r="R370" s="9" t="str">
        <f t="shared" si="3"/>
        <v>N/I</v>
      </c>
    </row>
    <row r="371">
      <c r="A371" s="11" t="s">
        <v>765</v>
      </c>
      <c r="B371" s="11" t="s">
        <v>829</v>
      </c>
      <c r="C371" s="12" t="s">
        <v>68</v>
      </c>
      <c r="D371" s="27" t="s">
        <v>833</v>
      </c>
      <c r="E371" s="30" t="s">
        <v>780</v>
      </c>
      <c r="F371" s="12" t="s">
        <v>779</v>
      </c>
      <c r="G371" s="12" t="s">
        <v>70</v>
      </c>
      <c r="H371" s="10" t="s">
        <v>63</v>
      </c>
      <c r="I371" s="10" t="s">
        <v>706</v>
      </c>
      <c r="J371" s="30" t="s">
        <v>45</v>
      </c>
      <c r="K371" s="30" t="s">
        <v>45</v>
      </c>
      <c r="L371" s="30" t="s">
        <v>45</v>
      </c>
      <c r="M371" s="30" t="s">
        <v>780</v>
      </c>
      <c r="N371" s="30" t="s">
        <v>45</v>
      </c>
      <c r="O371" s="10" t="s">
        <v>320</v>
      </c>
      <c r="P371" s="9" t="str">
        <f t="shared" si="1"/>
        <v>N/I</v>
      </c>
      <c r="Q371" s="9" t="str">
        <f t="shared" si="2"/>
        <v>N/I</v>
      </c>
      <c r="R371" s="9" t="str">
        <f t="shared" si="3"/>
        <v>N/I</v>
      </c>
    </row>
    <row r="372">
      <c r="A372" s="11" t="s">
        <v>765</v>
      </c>
      <c r="B372" s="11" t="s">
        <v>834</v>
      </c>
      <c r="C372" s="12" t="s">
        <v>52</v>
      </c>
      <c r="D372" s="27" t="s">
        <v>835</v>
      </c>
      <c r="E372" s="16" t="s">
        <v>45</v>
      </c>
      <c r="F372" s="10" t="s">
        <v>771</v>
      </c>
      <c r="G372" s="12" t="s">
        <v>836</v>
      </c>
      <c r="H372" s="10" t="s">
        <v>837</v>
      </c>
      <c r="I372" s="16" t="s">
        <v>45</v>
      </c>
      <c r="J372" s="16" t="s">
        <v>45</v>
      </c>
      <c r="K372" s="16" t="s">
        <v>45</v>
      </c>
      <c r="L372" s="16" t="s">
        <v>45</v>
      </c>
      <c r="M372" s="16" t="s">
        <v>45</v>
      </c>
      <c r="N372" s="16" t="s">
        <v>45</v>
      </c>
      <c r="O372" s="16" t="s">
        <v>45</v>
      </c>
      <c r="P372" s="9" t="str">
        <f t="shared" si="1"/>
        <v>N/I</v>
      </c>
      <c r="Q372" s="9" t="str">
        <f t="shared" si="2"/>
        <v>N/I</v>
      </c>
      <c r="R372" s="9" t="str">
        <f t="shared" si="3"/>
        <v>N/I</v>
      </c>
    </row>
    <row r="373">
      <c r="A373" s="11" t="s">
        <v>765</v>
      </c>
      <c r="B373" s="11" t="s">
        <v>834</v>
      </c>
      <c r="C373" s="12" t="s">
        <v>68</v>
      </c>
      <c r="D373" s="27" t="s">
        <v>840</v>
      </c>
      <c r="E373" s="30" t="s">
        <v>796</v>
      </c>
      <c r="F373" s="12" t="s">
        <v>779</v>
      </c>
      <c r="G373" s="12" t="s">
        <v>836</v>
      </c>
      <c r="H373" s="10" t="s">
        <v>837</v>
      </c>
      <c r="I373" s="10" t="s">
        <v>706</v>
      </c>
      <c r="J373" s="30" t="s">
        <v>45</v>
      </c>
      <c r="K373" s="30" t="s">
        <v>45</v>
      </c>
      <c r="L373" s="30" t="s">
        <v>45</v>
      </c>
      <c r="M373" s="30" t="s">
        <v>796</v>
      </c>
      <c r="N373" s="30" t="s">
        <v>45</v>
      </c>
      <c r="O373" s="10" t="s">
        <v>320</v>
      </c>
      <c r="P373" s="9" t="str">
        <f t="shared" si="1"/>
        <v>N/I</v>
      </c>
      <c r="Q373" s="9" t="str">
        <f t="shared" si="2"/>
        <v>N/I</v>
      </c>
      <c r="R373" s="9" t="str">
        <f t="shared" si="3"/>
        <v>N/I</v>
      </c>
    </row>
    <row r="374">
      <c r="A374" s="11" t="s">
        <v>765</v>
      </c>
      <c r="B374" s="11" t="s">
        <v>843</v>
      </c>
      <c r="C374" s="12" t="s">
        <v>52</v>
      </c>
      <c r="D374" s="27" t="s">
        <v>844</v>
      </c>
      <c r="E374" s="16" t="s">
        <v>45</v>
      </c>
      <c r="F374" s="10" t="s">
        <v>776</v>
      </c>
      <c r="G374" s="12" t="s">
        <v>100</v>
      </c>
      <c r="H374" s="10" t="s">
        <v>101</v>
      </c>
      <c r="I374" s="16" t="s">
        <v>45</v>
      </c>
      <c r="J374" s="16" t="s">
        <v>45</v>
      </c>
      <c r="K374" s="16" t="s">
        <v>45</v>
      </c>
      <c r="L374" s="16" t="s">
        <v>45</v>
      </c>
      <c r="M374" s="16" t="s">
        <v>45</v>
      </c>
      <c r="N374" s="16" t="s">
        <v>45</v>
      </c>
      <c r="O374" s="16" t="s">
        <v>45</v>
      </c>
      <c r="P374" s="9" t="str">
        <f t="shared" si="1"/>
        <v>N/I</v>
      </c>
      <c r="Q374" s="9" t="str">
        <f t="shared" si="2"/>
        <v>N/I</v>
      </c>
      <c r="R374" s="9" t="str">
        <f t="shared" si="3"/>
        <v>N/I</v>
      </c>
    </row>
    <row r="375">
      <c r="A375" s="11" t="s">
        <v>765</v>
      </c>
      <c r="B375" s="11" t="s">
        <v>843</v>
      </c>
      <c r="C375" s="12" t="s">
        <v>68</v>
      </c>
      <c r="D375" s="27" t="s">
        <v>847</v>
      </c>
      <c r="E375" s="30" t="s">
        <v>780</v>
      </c>
      <c r="F375" s="12" t="s">
        <v>779</v>
      </c>
      <c r="G375" s="12" t="s">
        <v>100</v>
      </c>
      <c r="H375" s="10" t="s">
        <v>101</v>
      </c>
      <c r="I375" s="10" t="s">
        <v>706</v>
      </c>
      <c r="J375" s="30" t="s">
        <v>45</v>
      </c>
      <c r="K375" s="30" t="s">
        <v>45</v>
      </c>
      <c r="L375" s="30" t="s">
        <v>45</v>
      </c>
      <c r="M375" s="30" t="s">
        <v>780</v>
      </c>
      <c r="N375" s="30" t="s">
        <v>45</v>
      </c>
      <c r="O375" s="10" t="s">
        <v>320</v>
      </c>
      <c r="P375" s="9" t="str">
        <f t="shared" si="1"/>
        <v>N/I</v>
      </c>
      <c r="Q375" s="9" t="str">
        <f t="shared" si="2"/>
        <v>N/I</v>
      </c>
      <c r="R375" s="9" t="str">
        <f t="shared" si="3"/>
        <v>N/I</v>
      </c>
    </row>
    <row r="376">
      <c r="A376" s="11" t="s">
        <v>765</v>
      </c>
      <c r="B376" s="11" t="s">
        <v>850</v>
      </c>
      <c r="C376" s="12" t="s">
        <v>52</v>
      </c>
      <c r="D376" s="27" t="s">
        <v>851</v>
      </c>
      <c r="E376" s="16" t="s">
        <v>45</v>
      </c>
      <c r="F376" s="10" t="s">
        <v>771</v>
      </c>
      <c r="G376" s="12" t="s">
        <v>720</v>
      </c>
      <c r="H376" s="10" t="s">
        <v>721</v>
      </c>
      <c r="I376" s="16" t="s">
        <v>45</v>
      </c>
      <c r="J376" s="16" t="s">
        <v>45</v>
      </c>
      <c r="K376" s="16" t="s">
        <v>45</v>
      </c>
      <c r="L376" s="16" t="s">
        <v>45</v>
      </c>
      <c r="M376" s="16" t="s">
        <v>45</v>
      </c>
      <c r="N376" s="16" t="s">
        <v>45</v>
      </c>
      <c r="O376" s="16" t="s">
        <v>45</v>
      </c>
      <c r="P376" s="9" t="str">
        <f t="shared" si="1"/>
        <v>N/I</v>
      </c>
      <c r="Q376" s="9" t="str">
        <f t="shared" si="2"/>
        <v>N/I</v>
      </c>
      <c r="R376" s="9" t="str">
        <f t="shared" si="3"/>
        <v>N/I</v>
      </c>
    </row>
    <row r="377">
      <c r="A377" s="11" t="s">
        <v>765</v>
      </c>
      <c r="B377" s="11" t="s">
        <v>850</v>
      </c>
      <c r="C377" s="12" t="s">
        <v>52</v>
      </c>
      <c r="D377" s="27" t="s">
        <v>854</v>
      </c>
      <c r="E377" s="30" t="s">
        <v>796</v>
      </c>
      <c r="F377" s="12" t="s">
        <v>779</v>
      </c>
      <c r="G377" s="12" t="s">
        <v>720</v>
      </c>
      <c r="H377" s="10" t="s">
        <v>721</v>
      </c>
      <c r="I377" s="10" t="s">
        <v>706</v>
      </c>
      <c r="J377" s="30" t="s">
        <v>45</v>
      </c>
      <c r="K377" s="30" t="s">
        <v>45</v>
      </c>
      <c r="L377" s="30" t="s">
        <v>45</v>
      </c>
      <c r="M377" s="30" t="s">
        <v>796</v>
      </c>
      <c r="N377" s="30" t="s">
        <v>45</v>
      </c>
      <c r="O377" s="10" t="s">
        <v>320</v>
      </c>
      <c r="P377" s="9" t="str">
        <f t="shared" si="1"/>
        <v>N/I</v>
      </c>
      <c r="Q377" s="9" t="str">
        <f t="shared" si="2"/>
        <v>N/I</v>
      </c>
      <c r="R377" s="9" t="str">
        <f t="shared" si="3"/>
        <v>N/I</v>
      </c>
    </row>
    <row r="378">
      <c r="A378" s="11" t="s">
        <v>765</v>
      </c>
      <c r="B378" s="11" t="s">
        <v>855</v>
      </c>
      <c r="C378" s="12" t="s">
        <v>52</v>
      </c>
      <c r="D378" s="27" t="s">
        <v>856</v>
      </c>
      <c r="E378" s="16" t="s">
        <v>45</v>
      </c>
      <c r="F378" s="10" t="s">
        <v>776</v>
      </c>
      <c r="G378" s="12" t="s">
        <v>857</v>
      </c>
      <c r="H378" s="10" t="s">
        <v>858</v>
      </c>
      <c r="I378" s="16" t="s">
        <v>45</v>
      </c>
      <c r="J378" s="16" t="s">
        <v>45</v>
      </c>
      <c r="K378" s="16" t="s">
        <v>45</v>
      </c>
      <c r="L378" s="16" t="s">
        <v>45</v>
      </c>
      <c r="M378" s="16" t="s">
        <v>45</v>
      </c>
      <c r="N378" s="16" t="s">
        <v>45</v>
      </c>
      <c r="O378" s="16" t="s">
        <v>45</v>
      </c>
      <c r="P378" s="9" t="str">
        <f t="shared" si="1"/>
        <v>N/I</v>
      </c>
      <c r="Q378" s="9" t="str">
        <f t="shared" si="2"/>
        <v>N/I</v>
      </c>
      <c r="R378" s="9" t="str">
        <f t="shared" si="3"/>
        <v>N/I</v>
      </c>
    </row>
    <row r="379">
      <c r="A379" s="11" t="s">
        <v>765</v>
      </c>
      <c r="B379" s="11" t="s">
        <v>855</v>
      </c>
      <c r="C379" s="12" t="s">
        <v>52</v>
      </c>
      <c r="D379" s="27" t="s">
        <v>861</v>
      </c>
      <c r="E379" s="30" t="s">
        <v>796</v>
      </c>
      <c r="F379" s="12" t="s">
        <v>779</v>
      </c>
      <c r="G379" s="12" t="s">
        <v>857</v>
      </c>
      <c r="H379" s="10" t="s">
        <v>858</v>
      </c>
      <c r="I379" s="10" t="s">
        <v>706</v>
      </c>
      <c r="J379" s="30" t="s">
        <v>45</v>
      </c>
      <c r="K379" s="30" t="s">
        <v>45</v>
      </c>
      <c r="L379" s="30" t="s">
        <v>45</v>
      </c>
      <c r="M379" s="30" t="s">
        <v>796</v>
      </c>
      <c r="N379" s="30" t="s">
        <v>45</v>
      </c>
      <c r="O379" s="10" t="s">
        <v>320</v>
      </c>
      <c r="P379" s="9" t="str">
        <f t="shared" si="1"/>
        <v>N/I</v>
      </c>
      <c r="Q379" s="9" t="str">
        <f t="shared" si="2"/>
        <v>N/I</v>
      </c>
      <c r="R379" s="9" t="str">
        <f t="shared" si="3"/>
        <v>N/I</v>
      </c>
    </row>
    <row r="380">
      <c r="A380" s="11" t="s">
        <v>765</v>
      </c>
      <c r="B380" s="11" t="s">
        <v>863</v>
      </c>
      <c r="C380" s="12" t="s">
        <v>52</v>
      </c>
      <c r="D380" s="27" t="s">
        <v>864</v>
      </c>
      <c r="E380" s="16" t="s">
        <v>45</v>
      </c>
      <c r="F380" s="10" t="s">
        <v>771</v>
      </c>
      <c r="G380" s="12" t="s">
        <v>609</v>
      </c>
      <c r="H380" s="10" t="s">
        <v>610</v>
      </c>
      <c r="I380" s="16" t="s">
        <v>45</v>
      </c>
      <c r="J380" s="16" t="s">
        <v>45</v>
      </c>
      <c r="K380" s="16" t="s">
        <v>45</v>
      </c>
      <c r="L380" s="16" t="s">
        <v>45</v>
      </c>
      <c r="M380" s="16" t="s">
        <v>45</v>
      </c>
      <c r="N380" s="16" t="s">
        <v>45</v>
      </c>
      <c r="O380" s="16" t="s">
        <v>45</v>
      </c>
      <c r="P380" s="9" t="str">
        <f t="shared" si="1"/>
        <v>N/I</v>
      </c>
      <c r="Q380" s="9" t="str">
        <f t="shared" si="2"/>
        <v>N/I</v>
      </c>
      <c r="R380" s="9" t="str">
        <f t="shared" si="3"/>
        <v>N/I</v>
      </c>
    </row>
    <row r="381">
      <c r="A381" s="11" t="s">
        <v>765</v>
      </c>
      <c r="B381" s="11" t="s">
        <v>867</v>
      </c>
      <c r="C381" s="12" t="s">
        <v>52</v>
      </c>
      <c r="D381" s="27" t="s">
        <v>868</v>
      </c>
      <c r="E381" s="16" t="s">
        <v>45</v>
      </c>
      <c r="F381" s="10" t="s">
        <v>771</v>
      </c>
      <c r="G381" s="12" t="s">
        <v>869</v>
      </c>
      <c r="H381" s="10" t="s">
        <v>870</v>
      </c>
      <c r="I381" s="16" t="s">
        <v>45</v>
      </c>
      <c r="J381" s="16" t="s">
        <v>45</v>
      </c>
      <c r="K381" s="16" t="s">
        <v>45</v>
      </c>
      <c r="L381" s="16" t="s">
        <v>45</v>
      </c>
      <c r="M381" s="16" t="s">
        <v>45</v>
      </c>
      <c r="N381" s="16" t="s">
        <v>45</v>
      </c>
      <c r="O381" s="16" t="s">
        <v>45</v>
      </c>
      <c r="P381" s="9" t="str">
        <f t="shared" si="1"/>
        <v>N/I</v>
      </c>
      <c r="Q381" s="9" t="str">
        <f t="shared" si="2"/>
        <v>N/I</v>
      </c>
      <c r="R381" s="9" t="str">
        <f t="shared" si="3"/>
        <v>N/I</v>
      </c>
    </row>
    <row r="382">
      <c r="A382" s="11" t="s">
        <v>765</v>
      </c>
      <c r="B382" s="11" t="s">
        <v>867</v>
      </c>
      <c r="C382" s="12" t="s">
        <v>68</v>
      </c>
      <c r="D382" s="27" t="s">
        <v>873</v>
      </c>
      <c r="E382" s="30" t="s">
        <v>796</v>
      </c>
      <c r="F382" s="12" t="s">
        <v>779</v>
      </c>
      <c r="G382" s="12" t="s">
        <v>869</v>
      </c>
      <c r="H382" s="10" t="s">
        <v>870</v>
      </c>
      <c r="I382" s="10" t="s">
        <v>706</v>
      </c>
      <c r="J382" s="30" t="s">
        <v>45</v>
      </c>
      <c r="K382" s="30" t="s">
        <v>45</v>
      </c>
      <c r="L382" s="30" t="s">
        <v>45</v>
      </c>
      <c r="M382" s="30" t="s">
        <v>796</v>
      </c>
      <c r="N382" s="30" t="s">
        <v>45</v>
      </c>
      <c r="O382" s="10" t="s">
        <v>320</v>
      </c>
      <c r="P382" s="9" t="str">
        <f t="shared" si="1"/>
        <v>N/I</v>
      </c>
      <c r="Q382" s="9" t="str">
        <f t="shared" si="2"/>
        <v>N/I</v>
      </c>
      <c r="R382" s="9" t="str">
        <f t="shared" si="3"/>
        <v>N/I</v>
      </c>
    </row>
    <row r="383">
      <c r="A383" s="11" t="s">
        <v>765</v>
      </c>
      <c r="B383" s="11" t="s">
        <v>875</v>
      </c>
      <c r="C383" s="12" t="s">
        <v>52</v>
      </c>
      <c r="D383" s="27" t="s">
        <v>876</v>
      </c>
      <c r="E383" s="16" t="s">
        <v>45</v>
      </c>
      <c r="F383" s="10" t="s">
        <v>776</v>
      </c>
      <c r="G383" s="12" t="s">
        <v>131</v>
      </c>
      <c r="H383" s="10" t="s">
        <v>132</v>
      </c>
      <c r="I383" s="16" t="s">
        <v>45</v>
      </c>
      <c r="J383" s="16" t="s">
        <v>45</v>
      </c>
      <c r="K383" s="16" t="s">
        <v>45</v>
      </c>
      <c r="L383" s="16" t="s">
        <v>45</v>
      </c>
      <c r="M383" s="16" t="s">
        <v>45</v>
      </c>
      <c r="N383" s="16" t="s">
        <v>45</v>
      </c>
      <c r="O383" s="16" t="s">
        <v>45</v>
      </c>
      <c r="P383" s="9" t="str">
        <f t="shared" si="1"/>
        <v>N/I</v>
      </c>
      <c r="Q383" s="9" t="str">
        <f t="shared" si="2"/>
        <v>N/I</v>
      </c>
      <c r="R383" s="9" t="str">
        <f t="shared" si="3"/>
        <v>N/I</v>
      </c>
    </row>
    <row r="384">
      <c r="A384" s="11" t="s">
        <v>765</v>
      </c>
      <c r="B384" s="11" t="s">
        <v>875</v>
      </c>
      <c r="C384" s="12" t="s">
        <v>52</v>
      </c>
      <c r="D384" s="27" t="s">
        <v>879</v>
      </c>
      <c r="E384" s="30" t="s">
        <v>780</v>
      </c>
      <c r="F384" s="12" t="s">
        <v>779</v>
      </c>
      <c r="G384" s="12" t="s">
        <v>131</v>
      </c>
      <c r="H384" s="10" t="s">
        <v>132</v>
      </c>
      <c r="I384" s="10" t="s">
        <v>706</v>
      </c>
      <c r="J384" s="30" t="s">
        <v>45</v>
      </c>
      <c r="K384" s="30" t="s">
        <v>45</v>
      </c>
      <c r="L384" s="30" t="s">
        <v>45</v>
      </c>
      <c r="M384" s="30" t="s">
        <v>780</v>
      </c>
      <c r="N384" s="30" t="s">
        <v>45</v>
      </c>
      <c r="O384" s="10" t="s">
        <v>320</v>
      </c>
      <c r="P384" s="9" t="str">
        <f t="shared" si="1"/>
        <v>N/I</v>
      </c>
      <c r="Q384" s="9" t="str">
        <f t="shared" si="2"/>
        <v>N/I</v>
      </c>
      <c r="R384" s="9" t="str">
        <f t="shared" si="3"/>
        <v>N/I</v>
      </c>
    </row>
    <row r="385">
      <c r="A385" s="11" t="s">
        <v>765</v>
      </c>
      <c r="B385" s="11" t="s">
        <v>881</v>
      </c>
      <c r="C385" s="12" t="s">
        <v>52</v>
      </c>
      <c r="D385" s="27" t="s">
        <v>882</v>
      </c>
      <c r="E385" s="16" t="s">
        <v>45</v>
      </c>
      <c r="F385" s="10" t="s">
        <v>787</v>
      </c>
      <c r="G385" s="12" t="s">
        <v>883</v>
      </c>
      <c r="H385" s="10" t="s">
        <v>197</v>
      </c>
      <c r="I385" s="16" t="s">
        <v>45</v>
      </c>
      <c r="J385" s="16" t="s">
        <v>45</v>
      </c>
      <c r="K385" s="16" t="s">
        <v>45</v>
      </c>
      <c r="L385" s="16" t="s">
        <v>45</v>
      </c>
      <c r="M385" s="16" t="s">
        <v>45</v>
      </c>
      <c r="N385" s="16" t="s">
        <v>45</v>
      </c>
      <c r="O385" s="16" t="s">
        <v>45</v>
      </c>
      <c r="P385" s="9" t="str">
        <f t="shared" si="1"/>
        <v>N/I</v>
      </c>
      <c r="Q385" s="9" t="str">
        <f t="shared" si="2"/>
        <v>N/I</v>
      </c>
      <c r="R385" s="9" t="str">
        <f t="shared" si="3"/>
        <v>N/I</v>
      </c>
    </row>
    <row r="386">
      <c r="A386" s="11" t="s">
        <v>765</v>
      </c>
      <c r="B386" s="11" t="s">
        <v>886</v>
      </c>
      <c r="C386" s="12" t="s">
        <v>52</v>
      </c>
      <c r="D386" s="27" t="s">
        <v>887</v>
      </c>
      <c r="E386" s="16" t="s">
        <v>45</v>
      </c>
      <c r="F386" s="10" t="s">
        <v>771</v>
      </c>
      <c r="G386" s="12" t="s">
        <v>888</v>
      </c>
      <c r="H386" s="10" t="s">
        <v>889</v>
      </c>
      <c r="I386" s="16" t="s">
        <v>45</v>
      </c>
      <c r="J386" s="16" t="s">
        <v>45</v>
      </c>
      <c r="K386" s="16" t="s">
        <v>45</v>
      </c>
      <c r="L386" s="16" t="s">
        <v>45</v>
      </c>
      <c r="M386" s="16" t="s">
        <v>45</v>
      </c>
      <c r="N386" s="16" t="s">
        <v>45</v>
      </c>
      <c r="O386" s="16" t="s">
        <v>45</v>
      </c>
      <c r="P386" s="9" t="str">
        <f t="shared" si="1"/>
        <v>N/I</v>
      </c>
      <c r="Q386" s="9" t="str">
        <f t="shared" si="2"/>
        <v>N/I</v>
      </c>
      <c r="R386" s="9" t="str">
        <f t="shared" si="3"/>
        <v>N/I</v>
      </c>
    </row>
    <row r="387">
      <c r="A387" s="11" t="s">
        <v>765</v>
      </c>
      <c r="B387" s="11" t="s">
        <v>892</v>
      </c>
      <c r="C387" s="12" t="s">
        <v>52</v>
      </c>
      <c r="D387" s="27" t="s">
        <v>893</v>
      </c>
      <c r="E387" s="16" t="s">
        <v>45</v>
      </c>
      <c r="F387" s="10" t="s">
        <v>776</v>
      </c>
      <c r="G387" s="12" t="s">
        <v>894</v>
      </c>
      <c r="H387" s="10" t="s">
        <v>895</v>
      </c>
      <c r="I387" s="16" t="s">
        <v>45</v>
      </c>
      <c r="J387" s="16" t="s">
        <v>45</v>
      </c>
      <c r="K387" s="16" t="s">
        <v>45</v>
      </c>
      <c r="L387" s="16" t="s">
        <v>45</v>
      </c>
      <c r="M387" s="16" t="s">
        <v>45</v>
      </c>
      <c r="N387" s="16" t="s">
        <v>45</v>
      </c>
      <c r="O387" s="16" t="s">
        <v>45</v>
      </c>
      <c r="P387" s="9" t="str">
        <f t="shared" si="1"/>
        <v>N/I</v>
      </c>
      <c r="Q387" s="9" t="str">
        <f t="shared" si="2"/>
        <v>N/I</v>
      </c>
      <c r="R387" s="9" t="str">
        <f t="shared" si="3"/>
        <v>N/I</v>
      </c>
    </row>
    <row r="388">
      <c r="A388" s="11" t="s">
        <v>765</v>
      </c>
      <c r="B388" s="11" t="s">
        <v>898</v>
      </c>
      <c r="C388" s="12" t="s">
        <v>52</v>
      </c>
      <c r="D388" s="27" t="s">
        <v>899</v>
      </c>
      <c r="E388" s="16" t="s">
        <v>45</v>
      </c>
      <c r="F388" s="10" t="s">
        <v>776</v>
      </c>
      <c r="G388" s="12" t="s">
        <v>643</v>
      </c>
      <c r="H388" s="10" t="s">
        <v>583</v>
      </c>
      <c r="I388" s="16" t="s">
        <v>45</v>
      </c>
      <c r="J388" s="16" t="s">
        <v>45</v>
      </c>
      <c r="K388" s="16" t="s">
        <v>45</v>
      </c>
      <c r="L388" s="16" t="s">
        <v>45</v>
      </c>
      <c r="M388" s="16" t="s">
        <v>45</v>
      </c>
      <c r="N388" s="16" t="s">
        <v>45</v>
      </c>
      <c r="O388" s="16" t="s">
        <v>45</v>
      </c>
      <c r="P388" s="9" t="str">
        <f t="shared" si="1"/>
        <v>N/I</v>
      </c>
      <c r="Q388" s="9" t="str">
        <f t="shared" si="2"/>
        <v>N/I</v>
      </c>
      <c r="R388" s="9" t="str">
        <f t="shared" si="3"/>
        <v>N/I</v>
      </c>
    </row>
    <row r="389">
      <c r="A389" s="11" t="s">
        <v>765</v>
      </c>
      <c r="B389" s="11" t="s">
        <v>902</v>
      </c>
      <c r="C389" s="12" t="s">
        <v>52</v>
      </c>
      <c r="D389" s="27" t="s">
        <v>903</v>
      </c>
      <c r="E389" s="16" t="s">
        <v>45</v>
      </c>
      <c r="F389" s="10" t="s">
        <v>787</v>
      </c>
      <c r="G389" s="12" t="s">
        <v>380</v>
      </c>
      <c r="H389" s="10" t="s">
        <v>197</v>
      </c>
      <c r="I389" s="16" t="s">
        <v>45</v>
      </c>
      <c r="J389" s="16" t="s">
        <v>45</v>
      </c>
      <c r="K389" s="16" t="s">
        <v>45</v>
      </c>
      <c r="L389" s="16" t="s">
        <v>45</v>
      </c>
      <c r="M389" s="16" t="s">
        <v>45</v>
      </c>
      <c r="N389" s="16" t="s">
        <v>45</v>
      </c>
      <c r="O389" s="16" t="s">
        <v>45</v>
      </c>
      <c r="P389" s="9" t="str">
        <f t="shared" si="1"/>
        <v>N/I</v>
      </c>
      <c r="Q389" s="9" t="str">
        <f t="shared" si="2"/>
        <v>N/I</v>
      </c>
      <c r="R389" s="9" t="str">
        <f t="shared" si="3"/>
        <v>N/I</v>
      </c>
    </row>
    <row r="390">
      <c r="A390" s="11" t="s">
        <v>765</v>
      </c>
      <c r="B390" s="11" t="s">
        <v>902</v>
      </c>
      <c r="C390" s="12" t="s">
        <v>52</v>
      </c>
      <c r="D390" s="27" t="s">
        <v>904</v>
      </c>
      <c r="E390" s="16" t="s">
        <v>45</v>
      </c>
      <c r="F390" s="10" t="s">
        <v>787</v>
      </c>
      <c r="G390" s="12" t="s">
        <v>380</v>
      </c>
      <c r="H390" s="10" t="s">
        <v>197</v>
      </c>
      <c r="I390" s="16" t="s">
        <v>45</v>
      </c>
      <c r="J390" s="16" t="s">
        <v>45</v>
      </c>
      <c r="K390" s="16" t="s">
        <v>45</v>
      </c>
      <c r="L390" s="16" t="s">
        <v>45</v>
      </c>
      <c r="M390" s="16" t="s">
        <v>45</v>
      </c>
      <c r="N390" s="16" t="s">
        <v>45</v>
      </c>
      <c r="O390" s="16" t="s">
        <v>45</v>
      </c>
      <c r="P390" s="9" t="str">
        <f t="shared" si="1"/>
        <v>N/I</v>
      </c>
      <c r="Q390" s="9" t="str">
        <f t="shared" si="2"/>
        <v>N/I</v>
      </c>
      <c r="R390" s="9" t="str">
        <f t="shared" si="3"/>
        <v>N/I</v>
      </c>
    </row>
    <row r="391">
      <c r="A391" s="11" t="s">
        <v>765</v>
      </c>
      <c r="B391" s="11" t="s">
        <v>902</v>
      </c>
      <c r="C391" s="12" t="s">
        <v>52</v>
      </c>
      <c r="D391" s="27" t="s">
        <v>905</v>
      </c>
      <c r="E391" s="16" t="s">
        <v>45</v>
      </c>
      <c r="F391" s="10" t="s">
        <v>787</v>
      </c>
      <c r="G391" s="12" t="s">
        <v>380</v>
      </c>
      <c r="H391" s="10" t="s">
        <v>197</v>
      </c>
      <c r="I391" s="16" t="s">
        <v>45</v>
      </c>
      <c r="J391" s="16" t="s">
        <v>45</v>
      </c>
      <c r="K391" s="16" t="s">
        <v>45</v>
      </c>
      <c r="L391" s="16" t="s">
        <v>45</v>
      </c>
      <c r="M391" s="16" t="s">
        <v>45</v>
      </c>
      <c r="N391" s="16" t="s">
        <v>45</v>
      </c>
      <c r="O391" s="16" t="s">
        <v>45</v>
      </c>
      <c r="P391" s="9" t="str">
        <f t="shared" si="1"/>
        <v>N/I</v>
      </c>
      <c r="Q391" s="9" t="str">
        <f t="shared" si="2"/>
        <v>N/I</v>
      </c>
      <c r="R391" s="9" t="str">
        <f t="shared" si="3"/>
        <v>N/I</v>
      </c>
    </row>
    <row r="392">
      <c r="A392" s="11" t="s">
        <v>765</v>
      </c>
      <c r="B392" s="11" t="s">
        <v>902</v>
      </c>
      <c r="C392" s="12" t="s">
        <v>52</v>
      </c>
      <c r="D392" s="27" t="s">
        <v>906</v>
      </c>
      <c r="E392" s="16" t="s">
        <v>45</v>
      </c>
      <c r="F392" s="10" t="s">
        <v>787</v>
      </c>
      <c r="G392" s="12" t="s">
        <v>380</v>
      </c>
      <c r="H392" s="10" t="s">
        <v>197</v>
      </c>
      <c r="I392" s="16" t="s">
        <v>45</v>
      </c>
      <c r="J392" s="16" t="s">
        <v>45</v>
      </c>
      <c r="K392" s="16" t="s">
        <v>45</v>
      </c>
      <c r="L392" s="16" t="s">
        <v>45</v>
      </c>
      <c r="M392" s="16" t="s">
        <v>45</v>
      </c>
      <c r="N392" s="16" t="s">
        <v>45</v>
      </c>
      <c r="O392" s="16" t="s">
        <v>45</v>
      </c>
      <c r="P392" s="9" t="str">
        <f t="shared" si="1"/>
        <v>N/I</v>
      </c>
      <c r="Q392" s="9" t="str">
        <f t="shared" si="2"/>
        <v>N/I</v>
      </c>
      <c r="R392" s="9" t="str">
        <f t="shared" si="3"/>
        <v>N/I</v>
      </c>
    </row>
    <row r="393">
      <c r="A393" s="11" t="s">
        <v>765</v>
      </c>
      <c r="B393" s="11" t="s">
        <v>902</v>
      </c>
      <c r="C393" s="12" t="s">
        <v>52</v>
      </c>
      <c r="D393" s="27" t="s">
        <v>907</v>
      </c>
      <c r="E393" s="16" t="s">
        <v>45</v>
      </c>
      <c r="F393" s="10" t="s">
        <v>787</v>
      </c>
      <c r="G393" s="12" t="s">
        <v>380</v>
      </c>
      <c r="H393" s="10" t="s">
        <v>197</v>
      </c>
      <c r="I393" s="16" t="s">
        <v>45</v>
      </c>
      <c r="J393" s="16" t="s">
        <v>45</v>
      </c>
      <c r="K393" s="16" t="s">
        <v>45</v>
      </c>
      <c r="L393" s="16" t="s">
        <v>45</v>
      </c>
      <c r="M393" s="16" t="s">
        <v>45</v>
      </c>
      <c r="N393" s="16" t="s">
        <v>45</v>
      </c>
      <c r="O393" s="16" t="s">
        <v>45</v>
      </c>
      <c r="P393" s="9" t="str">
        <f t="shared" si="1"/>
        <v>N/I</v>
      </c>
      <c r="Q393" s="9" t="str">
        <f t="shared" si="2"/>
        <v>N/I</v>
      </c>
      <c r="R393" s="9" t="str">
        <f t="shared" si="3"/>
        <v>N/I</v>
      </c>
    </row>
    <row r="394">
      <c r="A394" s="11" t="s">
        <v>765</v>
      </c>
      <c r="B394" s="11" t="s">
        <v>902</v>
      </c>
      <c r="C394" s="12" t="s">
        <v>52</v>
      </c>
      <c r="D394" s="27" t="s">
        <v>908</v>
      </c>
      <c r="E394" s="16" t="s">
        <v>45</v>
      </c>
      <c r="F394" s="10" t="s">
        <v>787</v>
      </c>
      <c r="G394" s="12" t="s">
        <v>380</v>
      </c>
      <c r="H394" s="10" t="s">
        <v>197</v>
      </c>
      <c r="I394" s="16" t="s">
        <v>45</v>
      </c>
      <c r="J394" s="16" t="s">
        <v>45</v>
      </c>
      <c r="K394" s="16" t="s">
        <v>45</v>
      </c>
      <c r="L394" s="16" t="s">
        <v>45</v>
      </c>
      <c r="M394" s="16" t="s">
        <v>45</v>
      </c>
      <c r="N394" s="16" t="s">
        <v>45</v>
      </c>
      <c r="O394" s="16" t="s">
        <v>45</v>
      </c>
      <c r="P394" s="9" t="str">
        <f t="shared" si="1"/>
        <v>N/I</v>
      </c>
      <c r="Q394" s="9" t="str">
        <f t="shared" si="2"/>
        <v>N/I</v>
      </c>
      <c r="R394" s="9" t="str">
        <f t="shared" si="3"/>
        <v>N/I</v>
      </c>
    </row>
    <row r="395">
      <c r="A395" s="11" t="s">
        <v>765</v>
      </c>
      <c r="B395" s="11" t="s">
        <v>909</v>
      </c>
      <c r="C395" s="12" t="s">
        <v>52</v>
      </c>
      <c r="D395" s="27" t="s">
        <v>910</v>
      </c>
      <c r="E395" s="16" t="s">
        <v>45</v>
      </c>
      <c r="F395" s="10" t="s">
        <v>787</v>
      </c>
      <c r="G395" s="12" t="s">
        <v>380</v>
      </c>
      <c r="H395" s="10" t="s">
        <v>197</v>
      </c>
      <c r="I395" s="16" t="s">
        <v>45</v>
      </c>
      <c r="J395" s="16" t="s">
        <v>45</v>
      </c>
      <c r="K395" s="16" t="s">
        <v>45</v>
      </c>
      <c r="L395" s="16" t="s">
        <v>45</v>
      </c>
      <c r="M395" s="16" t="s">
        <v>45</v>
      </c>
      <c r="N395" s="16" t="s">
        <v>45</v>
      </c>
      <c r="O395" s="16" t="s">
        <v>45</v>
      </c>
      <c r="P395" s="9" t="str">
        <f t="shared" si="1"/>
        <v>N/I</v>
      </c>
      <c r="Q395" s="9" t="str">
        <f t="shared" si="2"/>
        <v>N/I</v>
      </c>
      <c r="R395" s="9" t="str">
        <f t="shared" si="3"/>
        <v>N/I</v>
      </c>
    </row>
    <row r="396">
      <c r="A396" s="11" t="s">
        <v>765</v>
      </c>
      <c r="B396" s="11" t="s">
        <v>909</v>
      </c>
      <c r="C396" s="12" t="s">
        <v>52</v>
      </c>
      <c r="D396" s="27" t="s">
        <v>913</v>
      </c>
      <c r="E396" s="16" t="s">
        <v>45</v>
      </c>
      <c r="F396" s="10" t="s">
        <v>787</v>
      </c>
      <c r="G396" s="12" t="s">
        <v>380</v>
      </c>
      <c r="H396" s="10" t="s">
        <v>197</v>
      </c>
      <c r="I396" s="16" t="s">
        <v>45</v>
      </c>
      <c r="J396" s="16" t="s">
        <v>45</v>
      </c>
      <c r="K396" s="16" t="s">
        <v>45</v>
      </c>
      <c r="L396" s="16" t="s">
        <v>45</v>
      </c>
      <c r="M396" s="16" t="s">
        <v>45</v>
      </c>
      <c r="N396" s="16" t="s">
        <v>45</v>
      </c>
      <c r="O396" s="16" t="s">
        <v>45</v>
      </c>
      <c r="P396" s="9" t="str">
        <f t="shared" si="1"/>
        <v>N/I</v>
      </c>
      <c r="Q396" s="9" t="str">
        <f t="shared" si="2"/>
        <v>N/I</v>
      </c>
      <c r="R396" s="9" t="str">
        <f t="shared" si="3"/>
        <v>N/I</v>
      </c>
    </row>
    <row r="397">
      <c r="A397" s="11" t="s">
        <v>765</v>
      </c>
      <c r="B397" s="11" t="s">
        <v>915</v>
      </c>
      <c r="C397" s="12" t="s">
        <v>52</v>
      </c>
      <c r="D397" s="27" t="s">
        <v>916</v>
      </c>
      <c r="E397" s="16" t="s">
        <v>45</v>
      </c>
      <c r="F397" s="10" t="s">
        <v>787</v>
      </c>
      <c r="G397" s="12" t="s">
        <v>917</v>
      </c>
      <c r="H397" s="10" t="s">
        <v>234</v>
      </c>
      <c r="I397" s="16" t="s">
        <v>45</v>
      </c>
      <c r="J397" s="16" t="s">
        <v>45</v>
      </c>
      <c r="K397" s="16" t="s">
        <v>45</v>
      </c>
      <c r="L397" s="16" t="s">
        <v>45</v>
      </c>
      <c r="M397" s="16" t="s">
        <v>45</v>
      </c>
      <c r="N397" s="16" t="s">
        <v>45</v>
      </c>
      <c r="O397" s="16" t="s">
        <v>45</v>
      </c>
      <c r="P397" s="9" t="str">
        <f t="shared" si="1"/>
        <v>N/I</v>
      </c>
      <c r="Q397" s="9" t="str">
        <f t="shared" si="2"/>
        <v>N/I</v>
      </c>
      <c r="R397" s="9" t="str">
        <f t="shared" si="3"/>
        <v>N/I</v>
      </c>
    </row>
    <row r="398">
      <c r="A398" s="11" t="s">
        <v>765</v>
      </c>
      <c r="B398" s="11" t="s">
        <v>920</v>
      </c>
      <c r="C398" s="12" t="s">
        <v>52</v>
      </c>
      <c r="D398" s="27" t="s">
        <v>921</v>
      </c>
      <c r="E398" s="16" t="s">
        <v>45</v>
      </c>
      <c r="F398" s="10" t="s">
        <v>776</v>
      </c>
      <c r="G398" s="12" t="s">
        <v>651</v>
      </c>
      <c r="H398" s="10" t="s">
        <v>652</v>
      </c>
      <c r="I398" s="16" t="s">
        <v>45</v>
      </c>
      <c r="J398" s="16" t="s">
        <v>45</v>
      </c>
      <c r="K398" s="16" t="s">
        <v>45</v>
      </c>
      <c r="L398" s="16" t="s">
        <v>45</v>
      </c>
      <c r="M398" s="16" t="s">
        <v>45</v>
      </c>
      <c r="N398" s="16" t="s">
        <v>45</v>
      </c>
      <c r="O398" s="16" t="s">
        <v>45</v>
      </c>
      <c r="P398" s="9" t="str">
        <f t="shared" si="1"/>
        <v>N/I</v>
      </c>
      <c r="Q398" s="9" t="str">
        <f t="shared" si="2"/>
        <v>N/I</v>
      </c>
      <c r="R398" s="9" t="str">
        <f t="shared" si="3"/>
        <v>N/I</v>
      </c>
    </row>
    <row r="399">
      <c r="A399" s="11" t="s">
        <v>765</v>
      </c>
      <c r="B399" s="11" t="s">
        <v>920</v>
      </c>
      <c r="C399" s="12" t="s">
        <v>68</v>
      </c>
      <c r="D399" s="27" t="s">
        <v>924</v>
      </c>
      <c r="E399" s="30" t="s">
        <v>780</v>
      </c>
      <c r="F399" s="12" t="s">
        <v>779</v>
      </c>
      <c r="G399" s="12" t="s">
        <v>651</v>
      </c>
      <c r="H399" s="10" t="s">
        <v>652</v>
      </c>
      <c r="I399" s="10" t="s">
        <v>706</v>
      </c>
      <c r="J399" s="30" t="s">
        <v>45</v>
      </c>
      <c r="K399" s="30" t="s">
        <v>45</v>
      </c>
      <c r="L399" s="30" t="s">
        <v>45</v>
      </c>
      <c r="M399" s="30" t="s">
        <v>780</v>
      </c>
      <c r="N399" s="30" t="s">
        <v>45</v>
      </c>
      <c r="O399" s="10" t="s">
        <v>320</v>
      </c>
      <c r="P399" s="9" t="str">
        <f t="shared" si="1"/>
        <v>N/I</v>
      </c>
      <c r="Q399" s="9" t="str">
        <f t="shared" si="2"/>
        <v>N/I</v>
      </c>
      <c r="R399" s="9" t="str">
        <f t="shared" si="3"/>
        <v>N/I</v>
      </c>
    </row>
    <row r="400">
      <c r="A400" s="11" t="s">
        <v>765</v>
      </c>
      <c r="B400" s="11" t="s">
        <v>926</v>
      </c>
      <c r="C400" s="12" t="s">
        <v>52</v>
      </c>
      <c r="D400" s="27" t="s">
        <v>927</v>
      </c>
      <c r="E400" s="16" t="s">
        <v>45</v>
      </c>
      <c r="F400" s="10" t="s">
        <v>787</v>
      </c>
      <c r="G400" s="12" t="s">
        <v>928</v>
      </c>
      <c r="H400" s="10" t="s">
        <v>197</v>
      </c>
      <c r="I400" s="16" t="s">
        <v>45</v>
      </c>
      <c r="J400" s="16" t="s">
        <v>45</v>
      </c>
      <c r="K400" s="16" t="s">
        <v>45</v>
      </c>
      <c r="L400" s="16" t="s">
        <v>45</v>
      </c>
      <c r="M400" s="16" t="s">
        <v>45</v>
      </c>
      <c r="N400" s="16" t="s">
        <v>45</v>
      </c>
      <c r="O400" s="16" t="s">
        <v>45</v>
      </c>
      <c r="P400" s="9" t="str">
        <f t="shared" si="1"/>
        <v>N/I</v>
      </c>
      <c r="Q400" s="9" t="str">
        <f t="shared" si="2"/>
        <v>N/I</v>
      </c>
      <c r="R400" s="9" t="str">
        <f t="shared" si="3"/>
        <v>N/I</v>
      </c>
    </row>
    <row r="401">
      <c r="A401" s="11" t="s">
        <v>765</v>
      </c>
      <c r="B401" s="11" t="s">
        <v>926</v>
      </c>
      <c r="C401" s="12" t="s">
        <v>52</v>
      </c>
      <c r="D401" s="27" t="s">
        <v>931</v>
      </c>
      <c r="E401" s="16" t="s">
        <v>45</v>
      </c>
      <c r="F401" s="10" t="s">
        <v>787</v>
      </c>
      <c r="G401" s="12" t="s">
        <v>928</v>
      </c>
      <c r="H401" s="10" t="s">
        <v>197</v>
      </c>
      <c r="I401" s="16" t="s">
        <v>45</v>
      </c>
      <c r="J401" s="16" t="s">
        <v>45</v>
      </c>
      <c r="K401" s="16" t="s">
        <v>45</v>
      </c>
      <c r="L401" s="16" t="s">
        <v>45</v>
      </c>
      <c r="M401" s="16" t="s">
        <v>45</v>
      </c>
      <c r="N401" s="16" t="s">
        <v>45</v>
      </c>
      <c r="O401" s="16" t="s">
        <v>45</v>
      </c>
      <c r="P401" s="9" t="str">
        <f t="shared" si="1"/>
        <v>N/I</v>
      </c>
      <c r="Q401" s="9" t="str">
        <f t="shared" si="2"/>
        <v>N/I</v>
      </c>
      <c r="R401" s="9" t="str">
        <f t="shared" si="3"/>
        <v>N/I</v>
      </c>
    </row>
    <row r="402">
      <c r="A402" s="11" t="s">
        <v>765</v>
      </c>
      <c r="B402" s="11" t="s">
        <v>926</v>
      </c>
      <c r="C402" s="12" t="s">
        <v>52</v>
      </c>
      <c r="D402" s="27" t="s">
        <v>932</v>
      </c>
      <c r="E402" s="16" t="s">
        <v>45</v>
      </c>
      <c r="F402" s="10" t="s">
        <v>787</v>
      </c>
      <c r="G402" s="12" t="s">
        <v>928</v>
      </c>
      <c r="H402" s="10" t="s">
        <v>197</v>
      </c>
      <c r="I402" s="16" t="s">
        <v>45</v>
      </c>
      <c r="J402" s="16" t="s">
        <v>45</v>
      </c>
      <c r="K402" s="16" t="s">
        <v>45</v>
      </c>
      <c r="L402" s="16" t="s">
        <v>45</v>
      </c>
      <c r="M402" s="16" t="s">
        <v>45</v>
      </c>
      <c r="N402" s="16" t="s">
        <v>45</v>
      </c>
      <c r="O402" s="16" t="s">
        <v>45</v>
      </c>
      <c r="P402" s="9" t="str">
        <f t="shared" si="1"/>
        <v>N/I</v>
      </c>
      <c r="Q402" s="9" t="str">
        <f t="shared" si="2"/>
        <v>N/I</v>
      </c>
      <c r="R402" s="9" t="str">
        <f t="shared" si="3"/>
        <v>N/I</v>
      </c>
    </row>
    <row r="403">
      <c r="A403" s="11" t="s">
        <v>934</v>
      </c>
      <c r="B403" s="11" t="s">
        <v>935</v>
      </c>
      <c r="C403" s="12" t="s">
        <v>55</v>
      </c>
      <c r="D403" s="34" t="s">
        <v>936</v>
      </c>
      <c r="E403" s="12" t="s">
        <v>942</v>
      </c>
      <c r="F403" s="10" t="s">
        <v>940</v>
      </c>
      <c r="G403" s="12" t="s">
        <v>937</v>
      </c>
      <c r="H403" s="10" t="s">
        <v>132</v>
      </c>
      <c r="I403" s="10" t="s">
        <v>354</v>
      </c>
      <c r="J403" s="12" t="s">
        <v>355</v>
      </c>
      <c r="K403" s="10" t="s">
        <v>941</v>
      </c>
      <c r="L403" s="16" t="s">
        <v>45</v>
      </c>
      <c r="M403" s="10" t="s">
        <v>49</v>
      </c>
      <c r="N403" s="16" t="s">
        <v>45</v>
      </c>
      <c r="O403" s="10" t="s">
        <v>320</v>
      </c>
      <c r="P403" s="9" t="str">
        <f t="shared" si="1"/>
        <v>N/I</v>
      </c>
      <c r="Q403" s="9" t="str">
        <f t="shared" si="2"/>
        <v>N/I</v>
      </c>
      <c r="R403" s="9" t="str">
        <f t="shared" si="3"/>
        <v>N/I</v>
      </c>
    </row>
    <row r="404">
      <c r="A404" s="11" t="s">
        <v>934</v>
      </c>
      <c r="B404" s="11" t="s">
        <v>943</v>
      </c>
      <c r="C404" s="12" t="s">
        <v>55</v>
      </c>
      <c r="D404" s="34" t="s">
        <v>944</v>
      </c>
      <c r="E404" s="12" t="s">
        <v>942</v>
      </c>
      <c r="F404" s="10" t="s">
        <v>940</v>
      </c>
      <c r="G404" s="12" t="s">
        <v>945</v>
      </c>
      <c r="H404" s="10" t="s">
        <v>562</v>
      </c>
      <c r="I404" s="10" t="s">
        <v>354</v>
      </c>
      <c r="J404" s="12" t="s">
        <v>355</v>
      </c>
      <c r="K404" s="10" t="s">
        <v>941</v>
      </c>
      <c r="L404" s="16" t="s">
        <v>45</v>
      </c>
      <c r="M404" s="10" t="s">
        <v>49</v>
      </c>
      <c r="N404" s="16" t="s">
        <v>45</v>
      </c>
      <c r="O404" s="10" t="s">
        <v>320</v>
      </c>
      <c r="P404" s="9" t="str">
        <f t="shared" si="1"/>
        <v>N/I</v>
      </c>
      <c r="Q404" s="9" t="str">
        <f t="shared" si="2"/>
        <v>N/I</v>
      </c>
      <c r="R404" s="9" t="str">
        <f t="shared" si="3"/>
        <v>N/I</v>
      </c>
    </row>
    <row r="405">
      <c r="A405" s="11" t="s">
        <v>934</v>
      </c>
      <c r="B405" s="11" t="s">
        <v>948</v>
      </c>
      <c r="C405" s="12" t="s">
        <v>55</v>
      </c>
      <c r="D405" s="34" t="s">
        <v>949</v>
      </c>
      <c r="E405" s="12" t="s">
        <v>942</v>
      </c>
      <c r="F405" s="10" t="s">
        <v>940</v>
      </c>
      <c r="G405" s="12" t="s">
        <v>950</v>
      </c>
      <c r="H405" s="10" t="s">
        <v>652</v>
      </c>
      <c r="I405" s="10" t="s">
        <v>354</v>
      </c>
      <c r="J405" s="12" t="s">
        <v>355</v>
      </c>
      <c r="K405" s="10" t="s">
        <v>941</v>
      </c>
      <c r="L405" s="16" t="s">
        <v>45</v>
      </c>
      <c r="M405" s="10" t="s">
        <v>49</v>
      </c>
      <c r="N405" s="16" t="s">
        <v>45</v>
      </c>
      <c r="O405" s="10" t="s">
        <v>320</v>
      </c>
      <c r="P405" s="9" t="str">
        <f t="shared" si="1"/>
        <v>N/I</v>
      </c>
      <c r="Q405" s="9" t="str">
        <f t="shared" si="2"/>
        <v>N/I</v>
      </c>
      <c r="R405" s="9" t="str">
        <f t="shared" si="3"/>
        <v>N/I</v>
      </c>
    </row>
    <row r="406">
      <c r="A406" s="11" t="s">
        <v>934</v>
      </c>
      <c r="B406" s="11" t="s">
        <v>953</v>
      </c>
      <c r="C406" s="12" t="s">
        <v>55</v>
      </c>
      <c r="D406" s="34" t="s">
        <v>954</v>
      </c>
      <c r="E406" s="12" t="s">
        <v>942</v>
      </c>
      <c r="F406" s="10" t="s">
        <v>940</v>
      </c>
      <c r="G406" s="12" t="s">
        <v>950</v>
      </c>
      <c r="H406" s="10" t="s">
        <v>652</v>
      </c>
      <c r="I406" s="10" t="s">
        <v>354</v>
      </c>
      <c r="J406" s="12" t="s">
        <v>355</v>
      </c>
      <c r="K406" s="10" t="s">
        <v>941</v>
      </c>
      <c r="L406" s="16" t="s">
        <v>45</v>
      </c>
      <c r="M406" s="10" t="s">
        <v>49</v>
      </c>
      <c r="N406" s="16" t="s">
        <v>45</v>
      </c>
      <c r="O406" s="10" t="s">
        <v>320</v>
      </c>
      <c r="P406" s="9" t="str">
        <f t="shared" si="1"/>
        <v>N/I</v>
      </c>
      <c r="Q406" s="9" t="str">
        <f t="shared" si="2"/>
        <v>N/I</v>
      </c>
      <c r="R406" s="9" t="str">
        <f t="shared" si="3"/>
        <v>N/I</v>
      </c>
    </row>
    <row r="407">
      <c r="A407" s="11" t="s">
        <v>934</v>
      </c>
      <c r="B407" s="11" t="s">
        <v>956</v>
      </c>
      <c r="C407" s="12" t="s">
        <v>55</v>
      </c>
      <c r="D407" s="34" t="s">
        <v>957</v>
      </c>
      <c r="E407" s="12" t="s">
        <v>942</v>
      </c>
      <c r="F407" s="10" t="s">
        <v>940</v>
      </c>
      <c r="G407" s="12" t="s">
        <v>958</v>
      </c>
      <c r="H407" s="10" t="s">
        <v>562</v>
      </c>
      <c r="I407" s="10" t="s">
        <v>354</v>
      </c>
      <c r="J407" s="12" t="s">
        <v>355</v>
      </c>
      <c r="K407" s="10" t="s">
        <v>941</v>
      </c>
      <c r="L407" s="16" t="s">
        <v>45</v>
      </c>
      <c r="M407" s="10" t="s">
        <v>49</v>
      </c>
      <c r="N407" s="16" t="s">
        <v>45</v>
      </c>
      <c r="O407" s="10" t="s">
        <v>320</v>
      </c>
      <c r="P407" s="9" t="str">
        <f t="shared" si="1"/>
        <v>N/I</v>
      </c>
      <c r="Q407" s="9" t="str">
        <f t="shared" si="2"/>
        <v>N/I</v>
      </c>
      <c r="R407" s="9" t="str">
        <f t="shared" si="3"/>
        <v>N/I</v>
      </c>
    </row>
    <row r="408">
      <c r="A408" s="11" t="s">
        <v>934</v>
      </c>
      <c r="B408" s="11" t="s">
        <v>961</v>
      </c>
      <c r="C408" s="12" t="s">
        <v>55</v>
      </c>
      <c r="D408" s="34" t="s">
        <v>962</v>
      </c>
      <c r="E408" s="12" t="s">
        <v>942</v>
      </c>
      <c r="F408" s="10" t="s">
        <v>940</v>
      </c>
      <c r="G408" s="12" t="s">
        <v>963</v>
      </c>
      <c r="H408" s="10" t="s">
        <v>562</v>
      </c>
      <c r="I408" s="10" t="s">
        <v>354</v>
      </c>
      <c r="J408" s="12" t="s">
        <v>355</v>
      </c>
      <c r="K408" s="10" t="s">
        <v>941</v>
      </c>
      <c r="L408" s="16" t="s">
        <v>45</v>
      </c>
      <c r="M408" s="10" t="s">
        <v>49</v>
      </c>
      <c r="N408" s="16" t="s">
        <v>45</v>
      </c>
      <c r="O408" s="10" t="s">
        <v>320</v>
      </c>
      <c r="P408" s="9" t="str">
        <f t="shared" si="1"/>
        <v>N/I</v>
      </c>
      <c r="Q408" s="9" t="str">
        <f t="shared" si="2"/>
        <v>N/I</v>
      </c>
      <c r="R408" s="9" t="str">
        <f t="shared" si="3"/>
        <v>N/I</v>
      </c>
    </row>
    <row r="409">
      <c r="A409" s="11" t="s">
        <v>934</v>
      </c>
      <c r="B409" s="11" t="s">
        <v>943</v>
      </c>
      <c r="C409" s="12" t="s">
        <v>55</v>
      </c>
      <c r="D409" s="34" t="s">
        <v>966</v>
      </c>
      <c r="E409" s="12" t="s">
        <v>942</v>
      </c>
      <c r="F409" s="10" t="s">
        <v>940</v>
      </c>
      <c r="G409" s="12" t="s">
        <v>963</v>
      </c>
      <c r="H409" s="10" t="s">
        <v>562</v>
      </c>
      <c r="I409" s="10" t="s">
        <v>354</v>
      </c>
      <c r="J409" s="12" t="s">
        <v>355</v>
      </c>
      <c r="K409" s="10" t="s">
        <v>941</v>
      </c>
      <c r="L409" s="16" t="s">
        <v>45</v>
      </c>
      <c r="M409" s="10" t="s">
        <v>49</v>
      </c>
      <c r="N409" s="16" t="s">
        <v>45</v>
      </c>
      <c r="O409" s="10" t="s">
        <v>320</v>
      </c>
      <c r="P409" s="9" t="str">
        <f t="shared" si="1"/>
        <v>N/I</v>
      </c>
      <c r="Q409" s="9" t="str">
        <f t="shared" si="2"/>
        <v>N/I</v>
      </c>
      <c r="R409" s="9" t="str">
        <f t="shared" si="3"/>
        <v>N/I</v>
      </c>
    </row>
    <row r="410">
      <c r="A410" s="11" t="s">
        <v>934</v>
      </c>
      <c r="B410" s="11" t="s">
        <v>968</v>
      </c>
      <c r="C410" s="12" t="s">
        <v>55</v>
      </c>
      <c r="D410" s="34" t="s">
        <v>969</v>
      </c>
      <c r="E410" s="12" t="s">
        <v>942</v>
      </c>
      <c r="F410" s="10" t="s">
        <v>940</v>
      </c>
      <c r="G410" s="12" t="s">
        <v>970</v>
      </c>
      <c r="H410" s="10" t="s">
        <v>89</v>
      </c>
      <c r="I410" s="10" t="s">
        <v>354</v>
      </c>
      <c r="J410" s="12" t="s">
        <v>355</v>
      </c>
      <c r="K410" s="10" t="s">
        <v>941</v>
      </c>
      <c r="L410" s="16" t="s">
        <v>45</v>
      </c>
      <c r="M410" s="10" t="s">
        <v>49</v>
      </c>
      <c r="N410" s="16" t="s">
        <v>45</v>
      </c>
      <c r="O410" s="10" t="s">
        <v>320</v>
      </c>
      <c r="P410" s="9" t="str">
        <f t="shared" si="1"/>
        <v>N/I</v>
      </c>
      <c r="Q410" s="9" t="str">
        <f t="shared" si="2"/>
        <v>N/I</v>
      </c>
      <c r="R410" s="9" t="str">
        <f t="shared" si="3"/>
        <v>N/I</v>
      </c>
    </row>
    <row r="411">
      <c r="A411" s="11" t="s">
        <v>934</v>
      </c>
      <c r="B411" s="11" t="s">
        <v>973</v>
      </c>
      <c r="C411" s="12" t="s">
        <v>55</v>
      </c>
      <c r="D411" s="34" t="s">
        <v>974</v>
      </c>
      <c r="E411" s="12" t="s">
        <v>942</v>
      </c>
      <c r="F411" s="10" t="s">
        <v>940</v>
      </c>
      <c r="G411" s="12" t="s">
        <v>975</v>
      </c>
      <c r="H411" s="10" t="s">
        <v>610</v>
      </c>
      <c r="I411" s="10" t="s">
        <v>354</v>
      </c>
      <c r="J411" s="12" t="s">
        <v>355</v>
      </c>
      <c r="K411" s="10" t="s">
        <v>941</v>
      </c>
      <c r="L411" s="16" t="s">
        <v>45</v>
      </c>
      <c r="M411" s="10" t="s">
        <v>49</v>
      </c>
      <c r="N411" s="16" t="s">
        <v>45</v>
      </c>
      <c r="O411" s="10" t="s">
        <v>320</v>
      </c>
      <c r="P411" s="9" t="str">
        <f t="shared" si="1"/>
        <v>N/I</v>
      </c>
      <c r="Q411" s="9" t="str">
        <f t="shared" si="2"/>
        <v>N/I</v>
      </c>
      <c r="R411" s="9" t="str">
        <f t="shared" si="3"/>
        <v>N/I</v>
      </c>
    </row>
    <row r="412">
      <c r="A412" s="11" t="s">
        <v>934</v>
      </c>
      <c r="B412" s="11" t="s">
        <v>978</v>
      </c>
      <c r="C412" s="12" t="s">
        <v>55</v>
      </c>
      <c r="D412" s="34" t="s">
        <v>979</v>
      </c>
      <c r="E412" s="12" t="s">
        <v>942</v>
      </c>
      <c r="F412" s="10" t="s">
        <v>940</v>
      </c>
      <c r="G412" s="12" t="s">
        <v>980</v>
      </c>
      <c r="H412" s="10" t="s">
        <v>40</v>
      </c>
      <c r="I412" s="10" t="s">
        <v>354</v>
      </c>
      <c r="J412" s="12" t="s">
        <v>355</v>
      </c>
      <c r="K412" s="10" t="s">
        <v>941</v>
      </c>
      <c r="L412" s="16" t="s">
        <v>45</v>
      </c>
      <c r="M412" s="10" t="s">
        <v>49</v>
      </c>
      <c r="N412" s="16" t="s">
        <v>45</v>
      </c>
      <c r="O412" s="10" t="s">
        <v>320</v>
      </c>
      <c r="P412" s="9" t="str">
        <f>IF(AJ405&lt;0,"Inativo",IF(AJ405&gt;0,"Ativo","N/I"))</f>
        <v>N/I</v>
      </c>
      <c r="Q412" s="9" t="str">
        <f>IF(AO405&lt;0,"Inativo",IF(AO405&gt;0,"Ativo","N/I"))</f>
        <v>N/I</v>
      </c>
      <c r="R412" s="9" t="str">
        <f>IF(AT405&lt;0,"Inativo",IF(AT405&gt;0,"Ativo","N/I"))</f>
        <v>N/I</v>
      </c>
    </row>
    <row r="413">
      <c r="A413" s="11" t="s">
        <v>934</v>
      </c>
      <c r="B413" s="11" t="s">
        <v>983</v>
      </c>
      <c r="C413" s="12" t="s">
        <v>55</v>
      </c>
      <c r="D413" s="34" t="s">
        <v>984</v>
      </c>
      <c r="E413" s="12" t="s">
        <v>942</v>
      </c>
      <c r="F413" s="10" t="s">
        <v>940</v>
      </c>
      <c r="G413" s="12" t="s">
        <v>985</v>
      </c>
      <c r="H413" s="10" t="s">
        <v>870</v>
      </c>
      <c r="I413" s="10" t="s">
        <v>354</v>
      </c>
      <c r="J413" s="12" t="s">
        <v>355</v>
      </c>
      <c r="K413" s="10" t="s">
        <v>941</v>
      </c>
      <c r="L413" s="16" t="s">
        <v>45</v>
      </c>
      <c r="M413" s="10" t="s">
        <v>49</v>
      </c>
      <c r="N413" s="16" t="s">
        <v>45</v>
      </c>
      <c r="O413" s="10" t="s">
        <v>320</v>
      </c>
      <c r="P413" s="9" t="str">
        <f t="shared" ref="P413:P423" si="4">IF(AJ413&lt;0,"Inativo",IF(AJ413&gt;0,"Ativo","N/I"))</f>
        <v>N/I</v>
      </c>
      <c r="Q413" s="9" t="str">
        <f t="shared" ref="Q413:Q423" si="5">IF(AO413&lt;0,"Inativo",IF(AO413&gt;0,"Ativo","N/I"))</f>
        <v>N/I</v>
      </c>
      <c r="R413" s="9" t="str">
        <f t="shared" ref="R413:R423" si="6">IF(AT413&lt;0,"Inativo",IF(AT413&gt;0,"Ativo","N/I"))</f>
        <v>N/I</v>
      </c>
    </row>
    <row r="414">
      <c r="A414" s="11" t="s">
        <v>934</v>
      </c>
      <c r="B414" s="11" t="s">
        <v>988</v>
      </c>
      <c r="C414" s="12" t="s">
        <v>55</v>
      </c>
      <c r="D414" s="19" t="s">
        <v>989</v>
      </c>
      <c r="E414" s="12" t="s">
        <v>942</v>
      </c>
      <c r="F414" s="10" t="s">
        <v>992</v>
      </c>
      <c r="G414" s="12" t="s">
        <v>990</v>
      </c>
      <c r="H414" s="10" t="s">
        <v>583</v>
      </c>
      <c r="I414" s="10" t="s">
        <v>354</v>
      </c>
      <c r="J414" s="12" t="s">
        <v>355</v>
      </c>
      <c r="K414" s="10" t="s">
        <v>941</v>
      </c>
      <c r="L414" s="16" t="s">
        <v>45</v>
      </c>
      <c r="M414" s="10" t="s">
        <v>49</v>
      </c>
      <c r="N414" s="16" t="s">
        <v>45</v>
      </c>
      <c r="O414" s="10" t="s">
        <v>320</v>
      </c>
      <c r="P414" s="9" t="str">
        <f t="shared" si="4"/>
        <v>N/I</v>
      </c>
      <c r="Q414" s="9" t="str">
        <f t="shared" si="5"/>
        <v>N/I</v>
      </c>
      <c r="R414" s="9" t="str">
        <f t="shared" si="6"/>
        <v>N/I</v>
      </c>
    </row>
    <row r="415">
      <c r="A415" s="11" t="s">
        <v>934</v>
      </c>
      <c r="B415" s="11" t="s">
        <v>993</v>
      </c>
      <c r="C415" s="12" t="s">
        <v>55</v>
      </c>
      <c r="D415" s="34" t="s">
        <v>994</v>
      </c>
      <c r="E415" s="12" t="s">
        <v>942</v>
      </c>
      <c r="F415" s="10" t="s">
        <v>940</v>
      </c>
      <c r="G415" s="12" t="s">
        <v>995</v>
      </c>
      <c r="H415" s="10" t="s">
        <v>222</v>
      </c>
      <c r="I415" s="10" t="s">
        <v>354</v>
      </c>
      <c r="J415" s="12" t="s">
        <v>355</v>
      </c>
      <c r="K415" s="10" t="s">
        <v>941</v>
      </c>
      <c r="L415" s="16" t="s">
        <v>45</v>
      </c>
      <c r="M415" s="10" t="s">
        <v>49</v>
      </c>
      <c r="N415" s="16" t="s">
        <v>45</v>
      </c>
      <c r="O415" s="10" t="s">
        <v>320</v>
      </c>
      <c r="P415" s="9" t="str">
        <f t="shared" si="4"/>
        <v>N/I</v>
      </c>
      <c r="Q415" s="9" t="str">
        <f t="shared" si="5"/>
        <v>N/I</v>
      </c>
      <c r="R415" s="9" t="str">
        <f t="shared" si="6"/>
        <v>N/I</v>
      </c>
    </row>
    <row r="416">
      <c r="A416" s="11" t="s">
        <v>934</v>
      </c>
      <c r="B416" s="11" t="s">
        <v>997</v>
      </c>
      <c r="C416" s="12" t="s">
        <v>55</v>
      </c>
      <c r="D416" s="34" t="s">
        <v>998</v>
      </c>
      <c r="E416" s="12" t="s">
        <v>942</v>
      </c>
      <c r="F416" s="10" t="s">
        <v>992</v>
      </c>
      <c r="G416" s="12" t="s">
        <v>999</v>
      </c>
      <c r="H416" s="10" t="s">
        <v>610</v>
      </c>
      <c r="I416" s="10" t="s">
        <v>354</v>
      </c>
      <c r="J416" s="12" t="s">
        <v>355</v>
      </c>
      <c r="K416" s="10" t="s">
        <v>941</v>
      </c>
      <c r="L416" s="16" t="s">
        <v>45</v>
      </c>
      <c r="M416" s="10" t="s">
        <v>49</v>
      </c>
      <c r="N416" s="16" t="s">
        <v>45</v>
      </c>
      <c r="O416" s="10" t="s">
        <v>320</v>
      </c>
      <c r="P416" s="9" t="str">
        <f t="shared" si="4"/>
        <v>N/I</v>
      </c>
      <c r="Q416" s="9" t="str">
        <f t="shared" si="5"/>
        <v>N/I</v>
      </c>
      <c r="R416" s="9" t="str">
        <f t="shared" si="6"/>
        <v>N/I</v>
      </c>
    </row>
    <row r="417">
      <c r="A417" s="11" t="s">
        <v>934</v>
      </c>
      <c r="B417" s="11" t="s">
        <v>1002</v>
      </c>
      <c r="C417" s="12" t="s">
        <v>55</v>
      </c>
      <c r="D417" s="34" t="s">
        <v>1003</v>
      </c>
      <c r="E417" s="12" t="s">
        <v>942</v>
      </c>
      <c r="F417" s="10" t="s">
        <v>940</v>
      </c>
      <c r="G417" s="12" t="s">
        <v>790</v>
      </c>
      <c r="H417" s="10" t="s">
        <v>791</v>
      </c>
      <c r="I417" s="10" t="s">
        <v>354</v>
      </c>
      <c r="J417" s="12" t="s">
        <v>355</v>
      </c>
      <c r="K417" s="10" t="s">
        <v>941</v>
      </c>
      <c r="L417" s="16" t="s">
        <v>45</v>
      </c>
      <c r="M417" s="10" t="s">
        <v>49</v>
      </c>
      <c r="N417" s="16" t="s">
        <v>45</v>
      </c>
      <c r="O417" s="10" t="s">
        <v>320</v>
      </c>
      <c r="P417" s="9" t="str">
        <f t="shared" si="4"/>
        <v>N/I</v>
      </c>
      <c r="Q417" s="9" t="str">
        <f t="shared" si="5"/>
        <v>N/I</v>
      </c>
      <c r="R417" s="9" t="str">
        <f t="shared" si="6"/>
        <v>N/I</v>
      </c>
    </row>
    <row r="418">
      <c r="A418" s="11" t="s">
        <v>934</v>
      </c>
      <c r="B418" s="11" t="s">
        <v>1006</v>
      </c>
      <c r="C418" s="12" t="s">
        <v>55</v>
      </c>
      <c r="D418" s="34" t="s">
        <v>1007</v>
      </c>
      <c r="E418" s="12" t="s">
        <v>942</v>
      </c>
      <c r="F418" s="10" t="s">
        <v>940</v>
      </c>
      <c r="G418" s="12" t="s">
        <v>1008</v>
      </c>
      <c r="H418" s="10" t="s">
        <v>791</v>
      </c>
      <c r="I418" s="10" t="s">
        <v>354</v>
      </c>
      <c r="J418" s="12" t="s">
        <v>355</v>
      </c>
      <c r="K418" s="10" t="s">
        <v>941</v>
      </c>
      <c r="L418" s="16" t="s">
        <v>45</v>
      </c>
      <c r="M418" s="10" t="s">
        <v>49</v>
      </c>
      <c r="N418" s="16" t="s">
        <v>45</v>
      </c>
      <c r="O418" s="10" t="s">
        <v>320</v>
      </c>
      <c r="P418" s="9" t="str">
        <f t="shared" si="4"/>
        <v>N/I</v>
      </c>
      <c r="Q418" s="9" t="str">
        <f t="shared" si="5"/>
        <v>N/I</v>
      </c>
      <c r="R418" s="9" t="str">
        <f t="shared" si="6"/>
        <v>N/I</v>
      </c>
    </row>
    <row r="419">
      <c r="A419" s="11" t="s">
        <v>934</v>
      </c>
      <c r="B419" s="11" t="s">
        <v>1010</v>
      </c>
      <c r="C419" s="12" t="s">
        <v>55</v>
      </c>
      <c r="D419" s="34" t="s">
        <v>1011</v>
      </c>
      <c r="E419" s="12" t="s">
        <v>942</v>
      </c>
      <c r="F419" s="10" t="s">
        <v>940</v>
      </c>
      <c r="G419" s="12" t="s">
        <v>1008</v>
      </c>
      <c r="H419" s="10" t="s">
        <v>791</v>
      </c>
      <c r="I419" s="10" t="s">
        <v>354</v>
      </c>
      <c r="J419" s="12" t="s">
        <v>355</v>
      </c>
      <c r="K419" s="10" t="s">
        <v>941</v>
      </c>
      <c r="L419" s="16" t="s">
        <v>45</v>
      </c>
      <c r="M419" s="10" t="s">
        <v>49</v>
      </c>
      <c r="N419" s="16" t="s">
        <v>45</v>
      </c>
      <c r="O419" s="10" t="s">
        <v>320</v>
      </c>
      <c r="P419" s="9" t="str">
        <f t="shared" si="4"/>
        <v>N/I</v>
      </c>
      <c r="Q419" s="9" t="str">
        <f t="shared" si="5"/>
        <v>N/I</v>
      </c>
      <c r="R419" s="9" t="str">
        <f t="shared" si="6"/>
        <v>N/I</v>
      </c>
    </row>
    <row r="420">
      <c r="A420" s="11" t="s">
        <v>1014</v>
      </c>
      <c r="B420" s="11" t="s">
        <v>1015</v>
      </c>
      <c r="C420" s="12" t="s">
        <v>52</v>
      </c>
      <c r="D420" s="20" t="s">
        <v>1016</v>
      </c>
      <c r="E420" s="12" t="s">
        <v>1020</v>
      </c>
      <c r="F420" s="10" t="s">
        <v>1019</v>
      </c>
      <c r="G420" s="12" t="s">
        <v>246</v>
      </c>
      <c r="H420" s="10" t="s">
        <v>247</v>
      </c>
      <c r="I420" s="10" t="s">
        <v>354</v>
      </c>
      <c r="J420" s="12" t="s">
        <v>355</v>
      </c>
      <c r="K420" s="16" t="s">
        <v>45</v>
      </c>
      <c r="L420" s="12" t="s">
        <v>1021</v>
      </c>
      <c r="M420" s="12" t="s">
        <v>49</v>
      </c>
      <c r="N420" s="12" t="s">
        <v>1021</v>
      </c>
      <c r="O420" s="16" t="s">
        <v>45</v>
      </c>
      <c r="P420" s="9" t="str">
        <f t="shared" si="4"/>
        <v>N/I</v>
      </c>
      <c r="Q420" s="9" t="str">
        <f t="shared" si="5"/>
        <v>N/I</v>
      </c>
      <c r="R420" s="9" t="str">
        <f t="shared" si="6"/>
        <v>N/I</v>
      </c>
    </row>
    <row r="421">
      <c r="A421" s="11" t="s">
        <v>1014</v>
      </c>
      <c r="B421" s="11" t="s">
        <v>1022</v>
      </c>
      <c r="C421" s="12" t="s">
        <v>52</v>
      </c>
      <c r="D421" s="20" t="s">
        <v>1023</v>
      </c>
      <c r="E421" s="12" t="s">
        <v>1020</v>
      </c>
      <c r="F421" s="10" t="s">
        <v>1019</v>
      </c>
      <c r="G421" s="12" t="s">
        <v>246</v>
      </c>
      <c r="H421" s="10" t="s">
        <v>247</v>
      </c>
      <c r="I421" s="10" t="s">
        <v>354</v>
      </c>
      <c r="J421" s="12" t="s">
        <v>355</v>
      </c>
      <c r="K421" s="16" t="s">
        <v>45</v>
      </c>
      <c r="L421" s="12" t="s">
        <v>1021</v>
      </c>
      <c r="M421" s="12" t="s">
        <v>49</v>
      </c>
      <c r="N421" s="12" t="s">
        <v>1021</v>
      </c>
      <c r="O421" s="16" t="s">
        <v>45</v>
      </c>
      <c r="P421" s="9" t="str">
        <f t="shared" si="4"/>
        <v>N/I</v>
      </c>
      <c r="Q421" s="9" t="str">
        <f t="shared" si="5"/>
        <v>N/I</v>
      </c>
      <c r="R421" s="9" t="str">
        <f t="shared" si="6"/>
        <v>N/I</v>
      </c>
    </row>
    <row r="422">
      <c r="A422" s="11" t="s">
        <v>934</v>
      </c>
      <c r="B422" s="11" t="s">
        <v>1024</v>
      </c>
      <c r="C422" s="12" t="s">
        <v>55</v>
      </c>
      <c r="D422" s="34" t="s">
        <v>1025</v>
      </c>
      <c r="E422" s="12" t="s">
        <v>942</v>
      </c>
      <c r="F422" s="10" t="s">
        <v>940</v>
      </c>
      <c r="G422" s="12" t="s">
        <v>246</v>
      </c>
      <c r="H422" s="10" t="s">
        <v>247</v>
      </c>
      <c r="I422" s="10" t="s">
        <v>354</v>
      </c>
      <c r="J422" s="12" t="s">
        <v>355</v>
      </c>
      <c r="K422" s="10" t="s">
        <v>941</v>
      </c>
      <c r="L422" s="16" t="s">
        <v>45</v>
      </c>
      <c r="M422" s="10" t="s">
        <v>49</v>
      </c>
      <c r="N422" s="16" t="s">
        <v>45</v>
      </c>
      <c r="O422" s="10" t="s">
        <v>320</v>
      </c>
      <c r="P422" s="9" t="str">
        <f t="shared" si="4"/>
        <v>N/I</v>
      </c>
      <c r="Q422" s="9" t="str">
        <f t="shared" si="5"/>
        <v>N/I</v>
      </c>
      <c r="R422" s="9" t="str">
        <f t="shared" si="6"/>
        <v>N/I</v>
      </c>
    </row>
    <row r="423">
      <c r="A423" s="11" t="s">
        <v>934</v>
      </c>
      <c r="B423" s="32" t="s">
        <v>1026</v>
      </c>
      <c r="C423" s="12" t="s">
        <v>55</v>
      </c>
      <c r="D423" s="34" t="s">
        <v>1027</v>
      </c>
      <c r="E423" s="12" t="s">
        <v>942</v>
      </c>
      <c r="F423" s="10" t="s">
        <v>940</v>
      </c>
      <c r="G423" s="12" t="s">
        <v>1028</v>
      </c>
      <c r="H423" s="10" t="s">
        <v>583</v>
      </c>
      <c r="I423" s="10" t="s">
        <v>354</v>
      </c>
      <c r="J423" s="12" t="s">
        <v>355</v>
      </c>
      <c r="K423" s="10" t="s">
        <v>941</v>
      </c>
      <c r="L423" s="16" t="s">
        <v>45</v>
      </c>
      <c r="M423" s="10" t="s">
        <v>49</v>
      </c>
      <c r="N423" s="16" t="s">
        <v>45</v>
      </c>
      <c r="O423" s="10" t="s">
        <v>320</v>
      </c>
      <c r="P423" s="9" t="str">
        <f t="shared" si="4"/>
        <v>N/I</v>
      </c>
      <c r="Q423" s="9" t="str">
        <f t="shared" si="5"/>
        <v>N/I</v>
      </c>
      <c r="R423" s="9" t="str">
        <f t="shared" si="6"/>
        <v>N/I</v>
      </c>
    </row>
    <row r="424">
      <c r="A424" s="11" t="s">
        <v>934</v>
      </c>
      <c r="B424" s="11" t="s">
        <v>1031</v>
      </c>
      <c r="C424" s="12" t="s">
        <v>55</v>
      </c>
      <c r="D424" s="34" t="s">
        <v>1032</v>
      </c>
      <c r="E424" s="12" t="s">
        <v>942</v>
      </c>
      <c r="F424" s="10" t="s">
        <v>940</v>
      </c>
      <c r="G424" s="12" t="s">
        <v>1033</v>
      </c>
      <c r="H424" s="10" t="s">
        <v>234</v>
      </c>
      <c r="I424" s="10" t="s">
        <v>354</v>
      </c>
      <c r="J424" s="12" t="s">
        <v>355</v>
      </c>
      <c r="K424" s="10" t="s">
        <v>941</v>
      </c>
      <c r="L424" s="16" t="s">
        <v>45</v>
      </c>
      <c r="M424" s="10" t="s">
        <v>49</v>
      </c>
      <c r="N424" s="16" t="s">
        <v>45</v>
      </c>
      <c r="O424" s="10" t="s">
        <v>320</v>
      </c>
      <c r="P424" s="9" t="str">
        <f>IF(AJ430&lt;0,"Inativo",IF(AJ430&gt;0,"Ativo","N/I"))</f>
        <v>N/I</v>
      </c>
      <c r="Q424" s="9" t="str">
        <f>IF(AO430&lt;0,"Inativo",IF(AO430&gt;0,"Ativo","N/I"))</f>
        <v>N/I</v>
      </c>
      <c r="R424" s="9" t="str">
        <f>IF(AT430&lt;0,"Inativo",IF(AT430&gt;0,"Ativo","N/I"))</f>
        <v>N/I</v>
      </c>
    </row>
    <row r="425">
      <c r="A425" s="11" t="s">
        <v>934</v>
      </c>
      <c r="B425" s="11" t="s">
        <v>1036</v>
      </c>
      <c r="C425" s="12" t="s">
        <v>55</v>
      </c>
      <c r="D425" s="34" t="s">
        <v>1037</v>
      </c>
      <c r="E425" s="12" t="s">
        <v>942</v>
      </c>
      <c r="F425" s="10" t="s">
        <v>940</v>
      </c>
      <c r="G425" s="12" t="s">
        <v>1038</v>
      </c>
      <c r="H425" s="10" t="s">
        <v>132</v>
      </c>
      <c r="I425" s="10" t="s">
        <v>354</v>
      </c>
      <c r="J425" s="12" t="s">
        <v>355</v>
      </c>
      <c r="K425" s="10" t="s">
        <v>941</v>
      </c>
      <c r="L425" s="16" t="s">
        <v>45</v>
      </c>
      <c r="M425" s="10" t="s">
        <v>49</v>
      </c>
      <c r="N425" s="16" t="s">
        <v>45</v>
      </c>
      <c r="O425" s="10" t="s">
        <v>320</v>
      </c>
      <c r="P425" s="9" t="str">
        <f t="shared" ref="P425:P426" si="7">IF(AJ425&lt;0,"Inativo",IF(AJ425&gt;0,"Ativo","N/I"))</f>
        <v>N/I</v>
      </c>
      <c r="Q425" s="9" t="str">
        <f t="shared" ref="Q425:Q426" si="8">IF(AO425&lt;0,"Inativo",IF(AO425&gt;0,"Ativo","N/I"))</f>
        <v>N/I</v>
      </c>
      <c r="R425" s="9" t="str">
        <f t="shared" ref="R425:R426" si="9">IF(AT425&lt;0,"Inativo",IF(AT425&gt;0,"Ativo","N/I"))</f>
        <v>N/I</v>
      </c>
    </row>
    <row r="426">
      <c r="A426" s="11" t="s">
        <v>934</v>
      </c>
      <c r="B426" s="11" t="s">
        <v>1041</v>
      </c>
      <c r="C426" s="12" t="s">
        <v>55</v>
      </c>
      <c r="D426" s="34" t="s">
        <v>1042</v>
      </c>
      <c r="E426" s="12" t="s">
        <v>942</v>
      </c>
      <c r="F426" s="10" t="s">
        <v>940</v>
      </c>
      <c r="G426" s="12" t="s">
        <v>70</v>
      </c>
      <c r="H426" s="10" t="s">
        <v>63</v>
      </c>
      <c r="I426" s="10" t="s">
        <v>354</v>
      </c>
      <c r="J426" s="12" t="s">
        <v>355</v>
      </c>
      <c r="K426" s="10" t="s">
        <v>941</v>
      </c>
      <c r="L426" s="16" t="s">
        <v>45</v>
      </c>
      <c r="M426" s="10" t="s">
        <v>49</v>
      </c>
      <c r="N426" s="16" t="s">
        <v>45</v>
      </c>
      <c r="O426" s="10" t="s">
        <v>320</v>
      </c>
      <c r="P426" s="9" t="str">
        <f t="shared" si="7"/>
        <v>N/I</v>
      </c>
      <c r="Q426" s="9" t="str">
        <f t="shared" si="8"/>
        <v>N/I</v>
      </c>
      <c r="R426" s="9" t="str">
        <f t="shared" si="9"/>
        <v>N/I</v>
      </c>
    </row>
    <row r="427">
      <c r="A427" s="11" t="s">
        <v>934</v>
      </c>
      <c r="B427" s="11" t="s">
        <v>1045</v>
      </c>
      <c r="C427" s="12" t="s">
        <v>55</v>
      </c>
      <c r="D427" s="34" t="s">
        <v>1046</v>
      </c>
      <c r="E427" s="12" t="s">
        <v>942</v>
      </c>
      <c r="F427" s="10" t="s">
        <v>940</v>
      </c>
      <c r="G427" s="12" t="s">
        <v>62</v>
      </c>
      <c r="H427" s="10" t="s">
        <v>63</v>
      </c>
      <c r="I427" s="10" t="s">
        <v>354</v>
      </c>
      <c r="J427" s="12" t="s">
        <v>355</v>
      </c>
      <c r="K427" s="10" t="s">
        <v>941</v>
      </c>
      <c r="L427" s="16" t="s">
        <v>45</v>
      </c>
      <c r="M427" s="10" t="s">
        <v>49</v>
      </c>
      <c r="N427" s="16" t="s">
        <v>45</v>
      </c>
      <c r="O427" s="10" t="s">
        <v>320</v>
      </c>
      <c r="P427" s="9" t="str">
        <f>IF(AJ426&lt;0,"Inativo",IF(AJ426&gt;0,"Ativo","N/I"))</f>
        <v>N/I</v>
      </c>
      <c r="Q427" s="9" t="str">
        <f>IF(AO426&lt;0,"Inativo",IF(AO426&gt;0,"Ativo","N/I"))</f>
        <v>N/I</v>
      </c>
      <c r="R427" s="9" t="str">
        <f>IF(AT426&lt;0,"Inativo",IF(AT426&gt;0,"Ativo","N/I"))</f>
        <v>N/I</v>
      </c>
    </row>
    <row r="428">
      <c r="A428" s="11" t="s">
        <v>934</v>
      </c>
      <c r="B428" s="11" t="s">
        <v>1049</v>
      </c>
      <c r="C428" s="12" t="s">
        <v>55</v>
      </c>
      <c r="D428" s="34" t="s">
        <v>1050</v>
      </c>
      <c r="E428" s="12" t="s">
        <v>942</v>
      </c>
      <c r="F428" s="10" t="s">
        <v>940</v>
      </c>
      <c r="G428" s="12" t="s">
        <v>62</v>
      </c>
      <c r="H428" s="10" t="s">
        <v>63</v>
      </c>
      <c r="I428" s="10" t="s">
        <v>354</v>
      </c>
      <c r="J428" s="12" t="s">
        <v>355</v>
      </c>
      <c r="K428" s="10" t="s">
        <v>941</v>
      </c>
      <c r="L428" s="16" t="s">
        <v>45</v>
      </c>
      <c r="M428" s="10" t="s">
        <v>49</v>
      </c>
      <c r="N428" s="16" t="s">
        <v>45</v>
      </c>
      <c r="O428" s="10" t="s">
        <v>320</v>
      </c>
      <c r="P428" s="9" t="str">
        <f>IF(AJ425&lt;0,"Inativo",IF(AJ425&gt;0,"Ativo","N/I"))</f>
        <v>N/I</v>
      </c>
      <c r="Q428" s="9" t="str">
        <f>IF(AO425&lt;0,"Inativo",IF(AO425&gt;0,"Ativo","N/I"))</f>
        <v>N/I</v>
      </c>
      <c r="R428" s="9" t="str">
        <f>IF(AT425&lt;0,"Inativo",IF(AT425&gt;0,"Ativo","N/I"))</f>
        <v>N/I</v>
      </c>
    </row>
    <row r="429">
      <c r="A429" s="11" t="s">
        <v>934</v>
      </c>
      <c r="B429" s="11" t="s">
        <v>1051</v>
      </c>
      <c r="C429" s="12" t="s">
        <v>55</v>
      </c>
      <c r="D429" s="34" t="s">
        <v>1052</v>
      </c>
      <c r="E429" s="12" t="s">
        <v>942</v>
      </c>
      <c r="F429" s="10" t="s">
        <v>940</v>
      </c>
      <c r="G429" s="12" t="s">
        <v>1053</v>
      </c>
      <c r="H429" s="10" t="s">
        <v>222</v>
      </c>
      <c r="I429" s="10" t="s">
        <v>354</v>
      </c>
      <c r="J429" s="12" t="s">
        <v>355</v>
      </c>
      <c r="K429" s="10" t="s">
        <v>941</v>
      </c>
      <c r="L429" s="16" t="s">
        <v>45</v>
      </c>
      <c r="M429" s="10" t="s">
        <v>49</v>
      </c>
      <c r="N429" s="16" t="s">
        <v>45</v>
      </c>
      <c r="O429" s="10" t="s">
        <v>320</v>
      </c>
      <c r="P429" s="9" t="str">
        <f t="shared" ref="P429:P444" si="10">IF(AJ429&lt;0,"Inativo",IF(AJ429&gt;0,"Ativo","N/I"))</f>
        <v>N/I</v>
      </c>
      <c r="Q429" s="9" t="str">
        <f t="shared" ref="Q429:Q444" si="11">IF(AO429&lt;0,"Inativo",IF(AO429&gt;0,"Ativo","N/I"))</f>
        <v>N/I</v>
      </c>
      <c r="R429" s="9" t="str">
        <f t="shared" ref="R429:R444" si="12">IF(AT429&lt;0,"Inativo",IF(AT429&gt;0,"Ativo","N/I"))</f>
        <v>N/I</v>
      </c>
    </row>
    <row r="430">
      <c r="A430" s="11" t="s">
        <v>1014</v>
      </c>
      <c r="B430" s="11" t="s">
        <v>1056</v>
      </c>
      <c r="C430" s="12" t="s">
        <v>52</v>
      </c>
      <c r="D430" s="20" t="s">
        <v>1057</v>
      </c>
      <c r="E430" s="12" t="s">
        <v>1020</v>
      </c>
      <c r="F430" s="10" t="s">
        <v>1019</v>
      </c>
      <c r="G430" s="12" t="s">
        <v>188</v>
      </c>
      <c r="H430" s="10" t="s">
        <v>189</v>
      </c>
      <c r="I430" s="10" t="s">
        <v>354</v>
      </c>
      <c r="J430" s="12" t="s">
        <v>355</v>
      </c>
      <c r="K430" s="16" t="s">
        <v>45</v>
      </c>
      <c r="L430" s="12" t="s">
        <v>1021</v>
      </c>
      <c r="M430" s="12" t="s">
        <v>49</v>
      </c>
      <c r="N430" s="12" t="s">
        <v>1021</v>
      </c>
      <c r="O430" s="16" t="s">
        <v>45</v>
      </c>
      <c r="P430" s="9" t="str">
        <f t="shared" si="10"/>
        <v>N/I</v>
      </c>
      <c r="Q430" s="9" t="str">
        <f t="shared" si="11"/>
        <v>N/I</v>
      </c>
      <c r="R430" s="9" t="str">
        <f t="shared" si="12"/>
        <v>N/I</v>
      </c>
    </row>
    <row r="431">
      <c r="A431" s="11" t="s">
        <v>934</v>
      </c>
      <c r="B431" s="11" t="s">
        <v>1060</v>
      </c>
      <c r="C431" s="12" t="s">
        <v>55</v>
      </c>
      <c r="D431" s="19" t="s">
        <v>1061</v>
      </c>
      <c r="E431" s="12" t="s">
        <v>942</v>
      </c>
      <c r="F431" s="10" t="s">
        <v>992</v>
      </c>
      <c r="G431" s="12" t="s">
        <v>188</v>
      </c>
      <c r="H431" s="10" t="s">
        <v>189</v>
      </c>
      <c r="I431" s="10" t="s">
        <v>354</v>
      </c>
      <c r="J431" s="12" t="s">
        <v>355</v>
      </c>
      <c r="K431" s="10" t="s">
        <v>941</v>
      </c>
      <c r="L431" s="16" t="s">
        <v>45</v>
      </c>
      <c r="M431" s="10" t="s">
        <v>49</v>
      </c>
      <c r="N431" s="16" t="s">
        <v>45</v>
      </c>
      <c r="O431" s="10" t="s">
        <v>320</v>
      </c>
      <c r="P431" s="9" t="str">
        <f t="shared" si="10"/>
        <v>N/I</v>
      </c>
      <c r="Q431" s="9" t="str">
        <f t="shared" si="11"/>
        <v>N/I</v>
      </c>
      <c r="R431" s="9" t="str">
        <f t="shared" si="12"/>
        <v>N/I</v>
      </c>
    </row>
    <row r="432">
      <c r="A432" s="11" t="s">
        <v>934</v>
      </c>
      <c r="B432" s="11" t="s">
        <v>1064</v>
      </c>
      <c r="C432" s="12" t="s">
        <v>55</v>
      </c>
      <c r="D432" s="19" t="s">
        <v>1065</v>
      </c>
      <c r="E432" s="12" t="s">
        <v>942</v>
      </c>
      <c r="F432" s="10" t="s">
        <v>992</v>
      </c>
      <c r="G432" s="12" t="s">
        <v>188</v>
      </c>
      <c r="H432" s="10" t="s">
        <v>189</v>
      </c>
      <c r="I432" s="10" t="s">
        <v>354</v>
      </c>
      <c r="J432" s="12" t="s">
        <v>355</v>
      </c>
      <c r="K432" s="10" t="s">
        <v>941</v>
      </c>
      <c r="L432" s="16" t="s">
        <v>45</v>
      </c>
      <c r="M432" s="10" t="s">
        <v>49</v>
      </c>
      <c r="N432" s="16" t="s">
        <v>45</v>
      </c>
      <c r="O432" s="10" t="s">
        <v>320</v>
      </c>
      <c r="P432" s="9" t="str">
        <f t="shared" si="10"/>
        <v>N/I</v>
      </c>
      <c r="Q432" s="9" t="str">
        <f t="shared" si="11"/>
        <v>N/I</v>
      </c>
      <c r="R432" s="9" t="str">
        <f t="shared" si="12"/>
        <v>N/I</v>
      </c>
    </row>
    <row r="433">
      <c r="A433" s="11" t="s">
        <v>934</v>
      </c>
      <c r="B433" s="11" t="s">
        <v>1066</v>
      </c>
      <c r="C433" s="12" t="s">
        <v>55</v>
      </c>
      <c r="D433" s="19" t="s">
        <v>1067</v>
      </c>
      <c r="E433" s="12" t="s">
        <v>942</v>
      </c>
      <c r="F433" s="10" t="s">
        <v>992</v>
      </c>
      <c r="G433" s="12" t="s">
        <v>188</v>
      </c>
      <c r="H433" s="10" t="s">
        <v>189</v>
      </c>
      <c r="I433" s="10" t="s">
        <v>354</v>
      </c>
      <c r="J433" s="12" t="s">
        <v>355</v>
      </c>
      <c r="K433" s="10" t="s">
        <v>941</v>
      </c>
      <c r="L433" s="16" t="s">
        <v>45</v>
      </c>
      <c r="M433" s="10" t="s">
        <v>49</v>
      </c>
      <c r="N433" s="16" t="s">
        <v>45</v>
      </c>
      <c r="O433" s="10" t="s">
        <v>320</v>
      </c>
      <c r="P433" s="9" t="str">
        <f t="shared" si="10"/>
        <v>N/I</v>
      </c>
      <c r="Q433" s="9" t="str">
        <f t="shared" si="11"/>
        <v>N/I</v>
      </c>
      <c r="R433" s="9" t="str">
        <f t="shared" si="12"/>
        <v>N/I</v>
      </c>
    </row>
    <row r="434">
      <c r="A434" s="11" t="s">
        <v>934</v>
      </c>
      <c r="B434" s="11" t="s">
        <v>1070</v>
      </c>
      <c r="C434" s="12" t="s">
        <v>55</v>
      </c>
      <c r="D434" s="19" t="s">
        <v>1071</v>
      </c>
      <c r="E434" s="12" t="s">
        <v>942</v>
      </c>
      <c r="F434" s="10" t="s">
        <v>992</v>
      </c>
      <c r="G434" s="12" t="s">
        <v>188</v>
      </c>
      <c r="H434" s="10" t="s">
        <v>189</v>
      </c>
      <c r="I434" s="10" t="s">
        <v>354</v>
      </c>
      <c r="J434" s="12" t="s">
        <v>355</v>
      </c>
      <c r="K434" s="10" t="s">
        <v>941</v>
      </c>
      <c r="L434" s="16" t="s">
        <v>45</v>
      </c>
      <c r="M434" s="10" t="s">
        <v>49</v>
      </c>
      <c r="N434" s="16" t="s">
        <v>45</v>
      </c>
      <c r="O434" s="10" t="s">
        <v>320</v>
      </c>
      <c r="P434" s="9" t="str">
        <f t="shared" si="10"/>
        <v>N/I</v>
      </c>
      <c r="Q434" s="9" t="str">
        <f t="shared" si="11"/>
        <v>N/I</v>
      </c>
      <c r="R434" s="9" t="str">
        <f t="shared" si="12"/>
        <v>N/I</v>
      </c>
    </row>
    <row r="435">
      <c r="A435" s="11" t="s">
        <v>934</v>
      </c>
      <c r="B435" s="11" t="s">
        <v>1072</v>
      </c>
      <c r="C435" s="12" t="s">
        <v>55</v>
      </c>
      <c r="D435" s="34" t="s">
        <v>1073</v>
      </c>
      <c r="E435" s="12" t="s">
        <v>942</v>
      </c>
      <c r="F435" s="10" t="s">
        <v>940</v>
      </c>
      <c r="G435" s="12" t="s">
        <v>1074</v>
      </c>
      <c r="H435" s="10" t="s">
        <v>521</v>
      </c>
      <c r="I435" s="10" t="s">
        <v>354</v>
      </c>
      <c r="J435" s="12" t="s">
        <v>355</v>
      </c>
      <c r="K435" s="10" t="s">
        <v>941</v>
      </c>
      <c r="L435" s="16" t="s">
        <v>45</v>
      </c>
      <c r="M435" s="10" t="s">
        <v>49</v>
      </c>
      <c r="N435" s="16" t="s">
        <v>45</v>
      </c>
      <c r="O435" s="10" t="s">
        <v>320</v>
      </c>
      <c r="P435" s="9" t="str">
        <f t="shared" si="10"/>
        <v>N/I</v>
      </c>
      <c r="Q435" s="9" t="str">
        <f t="shared" si="11"/>
        <v>N/I</v>
      </c>
      <c r="R435" s="9" t="str">
        <f t="shared" si="12"/>
        <v>N/I</v>
      </c>
    </row>
    <row r="436">
      <c r="A436" s="11" t="s">
        <v>934</v>
      </c>
      <c r="B436" s="11" t="s">
        <v>1077</v>
      </c>
      <c r="C436" s="12" t="s">
        <v>55</v>
      </c>
      <c r="D436" s="34" t="s">
        <v>1078</v>
      </c>
      <c r="E436" s="12" t="s">
        <v>942</v>
      </c>
      <c r="F436" s="10" t="s">
        <v>940</v>
      </c>
      <c r="G436" s="12" t="s">
        <v>1079</v>
      </c>
      <c r="H436" s="10" t="s">
        <v>610</v>
      </c>
      <c r="I436" s="10" t="s">
        <v>354</v>
      </c>
      <c r="J436" s="12" t="s">
        <v>355</v>
      </c>
      <c r="K436" s="10" t="s">
        <v>941</v>
      </c>
      <c r="L436" s="16" t="s">
        <v>45</v>
      </c>
      <c r="M436" s="10" t="s">
        <v>49</v>
      </c>
      <c r="N436" s="16" t="s">
        <v>45</v>
      </c>
      <c r="O436" s="10" t="s">
        <v>320</v>
      </c>
      <c r="P436" s="9" t="str">
        <f t="shared" si="10"/>
        <v>N/I</v>
      </c>
      <c r="Q436" s="9" t="str">
        <f t="shared" si="11"/>
        <v>N/I</v>
      </c>
      <c r="R436" s="9" t="str">
        <f t="shared" si="12"/>
        <v>N/I</v>
      </c>
    </row>
    <row r="437">
      <c r="A437" s="11" t="s">
        <v>934</v>
      </c>
      <c r="B437" s="11" t="s">
        <v>1041</v>
      </c>
      <c r="C437" s="12" t="s">
        <v>55</v>
      </c>
      <c r="D437" s="34" t="s">
        <v>1081</v>
      </c>
      <c r="E437" s="12" t="s">
        <v>942</v>
      </c>
      <c r="F437" s="10" t="s">
        <v>940</v>
      </c>
      <c r="G437" s="12" t="s">
        <v>70</v>
      </c>
      <c r="H437" s="10" t="s">
        <v>63</v>
      </c>
      <c r="I437" s="10" t="s">
        <v>354</v>
      </c>
      <c r="J437" s="12" t="s">
        <v>355</v>
      </c>
      <c r="K437" s="10" t="s">
        <v>941</v>
      </c>
      <c r="L437" s="16" t="s">
        <v>45</v>
      </c>
      <c r="M437" s="10" t="s">
        <v>49</v>
      </c>
      <c r="N437" s="16" t="s">
        <v>45</v>
      </c>
      <c r="O437" s="10" t="s">
        <v>320</v>
      </c>
      <c r="P437" s="9" t="str">
        <f t="shared" si="10"/>
        <v>N/I</v>
      </c>
      <c r="Q437" s="9" t="str">
        <f t="shared" si="11"/>
        <v>N/I</v>
      </c>
      <c r="R437" s="9" t="str">
        <f t="shared" si="12"/>
        <v>N/I</v>
      </c>
    </row>
    <row r="438">
      <c r="A438" s="11" t="s">
        <v>934</v>
      </c>
      <c r="B438" s="11" t="s">
        <v>1082</v>
      </c>
      <c r="C438" s="12" t="s">
        <v>55</v>
      </c>
      <c r="D438" s="34" t="s">
        <v>1083</v>
      </c>
      <c r="E438" s="12" t="s">
        <v>942</v>
      </c>
      <c r="F438" s="10" t="s">
        <v>940</v>
      </c>
      <c r="G438" s="12" t="s">
        <v>1084</v>
      </c>
      <c r="H438" s="10" t="s">
        <v>870</v>
      </c>
      <c r="I438" s="10" t="s">
        <v>354</v>
      </c>
      <c r="J438" s="12" t="s">
        <v>355</v>
      </c>
      <c r="K438" s="10" t="s">
        <v>941</v>
      </c>
      <c r="L438" s="16" t="s">
        <v>45</v>
      </c>
      <c r="M438" s="10" t="s">
        <v>49</v>
      </c>
      <c r="N438" s="16" t="s">
        <v>45</v>
      </c>
      <c r="O438" s="10" t="s">
        <v>320</v>
      </c>
      <c r="P438" s="9" t="str">
        <f t="shared" si="10"/>
        <v>N/I</v>
      </c>
      <c r="Q438" s="9" t="str">
        <f t="shared" si="11"/>
        <v>N/I</v>
      </c>
      <c r="R438" s="9" t="str">
        <f t="shared" si="12"/>
        <v>N/I</v>
      </c>
    </row>
    <row r="439">
      <c r="A439" s="11" t="s">
        <v>934</v>
      </c>
      <c r="B439" s="11" t="s">
        <v>1087</v>
      </c>
      <c r="C439" s="12" t="s">
        <v>55</v>
      </c>
      <c r="D439" s="34" t="s">
        <v>1088</v>
      </c>
      <c r="E439" s="12" t="s">
        <v>942</v>
      </c>
      <c r="F439" s="10" t="s">
        <v>940</v>
      </c>
      <c r="G439" s="12" t="s">
        <v>1089</v>
      </c>
      <c r="H439" s="10" t="s">
        <v>262</v>
      </c>
      <c r="I439" s="10" t="s">
        <v>354</v>
      </c>
      <c r="J439" s="12" t="s">
        <v>355</v>
      </c>
      <c r="K439" s="10" t="s">
        <v>941</v>
      </c>
      <c r="L439" s="16" t="s">
        <v>45</v>
      </c>
      <c r="M439" s="10" t="s">
        <v>49</v>
      </c>
      <c r="N439" s="16" t="s">
        <v>45</v>
      </c>
      <c r="O439" s="10" t="s">
        <v>320</v>
      </c>
      <c r="P439" s="9" t="str">
        <f t="shared" si="10"/>
        <v>N/I</v>
      </c>
      <c r="Q439" s="9" t="str">
        <f t="shared" si="11"/>
        <v>N/I</v>
      </c>
      <c r="R439" s="9" t="str">
        <f t="shared" si="12"/>
        <v>N/I</v>
      </c>
    </row>
    <row r="440">
      <c r="A440" s="11" t="s">
        <v>934</v>
      </c>
      <c r="B440" s="11" t="s">
        <v>1090</v>
      </c>
      <c r="C440" s="12" t="s">
        <v>55</v>
      </c>
      <c r="D440" s="34" t="s">
        <v>1091</v>
      </c>
      <c r="E440" s="12" t="s">
        <v>942</v>
      </c>
      <c r="F440" s="10" t="s">
        <v>940</v>
      </c>
      <c r="G440" s="12" t="s">
        <v>1092</v>
      </c>
      <c r="H440" s="10" t="s">
        <v>521</v>
      </c>
      <c r="I440" s="10" t="s">
        <v>354</v>
      </c>
      <c r="J440" s="12" t="s">
        <v>355</v>
      </c>
      <c r="K440" s="10" t="s">
        <v>941</v>
      </c>
      <c r="L440" s="16" t="s">
        <v>45</v>
      </c>
      <c r="M440" s="10" t="s">
        <v>49</v>
      </c>
      <c r="N440" s="16" t="s">
        <v>45</v>
      </c>
      <c r="O440" s="10" t="s">
        <v>320</v>
      </c>
      <c r="P440" s="9" t="str">
        <f t="shared" si="10"/>
        <v>N/I</v>
      </c>
      <c r="Q440" s="9" t="str">
        <f t="shared" si="11"/>
        <v>N/I</v>
      </c>
      <c r="R440" s="9" t="str">
        <f t="shared" si="12"/>
        <v>N/I</v>
      </c>
    </row>
    <row r="441">
      <c r="A441" s="11" t="s">
        <v>934</v>
      </c>
      <c r="B441" s="11" t="s">
        <v>1002</v>
      </c>
      <c r="C441" s="12" t="s">
        <v>55</v>
      </c>
      <c r="D441" s="34" t="s">
        <v>1095</v>
      </c>
      <c r="E441" s="12" t="s">
        <v>942</v>
      </c>
      <c r="F441" s="10" t="s">
        <v>940</v>
      </c>
      <c r="G441" s="12" t="s">
        <v>1096</v>
      </c>
      <c r="H441" s="10" t="s">
        <v>1097</v>
      </c>
      <c r="I441" s="10" t="s">
        <v>354</v>
      </c>
      <c r="J441" s="12" t="s">
        <v>355</v>
      </c>
      <c r="K441" s="10" t="s">
        <v>941</v>
      </c>
      <c r="L441" s="16" t="s">
        <v>45</v>
      </c>
      <c r="M441" s="10" t="s">
        <v>49</v>
      </c>
      <c r="N441" s="16" t="s">
        <v>45</v>
      </c>
      <c r="O441" s="10" t="s">
        <v>320</v>
      </c>
      <c r="P441" s="9" t="str">
        <f t="shared" si="10"/>
        <v>N/I</v>
      </c>
      <c r="Q441" s="9" t="str">
        <f t="shared" si="11"/>
        <v>N/I</v>
      </c>
      <c r="R441" s="9" t="str">
        <f t="shared" si="12"/>
        <v>N/I</v>
      </c>
    </row>
    <row r="442">
      <c r="A442" s="11" t="s">
        <v>934</v>
      </c>
      <c r="B442" s="11" t="s">
        <v>1100</v>
      </c>
      <c r="C442" s="12" t="s">
        <v>55</v>
      </c>
      <c r="D442" s="34" t="s">
        <v>1101</v>
      </c>
      <c r="E442" s="12" t="s">
        <v>942</v>
      </c>
      <c r="F442" s="10" t="s">
        <v>940</v>
      </c>
      <c r="G442" s="12" t="s">
        <v>1102</v>
      </c>
      <c r="H442" s="10" t="s">
        <v>189</v>
      </c>
      <c r="I442" s="10" t="s">
        <v>354</v>
      </c>
      <c r="J442" s="12" t="s">
        <v>355</v>
      </c>
      <c r="K442" s="10" t="s">
        <v>941</v>
      </c>
      <c r="L442" s="16" t="s">
        <v>45</v>
      </c>
      <c r="M442" s="10" t="s">
        <v>49</v>
      </c>
      <c r="N442" s="16" t="s">
        <v>45</v>
      </c>
      <c r="O442" s="10" t="s">
        <v>320</v>
      </c>
      <c r="P442" s="9" t="str">
        <f t="shared" si="10"/>
        <v>N/I</v>
      </c>
      <c r="Q442" s="9" t="str">
        <f t="shared" si="11"/>
        <v>N/I</v>
      </c>
      <c r="R442" s="9" t="str">
        <f t="shared" si="12"/>
        <v>N/I</v>
      </c>
    </row>
    <row r="443">
      <c r="A443" s="11" t="s">
        <v>934</v>
      </c>
      <c r="B443" s="11" t="s">
        <v>1105</v>
      </c>
      <c r="C443" s="12" t="s">
        <v>55</v>
      </c>
      <c r="D443" s="34" t="s">
        <v>1106</v>
      </c>
      <c r="E443" s="12" t="s">
        <v>942</v>
      </c>
      <c r="F443" s="10" t="s">
        <v>940</v>
      </c>
      <c r="G443" s="12" t="s">
        <v>1107</v>
      </c>
      <c r="H443" s="10" t="s">
        <v>895</v>
      </c>
      <c r="I443" s="10" t="s">
        <v>354</v>
      </c>
      <c r="J443" s="12" t="s">
        <v>355</v>
      </c>
      <c r="K443" s="10" t="s">
        <v>941</v>
      </c>
      <c r="L443" s="16" t="s">
        <v>45</v>
      </c>
      <c r="M443" s="10" t="s">
        <v>49</v>
      </c>
      <c r="N443" s="16" t="s">
        <v>45</v>
      </c>
      <c r="O443" s="10" t="s">
        <v>320</v>
      </c>
      <c r="P443" s="9" t="str">
        <f t="shared" si="10"/>
        <v>N/I</v>
      </c>
      <c r="Q443" s="9" t="str">
        <f t="shared" si="11"/>
        <v>N/I</v>
      </c>
      <c r="R443" s="9" t="str">
        <f t="shared" si="12"/>
        <v>N/I</v>
      </c>
    </row>
    <row r="444">
      <c r="A444" s="11" t="s">
        <v>934</v>
      </c>
      <c r="B444" s="32" t="s">
        <v>1110</v>
      </c>
      <c r="C444" s="12" t="s">
        <v>55</v>
      </c>
      <c r="D444" s="34" t="s">
        <v>1111</v>
      </c>
      <c r="E444" s="12" t="s">
        <v>942</v>
      </c>
      <c r="F444" s="10" t="s">
        <v>940</v>
      </c>
      <c r="G444" s="12" t="s">
        <v>1112</v>
      </c>
      <c r="H444" s="10" t="s">
        <v>889</v>
      </c>
      <c r="I444" s="10" t="s">
        <v>354</v>
      </c>
      <c r="J444" s="12" t="s">
        <v>355</v>
      </c>
      <c r="K444" s="10" t="s">
        <v>941</v>
      </c>
      <c r="L444" s="16" t="s">
        <v>45</v>
      </c>
      <c r="M444" s="10" t="s">
        <v>49</v>
      </c>
      <c r="N444" s="16" t="s">
        <v>45</v>
      </c>
      <c r="O444" s="10" t="s">
        <v>320</v>
      </c>
      <c r="P444" s="9" t="str">
        <f t="shared" si="10"/>
        <v>N/I</v>
      </c>
      <c r="Q444" s="9" t="str">
        <f t="shared" si="11"/>
        <v>N/I</v>
      </c>
      <c r="R444" s="9" t="str">
        <f t="shared" si="12"/>
        <v>N/I</v>
      </c>
    </row>
    <row r="445">
      <c r="A445" s="11" t="s">
        <v>934</v>
      </c>
      <c r="B445" s="32" t="s">
        <v>1115</v>
      </c>
      <c r="C445" s="12" t="s">
        <v>55</v>
      </c>
      <c r="D445" s="34" t="s">
        <v>1116</v>
      </c>
      <c r="E445" s="12" t="s">
        <v>942</v>
      </c>
      <c r="F445" s="10" t="s">
        <v>940</v>
      </c>
      <c r="G445" s="12" t="s">
        <v>1117</v>
      </c>
      <c r="H445" s="10" t="s">
        <v>216</v>
      </c>
      <c r="I445" s="10" t="s">
        <v>354</v>
      </c>
      <c r="J445" s="12" t="s">
        <v>355</v>
      </c>
      <c r="K445" s="10" t="s">
        <v>941</v>
      </c>
      <c r="L445" s="16" t="s">
        <v>45</v>
      </c>
      <c r="M445" s="10" t="s">
        <v>49</v>
      </c>
      <c r="N445" s="16" t="s">
        <v>45</v>
      </c>
      <c r="O445" s="10" t="s">
        <v>320</v>
      </c>
      <c r="P445" s="9" t="str">
        <f>IF(AJ441&lt;0,"Inativo",IF(AJ441&gt;0,"Ativo","N/I"))</f>
        <v>N/I</v>
      </c>
      <c r="Q445" s="9" t="str">
        <f>IF(AO441&lt;0,"Inativo",IF(AO441&gt;0,"Ativo","N/I"))</f>
        <v>N/I</v>
      </c>
      <c r="R445" s="9" t="str">
        <f>IF(AT441&lt;0,"Inativo",IF(AT441&gt;0,"Ativo","N/I"))</f>
        <v>N/I</v>
      </c>
    </row>
    <row r="446">
      <c r="A446" s="11" t="s">
        <v>934</v>
      </c>
      <c r="B446" s="11" t="s">
        <v>1120</v>
      </c>
      <c r="C446" s="12" t="s">
        <v>55</v>
      </c>
      <c r="D446" s="34" t="s">
        <v>1121</v>
      </c>
      <c r="E446" s="12" t="s">
        <v>942</v>
      </c>
      <c r="F446" s="10" t="s">
        <v>940</v>
      </c>
      <c r="G446" s="12" t="s">
        <v>1122</v>
      </c>
      <c r="H446" s="10" t="s">
        <v>197</v>
      </c>
      <c r="I446" s="10" t="s">
        <v>354</v>
      </c>
      <c r="J446" s="12" t="s">
        <v>355</v>
      </c>
      <c r="K446" s="10" t="s">
        <v>941</v>
      </c>
      <c r="L446" s="16" t="s">
        <v>45</v>
      </c>
      <c r="M446" s="10" t="s">
        <v>49</v>
      </c>
      <c r="N446" s="16" t="s">
        <v>45</v>
      </c>
      <c r="O446" s="10" t="s">
        <v>320</v>
      </c>
      <c r="P446" s="9" t="str">
        <f t="shared" ref="P446:P464" si="13">IF(AJ446&lt;0,"Inativo",IF(AJ446&gt;0,"Ativo","N/I"))</f>
        <v>N/I</v>
      </c>
      <c r="Q446" s="9" t="str">
        <f t="shared" ref="Q446:Q464" si="14">IF(AO446&lt;0,"Inativo",IF(AO446&gt;0,"Ativo","N/I"))</f>
        <v>N/I</v>
      </c>
      <c r="R446" s="9" t="str">
        <f t="shared" ref="R446:R464" si="15">IF(AT446&lt;0,"Inativo",IF(AT446&gt;0,"Ativo","N/I"))</f>
        <v>N/I</v>
      </c>
    </row>
    <row r="447">
      <c r="A447" s="11" t="s">
        <v>934</v>
      </c>
      <c r="B447" s="11" t="s">
        <v>1125</v>
      </c>
      <c r="C447" s="12" t="s">
        <v>55</v>
      </c>
      <c r="D447" s="34" t="s">
        <v>1126</v>
      </c>
      <c r="E447" s="12" t="s">
        <v>942</v>
      </c>
      <c r="F447" s="10" t="s">
        <v>940</v>
      </c>
      <c r="G447" s="12" t="s">
        <v>1127</v>
      </c>
      <c r="H447" s="10" t="s">
        <v>222</v>
      </c>
      <c r="I447" s="10" t="s">
        <v>354</v>
      </c>
      <c r="J447" s="12" t="s">
        <v>355</v>
      </c>
      <c r="K447" s="10" t="s">
        <v>941</v>
      </c>
      <c r="L447" s="16" t="s">
        <v>45</v>
      </c>
      <c r="M447" s="10" t="s">
        <v>49</v>
      </c>
      <c r="N447" s="16" t="s">
        <v>45</v>
      </c>
      <c r="O447" s="10" t="s">
        <v>320</v>
      </c>
      <c r="P447" s="9" t="str">
        <f t="shared" si="13"/>
        <v>N/I</v>
      </c>
      <c r="Q447" s="9" t="str">
        <f t="shared" si="14"/>
        <v>N/I</v>
      </c>
      <c r="R447" s="9" t="str">
        <f t="shared" si="15"/>
        <v>N/I</v>
      </c>
    </row>
    <row r="448">
      <c r="A448" s="11" t="s">
        <v>934</v>
      </c>
      <c r="B448" s="11" t="s">
        <v>1130</v>
      </c>
      <c r="C448" s="12" t="s">
        <v>55</v>
      </c>
      <c r="D448" s="34" t="s">
        <v>1131</v>
      </c>
      <c r="E448" s="12" t="s">
        <v>942</v>
      </c>
      <c r="F448" s="10" t="s">
        <v>940</v>
      </c>
      <c r="G448" s="12" t="s">
        <v>1127</v>
      </c>
      <c r="H448" s="10" t="s">
        <v>222</v>
      </c>
      <c r="I448" s="10" t="s">
        <v>354</v>
      </c>
      <c r="J448" s="12" t="s">
        <v>355</v>
      </c>
      <c r="K448" s="10" t="s">
        <v>941</v>
      </c>
      <c r="L448" s="16" t="s">
        <v>45</v>
      </c>
      <c r="M448" s="10" t="s">
        <v>49</v>
      </c>
      <c r="N448" s="16" t="s">
        <v>45</v>
      </c>
      <c r="O448" s="10" t="s">
        <v>320</v>
      </c>
      <c r="P448" s="9" t="str">
        <f t="shared" si="13"/>
        <v>N/I</v>
      </c>
      <c r="Q448" s="9" t="str">
        <f t="shared" si="14"/>
        <v>N/I</v>
      </c>
      <c r="R448" s="9" t="str">
        <f t="shared" si="15"/>
        <v>N/I</v>
      </c>
    </row>
    <row r="449">
      <c r="A449" s="11" t="s">
        <v>934</v>
      </c>
      <c r="B449" s="11" t="s">
        <v>1132</v>
      </c>
      <c r="C449" s="12" t="s">
        <v>55</v>
      </c>
      <c r="D449" s="34" t="s">
        <v>1133</v>
      </c>
      <c r="E449" s="12" t="s">
        <v>942</v>
      </c>
      <c r="F449" s="10" t="s">
        <v>992</v>
      </c>
      <c r="G449" s="12" t="s">
        <v>1134</v>
      </c>
      <c r="H449" s="10" t="s">
        <v>234</v>
      </c>
      <c r="I449" s="10" t="s">
        <v>354</v>
      </c>
      <c r="J449" s="12" t="s">
        <v>355</v>
      </c>
      <c r="K449" s="10" t="s">
        <v>941</v>
      </c>
      <c r="L449" s="16" t="s">
        <v>45</v>
      </c>
      <c r="M449" s="10" t="s">
        <v>49</v>
      </c>
      <c r="N449" s="16" t="s">
        <v>45</v>
      </c>
      <c r="O449" s="10" t="s">
        <v>320</v>
      </c>
      <c r="P449" s="9" t="str">
        <f t="shared" si="13"/>
        <v>N/I</v>
      </c>
      <c r="Q449" s="9" t="str">
        <f t="shared" si="14"/>
        <v>N/I</v>
      </c>
      <c r="R449" s="9" t="str">
        <f t="shared" si="15"/>
        <v>N/I</v>
      </c>
    </row>
    <row r="450">
      <c r="A450" s="11" t="s">
        <v>934</v>
      </c>
      <c r="B450" s="11" t="s">
        <v>1137</v>
      </c>
      <c r="C450" s="12" t="s">
        <v>55</v>
      </c>
      <c r="D450" s="34" t="s">
        <v>1138</v>
      </c>
      <c r="E450" s="12" t="s">
        <v>942</v>
      </c>
      <c r="F450" s="10" t="s">
        <v>940</v>
      </c>
      <c r="G450" s="12" t="s">
        <v>1139</v>
      </c>
      <c r="H450" s="10" t="s">
        <v>89</v>
      </c>
      <c r="I450" s="10" t="s">
        <v>354</v>
      </c>
      <c r="J450" s="12" t="s">
        <v>355</v>
      </c>
      <c r="K450" s="10" t="s">
        <v>941</v>
      </c>
      <c r="L450" s="16" t="s">
        <v>45</v>
      </c>
      <c r="M450" s="10" t="s">
        <v>49</v>
      </c>
      <c r="N450" s="16" t="s">
        <v>45</v>
      </c>
      <c r="O450" s="10" t="s">
        <v>320</v>
      </c>
      <c r="P450" s="9" t="str">
        <f t="shared" si="13"/>
        <v>N/I</v>
      </c>
      <c r="Q450" s="9" t="str">
        <f t="shared" si="14"/>
        <v>N/I</v>
      </c>
      <c r="R450" s="9" t="str">
        <f t="shared" si="15"/>
        <v>N/I</v>
      </c>
    </row>
    <row r="451">
      <c r="A451" s="11" t="s">
        <v>934</v>
      </c>
      <c r="B451" s="11" t="s">
        <v>1142</v>
      </c>
      <c r="C451" s="12" t="s">
        <v>55</v>
      </c>
      <c r="D451" s="34" t="s">
        <v>1143</v>
      </c>
      <c r="E451" s="12" t="s">
        <v>942</v>
      </c>
      <c r="F451" s="10" t="s">
        <v>940</v>
      </c>
      <c r="G451" s="12" t="s">
        <v>1144</v>
      </c>
      <c r="H451" s="10" t="s">
        <v>132</v>
      </c>
      <c r="I451" s="10" t="s">
        <v>354</v>
      </c>
      <c r="J451" s="12" t="s">
        <v>355</v>
      </c>
      <c r="K451" s="10" t="s">
        <v>941</v>
      </c>
      <c r="L451" s="16" t="s">
        <v>45</v>
      </c>
      <c r="M451" s="10" t="s">
        <v>49</v>
      </c>
      <c r="N451" s="16" t="s">
        <v>45</v>
      </c>
      <c r="O451" s="10" t="s">
        <v>320</v>
      </c>
      <c r="P451" s="9" t="str">
        <f t="shared" si="13"/>
        <v>N/I</v>
      </c>
      <c r="Q451" s="9" t="str">
        <f t="shared" si="14"/>
        <v>N/I</v>
      </c>
      <c r="R451" s="9" t="str">
        <f t="shared" si="15"/>
        <v>N/I</v>
      </c>
    </row>
    <row r="452">
      <c r="A452" s="11" t="s">
        <v>934</v>
      </c>
      <c r="B452" s="11" t="s">
        <v>1147</v>
      </c>
      <c r="C452" s="12" t="s">
        <v>55</v>
      </c>
      <c r="D452" s="19" t="s">
        <v>1148</v>
      </c>
      <c r="E452" s="12" t="s">
        <v>942</v>
      </c>
      <c r="F452" s="10" t="s">
        <v>992</v>
      </c>
      <c r="G452" s="12" t="s">
        <v>1149</v>
      </c>
      <c r="H452" s="10" t="s">
        <v>132</v>
      </c>
      <c r="I452" s="10" t="s">
        <v>354</v>
      </c>
      <c r="J452" s="12" t="s">
        <v>355</v>
      </c>
      <c r="K452" s="10" t="s">
        <v>941</v>
      </c>
      <c r="L452" s="16" t="s">
        <v>45</v>
      </c>
      <c r="M452" s="10" t="s">
        <v>49</v>
      </c>
      <c r="N452" s="16" t="s">
        <v>45</v>
      </c>
      <c r="O452" s="10" t="s">
        <v>320</v>
      </c>
      <c r="P452" s="9" t="str">
        <f t="shared" si="13"/>
        <v>N/I</v>
      </c>
      <c r="Q452" s="9" t="str">
        <f t="shared" si="14"/>
        <v>N/I</v>
      </c>
      <c r="R452" s="9" t="str">
        <f t="shared" si="15"/>
        <v>N/I</v>
      </c>
    </row>
    <row r="453">
      <c r="A453" s="11" t="s">
        <v>934</v>
      </c>
      <c r="B453" s="11" t="s">
        <v>1152</v>
      </c>
      <c r="C453" s="12" t="s">
        <v>55</v>
      </c>
      <c r="D453" s="34" t="s">
        <v>1153</v>
      </c>
      <c r="E453" s="12" t="s">
        <v>942</v>
      </c>
      <c r="F453" s="10" t="s">
        <v>940</v>
      </c>
      <c r="G453" s="12" t="s">
        <v>1154</v>
      </c>
      <c r="H453" s="10" t="s">
        <v>208</v>
      </c>
      <c r="I453" s="10" t="s">
        <v>354</v>
      </c>
      <c r="J453" s="12" t="s">
        <v>355</v>
      </c>
      <c r="K453" s="10" t="s">
        <v>941</v>
      </c>
      <c r="L453" s="16" t="s">
        <v>45</v>
      </c>
      <c r="M453" s="10" t="s">
        <v>49</v>
      </c>
      <c r="N453" s="16" t="s">
        <v>45</v>
      </c>
      <c r="O453" s="10" t="s">
        <v>320</v>
      </c>
      <c r="P453" s="9" t="str">
        <f t="shared" si="13"/>
        <v>N/I</v>
      </c>
      <c r="Q453" s="9" t="str">
        <f t="shared" si="14"/>
        <v>N/I</v>
      </c>
      <c r="R453" s="9" t="str">
        <f t="shared" si="15"/>
        <v>N/I</v>
      </c>
    </row>
    <row r="454">
      <c r="A454" s="11" t="s">
        <v>934</v>
      </c>
      <c r="B454" s="11" t="s">
        <v>1157</v>
      </c>
      <c r="C454" s="12" t="s">
        <v>55</v>
      </c>
      <c r="D454" s="34" t="s">
        <v>1158</v>
      </c>
      <c r="E454" s="12" t="s">
        <v>942</v>
      </c>
      <c r="F454" s="10" t="s">
        <v>940</v>
      </c>
      <c r="G454" s="12" t="s">
        <v>1159</v>
      </c>
      <c r="H454" s="10" t="s">
        <v>562</v>
      </c>
      <c r="I454" s="10" t="s">
        <v>354</v>
      </c>
      <c r="J454" s="12" t="s">
        <v>355</v>
      </c>
      <c r="K454" s="10" t="s">
        <v>941</v>
      </c>
      <c r="L454" s="16" t="s">
        <v>45</v>
      </c>
      <c r="M454" s="10" t="s">
        <v>49</v>
      </c>
      <c r="N454" s="16" t="s">
        <v>45</v>
      </c>
      <c r="O454" s="10" t="s">
        <v>320</v>
      </c>
      <c r="P454" s="9" t="str">
        <f t="shared" si="13"/>
        <v>N/I</v>
      </c>
      <c r="Q454" s="9" t="str">
        <f t="shared" si="14"/>
        <v>N/I</v>
      </c>
      <c r="R454" s="9" t="str">
        <f t="shared" si="15"/>
        <v>N/I</v>
      </c>
    </row>
    <row r="455">
      <c r="A455" s="11" t="s">
        <v>934</v>
      </c>
      <c r="B455" s="32" t="s">
        <v>1162</v>
      </c>
      <c r="C455" s="12" t="s">
        <v>55</v>
      </c>
      <c r="D455" s="34" t="s">
        <v>1163</v>
      </c>
      <c r="E455" s="12" t="s">
        <v>942</v>
      </c>
      <c r="F455" s="10" t="s">
        <v>940</v>
      </c>
      <c r="G455" s="12" t="s">
        <v>1164</v>
      </c>
      <c r="H455" s="10" t="s">
        <v>89</v>
      </c>
      <c r="I455" s="10" t="s">
        <v>354</v>
      </c>
      <c r="J455" s="12" t="s">
        <v>355</v>
      </c>
      <c r="K455" s="10" t="s">
        <v>941</v>
      </c>
      <c r="L455" s="16" t="s">
        <v>45</v>
      </c>
      <c r="M455" s="10" t="s">
        <v>49</v>
      </c>
      <c r="N455" s="16" t="s">
        <v>45</v>
      </c>
      <c r="O455" s="10" t="s">
        <v>320</v>
      </c>
      <c r="P455" s="9" t="str">
        <f t="shared" si="13"/>
        <v>N/I</v>
      </c>
      <c r="Q455" s="9" t="str">
        <f t="shared" si="14"/>
        <v>N/I</v>
      </c>
      <c r="R455" s="9" t="str">
        <f t="shared" si="15"/>
        <v>N/I</v>
      </c>
    </row>
    <row r="456">
      <c r="A456" s="11" t="s">
        <v>934</v>
      </c>
      <c r="B456" s="11" t="s">
        <v>1166</v>
      </c>
      <c r="C456" s="12" t="s">
        <v>55</v>
      </c>
      <c r="D456" s="34" t="s">
        <v>1167</v>
      </c>
      <c r="E456" s="12" t="s">
        <v>942</v>
      </c>
      <c r="F456" s="10" t="s">
        <v>940</v>
      </c>
      <c r="G456" s="12" t="s">
        <v>1164</v>
      </c>
      <c r="H456" s="10" t="s">
        <v>89</v>
      </c>
      <c r="I456" s="10" t="s">
        <v>354</v>
      </c>
      <c r="J456" s="12" t="s">
        <v>355</v>
      </c>
      <c r="K456" s="10" t="s">
        <v>941</v>
      </c>
      <c r="L456" s="16" t="s">
        <v>45</v>
      </c>
      <c r="M456" s="10" t="s">
        <v>49</v>
      </c>
      <c r="N456" s="16" t="s">
        <v>45</v>
      </c>
      <c r="O456" s="10" t="s">
        <v>320</v>
      </c>
      <c r="P456" s="9" t="str">
        <f t="shared" si="13"/>
        <v>N/I</v>
      </c>
      <c r="Q456" s="9" t="str">
        <f t="shared" si="14"/>
        <v>N/I</v>
      </c>
      <c r="R456" s="9" t="str">
        <f t="shared" si="15"/>
        <v>N/I</v>
      </c>
    </row>
    <row r="457">
      <c r="A457" s="11" t="s">
        <v>934</v>
      </c>
      <c r="B457" s="11" t="s">
        <v>1142</v>
      </c>
      <c r="C457" s="12" t="s">
        <v>55</v>
      </c>
      <c r="D457" s="19" t="s">
        <v>1169</v>
      </c>
      <c r="E457" s="12" t="s">
        <v>942</v>
      </c>
      <c r="F457" s="10" t="s">
        <v>992</v>
      </c>
      <c r="G457" s="12" t="s">
        <v>1170</v>
      </c>
      <c r="H457" s="10" t="s">
        <v>132</v>
      </c>
      <c r="I457" s="10" t="s">
        <v>354</v>
      </c>
      <c r="J457" s="12" t="s">
        <v>355</v>
      </c>
      <c r="K457" s="10" t="s">
        <v>941</v>
      </c>
      <c r="L457" s="16" t="s">
        <v>45</v>
      </c>
      <c r="M457" s="10" t="s">
        <v>49</v>
      </c>
      <c r="N457" s="16" t="s">
        <v>45</v>
      </c>
      <c r="O457" s="10" t="s">
        <v>320</v>
      </c>
      <c r="P457" s="9" t="str">
        <f t="shared" si="13"/>
        <v>N/I</v>
      </c>
      <c r="Q457" s="9" t="str">
        <f t="shared" si="14"/>
        <v>N/I</v>
      </c>
      <c r="R457" s="9" t="str">
        <f t="shared" si="15"/>
        <v>N/I</v>
      </c>
    </row>
    <row r="458">
      <c r="A458" s="11" t="s">
        <v>1173</v>
      </c>
      <c r="B458" s="11" t="s">
        <v>1174</v>
      </c>
      <c r="C458" s="12" t="s">
        <v>55</v>
      </c>
      <c r="D458" s="19" t="s">
        <v>1175</v>
      </c>
      <c r="E458" s="12" t="s">
        <v>942</v>
      </c>
      <c r="F458" s="10" t="s">
        <v>992</v>
      </c>
      <c r="G458" s="12" t="s">
        <v>1176</v>
      </c>
      <c r="H458" s="10" t="s">
        <v>132</v>
      </c>
      <c r="I458" s="10" t="s">
        <v>354</v>
      </c>
      <c r="J458" s="12" t="s">
        <v>355</v>
      </c>
      <c r="K458" s="10" t="s">
        <v>941</v>
      </c>
      <c r="L458" s="16" t="s">
        <v>45</v>
      </c>
      <c r="M458" s="10" t="s">
        <v>49</v>
      </c>
      <c r="N458" s="10" t="s">
        <v>1179</v>
      </c>
      <c r="O458" s="10" t="s">
        <v>320</v>
      </c>
      <c r="P458" s="9" t="str">
        <f t="shared" si="13"/>
        <v>N/I</v>
      </c>
      <c r="Q458" s="9" t="str">
        <f t="shared" si="14"/>
        <v>N/I</v>
      </c>
      <c r="R458" s="9" t="str">
        <f t="shared" si="15"/>
        <v>N/I</v>
      </c>
    </row>
    <row r="459">
      <c r="A459" s="11" t="s">
        <v>934</v>
      </c>
      <c r="B459" s="11" t="s">
        <v>1180</v>
      </c>
      <c r="C459" s="12" t="s">
        <v>55</v>
      </c>
      <c r="D459" s="19" t="s">
        <v>1181</v>
      </c>
      <c r="E459" s="12" t="s">
        <v>942</v>
      </c>
      <c r="F459" s="10" t="s">
        <v>992</v>
      </c>
      <c r="G459" s="12" t="s">
        <v>1176</v>
      </c>
      <c r="H459" s="10" t="s">
        <v>132</v>
      </c>
      <c r="I459" s="10" t="s">
        <v>354</v>
      </c>
      <c r="J459" s="12" t="s">
        <v>355</v>
      </c>
      <c r="K459" s="10" t="s">
        <v>941</v>
      </c>
      <c r="L459" s="16" t="s">
        <v>45</v>
      </c>
      <c r="M459" s="10" t="s">
        <v>49</v>
      </c>
      <c r="N459" s="16" t="s">
        <v>45</v>
      </c>
      <c r="O459" s="10" t="s">
        <v>320</v>
      </c>
      <c r="P459" s="9" t="str">
        <f t="shared" si="13"/>
        <v>N/I</v>
      </c>
      <c r="Q459" s="9" t="str">
        <f t="shared" si="14"/>
        <v>N/I</v>
      </c>
      <c r="R459" s="9" t="str">
        <f t="shared" si="15"/>
        <v>N/I</v>
      </c>
    </row>
    <row r="460">
      <c r="A460" s="11" t="s">
        <v>934</v>
      </c>
      <c r="B460" s="11" t="s">
        <v>1182</v>
      </c>
      <c r="C460" s="12" t="s">
        <v>55</v>
      </c>
      <c r="D460" s="34" t="s">
        <v>1183</v>
      </c>
      <c r="E460" s="12" t="s">
        <v>942</v>
      </c>
      <c r="F460" s="10" t="s">
        <v>940</v>
      </c>
      <c r="G460" s="12" t="s">
        <v>1184</v>
      </c>
      <c r="H460" s="10" t="s">
        <v>189</v>
      </c>
      <c r="I460" s="10" t="s">
        <v>354</v>
      </c>
      <c r="J460" s="12" t="s">
        <v>355</v>
      </c>
      <c r="K460" s="10" t="s">
        <v>941</v>
      </c>
      <c r="L460" s="16" t="s">
        <v>45</v>
      </c>
      <c r="M460" s="10" t="s">
        <v>49</v>
      </c>
      <c r="N460" s="16" t="s">
        <v>45</v>
      </c>
      <c r="O460" s="10" t="s">
        <v>320</v>
      </c>
      <c r="P460" s="9" t="str">
        <f t="shared" si="13"/>
        <v>N/I</v>
      </c>
      <c r="Q460" s="9" t="str">
        <f t="shared" si="14"/>
        <v>N/I</v>
      </c>
      <c r="R460" s="9" t="str">
        <f t="shared" si="15"/>
        <v>N/I</v>
      </c>
    </row>
    <row r="461">
      <c r="A461" s="11" t="s">
        <v>934</v>
      </c>
      <c r="B461" s="11" t="s">
        <v>1187</v>
      </c>
      <c r="C461" s="12" t="s">
        <v>55</v>
      </c>
      <c r="D461" s="34" t="s">
        <v>1188</v>
      </c>
      <c r="E461" s="12" t="s">
        <v>942</v>
      </c>
      <c r="F461" s="10" t="s">
        <v>940</v>
      </c>
      <c r="G461" s="12" t="s">
        <v>70</v>
      </c>
      <c r="H461" s="10" t="s">
        <v>63</v>
      </c>
      <c r="I461" s="10" t="s">
        <v>354</v>
      </c>
      <c r="J461" s="12" t="s">
        <v>355</v>
      </c>
      <c r="K461" s="10" t="s">
        <v>941</v>
      </c>
      <c r="L461" s="16" t="s">
        <v>45</v>
      </c>
      <c r="M461" s="10" t="s">
        <v>49</v>
      </c>
      <c r="N461" s="16" t="s">
        <v>45</v>
      </c>
      <c r="O461" s="10" t="s">
        <v>320</v>
      </c>
      <c r="P461" s="9" t="str">
        <f t="shared" si="13"/>
        <v>N/I</v>
      </c>
      <c r="Q461" s="9" t="str">
        <f t="shared" si="14"/>
        <v>N/I</v>
      </c>
      <c r="R461" s="9" t="str">
        <f t="shared" si="15"/>
        <v>N/I</v>
      </c>
    </row>
    <row r="462">
      <c r="A462" s="11" t="s">
        <v>934</v>
      </c>
      <c r="B462" s="11" t="s">
        <v>1191</v>
      </c>
      <c r="C462" s="12" t="s">
        <v>55</v>
      </c>
      <c r="D462" s="34" t="s">
        <v>1192</v>
      </c>
      <c r="E462" s="12" t="s">
        <v>942</v>
      </c>
      <c r="F462" s="10" t="s">
        <v>940</v>
      </c>
      <c r="G462" s="12" t="s">
        <v>88</v>
      </c>
      <c r="H462" s="10" t="s">
        <v>89</v>
      </c>
      <c r="I462" s="10" t="s">
        <v>354</v>
      </c>
      <c r="J462" s="12" t="s">
        <v>355</v>
      </c>
      <c r="K462" s="10" t="s">
        <v>941</v>
      </c>
      <c r="L462" s="16" t="s">
        <v>45</v>
      </c>
      <c r="M462" s="10" t="s">
        <v>49</v>
      </c>
      <c r="N462" s="16" t="s">
        <v>45</v>
      </c>
      <c r="O462" s="10" t="s">
        <v>320</v>
      </c>
      <c r="P462" s="9" t="str">
        <f t="shared" si="13"/>
        <v>N/I</v>
      </c>
      <c r="Q462" s="9" t="str">
        <f t="shared" si="14"/>
        <v>N/I</v>
      </c>
      <c r="R462" s="9" t="str">
        <f t="shared" si="15"/>
        <v>N/I</v>
      </c>
    </row>
    <row r="463">
      <c r="A463" s="11" t="s">
        <v>934</v>
      </c>
      <c r="B463" s="11" t="s">
        <v>1195</v>
      </c>
      <c r="C463" s="12" t="s">
        <v>55</v>
      </c>
      <c r="D463" s="34" t="s">
        <v>1196</v>
      </c>
      <c r="E463" s="12" t="s">
        <v>942</v>
      </c>
      <c r="F463" s="10" t="s">
        <v>940</v>
      </c>
      <c r="G463" s="12" t="s">
        <v>1197</v>
      </c>
      <c r="H463" s="10" t="s">
        <v>521</v>
      </c>
      <c r="I463" s="10" t="s">
        <v>354</v>
      </c>
      <c r="J463" s="12" t="s">
        <v>355</v>
      </c>
      <c r="K463" s="10" t="s">
        <v>941</v>
      </c>
      <c r="L463" s="16" t="s">
        <v>45</v>
      </c>
      <c r="M463" s="10" t="s">
        <v>49</v>
      </c>
      <c r="N463" s="16" t="s">
        <v>45</v>
      </c>
      <c r="O463" s="10" t="s">
        <v>320</v>
      </c>
      <c r="P463" s="9" t="str">
        <f t="shared" si="13"/>
        <v>N/I</v>
      </c>
      <c r="Q463" s="9" t="str">
        <f t="shared" si="14"/>
        <v>N/I</v>
      </c>
      <c r="R463" s="9" t="str">
        <f t="shared" si="15"/>
        <v>N/I</v>
      </c>
    </row>
    <row r="464">
      <c r="A464" s="11" t="s">
        <v>934</v>
      </c>
      <c r="B464" s="11" t="s">
        <v>1200</v>
      </c>
      <c r="C464" s="12" t="s">
        <v>55</v>
      </c>
      <c r="D464" s="34" t="s">
        <v>1201</v>
      </c>
      <c r="E464" s="12" t="s">
        <v>942</v>
      </c>
      <c r="F464" s="10" t="s">
        <v>940</v>
      </c>
      <c r="G464" s="12" t="s">
        <v>1202</v>
      </c>
      <c r="H464" s="10" t="s">
        <v>132</v>
      </c>
      <c r="I464" s="10" t="s">
        <v>354</v>
      </c>
      <c r="J464" s="12" t="s">
        <v>355</v>
      </c>
      <c r="K464" s="10" t="s">
        <v>941</v>
      </c>
      <c r="L464" s="16" t="s">
        <v>45</v>
      </c>
      <c r="M464" s="10" t="s">
        <v>49</v>
      </c>
      <c r="N464" s="16" t="s">
        <v>45</v>
      </c>
      <c r="O464" s="10" t="s">
        <v>320</v>
      </c>
      <c r="P464" s="9" t="str">
        <f t="shared" si="13"/>
        <v>N/I</v>
      </c>
      <c r="Q464" s="9" t="str">
        <f t="shared" si="14"/>
        <v>N/I</v>
      </c>
      <c r="R464" s="9" t="str">
        <f t="shared" si="15"/>
        <v>N/I</v>
      </c>
    </row>
    <row r="465">
      <c r="A465" s="11" t="s">
        <v>934</v>
      </c>
      <c r="B465" s="11" t="s">
        <v>1205</v>
      </c>
      <c r="C465" s="12" t="s">
        <v>55</v>
      </c>
      <c r="D465" s="34" t="s">
        <v>1206</v>
      </c>
      <c r="E465" s="12" t="s">
        <v>942</v>
      </c>
      <c r="F465" s="10" t="s">
        <v>940</v>
      </c>
      <c r="G465" s="12" t="s">
        <v>1207</v>
      </c>
      <c r="H465" s="10" t="s">
        <v>234</v>
      </c>
      <c r="I465" s="10" t="s">
        <v>354</v>
      </c>
      <c r="J465" s="12" t="s">
        <v>355</v>
      </c>
      <c r="K465" s="10" t="s">
        <v>941</v>
      </c>
      <c r="L465" s="16" t="s">
        <v>45</v>
      </c>
      <c r="M465" s="10" t="s">
        <v>49</v>
      </c>
      <c r="N465" s="16" t="s">
        <v>45</v>
      </c>
      <c r="O465" s="10" t="s">
        <v>320</v>
      </c>
      <c r="P465" s="9" t="str">
        <f>IF(AJ466&lt;0,"Inativo",IF(AJ466&gt;0,"Ativo","N/I"))</f>
        <v>N/I</v>
      </c>
      <c r="Q465" s="9" t="str">
        <f>IF(AO466&lt;0,"Inativo",IF(AO466&gt;0,"Ativo","N/I"))</f>
        <v>N/I</v>
      </c>
      <c r="R465" s="9" t="str">
        <f>IF(AT466&lt;0,"Inativo",IF(AT466&gt;0,"Ativo","N/I"))</f>
        <v>N/I</v>
      </c>
    </row>
    <row r="466">
      <c r="A466" s="11" t="s">
        <v>934</v>
      </c>
      <c r="B466" s="11" t="s">
        <v>1210</v>
      </c>
      <c r="C466" s="12" t="s">
        <v>55</v>
      </c>
      <c r="D466" s="34" t="s">
        <v>1211</v>
      </c>
      <c r="E466" s="12" t="s">
        <v>942</v>
      </c>
      <c r="F466" s="10" t="s">
        <v>940</v>
      </c>
      <c r="G466" s="12" t="s">
        <v>1212</v>
      </c>
      <c r="H466" s="10" t="s">
        <v>1097</v>
      </c>
      <c r="I466" s="10" t="s">
        <v>354</v>
      </c>
      <c r="J466" s="12" t="s">
        <v>355</v>
      </c>
      <c r="K466" s="10" t="s">
        <v>941</v>
      </c>
      <c r="L466" s="16" t="s">
        <v>45</v>
      </c>
      <c r="M466" s="10" t="s">
        <v>49</v>
      </c>
      <c r="N466" s="16" t="s">
        <v>45</v>
      </c>
      <c r="O466" s="10" t="s">
        <v>320</v>
      </c>
      <c r="P466" s="9" t="str">
        <f t="shared" ref="P466:P492" si="16">IF(AJ466&lt;0,"Inativo",IF(AJ466&gt;0,"Ativo","N/I"))</f>
        <v>N/I</v>
      </c>
      <c r="Q466" s="9" t="str">
        <f t="shared" ref="Q466:Q492" si="17">IF(AO466&lt;0,"Inativo",IF(AO466&gt;0,"Ativo","N/I"))</f>
        <v>N/I</v>
      </c>
      <c r="R466" s="9" t="str">
        <f t="shared" ref="R466:R492" si="18">IF(AT466&lt;0,"Inativo",IF(AT466&gt;0,"Ativo","N/I"))</f>
        <v>N/I</v>
      </c>
    </row>
    <row r="467">
      <c r="A467" s="11" t="s">
        <v>934</v>
      </c>
      <c r="B467" s="11" t="s">
        <v>1215</v>
      </c>
      <c r="C467" s="12" t="s">
        <v>55</v>
      </c>
      <c r="D467" s="19" t="s">
        <v>1216</v>
      </c>
      <c r="E467" s="12" t="s">
        <v>942</v>
      </c>
      <c r="F467" s="10" t="s">
        <v>992</v>
      </c>
      <c r="G467" s="12" t="s">
        <v>836</v>
      </c>
      <c r="H467" s="10" t="s">
        <v>837</v>
      </c>
      <c r="I467" s="10" t="s">
        <v>354</v>
      </c>
      <c r="J467" s="12" t="s">
        <v>355</v>
      </c>
      <c r="K467" s="10" t="s">
        <v>941</v>
      </c>
      <c r="L467" s="16" t="s">
        <v>45</v>
      </c>
      <c r="M467" s="10" t="s">
        <v>49</v>
      </c>
      <c r="N467" s="16" t="s">
        <v>45</v>
      </c>
      <c r="O467" s="10" t="s">
        <v>320</v>
      </c>
      <c r="P467" s="9" t="str">
        <f t="shared" si="16"/>
        <v>N/I</v>
      </c>
      <c r="Q467" s="9" t="str">
        <f t="shared" si="17"/>
        <v>N/I</v>
      </c>
      <c r="R467" s="9" t="str">
        <f t="shared" si="18"/>
        <v>N/I</v>
      </c>
    </row>
    <row r="468">
      <c r="A468" s="11" t="s">
        <v>934</v>
      </c>
      <c r="B468" s="11" t="s">
        <v>1219</v>
      </c>
      <c r="C468" s="12" t="s">
        <v>55</v>
      </c>
      <c r="D468" s="19" t="s">
        <v>1220</v>
      </c>
      <c r="E468" s="12" t="s">
        <v>942</v>
      </c>
      <c r="F468" s="10" t="s">
        <v>992</v>
      </c>
      <c r="G468" s="12" t="s">
        <v>836</v>
      </c>
      <c r="H468" s="10" t="s">
        <v>837</v>
      </c>
      <c r="I468" s="10" t="s">
        <v>354</v>
      </c>
      <c r="J468" s="12" t="s">
        <v>355</v>
      </c>
      <c r="K468" s="10" t="s">
        <v>941</v>
      </c>
      <c r="L468" s="16" t="s">
        <v>45</v>
      </c>
      <c r="M468" s="10" t="s">
        <v>49</v>
      </c>
      <c r="N468" s="16" t="s">
        <v>45</v>
      </c>
      <c r="O468" s="10" t="s">
        <v>320</v>
      </c>
      <c r="P468" s="9" t="str">
        <f t="shared" si="16"/>
        <v>N/I</v>
      </c>
      <c r="Q468" s="9" t="str">
        <f t="shared" si="17"/>
        <v>N/I</v>
      </c>
      <c r="R468" s="9" t="str">
        <f t="shared" si="18"/>
        <v>N/I</v>
      </c>
    </row>
    <row r="469">
      <c r="A469" s="11" t="s">
        <v>934</v>
      </c>
      <c r="B469" s="11" t="s">
        <v>1223</v>
      </c>
      <c r="C469" s="12" t="s">
        <v>55</v>
      </c>
      <c r="D469" s="19" t="s">
        <v>1224</v>
      </c>
      <c r="E469" s="12" t="s">
        <v>942</v>
      </c>
      <c r="F469" s="10" t="s">
        <v>992</v>
      </c>
      <c r="G469" s="12" t="s">
        <v>836</v>
      </c>
      <c r="H469" s="10" t="s">
        <v>837</v>
      </c>
      <c r="I469" s="10" t="s">
        <v>354</v>
      </c>
      <c r="J469" s="12" t="s">
        <v>355</v>
      </c>
      <c r="K469" s="10" t="s">
        <v>941</v>
      </c>
      <c r="L469" s="16" t="s">
        <v>45</v>
      </c>
      <c r="M469" s="10" t="s">
        <v>49</v>
      </c>
      <c r="N469" s="16" t="s">
        <v>45</v>
      </c>
      <c r="O469" s="10" t="s">
        <v>320</v>
      </c>
      <c r="P469" s="9" t="str">
        <f t="shared" si="16"/>
        <v>N/I</v>
      </c>
      <c r="Q469" s="9" t="str">
        <f t="shared" si="17"/>
        <v>N/I</v>
      </c>
      <c r="R469" s="9" t="str">
        <f t="shared" si="18"/>
        <v>N/I</v>
      </c>
    </row>
    <row r="470">
      <c r="A470" s="11" t="s">
        <v>934</v>
      </c>
      <c r="B470" s="11" t="s">
        <v>1225</v>
      </c>
      <c r="C470" s="12" t="s">
        <v>55</v>
      </c>
      <c r="D470" s="19" t="s">
        <v>1226</v>
      </c>
      <c r="E470" s="12" t="s">
        <v>942</v>
      </c>
      <c r="F470" s="10" t="s">
        <v>992</v>
      </c>
      <c r="G470" s="12" t="s">
        <v>836</v>
      </c>
      <c r="H470" s="10" t="s">
        <v>837</v>
      </c>
      <c r="I470" s="10" t="s">
        <v>354</v>
      </c>
      <c r="J470" s="12" t="s">
        <v>355</v>
      </c>
      <c r="K470" s="10" t="s">
        <v>941</v>
      </c>
      <c r="L470" s="16" t="s">
        <v>45</v>
      </c>
      <c r="M470" s="10" t="s">
        <v>49</v>
      </c>
      <c r="N470" s="16" t="s">
        <v>45</v>
      </c>
      <c r="O470" s="10" t="s">
        <v>320</v>
      </c>
      <c r="P470" s="9" t="str">
        <f t="shared" si="16"/>
        <v>N/I</v>
      </c>
      <c r="Q470" s="9" t="str">
        <f t="shared" si="17"/>
        <v>N/I</v>
      </c>
      <c r="R470" s="9" t="str">
        <f t="shared" si="18"/>
        <v>N/I</v>
      </c>
    </row>
    <row r="471">
      <c r="A471" s="11" t="s">
        <v>934</v>
      </c>
      <c r="B471" s="32" t="s">
        <v>1227</v>
      </c>
      <c r="C471" s="12" t="s">
        <v>55</v>
      </c>
      <c r="D471" s="34" t="s">
        <v>1228</v>
      </c>
      <c r="E471" s="12" t="s">
        <v>942</v>
      </c>
      <c r="F471" s="10" t="s">
        <v>940</v>
      </c>
      <c r="G471" s="12" t="s">
        <v>836</v>
      </c>
      <c r="H471" s="10" t="s">
        <v>837</v>
      </c>
      <c r="I471" s="10" t="s">
        <v>354</v>
      </c>
      <c r="J471" s="12" t="s">
        <v>355</v>
      </c>
      <c r="K471" s="10" t="s">
        <v>941</v>
      </c>
      <c r="L471" s="16" t="s">
        <v>45</v>
      </c>
      <c r="M471" s="10" t="s">
        <v>49</v>
      </c>
      <c r="N471" s="16" t="s">
        <v>45</v>
      </c>
      <c r="O471" s="10" t="s">
        <v>320</v>
      </c>
      <c r="P471" s="9" t="str">
        <f t="shared" si="16"/>
        <v>N/I</v>
      </c>
      <c r="Q471" s="9" t="str">
        <f t="shared" si="17"/>
        <v>N/I</v>
      </c>
      <c r="R471" s="9" t="str">
        <f t="shared" si="18"/>
        <v>N/I</v>
      </c>
    </row>
    <row r="472">
      <c r="A472" s="11" t="s">
        <v>934</v>
      </c>
      <c r="B472" s="32" t="s">
        <v>1231</v>
      </c>
      <c r="C472" s="12" t="s">
        <v>55</v>
      </c>
      <c r="D472" s="34" t="s">
        <v>1232</v>
      </c>
      <c r="E472" s="12" t="s">
        <v>942</v>
      </c>
      <c r="F472" s="10" t="s">
        <v>940</v>
      </c>
      <c r="G472" s="12" t="s">
        <v>836</v>
      </c>
      <c r="H472" s="10" t="s">
        <v>837</v>
      </c>
      <c r="I472" s="10" t="s">
        <v>354</v>
      </c>
      <c r="J472" s="12" t="s">
        <v>355</v>
      </c>
      <c r="K472" s="10" t="s">
        <v>941</v>
      </c>
      <c r="L472" s="16" t="s">
        <v>45</v>
      </c>
      <c r="M472" s="10" t="s">
        <v>49</v>
      </c>
      <c r="N472" s="16" t="s">
        <v>45</v>
      </c>
      <c r="O472" s="10" t="s">
        <v>320</v>
      </c>
      <c r="P472" s="9" t="str">
        <f t="shared" si="16"/>
        <v>N/I</v>
      </c>
      <c r="Q472" s="9" t="str">
        <f t="shared" si="17"/>
        <v>N/I</v>
      </c>
      <c r="R472" s="9" t="str">
        <f t="shared" si="18"/>
        <v>N/I</v>
      </c>
    </row>
    <row r="473">
      <c r="A473" s="11" t="s">
        <v>934</v>
      </c>
      <c r="B473" s="32" t="s">
        <v>1235</v>
      </c>
      <c r="C473" s="12" t="s">
        <v>55</v>
      </c>
      <c r="D473" s="34" t="s">
        <v>1236</v>
      </c>
      <c r="E473" s="12" t="s">
        <v>942</v>
      </c>
      <c r="F473" s="10" t="s">
        <v>940</v>
      </c>
      <c r="G473" s="12" t="s">
        <v>836</v>
      </c>
      <c r="H473" s="10" t="s">
        <v>837</v>
      </c>
      <c r="I473" s="10" t="s">
        <v>354</v>
      </c>
      <c r="J473" s="12" t="s">
        <v>355</v>
      </c>
      <c r="K473" s="10" t="s">
        <v>941</v>
      </c>
      <c r="L473" s="16" t="s">
        <v>45</v>
      </c>
      <c r="M473" s="10" t="s">
        <v>49</v>
      </c>
      <c r="N473" s="16" t="s">
        <v>45</v>
      </c>
      <c r="O473" s="10" t="s">
        <v>320</v>
      </c>
      <c r="P473" s="9" t="str">
        <f t="shared" si="16"/>
        <v>N/I</v>
      </c>
      <c r="Q473" s="9" t="str">
        <f t="shared" si="17"/>
        <v>N/I</v>
      </c>
      <c r="R473" s="9" t="str">
        <f t="shared" si="18"/>
        <v>N/I</v>
      </c>
    </row>
    <row r="474">
      <c r="A474" s="11" t="s">
        <v>934</v>
      </c>
      <c r="B474" s="11" t="s">
        <v>1239</v>
      </c>
      <c r="C474" s="12" t="s">
        <v>55</v>
      </c>
      <c r="D474" s="34" t="s">
        <v>1240</v>
      </c>
      <c r="E474" s="12" t="s">
        <v>942</v>
      </c>
      <c r="F474" s="10" t="s">
        <v>940</v>
      </c>
      <c r="G474" s="12" t="s">
        <v>100</v>
      </c>
      <c r="H474" s="10" t="s">
        <v>101</v>
      </c>
      <c r="I474" s="10" t="s">
        <v>354</v>
      </c>
      <c r="J474" s="12" t="s">
        <v>355</v>
      </c>
      <c r="K474" s="10" t="s">
        <v>941</v>
      </c>
      <c r="L474" s="16" t="s">
        <v>45</v>
      </c>
      <c r="M474" s="10" t="s">
        <v>49</v>
      </c>
      <c r="N474" s="16" t="s">
        <v>45</v>
      </c>
      <c r="O474" s="10" t="s">
        <v>320</v>
      </c>
      <c r="P474" s="9" t="str">
        <f t="shared" si="16"/>
        <v>N/I</v>
      </c>
      <c r="Q474" s="9" t="str">
        <f t="shared" si="17"/>
        <v>N/I</v>
      </c>
      <c r="R474" s="9" t="str">
        <f t="shared" si="18"/>
        <v>N/I</v>
      </c>
    </row>
    <row r="475">
      <c r="A475" s="11" t="s">
        <v>934</v>
      </c>
      <c r="B475" s="11" t="s">
        <v>1243</v>
      </c>
      <c r="C475" s="12" t="s">
        <v>55</v>
      </c>
      <c r="D475" s="34" t="s">
        <v>1244</v>
      </c>
      <c r="E475" s="12" t="s">
        <v>942</v>
      </c>
      <c r="F475" s="10" t="s">
        <v>940</v>
      </c>
      <c r="G475" s="12" t="s">
        <v>100</v>
      </c>
      <c r="H475" s="10" t="s">
        <v>101</v>
      </c>
      <c r="I475" s="10" t="s">
        <v>354</v>
      </c>
      <c r="J475" s="12" t="s">
        <v>355</v>
      </c>
      <c r="K475" s="10" t="s">
        <v>941</v>
      </c>
      <c r="L475" s="16" t="s">
        <v>45</v>
      </c>
      <c r="M475" s="10" t="s">
        <v>49</v>
      </c>
      <c r="N475" s="16" t="s">
        <v>45</v>
      </c>
      <c r="O475" s="10" t="s">
        <v>320</v>
      </c>
      <c r="P475" s="9" t="str">
        <f t="shared" si="16"/>
        <v>N/I</v>
      </c>
      <c r="Q475" s="9" t="str">
        <f t="shared" si="17"/>
        <v>N/I</v>
      </c>
      <c r="R475" s="9" t="str">
        <f t="shared" si="18"/>
        <v>N/I</v>
      </c>
    </row>
    <row r="476">
      <c r="A476" s="11" t="s">
        <v>934</v>
      </c>
      <c r="B476" s="11" t="s">
        <v>1245</v>
      </c>
      <c r="C476" s="12" t="s">
        <v>55</v>
      </c>
      <c r="D476" s="34" t="s">
        <v>1246</v>
      </c>
      <c r="E476" s="12" t="s">
        <v>942</v>
      </c>
      <c r="F476" s="10" t="s">
        <v>940</v>
      </c>
      <c r="G476" s="12" t="s">
        <v>100</v>
      </c>
      <c r="H476" s="10" t="s">
        <v>101</v>
      </c>
      <c r="I476" s="10" t="s">
        <v>354</v>
      </c>
      <c r="J476" s="12" t="s">
        <v>355</v>
      </c>
      <c r="K476" s="10" t="s">
        <v>941</v>
      </c>
      <c r="L476" s="16" t="s">
        <v>45</v>
      </c>
      <c r="M476" s="10" t="s">
        <v>49</v>
      </c>
      <c r="N476" s="16" t="s">
        <v>45</v>
      </c>
      <c r="O476" s="10" t="s">
        <v>320</v>
      </c>
      <c r="P476" s="9" t="str">
        <f t="shared" si="16"/>
        <v>N/I</v>
      </c>
      <c r="Q476" s="9" t="str">
        <f t="shared" si="17"/>
        <v>N/I</v>
      </c>
      <c r="R476" s="9" t="str">
        <f t="shared" si="18"/>
        <v>N/I</v>
      </c>
    </row>
    <row r="477">
      <c r="A477" s="11" t="s">
        <v>934</v>
      </c>
      <c r="B477" s="11" t="s">
        <v>1247</v>
      </c>
      <c r="C477" s="12" t="s">
        <v>55</v>
      </c>
      <c r="D477" s="34" t="s">
        <v>1248</v>
      </c>
      <c r="E477" s="12" t="s">
        <v>942</v>
      </c>
      <c r="F477" s="10" t="s">
        <v>940</v>
      </c>
      <c r="G477" s="12" t="s">
        <v>100</v>
      </c>
      <c r="H477" s="10" t="s">
        <v>101</v>
      </c>
      <c r="I477" s="10" t="s">
        <v>354</v>
      </c>
      <c r="J477" s="12" t="s">
        <v>355</v>
      </c>
      <c r="K477" s="10" t="s">
        <v>941</v>
      </c>
      <c r="L477" s="16" t="s">
        <v>45</v>
      </c>
      <c r="M477" s="10" t="s">
        <v>49</v>
      </c>
      <c r="N477" s="16" t="s">
        <v>45</v>
      </c>
      <c r="O477" s="10" t="s">
        <v>320</v>
      </c>
      <c r="P477" s="9" t="str">
        <f t="shared" si="16"/>
        <v>N/I</v>
      </c>
      <c r="Q477" s="9" t="str">
        <f t="shared" si="17"/>
        <v>N/I</v>
      </c>
      <c r="R477" s="9" t="str">
        <f t="shared" si="18"/>
        <v>N/I</v>
      </c>
    </row>
    <row r="478">
      <c r="A478" s="11" t="s">
        <v>934</v>
      </c>
      <c r="B478" s="11" t="s">
        <v>1249</v>
      </c>
      <c r="C478" s="12" t="s">
        <v>55</v>
      </c>
      <c r="D478" s="19" t="s">
        <v>1250</v>
      </c>
      <c r="E478" s="12" t="s">
        <v>942</v>
      </c>
      <c r="F478" s="10" t="s">
        <v>992</v>
      </c>
      <c r="G478" s="12" t="s">
        <v>720</v>
      </c>
      <c r="H478" s="10" t="s">
        <v>721</v>
      </c>
      <c r="I478" s="10" t="s">
        <v>354</v>
      </c>
      <c r="J478" s="12" t="s">
        <v>355</v>
      </c>
      <c r="K478" s="10" t="s">
        <v>941</v>
      </c>
      <c r="L478" s="16" t="s">
        <v>45</v>
      </c>
      <c r="M478" s="10" t="s">
        <v>49</v>
      </c>
      <c r="N478" s="16" t="s">
        <v>45</v>
      </c>
      <c r="O478" s="10" t="s">
        <v>320</v>
      </c>
      <c r="P478" s="9" t="str">
        <f t="shared" si="16"/>
        <v>N/I</v>
      </c>
      <c r="Q478" s="9" t="str">
        <f t="shared" si="17"/>
        <v>N/I</v>
      </c>
      <c r="R478" s="9" t="str">
        <f t="shared" si="18"/>
        <v>N/I</v>
      </c>
    </row>
    <row r="479">
      <c r="A479" s="11" t="s">
        <v>934</v>
      </c>
      <c r="B479" s="11" t="s">
        <v>1253</v>
      </c>
      <c r="C479" s="12" t="s">
        <v>55</v>
      </c>
      <c r="D479" s="19" t="s">
        <v>1254</v>
      </c>
      <c r="E479" s="12" t="s">
        <v>942</v>
      </c>
      <c r="F479" s="10" t="s">
        <v>992</v>
      </c>
      <c r="G479" s="12" t="s">
        <v>720</v>
      </c>
      <c r="H479" s="10" t="s">
        <v>721</v>
      </c>
      <c r="I479" s="10" t="s">
        <v>354</v>
      </c>
      <c r="J479" s="12" t="s">
        <v>355</v>
      </c>
      <c r="K479" s="10" t="s">
        <v>941</v>
      </c>
      <c r="L479" s="16" t="s">
        <v>45</v>
      </c>
      <c r="M479" s="10" t="s">
        <v>49</v>
      </c>
      <c r="N479" s="16" t="s">
        <v>45</v>
      </c>
      <c r="O479" s="10" t="s">
        <v>320</v>
      </c>
      <c r="P479" s="9" t="str">
        <f t="shared" si="16"/>
        <v>N/I</v>
      </c>
      <c r="Q479" s="9" t="str">
        <f t="shared" si="17"/>
        <v>N/I</v>
      </c>
      <c r="R479" s="9" t="str">
        <f t="shared" si="18"/>
        <v>N/I</v>
      </c>
    </row>
    <row r="480">
      <c r="A480" s="11" t="s">
        <v>934</v>
      </c>
      <c r="B480" s="11" t="s">
        <v>1255</v>
      </c>
      <c r="C480" s="12" t="s">
        <v>55</v>
      </c>
      <c r="D480" s="34" t="s">
        <v>1256</v>
      </c>
      <c r="E480" s="12" t="s">
        <v>942</v>
      </c>
      <c r="F480" s="10" t="s">
        <v>940</v>
      </c>
      <c r="G480" s="12" t="s">
        <v>720</v>
      </c>
      <c r="H480" s="10" t="s">
        <v>721</v>
      </c>
      <c r="I480" s="10" t="s">
        <v>354</v>
      </c>
      <c r="J480" s="12" t="s">
        <v>355</v>
      </c>
      <c r="K480" s="10" t="s">
        <v>941</v>
      </c>
      <c r="L480" s="16" t="s">
        <v>45</v>
      </c>
      <c r="M480" s="10" t="s">
        <v>49</v>
      </c>
      <c r="N480" s="16" t="s">
        <v>45</v>
      </c>
      <c r="O480" s="10" t="s">
        <v>320</v>
      </c>
      <c r="P480" s="9" t="str">
        <f t="shared" si="16"/>
        <v>N/I</v>
      </c>
      <c r="Q480" s="9" t="str">
        <f t="shared" si="17"/>
        <v>N/I</v>
      </c>
      <c r="R480" s="9" t="str">
        <f t="shared" si="18"/>
        <v>N/I</v>
      </c>
    </row>
    <row r="481">
      <c r="A481" s="11" t="s">
        <v>934</v>
      </c>
      <c r="B481" s="11" t="s">
        <v>1258</v>
      </c>
      <c r="C481" s="12" t="s">
        <v>55</v>
      </c>
      <c r="D481" s="34" t="s">
        <v>1259</v>
      </c>
      <c r="E481" s="12" t="s">
        <v>942</v>
      </c>
      <c r="F481" s="10" t="s">
        <v>940</v>
      </c>
      <c r="G481" s="12" t="s">
        <v>720</v>
      </c>
      <c r="H481" s="10" t="s">
        <v>721</v>
      </c>
      <c r="I481" s="10" t="s">
        <v>354</v>
      </c>
      <c r="J481" s="12" t="s">
        <v>355</v>
      </c>
      <c r="K481" s="10" t="s">
        <v>941</v>
      </c>
      <c r="L481" s="16" t="s">
        <v>45</v>
      </c>
      <c r="M481" s="10" t="s">
        <v>49</v>
      </c>
      <c r="N481" s="16" t="s">
        <v>45</v>
      </c>
      <c r="O481" s="10" t="s">
        <v>320</v>
      </c>
      <c r="P481" s="9" t="str">
        <f t="shared" si="16"/>
        <v>N/I</v>
      </c>
      <c r="Q481" s="9" t="str">
        <f t="shared" si="17"/>
        <v>N/I</v>
      </c>
      <c r="R481" s="9" t="str">
        <f t="shared" si="18"/>
        <v>N/I</v>
      </c>
    </row>
    <row r="482">
      <c r="A482" s="11" t="s">
        <v>934</v>
      </c>
      <c r="B482" s="11" t="s">
        <v>1261</v>
      </c>
      <c r="C482" s="12" t="s">
        <v>55</v>
      </c>
      <c r="D482" s="34" t="s">
        <v>1262</v>
      </c>
      <c r="E482" s="12" t="s">
        <v>942</v>
      </c>
      <c r="F482" s="10" t="s">
        <v>940</v>
      </c>
      <c r="G482" s="12" t="s">
        <v>1263</v>
      </c>
      <c r="H482" s="10" t="s">
        <v>208</v>
      </c>
      <c r="I482" s="10" t="s">
        <v>354</v>
      </c>
      <c r="J482" s="12" t="s">
        <v>355</v>
      </c>
      <c r="K482" s="10" t="s">
        <v>941</v>
      </c>
      <c r="L482" s="16" t="s">
        <v>45</v>
      </c>
      <c r="M482" s="10" t="s">
        <v>49</v>
      </c>
      <c r="N482" s="16" t="s">
        <v>45</v>
      </c>
      <c r="O482" s="10" t="s">
        <v>320</v>
      </c>
      <c r="P482" s="9" t="str">
        <f t="shared" si="16"/>
        <v>N/I</v>
      </c>
      <c r="Q482" s="9" t="str">
        <f t="shared" si="17"/>
        <v>N/I</v>
      </c>
      <c r="R482" s="9" t="str">
        <f t="shared" si="18"/>
        <v>N/I</v>
      </c>
    </row>
    <row r="483">
      <c r="A483" s="11" t="s">
        <v>1014</v>
      </c>
      <c r="B483" s="11" t="s">
        <v>1266</v>
      </c>
      <c r="C483" s="12" t="s">
        <v>52</v>
      </c>
      <c r="D483" s="20" t="s">
        <v>1267</v>
      </c>
      <c r="E483" s="12" t="s">
        <v>1020</v>
      </c>
      <c r="F483" s="10" t="s">
        <v>1019</v>
      </c>
      <c r="G483" s="12" t="s">
        <v>1268</v>
      </c>
      <c r="H483" s="10" t="s">
        <v>858</v>
      </c>
      <c r="I483" s="10" t="s">
        <v>354</v>
      </c>
      <c r="J483" s="12" t="s">
        <v>355</v>
      </c>
      <c r="K483" s="16" t="s">
        <v>45</v>
      </c>
      <c r="L483" s="12" t="s">
        <v>1021</v>
      </c>
      <c r="M483" s="12" t="s">
        <v>49</v>
      </c>
      <c r="N483" s="12" t="s">
        <v>1021</v>
      </c>
      <c r="O483" s="16" t="s">
        <v>45</v>
      </c>
      <c r="P483" s="9" t="str">
        <f t="shared" si="16"/>
        <v>N/I</v>
      </c>
      <c r="Q483" s="9" t="str">
        <f t="shared" si="17"/>
        <v>N/I</v>
      </c>
      <c r="R483" s="9" t="str">
        <f t="shared" si="18"/>
        <v>N/I</v>
      </c>
    </row>
    <row r="484">
      <c r="A484" s="11" t="s">
        <v>934</v>
      </c>
      <c r="B484" s="11" t="s">
        <v>1271</v>
      </c>
      <c r="C484" s="12" t="s">
        <v>55</v>
      </c>
      <c r="D484" s="19" t="s">
        <v>1272</v>
      </c>
      <c r="E484" s="12" t="s">
        <v>942</v>
      </c>
      <c r="F484" s="10" t="s">
        <v>992</v>
      </c>
      <c r="G484" s="12" t="s">
        <v>857</v>
      </c>
      <c r="H484" s="10" t="s">
        <v>858</v>
      </c>
      <c r="I484" s="10" t="s">
        <v>354</v>
      </c>
      <c r="J484" s="12" t="s">
        <v>355</v>
      </c>
      <c r="K484" s="10" t="s">
        <v>941</v>
      </c>
      <c r="L484" s="16" t="s">
        <v>45</v>
      </c>
      <c r="M484" s="10" t="s">
        <v>49</v>
      </c>
      <c r="N484" s="16" t="s">
        <v>45</v>
      </c>
      <c r="O484" s="10" t="s">
        <v>320</v>
      </c>
      <c r="P484" s="9" t="str">
        <f t="shared" si="16"/>
        <v>N/I</v>
      </c>
      <c r="Q484" s="9" t="str">
        <f t="shared" si="17"/>
        <v>N/I</v>
      </c>
      <c r="R484" s="9" t="str">
        <f t="shared" si="18"/>
        <v>N/I</v>
      </c>
    </row>
    <row r="485">
      <c r="A485" s="11" t="s">
        <v>934</v>
      </c>
      <c r="B485" s="11" t="s">
        <v>1275</v>
      </c>
      <c r="C485" s="12" t="s">
        <v>55</v>
      </c>
      <c r="D485" s="34" t="s">
        <v>1276</v>
      </c>
      <c r="E485" s="12" t="s">
        <v>942</v>
      </c>
      <c r="F485" s="10" t="s">
        <v>992</v>
      </c>
      <c r="G485" s="12" t="s">
        <v>857</v>
      </c>
      <c r="H485" s="10" t="s">
        <v>858</v>
      </c>
      <c r="I485" s="10" t="s">
        <v>354</v>
      </c>
      <c r="J485" s="12" t="s">
        <v>355</v>
      </c>
      <c r="K485" s="10" t="s">
        <v>941</v>
      </c>
      <c r="L485" s="16" t="s">
        <v>45</v>
      </c>
      <c r="M485" s="10" t="s">
        <v>49</v>
      </c>
      <c r="N485" s="16" t="s">
        <v>45</v>
      </c>
      <c r="O485" s="10" t="s">
        <v>320</v>
      </c>
      <c r="P485" s="9" t="str">
        <f t="shared" si="16"/>
        <v>N/I</v>
      </c>
      <c r="Q485" s="9" t="str">
        <f t="shared" si="17"/>
        <v>N/I</v>
      </c>
      <c r="R485" s="9" t="str">
        <f t="shared" si="18"/>
        <v>N/I</v>
      </c>
    </row>
    <row r="486">
      <c r="A486" s="11" t="s">
        <v>934</v>
      </c>
      <c r="B486" s="11" t="s">
        <v>1278</v>
      </c>
      <c r="C486" s="12" t="s">
        <v>55</v>
      </c>
      <c r="D486" s="19" t="s">
        <v>1279</v>
      </c>
      <c r="E486" s="12" t="s">
        <v>942</v>
      </c>
      <c r="F486" s="10" t="s">
        <v>992</v>
      </c>
      <c r="G486" s="12" t="s">
        <v>1280</v>
      </c>
      <c r="H486" s="10" t="s">
        <v>858</v>
      </c>
      <c r="I486" s="10" t="s">
        <v>354</v>
      </c>
      <c r="J486" s="12" t="s">
        <v>355</v>
      </c>
      <c r="K486" s="10" t="s">
        <v>941</v>
      </c>
      <c r="L486" s="16" t="s">
        <v>45</v>
      </c>
      <c r="M486" s="10" t="s">
        <v>49</v>
      </c>
      <c r="N486" s="16" t="s">
        <v>45</v>
      </c>
      <c r="O486" s="10" t="s">
        <v>320</v>
      </c>
      <c r="P486" s="9" t="str">
        <f t="shared" si="16"/>
        <v>N/I</v>
      </c>
      <c r="Q486" s="9" t="str">
        <f t="shared" si="17"/>
        <v>N/I</v>
      </c>
      <c r="R486" s="9" t="str">
        <f t="shared" si="18"/>
        <v>N/I</v>
      </c>
    </row>
    <row r="487">
      <c r="A487" s="11" t="s">
        <v>934</v>
      </c>
      <c r="B487" s="11" t="s">
        <v>1282</v>
      </c>
      <c r="C487" s="12" t="s">
        <v>55</v>
      </c>
      <c r="D487" s="34" t="s">
        <v>1283</v>
      </c>
      <c r="E487" s="12" t="s">
        <v>942</v>
      </c>
      <c r="F487" s="10" t="s">
        <v>940</v>
      </c>
      <c r="G487" s="12" t="s">
        <v>1284</v>
      </c>
      <c r="H487" s="10" t="s">
        <v>222</v>
      </c>
      <c r="I487" s="10" t="s">
        <v>354</v>
      </c>
      <c r="J487" s="12" t="s">
        <v>355</v>
      </c>
      <c r="K487" s="10" t="s">
        <v>941</v>
      </c>
      <c r="L487" s="16" t="s">
        <v>45</v>
      </c>
      <c r="M487" s="10" t="s">
        <v>49</v>
      </c>
      <c r="N487" s="16" t="s">
        <v>45</v>
      </c>
      <c r="O487" s="10" t="s">
        <v>320</v>
      </c>
      <c r="P487" s="9" t="str">
        <f t="shared" si="16"/>
        <v>N/I</v>
      </c>
      <c r="Q487" s="9" t="str">
        <f t="shared" si="17"/>
        <v>N/I</v>
      </c>
      <c r="R487" s="9" t="str">
        <f t="shared" si="18"/>
        <v>N/I</v>
      </c>
    </row>
    <row r="488">
      <c r="A488" s="11" t="s">
        <v>934</v>
      </c>
      <c r="B488" s="11" t="s">
        <v>1287</v>
      </c>
      <c r="C488" s="12" t="s">
        <v>55</v>
      </c>
      <c r="D488" s="34" t="s">
        <v>1288</v>
      </c>
      <c r="E488" s="12" t="s">
        <v>942</v>
      </c>
      <c r="F488" s="10" t="s">
        <v>940</v>
      </c>
      <c r="G488" s="12" t="s">
        <v>1289</v>
      </c>
      <c r="H488" s="10" t="s">
        <v>132</v>
      </c>
      <c r="I488" s="10" t="s">
        <v>354</v>
      </c>
      <c r="J488" s="12" t="s">
        <v>355</v>
      </c>
      <c r="K488" s="10" t="s">
        <v>941</v>
      </c>
      <c r="L488" s="16" t="s">
        <v>45</v>
      </c>
      <c r="M488" s="10" t="s">
        <v>49</v>
      </c>
      <c r="N488" s="16" t="s">
        <v>45</v>
      </c>
      <c r="O488" s="10" t="s">
        <v>320</v>
      </c>
      <c r="P488" s="9" t="str">
        <f t="shared" si="16"/>
        <v>N/I</v>
      </c>
      <c r="Q488" s="9" t="str">
        <f t="shared" si="17"/>
        <v>N/I</v>
      </c>
      <c r="R488" s="9" t="str">
        <f t="shared" si="18"/>
        <v>N/I</v>
      </c>
    </row>
    <row r="489">
      <c r="A489" s="11" t="s">
        <v>934</v>
      </c>
      <c r="B489" s="11" t="s">
        <v>1292</v>
      </c>
      <c r="C489" s="12" t="s">
        <v>55</v>
      </c>
      <c r="D489" s="34" t="s">
        <v>1293</v>
      </c>
      <c r="E489" s="12" t="s">
        <v>942</v>
      </c>
      <c r="F489" s="10" t="s">
        <v>940</v>
      </c>
      <c r="G489" s="12" t="s">
        <v>609</v>
      </c>
      <c r="H489" s="10" t="s">
        <v>610</v>
      </c>
      <c r="I489" s="10" t="s">
        <v>354</v>
      </c>
      <c r="J489" s="12" t="s">
        <v>355</v>
      </c>
      <c r="K489" s="10" t="s">
        <v>941</v>
      </c>
      <c r="L489" s="16" t="s">
        <v>45</v>
      </c>
      <c r="M489" s="10" t="s">
        <v>49</v>
      </c>
      <c r="N489" s="16" t="s">
        <v>45</v>
      </c>
      <c r="O489" s="10" t="s">
        <v>320</v>
      </c>
      <c r="P489" s="9" t="str">
        <f t="shared" si="16"/>
        <v>N/I</v>
      </c>
      <c r="Q489" s="9" t="str">
        <f t="shared" si="17"/>
        <v>N/I</v>
      </c>
      <c r="R489" s="9" t="str">
        <f t="shared" si="18"/>
        <v>N/I</v>
      </c>
    </row>
    <row r="490">
      <c r="A490" s="11" t="s">
        <v>934</v>
      </c>
      <c r="B490" s="11" t="s">
        <v>1296</v>
      </c>
      <c r="C490" s="12" t="s">
        <v>55</v>
      </c>
      <c r="D490" s="34" t="s">
        <v>1297</v>
      </c>
      <c r="E490" s="12" t="s">
        <v>942</v>
      </c>
      <c r="F490" s="10" t="s">
        <v>940</v>
      </c>
      <c r="G490" s="12" t="s">
        <v>1298</v>
      </c>
      <c r="H490" s="10" t="s">
        <v>610</v>
      </c>
      <c r="I490" s="10" t="s">
        <v>354</v>
      </c>
      <c r="J490" s="12" t="s">
        <v>355</v>
      </c>
      <c r="K490" s="10" t="s">
        <v>941</v>
      </c>
      <c r="L490" s="16" t="s">
        <v>45</v>
      </c>
      <c r="M490" s="10" t="s">
        <v>49</v>
      </c>
      <c r="N490" s="16" t="s">
        <v>45</v>
      </c>
      <c r="O490" s="10" t="s">
        <v>320</v>
      </c>
      <c r="P490" s="9" t="str">
        <f t="shared" si="16"/>
        <v>N/I</v>
      </c>
      <c r="Q490" s="9" t="str">
        <f t="shared" si="17"/>
        <v>N/I</v>
      </c>
      <c r="R490" s="9" t="str">
        <f t="shared" si="18"/>
        <v>N/I</v>
      </c>
    </row>
    <row r="491">
      <c r="A491" s="11" t="s">
        <v>934</v>
      </c>
      <c r="B491" s="11" t="s">
        <v>1300</v>
      </c>
      <c r="C491" s="12" t="s">
        <v>55</v>
      </c>
      <c r="D491" s="19" t="s">
        <v>1301</v>
      </c>
      <c r="E491" s="12" t="s">
        <v>942</v>
      </c>
      <c r="F491" s="10" t="s">
        <v>992</v>
      </c>
      <c r="G491" s="12" t="s">
        <v>1302</v>
      </c>
      <c r="H491" s="10" t="s">
        <v>858</v>
      </c>
      <c r="I491" s="10" t="s">
        <v>354</v>
      </c>
      <c r="J491" s="12" t="s">
        <v>355</v>
      </c>
      <c r="K491" s="10" t="s">
        <v>941</v>
      </c>
      <c r="L491" s="16" t="s">
        <v>45</v>
      </c>
      <c r="M491" s="10" t="s">
        <v>49</v>
      </c>
      <c r="N491" s="16" t="s">
        <v>45</v>
      </c>
      <c r="O491" s="10" t="s">
        <v>320</v>
      </c>
      <c r="P491" s="9" t="str">
        <f t="shared" si="16"/>
        <v>N/I</v>
      </c>
      <c r="Q491" s="9" t="str">
        <f t="shared" si="17"/>
        <v>N/I</v>
      </c>
      <c r="R491" s="9" t="str">
        <f t="shared" si="18"/>
        <v>N/I</v>
      </c>
    </row>
    <row r="492">
      <c r="A492" s="11" t="s">
        <v>934</v>
      </c>
      <c r="B492" s="11" t="s">
        <v>1305</v>
      </c>
      <c r="C492" s="12" t="s">
        <v>55</v>
      </c>
      <c r="D492" s="34" t="s">
        <v>1306</v>
      </c>
      <c r="E492" s="12" t="s">
        <v>942</v>
      </c>
      <c r="F492" s="10" t="s">
        <v>940</v>
      </c>
      <c r="G492" s="12" t="s">
        <v>1307</v>
      </c>
      <c r="H492" s="10" t="s">
        <v>63</v>
      </c>
      <c r="I492" s="10" t="s">
        <v>354</v>
      </c>
      <c r="J492" s="12" t="s">
        <v>355</v>
      </c>
      <c r="K492" s="10" t="s">
        <v>941</v>
      </c>
      <c r="L492" s="16" t="s">
        <v>45</v>
      </c>
      <c r="M492" s="10" t="s">
        <v>49</v>
      </c>
      <c r="N492" s="16" t="s">
        <v>45</v>
      </c>
      <c r="O492" s="10" t="s">
        <v>320</v>
      </c>
      <c r="P492" s="9" t="str">
        <f t="shared" si="16"/>
        <v>N/I</v>
      </c>
      <c r="Q492" s="9" t="str">
        <f t="shared" si="17"/>
        <v>N/I</v>
      </c>
      <c r="R492" s="9" t="str">
        <f t="shared" si="18"/>
        <v>N/I</v>
      </c>
    </row>
    <row r="493">
      <c r="A493" s="11" t="s">
        <v>934</v>
      </c>
      <c r="B493" s="11" t="s">
        <v>1310</v>
      </c>
      <c r="C493" s="12" t="s">
        <v>55</v>
      </c>
      <c r="D493" s="34" t="s">
        <v>1311</v>
      </c>
      <c r="E493" s="12" t="s">
        <v>942</v>
      </c>
      <c r="F493" s="10" t="s">
        <v>940</v>
      </c>
      <c r="G493" s="12" t="s">
        <v>1312</v>
      </c>
      <c r="H493" s="10" t="s">
        <v>895</v>
      </c>
      <c r="I493" s="10" t="s">
        <v>354</v>
      </c>
      <c r="J493" s="12" t="s">
        <v>355</v>
      </c>
      <c r="K493" s="10" t="s">
        <v>941</v>
      </c>
      <c r="L493" s="16" t="s">
        <v>45</v>
      </c>
      <c r="M493" s="10" t="s">
        <v>49</v>
      </c>
      <c r="N493" s="16" t="s">
        <v>45</v>
      </c>
      <c r="O493" s="10" t="s">
        <v>320</v>
      </c>
      <c r="P493" s="9" t="str">
        <f>IF(AJ492&lt;0,"Inativo",IF(AJ492&gt;0,"Ativo","N/I"))</f>
        <v>N/I</v>
      </c>
      <c r="Q493" s="9" t="str">
        <f>IF(AO492&lt;0,"Inativo",IF(AO492&gt;0,"Ativo","N/I"))</f>
        <v>N/I</v>
      </c>
      <c r="R493" s="9" t="str">
        <f>IF(AT492&lt;0,"Inativo",IF(AT492&gt;0,"Ativo","N/I"))</f>
        <v>N/I</v>
      </c>
    </row>
    <row r="494">
      <c r="A494" s="11" t="s">
        <v>934</v>
      </c>
      <c r="B494" s="11" t="s">
        <v>1315</v>
      </c>
      <c r="C494" s="12" t="s">
        <v>55</v>
      </c>
      <c r="D494" s="34" t="s">
        <v>1316</v>
      </c>
      <c r="E494" s="12" t="s">
        <v>942</v>
      </c>
      <c r="F494" s="10" t="s">
        <v>940</v>
      </c>
      <c r="G494" s="12" t="s">
        <v>1317</v>
      </c>
      <c r="H494" s="10" t="s">
        <v>1097</v>
      </c>
      <c r="I494" s="10" t="s">
        <v>354</v>
      </c>
      <c r="J494" s="12" t="s">
        <v>355</v>
      </c>
      <c r="K494" s="10" t="s">
        <v>941</v>
      </c>
      <c r="L494" s="16" t="s">
        <v>45</v>
      </c>
      <c r="M494" s="10" t="s">
        <v>49</v>
      </c>
      <c r="N494" s="16" t="s">
        <v>45</v>
      </c>
      <c r="O494" s="10" t="s">
        <v>320</v>
      </c>
      <c r="P494" s="9" t="str">
        <f t="shared" ref="P494:P510" si="19">IF(AJ494&lt;0,"Inativo",IF(AJ494&gt;0,"Ativo","N/I"))</f>
        <v>N/I</v>
      </c>
      <c r="Q494" s="9" t="str">
        <f t="shared" ref="Q494:Q510" si="20">IF(AO494&lt;0,"Inativo",IF(AO494&gt;0,"Ativo","N/I"))</f>
        <v>N/I</v>
      </c>
      <c r="R494" s="9" t="str">
        <f t="shared" ref="R494:R510" si="21">IF(AT494&lt;0,"Inativo",IF(AT494&gt;0,"Ativo","N/I"))</f>
        <v>N/I</v>
      </c>
    </row>
    <row r="495">
      <c r="A495" s="11" t="s">
        <v>934</v>
      </c>
      <c r="B495" s="11" t="s">
        <v>1320</v>
      </c>
      <c r="C495" s="12" t="s">
        <v>55</v>
      </c>
      <c r="D495" s="34" t="s">
        <v>1321</v>
      </c>
      <c r="E495" s="12" t="s">
        <v>942</v>
      </c>
      <c r="F495" s="10" t="s">
        <v>940</v>
      </c>
      <c r="G495" s="12" t="s">
        <v>621</v>
      </c>
      <c r="H495" s="10" t="s">
        <v>132</v>
      </c>
      <c r="I495" s="10" t="s">
        <v>354</v>
      </c>
      <c r="J495" s="12" t="s">
        <v>355</v>
      </c>
      <c r="K495" s="10" t="s">
        <v>941</v>
      </c>
      <c r="L495" s="16" t="s">
        <v>45</v>
      </c>
      <c r="M495" s="10" t="s">
        <v>49</v>
      </c>
      <c r="N495" s="16" t="s">
        <v>45</v>
      </c>
      <c r="O495" s="10" t="s">
        <v>320</v>
      </c>
      <c r="P495" s="9" t="str">
        <f t="shared" si="19"/>
        <v>N/I</v>
      </c>
      <c r="Q495" s="9" t="str">
        <f t="shared" si="20"/>
        <v>N/I</v>
      </c>
      <c r="R495" s="9" t="str">
        <f t="shared" si="21"/>
        <v>N/I</v>
      </c>
    </row>
    <row r="496">
      <c r="A496" s="11" t="s">
        <v>934</v>
      </c>
      <c r="B496" s="11" t="s">
        <v>1324</v>
      </c>
      <c r="C496" s="12" t="s">
        <v>55</v>
      </c>
      <c r="D496" s="34" t="s">
        <v>1325</v>
      </c>
      <c r="E496" s="12" t="s">
        <v>942</v>
      </c>
      <c r="F496" s="10" t="s">
        <v>940</v>
      </c>
      <c r="G496" s="12" t="s">
        <v>1326</v>
      </c>
      <c r="H496" s="10" t="s">
        <v>652</v>
      </c>
      <c r="I496" s="10" t="s">
        <v>354</v>
      </c>
      <c r="J496" s="12" t="s">
        <v>355</v>
      </c>
      <c r="K496" s="10" t="s">
        <v>941</v>
      </c>
      <c r="L496" s="16" t="s">
        <v>45</v>
      </c>
      <c r="M496" s="10" t="s">
        <v>49</v>
      </c>
      <c r="N496" s="16" t="s">
        <v>45</v>
      </c>
      <c r="O496" s="10" t="s">
        <v>320</v>
      </c>
      <c r="P496" s="9" t="str">
        <f t="shared" si="19"/>
        <v>N/I</v>
      </c>
      <c r="Q496" s="9" t="str">
        <f t="shared" si="20"/>
        <v>N/I</v>
      </c>
      <c r="R496" s="9" t="str">
        <f t="shared" si="21"/>
        <v>N/I</v>
      </c>
    </row>
    <row r="497">
      <c r="A497" s="11" t="s">
        <v>934</v>
      </c>
      <c r="B497" s="11" t="s">
        <v>1329</v>
      </c>
      <c r="C497" s="12" t="s">
        <v>55</v>
      </c>
      <c r="D497" s="34" t="s">
        <v>1330</v>
      </c>
      <c r="E497" s="12" t="s">
        <v>942</v>
      </c>
      <c r="F497" s="10" t="s">
        <v>940</v>
      </c>
      <c r="G497" s="12" t="s">
        <v>1331</v>
      </c>
      <c r="H497" s="10" t="s">
        <v>870</v>
      </c>
      <c r="I497" s="10" t="s">
        <v>354</v>
      </c>
      <c r="J497" s="12" t="s">
        <v>355</v>
      </c>
      <c r="K497" s="10" t="s">
        <v>941</v>
      </c>
      <c r="L497" s="16" t="s">
        <v>45</v>
      </c>
      <c r="M497" s="10" t="s">
        <v>49</v>
      </c>
      <c r="N497" s="16" t="s">
        <v>45</v>
      </c>
      <c r="O497" s="10" t="s">
        <v>320</v>
      </c>
      <c r="P497" s="9" t="str">
        <f t="shared" si="19"/>
        <v>N/I</v>
      </c>
      <c r="Q497" s="9" t="str">
        <f t="shared" si="20"/>
        <v>N/I</v>
      </c>
      <c r="R497" s="9" t="str">
        <f t="shared" si="21"/>
        <v>N/I</v>
      </c>
    </row>
    <row r="498">
      <c r="A498" s="11" t="s">
        <v>934</v>
      </c>
      <c r="B498" s="11" t="s">
        <v>1334</v>
      </c>
      <c r="C498" s="12" t="s">
        <v>55</v>
      </c>
      <c r="D498" s="34" t="s">
        <v>1335</v>
      </c>
      <c r="E498" s="12" t="s">
        <v>942</v>
      </c>
      <c r="F498" s="10" t="s">
        <v>992</v>
      </c>
      <c r="G498" s="12" t="s">
        <v>1336</v>
      </c>
      <c r="H498" s="10" t="s">
        <v>283</v>
      </c>
      <c r="I498" s="10" t="s">
        <v>354</v>
      </c>
      <c r="J498" s="12" t="s">
        <v>355</v>
      </c>
      <c r="K498" s="10" t="s">
        <v>941</v>
      </c>
      <c r="L498" s="16" t="s">
        <v>45</v>
      </c>
      <c r="M498" s="10" t="s">
        <v>49</v>
      </c>
      <c r="N498" s="16" t="s">
        <v>45</v>
      </c>
      <c r="O498" s="10" t="s">
        <v>320</v>
      </c>
      <c r="P498" s="9" t="str">
        <f t="shared" si="19"/>
        <v>N/I</v>
      </c>
      <c r="Q498" s="9" t="str">
        <f t="shared" si="20"/>
        <v>N/I</v>
      </c>
      <c r="R498" s="9" t="str">
        <f t="shared" si="21"/>
        <v>N/I</v>
      </c>
    </row>
    <row r="499">
      <c r="A499" s="11" t="s">
        <v>934</v>
      </c>
      <c r="B499" s="11" t="s">
        <v>1339</v>
      </c>
      <c r="C499" s="12" t="s">
        <v>55</v>
      </c>
      <c r="D499" s="34" t="s">
        <v>1340</v>
      </c>
      <c r="E499" s="12" t="s">
        <v>942</v>
      </c>
      <c r="F499" s="10" t="s">
        <v>992</v>
      </c>
      <c r="G499" s="12" t="s">
        <v>1336</v>
      </c>
      <c r="H499" s="10" t="s">
        <v>283</v>
      </c>
      <c r="I499" s="10" t="s">
        <v>354</v>
      </c>
      <c r="J499" s="12" t="s">
        <v>355</v>
      </c>
      <c r="K499" s="10" t="s">
        <v>941</v>
      </c>
      <c r="L499" s="16" t="s">
        <v>45</v>
      </c>
      <c r="M499" s="10" t="s">
        <v>49</v>
      </c>
      <c r="N499" s="16" t="s">
        <v>45</v>
      </c>
      <c r="O499" s="10" t="s">
        <v>320</v>
      </c>
      <c r="P499" s="9" t="str">
        <f t="shared" si="19"/>
        <v>N/I</v>
      </c>
      <c r="Q499" s="9" t="str">
        <f t="shared" si="20"/>
        <v>N/I</v>
      </c>
      <c r="R499" s="9" t="str">
        <f t="shared" si="21"/>
        <v>N/I</v>
      </c>
    </row>
    <row r="500">
      <c r="A500" s="11" t="s">
        <v>934</v>
      </c>
      <c r="B500" s="11" t="s">
        <v>1343</v>
      </c>
      <c r="C500" s="12" t="s">
        <v>55</v>
      </c>
      <c r="D500" s="34" t="s">
        <v>1344</v>
      </c>
      <c r="E500" s="12" t="s">
        <v>942</v>
      </c>
      <c r="F500" s="10" t="s">
        <v>940</v>
      </c>
      <c r="G500" s="12" t="s">
        <v>1345</v>
      </c>
      <c r="H500" s="10" t="s">
        <v>521</v>
      </c>
      <c r="I500" s="10" t="s">
        <v>354</v>
      </c>
      <c r="J500" s="12" t="s">
        <v>355</v>
      </c>
      <c r="K500" s="10" t="s">
        <v>941</v>
      </c>
      <c r="L500" s="16" t="s">
        <v>45</v>
      </c>
      <c r="M500" s="10" t="s">
        <v>49</v>
      </c>
      <c r="N500" s="16" t="s">
        <v>45</v>
      </c>
      <c r="O500" s="10" t="s">
        <v>320</v>
      </c>
      <c r="P500" s="9" t="str">
        <f t="shared" si="19"/>
        <v>N/I</v>
      </c>
      <c r="Q500" s="9" t="str">
        <f t="shared" si="20"/>
        <v>N/I</v>
      </c>
      <c r="R500" s="9" t="str">
        <f t="shared" si="21"/>
        <v>N/I</v>
      </c>
    </row>
    <row r="501">
      <c r="A501" s="11" t="s">
        <v>934</v>
      </c>
      <c r="B501" s="11" t="s">
        <v>1343</v>
      </c>
      <c r="C501" s="12" t="s">
        <v>55</v>
      </c>
      <c r="D501" s="34" t="s">
        <v>1348</v>
      </c>
      <c r="E501" s="12" t="s">
        <v>942</v>
      </c>
      <c r="F501" s="10" t="s">
        <v>940</v>
      </c>
      <c r="G501" s="12" t="s">
        <v>1345</v>
      </c>
      <c r="H501" s="10" t="s">
        <v>521</v>
      </c>
      <c r="I501" s="10" t="s">
        <v>354</v>
      </c>
      <c r="J501" s="12" t="s">
        <v>355</v>
      </c>
      <c r="K501" s="10" t="s">
        <v>941</v>
      </c>
      <c r="L501" s="16" t="s">
        <v>45</v>
      </c>
      <c r="M501" s="10" t="s">
        <v>49</v>
      </c>
      <c r="N501" s="16" t="s">
        <v>45</v>
      </c>
      <c r="O501" s="10" t="s">
        <v>320</v>
      </c>
      <c r="P501" s="9" t="str">
        <f t="shared" si="19"/>
        <v>N/I</v>
      </c>
      <c r="Q501" s="9" t="str">
        <f t="shared" si="20"/>
        <v>N/I</v>
      </c>
      <c r="R501" s="9" t="str">
        <f t="shared" si="21"/>
        <v>N/I</v>
      </c>
    </row>
    <row r="502">
      <c r="A502" s="11" t="s">
        <v>1014</v>
      </c>
      <c r="B502" s="11" t="s">
        <v>1349</v>
      </c>
      <c r="C502" s="12" t="s">
        <v>52</v>
      </c>
      <c r="D502" s="20" t="s">
        <v>1350</v>
      </c>
      <c r="E502" s="12" t="s">
        <v>1020</v>
      </c>
      <c r="F502" s="10" t="s">
        <v>1019</v>
      </c>
      <c r="G502" s="12" t="s">
        <v>869</v>
      </c>
      <c r="H502" s="10" t="s">
        <v>870</v>
      </c>
      <c r="I502" s="10" t="s">
        <v>354</v>
      </c>
      <c r="J502" s="12" t="s">
        <v>355</v>
      </c>
      <c r="K502" s="16" t="s">
        <v>45</v>
      </c>
      <c r="L502" s="12" t="s">
        <v>1021</v>
      </c>
      <c r="M502" s="12" t="s">
        <v>49</v>
      </c>
      <c r="N502" s="12" t="s">
        <v>1021</v>
      </c>
      <c r="O502" s="16" t="s">
        <v>45</v>
      </c>
      <c r="P502" s="9" t="str">
        <f t="shared" si="19"/>
        <v>N/I</v>
      </c>
      <c r="Q502" s="9" t="str">
        <f t="shared" si="20"/>
        <v>N/I</v>
      </c>
      <c r="R502" s="9" t="str">
        <f t="shared" si="21"/>
        <v>N/I</v>
      </c>
    </row>
    <row r="503">
      <c r="A503" s="11" t="s">
        <v>934</v>
      </c>
      <c r="B503" s="11" t="s">
        <v>1353</v>
      </c>
      <c r="C503" s="12" t="s">
        <v>55</v>
      </c>
      <c r="D503" s="34" t="s">
        <v>1354</v>
      </c>
      <c r="E503" s="12" t="s">
        <v>942</v>
      </c>
      <c r="F503" s="10" t="s">
        <v>940</v>
      </c>
      <c r="G503" s="12" t="s">
        <v>1355</v>
      </c>
      <c r="H503" s="10" t="s">
        <v>132</v>
      </c>
      <c r="I503" s="10" t="s">
        <v>354</v>
      </c>
      <c r="J503" s="12" t="s">
        <v>355</v>
      </c>
      <c r="K503" s="10" t="s">
        <v>941</v>
      </c>
      <c r="L503" s="16" t="s">
        <v>45</v>
      </c>
      <c r="M503" s="10" t="s">
        <v>49</v>
      </c>
      <c r="N503" s="16" t="s">
        <v>45</v>
      </c>
      <c r="O503" s="10" t="s">
        <v>320</v>
      </c>
      <c r="P503" s="9" t="str">
        <f t="shared" si="19"/>
        <v>N/I</v>
      </c>
      <c r="Q503" s="9" t="str">
        <f t="shared" si="20"/>
        <v>N/I</v>
      </c>
      <c r="R503" s="9" t="str">
        <f t="shared" si="21"/>
        <v>N/I</v>
      </c>
    </row>
    <row r="504">
      <c r="A504" s="11" t="s">
        <v>934</v>
      </c>
      <c r="B504" s="11" t="s">
        <v>1358</v>
      </c>
      <c r="C504" s="12" t="s">
        <v>55</v>
      </c>
      <c r="D504" s="34" t="s">
        <v>1359</v>
      </c>
      <c r="E504" s="12" t="s">
        <v>942</v>
      </c>
      <c r="F504" s="10" t="s">
        <v>940</v>
      </c>
      <c r="G504" s="12" t="s">
        <v>131</v>
      </c>
      <c r="H504" s="10" t="s">
        <v>132</v>
      </c>
      <c r="I504" s="10" t="s">
        <v>354</v>
      </c>
      <c r="J504" s="12" t="s">
        <v>355</v>
      </c>
      <c r="K504" s="10" t="s">
        <v>941</v>
      </c>
      <c r="L504" s="16" t="s">
        <v>45</v>
      </c>
      <c r="M504" s="10" t="s">
        <v>49</v>
      </c>
      <c r="N504" s="16" t="s">
        <v>45</v>
      </c>
      <c r="O504" s="10" t="s">
        <v>320</v>
      </c>
      <c r="P504" s="9" t="str">
        <f t="shared" si="19"/>
        <v>N/I</v>
      </c>
      <c r="Q504" s="9" t="str">
        <f t="shared" si="20"/>
        <v>N/I</v>
      </c>
      <c r="R504" s="9" t="str">
        <f t="shared" si="21"/>
        <v>N/I</v>
      </c>
    </row>
    <row r="505">
      <c r="A505" s="11" t="s">
        <v>934</v>
      </c>
      <c r="B505" s="11" t="s">
        <v>1362</v>
      </c>
      <c r="C505" s="12" t="s">
        <v>55</v>
      </c>
      <c r="D505" s="34" t="s">
        <v>1363</v>
      </c>
      <c r="E505" s="12" t="s">
        <v>942</v>
      </c>
      <c r="F505" s="10" t="s">
        <v>940</v>
      </c>
      <c r="G505" s="12" t="s">
        <v>131</v>
      </c>
      <c r="H505" s="10" t="s">
        <v>132</v>
      </c>
      <c r="I505" s="10" t="s">
        <v>354</v>
      </c>
      <c r="J505" s="12" t="s">
        <v>355</v>
      </c>
      <c r="K505" s="10" t="s">
        <v>941</v>
      </c>
      <c r="L505" s="16" t="s">
        <v>45</v>
      </c>
      <c r="M505" s="10" t="s">
        <v>49</v>
      </c>
      <c r="N505" s="16" t="s">
        <v>45</v>
      </c>
      <c r="O505" s="10" t="s">
        <v>320</v>
      </c>
      <c r="P505" s="9" t="str">
        <f t="shared" si="19"/>
        <v>N/I</v>
      </c>
      <c r="Q505" s="9" t="str">
        <f t="shared" si="20"/>
        <v>N/I</v>
      </c>
      <c r="R505" s="9" t="str">
        <f t="shared" si="21"/>
        <v>N/I</v>
      </c>
    </row>
    <row r="506">
      <c r="A506" s="11" t="s">
        <v>934</v>
      </c>
      <c r="B506" s="32" t="s">
        <v>1365</v>
      </c>
      <c r="C506" s="12" t="s">
        <v>55</v>
      </c>
      <c r="D506" s="34" t="s">
        <v>1366</v>
      </c>
      <c r="E506" s="12" t="s">
        <v>942</v>
      </c>
      <c r="F506" s="10" t="s">
        <v>940</v>
      </c>
      <c r="G506" s="12" t="s">
        <v>1367</v>
      </c>
      <c r="H506" s="10" t="s">
        <v>216</v>
      </c>
      <c r="I506" s="10" t="s">
        <v>354</v>
      </c>
      <c r="J506" s="12" t="s">
        <v>355</v>
      </c>
      <c r="K506" s="10" t="s">
        <v>941</v>
      </c>
      <c r="L506" s="16" t="s">
        <v>45</v>
      </c>
      <c r="M506" s="10" t="s">
        <v>49</v>
      </c>
      <c r="N506" s="16" t="s">
        <v>45</v>
      </c>
      <c r="O506" s="10" t="s">
        <v>320</v>
      </c>
      <c r="P506" s="9" t="str">
        <f t="shared" si="19"/>
        <v>N/I</v>
      </c>
      <c r="Q506" s="9" t="str">
        <f t="shared" si="20"/>
        <v>N/I</v>
      </c>
      <c r="R506" s="9" t="str">
        <f t="shared" si="21"/>
        <v>N/I</v>
      </c>
    </row>
    <row r="507">
      <c r="A507" s="11" t="s">
        <v>934</v>
      </c>
      <c r="B507" s="11" t="s">
        <v>1370</v>
      </c>
      <c r="C507" s="12" t="s">
        <v>55</v>
      </c>
      <c r="D507" s="34" t="s">
        <v>1371</v>
      </c>
      <c r="E507" s="12" t="s">
        <v>942</v>
      </c>
      <c r="F507" s="10" t="s">
        <v>940</v>
      </c>
      <c r="G507" s="12" t="s">
        <v>463</v>
      </c>
      <c r="H507" s="10" t="s">
        <v>222</v>
      </c>
      <c r="I507" s="10" t="s">
        <v>354</v>
      </c>
      <c r="J507" s="12" t="s">
        <v>355</v>
      </c>
      <c r="K507" s="10" t="s">
        <v>941</v>
      </c>
      <c r="L507" s="16" t="s">
        <v>45</v>
      </c>
      <c r="M507" s="10" t="s">
        <v>49</v>
      </c>
      <c r="N507" s="16" t="s">
        <v>45</v>
      </c>
      <c r="O507" s="10" t="s">
        <v>320</v>
      </c>
      <c r="P507" s="9" t="str">
        <f t="shared" si="19"/>
        <v>N/I</v>
      </c>
      <c r="Q507" s="9" t="str">
        <f t="shared" si="20"/>
        <v>N/I</v>
      </c>
      <c r="R507" s="9" t="str">
        <f t="shared" si="21"/>
        <v>N/I</v>
      </c>
    </row>
    <row r="508">
      <c r="A508" s="11" t="s">
        <v>934</v>
      </c>
      <c r="B508" s="11" t="s">
        <v>518</v>
      </c>
      <c r="C508" s="12" t="s">
        <v>55</v>
      </c>
      <c r="D508" s="34" t="s">
        <v>1372</v>
      </c>
      <c r="E508" s="12" t="s">
        <v>942</v>
      </c>
      <c r="F508" s="10" t="s">
        <v>940</v>
      </c>
      <c r="G508" s="12" t="s">
        <v>1373</v>
      </c>
      <c r="H508" s="10" t="s">
        <v>521</v>
      </c>
      <c r="I508" s="10" t="s">
        <v>354</v>
      </c>
      <c r="J508" s="12" t="s">
        <v>355</v>
      </c>
      <c r="K508" s="10" t="s">
        <v>941</v>
      </c>
      <c r="L508" s="16" t="s">
        <v>45</v>
      </c>
      <c r="M508" s="10" t="s">
        <v>49</v>
      </c>
      <c r="N508" s="16" t="s">
        <v>45</v>
      </c>
      <c r="O508" s="10" t="s">
        <v>320</v>
      </c>
      <c r="P508" s="9" t="str">
        <f t="shared" si="19"/>
        <v>N/I</v>
      </c>
      <c r="Q508" s="9" t="str">
        <f t="shared" si="20"/>
        <v>N/I</v>
      </c>
      <c r="R508" s="9" t="str">
        <f t="shared" si="21"/>
        <v>N/I</v>
      </c>
    </row>
    <row r="509">
      <c r="A509" s="11" t="s">
        <v>934</v>
      </c>
      <c r="B509" s="11" t="s">
        <v>1374</v>
      </c>
      <c r="C509" s="12" t="s">
        <v>55</v>
      </c>
      <c r="D509" s="34" t="s">
        <v>1375</v>
      </c>
      <c r="E509" s="12" t="s">
        <v>942</v>
      </c>
      <c r="F509" s="10" t="s">
        <v>940</v>
      </c>
      <c r="G509" s="12" t="s">
        <v>894</v>
      </c>
      <c r="H509" s="10" t="s">
        <v>895</v>
      </c>
      <c r="I509" s="10" t="s">
        <v>354</v>
      </c>
      <c r="J509" s="12" t="s">
        <v>355</v>
      </c>
      <c r="K509" s="10" t="s">
        <v>941</v>
      </c>
      <c r="L509" s="16" t="s">
        <v>45</v>
      </c>
      <c r="M509" s="10" t="s">
        <v>49</v>
      </c>
      <c r="N509" s="16" t="s">
        <v>45</v>
      </c>
      <c r="O509" s="10" t="s">
        <v>320</v>
      </c>
      <c r="P509" s="9" t="str">
        <f t="shared" si="19"/>
        <v>N/I</v>
      </c>
      <c r="Q509" s="9" t="str">
        <f t="shared" si="20"/>
        <v>N/I</v>
      </c>
      <c r="R509" s="9" t="str">
        <f t="shared" si="21"/>
        <v>N/I</v>
      </c>
    </row>
    <row r="510">
      <c r="A510" s="11" t="s">
        <v>934</v>
      </c>
      <c r="B510" s="11" t="s">
        <v>1378</v>
      </c>
      <c r="C510" s="12" t="s">
        <v>55</v>
      </c>
      <c r="D510" s="34" t="s">
        <v>1379</v>
      </c>
      <c r="E510" s="12" t="s">
        <v>942</v>
      </c>
      <c r="F510" s="10" t="s">
        <v>940</v>
      </c>
      <c r="G510" s="12" t="s">
        <v>894</v>
      </c>
      <c r="H510" s="10" t="s">
        <v>895</v>
      </c>
      <c r="I510" s="10" t="s">
        <v>354</v>
      </c>
      <c r="J510" s="12" t="s">
        <v>355</v>
      </c>
      <c r="K510" s="10" t="s">
        <v>941</v>
      </c>
      <c r="L510" s="16" t="s">
        <v>45</v>
      </c>
      <c r="M510" s="10" t="s">
        <v>49</v>
      </c>
      <c r="N510" s="16" t="s">
        <v>45</v>
      </c>
      <c r="O510" s="10" t="s">
        <v>320</v>
      </c>
      <c r="P510" s="9" t="str">
        <f t="shared" si="19"/>
        <v>N/I</v>
      </c>
      <c r="Q510" s="9" t="str">
        <f t="shared" si="20"/>
        <v>N/I</v>
      </c>
      <c r="R510" s="9" t="str">
        <f t="shared" si="21"/>
        <v>N/I</v>
      </c>
    </row>
    <row r="511">
      <c r="A511" s="11" t="s">
        <v>934</v>
      </c>
      <c r="B511" s="11" t="s">
        <v>1380</v>
      </c>
      <c r="C511" s="12" t="s">
        <v>55</v>
      </c>
      <c r="D511" s="34" t="s">
        <v>1381</v>
      </c>
      <c r="E511" s="12" t="s">
        <v>942</v>
      </c>
      <c r="F511" s="10" t="s">
        <v>940</v>
      </c>
      <c r="G511" s="12" t="s">
        <v>894</v>
      </c>
      <c r="H511" s="10" t="s">
        <v>895</v>
      </c>
      <c r="I511" s="10" t="s">
        <v>354</v>
      </c>
      <c r="J511" s="12" t="s">
        <v>355</v>
      </c>
      <c r="K511" s="10" t="s">
        <v>941</v>
      </c>
      <c r="L511" s="16" t="s">
        <v>45</v>
      </c>
      <c r="M511" s="10" t="s">
        <v>49</v>
      </c>
      <c r="N511" s="16" t="s">
        <v>45</v>
      </c>
      <c r="O511" s="10" t="s">
        <v>320</v>
      </c>
      <c r="P511" s="9" t="str">
        <f>IF(AJ510&lt;0,"Inativo",IF(AJ510&gt;0,"Ativo","N/I"))</f>
        <v>N/I</v>
      </c>
      <c r="Q511" s="9" t="str">
        <f>IF(AO510&lt;0,"Inativo",IF(AO510&gt;0,"Ativo","N/I"))</f>
        <v>N/I</v>
      </c>
      <c r="R511" s="9" t="str">
        <f>IF(AT510&lt;0,"Inativo",IF(AT510&gt;0,"Ativo","N/I"))</f>
        <v>N/I</v>
      </c>
    </row>
    <row r="512">
      <c r="A512" s="11" t="s">
        <v>934</v>
      </c>
      <c r="B512" s="11" t="s">
        <v>1382</v>
      </c>
      <c r="C512" s="12" t="s">
        <v>55</v>
      </c>
      <c r="D512" s="34" t="s">
        <v>1383</v>
      </c>
      <c r="E512" s="12" t="s">
        <v>942</v>
      </c>
      <c r="F512" s="10" t="s">
        <v>940</v>
      </c>
      <c r="G512" s="12" t="s">
        <v>894</v>
      </c>
      <c r="H512" s="10" t="s">
        <v>895</v>
      </c>
      <c r="I512" s="10" t="s">
        <v>354</v>
      </c>
      <c r="J512" s="12" t="s">
        <v>355</v>
      </c>
      <c r="K512" s="10" t="s">
        <v>941</v>
      </c>
      <c r="L512" s="16" t="s">
        <v>45</v>
      </c>
      <c r="M512" s="10" t="s">
        <v>49</v>
      </c>
      <c r="N512" s="16" t="s">
        <v>45</v>
      </c>
      <c r="O512" s="10" t="s">
        <v>320</v>
      </c>
      <c r="P512" s="9" t="str">
        <f t="shared" ref="P512:P515" si="22">IF(AJ512&lt;0,"Inativo",IF(AJ512&gt;0,"Ativo","N/I"))</f>
        <v>N/I</v>
      </c>
      <c r="Q512" s="9" t="str">
        <f t="shared" ref="Q512:Q515" si="23">IF(AO512&lt;0,"Inativo",IF(AO512&gt;0,"Ativo","N/I"))</f>
        <v>N/I</v>
      </c>
      <c r="R512" s="9" t="str">
        <f t="shared" ref="R512:R515" si="24">IF(AT512&lt;0,"Inativo",IF(AT512&gt;0,"Ativo","N/I"))</f>
        <v>N/I</v>
      </c>
    </row>
    <row r="513">
      <c r="A513" s="11" t="s">
        <v>934</v>
      </c>
      <c r="B513" s="11" t="s">
        <v>1385</v>
      </c>
      <c r="C513" s="12" t="s">
        <v>55</v>
      </c>
      <c r="D513" s="34" t="s">
        <v>1386</v>
      </c>
      <c r="E513" s="12" t="s">
        <v>942</v>
      </c>
      <c r="F513" s="10" t="s">
        <v>940</v>
      </c>
      <c r="G513" s="12" t="s">
        <v>1387</v>
      </c>
      <c r="H513" s="10" t="s">
        <v>208</v>
      </c>
      <c r="I513" s="10" t="s">
        <v>354</v>
      </c>
      <c r="J513" s="12" t="s">
        <v>355</v>
      </c>
      <c r="K513" s="10" t="s">
        <v>941</v>
      </c>
      <c r="L513" s="16" t="s">
        <v>45</v>
      </c>
      <c r="M513" s="10" t="s">
        <v>49</v>
      </c>
      <c r="N513" s="16" t="s">
        <v>45</v>
      </c>
      <c r="O513" s="10" t="s">
        <v>320</v>
      </c>
      <c r="P513" s="9" t="str">
        <f t="shared" si="22"/>
        <v>N/I</v>
      </c>
      <c r="Q513" s="9" t="str">
        <f t="shared" si="23"/>
        <v>N/I</v>
      </c>
      <c r="R513" s="9" t="str">
        <f t="shared" si="24"/>
        <v>N/I</v>
      </c>
    </row>
    <row r="514">
      <c r="A514" s="11" t="s">
        <v>934</v>
      </c>
      <c r="B514" s="11" t="s">
        <v>1389</v>
      </c>
      <c r="C514" s="12" t="s">
        <v>55</v>
      </c>
      <c r="D514" s="34" t="s">
        <v>1390</v>
      </c>
      <c r="E514" s="12" t="s">
        <v>942</v>
      </c>
      <c r="F514" s="10" t="s">
        <v>940</v>
      </c>
      <c r="G514" s="12" t="s">
        <v>1391</v>
      </c>
      <c r="H514" s="10" t="s">
        <v>521</v>
      </c>
      <c r="I514" s="10" t="s">
        <v>354</v>
      </c>
      <c r="J514" s="12" t="s">
        <v>355</v>
      </c>
      <c r="K514" s="10" t="s">
        <v>941</v>
      </c>
      <c r="L514" s="16" t="s">
        <v>45</v>
      </c>
      <c r="M514" s="10" t="s">
        <v>49</v>
      </c>
      <c r="N514" s="16" t="s">
        <v>45</v>
      </c>
      <c r="O514" s="10" t="s">
        <v>320</v>
      </c>
      <c r="P514" s="9" t="str">
        <f t="shared" si="22"/>
        <v>N/I</v>
      </c>
      <c r="Q514" s="9" t="str">
        <f t="shared" si="23"/>
        <v>N/I</v>
      </c>
      <c r="R514" s="9" t="str">
        <f t="shared" si="24"/>
        <v>N/I</v>
      </c>
    </row>
    <row r="515">
      <c r="A515" s="11" t="s">
        <v>934</v>
      </c>
      <c r="B515" s="11" t="s">
        <v>1393</v>
      </c>
      <c r="C515" s="12" t="s">
        <v>55</v>
      </c>
      <c r="D515" s="34" t="s">
        <v>1394</v>
      </c>
      <c r="E515" s="12" t="s">
        <v>942</v>
      </c>
      <c r="F515" s="10" t="s">
        <v>940</v>
      </c>
      <c r="G515" s="12" t="s">
        <v>213</v>
      </c>
      <c r="H515" s="10" t="s">
        <v>208</v>
      </c>
      <c r="I515" s="10" t="s">
        <v>354</v>
      </c>
      <c r="J515" s="12" t="s">
        <v>355</v>
      </c>
      <c r="K515" s="10" t="s">
        <v>941</v>
      </c>
      <c r="L515" s="16" t="s">
        <v>45</v>
      </c>
      <c r="M515" s="10" t="s">
        <v>49</v>
      </c>
      <c r="N515" s="16" t="s">
        <v>45</v>
      </c>
      <c r="O515" s="10" t="s">
        <v>320</v>
      </c>
      <c r="P515" s="9" t="str">
        <f t="shared" si="22"/>
        <v>N/I</v>
      </c>
      <c r="Q515" s="9" t="str">
        <f t="shared" si="23"/>
        <v>N/I</v>
      </c>
      <c r="R515" s="9" t="str">
        <f t="shared" si="24"/>
        <v>N/I</v>
      </c>
    </row>
    <row r="516">
      <c r="A516" s="11" t="s">
        <v>934</v>
      </c>
      <c r="B516" s="11" t="s">
        <v>1397</v>
      </c>
      <c r="C516" s="12" t="s">
        <v>55</v>
      </c>
      <c r="D516" s="34" t="s">
        <v>1398</v>
      </c>
      <c r="E516" s="12" t="s">
        <v>942</v>
      </c>
      <c r="F516" s="10" t="s">
        <v>940</v>
      </c>
      <c r="G516" s="12" t="s">
        <v>1399</v>
      </c>
      <c r="H516" s="10" t="s">
        <v>40</v>
      </c>
      <c r="I516" s="10" t="s">
        <v>354</v>
      </c>
      <c r="J516" s="12" t="s">
        <v>355</v>
      </c>
      <c r="K516" s="10" t="s">
        <v>941</v>
      </c>
      <c r="L516" s="16" t="s">
        <v>45</v>
      </c>
      <c r="M516" s="10" t="s">
        <v>49</v>
      </c>
      <c r="N516" s="16" t="s">
        <v>45</v>
      </c>
      <c r="O516" s="10" t="s">
        <v>320</v>
      </c>
      <c r="P516" s="9" t="str">
        <f>IF(AJ510&lt;0,"Inativo",IF(AJ510&gt;0,"Ativo","N/I"))</f>
        <v>N/I</v>
      </c>
      <c r="Q516" s="9" t="str">
        <f>IF(AO510&lt;0,"Inativo",IF(AO510&gt;0,"Ativo","N/I"))</f>
        <v>N/I</v>
      </c>
      <c r="R516" s="9" t="str">
        <f>IF(AT510&lt;0,"Inativo",IF(AT510&gt;0,"Ativo","N/I"))</f>
        <v>N/I</v>
      </c>
    </row>
    <row r="517">
      <c r="A517" s="11" t="s">
        <v>934</v>
      </c>
      <c r="B517" s="11" t="s">
        <v>1397</v>
      </c>
      <c r="C517" s="12" t="s">
        <v>55</v>
      </c>
      <c r="D517" s="34" t="s">
        <v>1402</v>
      </c>
      <c r="E517" s="12" t="s">
        <v>942</v>
      </c>
      <c r="F517" s="10" t="s">
        <v>940</v>
      </c>
      <c r="G517" s="12" t="s">
        <v>1399</v>
      </c>
      <c r="H517" s="10" t="s">
        <v>40</v>
      </c>
      <c r="I517" s="10" t="s">
        <v>354</v>
      </c>
      <c r="J517" s="12" t="s">
        <v>355</v>
      </c>
      <c r="K517" s="10" t="s">
        <v>941</v>
      </c>
      <c r="L517" s="16" t="s">
        <v>45</v>
      </c>
      <c r="M517" s="10" t="s">
        <v>49</v>
      </c>
      <c r="N517" s="16" t="s">
        <v>45</v>
      </c>
      <c r="O517" s="10" t="s">
        <v>320</v>
      </c>
      <c r="P517" s="9" t="str">
        <f t="shared" ref="P517:P530" si="25">IF(AJ517&lt;0,"Inativo",IF(AJ517&gt;0,"Ativo","N/I"))</f>
        <v>N/I</v>
      </c>
      <c r="Q517" s="9" t="str">
        <f t="shared" ref="Q517:Q530" si="26">IF(AO517&lt;0,"Inativo",IF(AO517&gt;0,"Ativo","N/I"))</f>
        <v>N/I</v>
      </c>
      <c r="R517" s="9" t="str">
        <f t="shared" ref="R517:R530" si="27">IF(AT517&lt;0,"Inativo",IF(AT517&gt;0,"Ativo","N/I"))</f>
        <v>N/I</v>
      </c>
    </row>
    <row r="518">
      <c r="A518" s="11" t="s">
        <v>934</v>
      </c>
      <c r="B518" s="11" t="s">
        <v>1403</v>
      </c>
      <c r="C518" s="12" t="s">
        <v>55</v>
      </c>
      <c r="D518" s="34" t="s">
        <v>1404</v>
      </c>
      <c r="E518" s="12" t="s">
        <v>942</v>
      </c>
      <c r="F518" s="10" t="s">
        <v>940</v>
      </c>
      <c r="G518" s="12" t="s">
        <v>1405</v>
      </c>
      <c r="H518" s="10" t="s">
        <v>521</v>
      </c>
      <c r="I518" s="10" t="s">
        <v>354</v>
      </c>
      <c r="J518" s="12" t="s">
        <v>355</v>
      </c>
      <c r="K518" s="10" t="s">
        <v>941</v>
      </c>
      <c r="L518" s="16" t="s">
        <v>45</v>
      </c>
      <c r="M518" s="10" t="s">
        <v>49</v>
      </c>
      <c r="N518" s="16" t="s">
        <v>45</v>
      </c>
      <c r="O518" s="10" t="s">
        <v>320</v>
      </c>
      <c r="P518" s="9" t="str">
        <f t="shared" si="25"/>
        <v>N/I</v>
      </c>
      <c r="Q518" s="9" t="str">
        <f t="shared" si="26"/>
        <v>N/I</v>
      </c>
      <c r="R518" s="9" t="str">
        <f t="shared" si="27"/>
        <v>N/I</v>
      </c>
    </row>
    <row r="519">
      <c r="A519" s="11" t="s">
        <v>934</v>
      </c>
      <c r="B519" s="11" t="s">
        <v>1408</v>
      </c>
      <c r="C519" s="12" t="s">
        <v>55</v>
      </c>
      <c r="D519" s="19" t="s">
        <v>1409</v>
      </c>
      <c r="E519" s="12" t="s">
        <v>942</v>
      </c>
      <c r="F519" s="10" t="s">
        <v>992</v>
      </c>
      <c r="G519" s="12" t="s">
        <v>643</v>
      </c>
      <c r="H519" s="10" t="s">
        <v>583</v>
      </c>
      <c r="I519" s="10" t="s">
        <v>354</v>
      </c>
      <c r="J519" s="12" t="s">
        <v>355</v>
      </c>
      <c r="K519" s="10" t="s">
        <v>941</v>
      </c>
      <c r="L519" s="16" t="s">
        <v>45</v>
      </c>
      <c r="M519" s="10" t="s">
        <v>49</v>
      </c>
      <c r="N519" s="16" t="s">
        <v>45</v>
      </c>
      <c r="O519" s="10" t="s">
        <v>320</v>
      </c>
      <c r="P519" s="9" t="str">
        <f t="shared" si="25"/>
        <v>N/I</v>
      </c>
      <c r="Q519" s="9" t="str">
        <f t="shared" si="26"/>
        <v>N/I</v>
      </c>
      <c r="R519" s="9" t="str">
        <f t="shared" si="27"/>
        <v>N/I</v>
      </c>
    </row>
    <row r="520">
      <c r="A520" s="11" t="s">
        <v>934</v>
      </c>
      <c r="B520" s="11" t="s">
        <v>1412</v>
      </c>
      <c r="C520" s="12" t="s">
        <v>55</v>
      </c>
      <c r="D520" s="19" t="s">
        <v>1413</v>
      </c>
      <c r="E520" s="12" t="s">
        <v>942</v>
      </c>
      <c r="F520" s="10" t="s">
        <v>992</v>
      </c>
      <c r="G520" s="12" t="s">
        <v>643</v>
      </c>
      <c r="H520" s="10" t="s">
        <v>583</v>
      </c>
      <c r="I520" s="10" t="s">
        <v>354</v>
      </c>
      <c r="J520" s="12" t="s">
        <v>355</v>
      </c>
      <c r="K520" s="10" t="s">
        <v>941</v>
      </c>
      <c r="L520" s="16" t="s">
        <v>45</v>
      </c>
      <c r="M520" s="10" t="s">
        <v>49</v>
      </c>
      <c r="N520" s="16" t="s">
        <v>45</v>
      </c>
      <c r="O520" s="10" t="s">
        <v>320</v>
      </c>
      <c r="P520" s="9" t="str">
        <f t="shared" si="25"/>
        <v>N/I</v>
      </c>
      <c r="Q520" s="9" t="str">
        <f t="shared" si="26"/>
        <v>N/I</v>
      </c>
      <c r="R520" s="9" t="str">
        <f t="shared" si="27"/>
        <v>N/I</v>
      </c>
    </row>
    <row r="521">
      <c r="A521" s="11" t="s">
        <v>934</v>
      </c>
      <c r="B521" s="32" t="s">
        <v>1415</v>
      </c>
      <c r="C521" s="12" t="s">
        <v>55</v>
      </c>
      <c r="D521" s="34" t="s">
        <v>1416</v>
      </c>
      <c r="E521" s="12" t="s">
        <v>942</v>
      </c>
      <c r="F521" s="10" t="s">
        <v>940</v>
      </c>
      <c r="G521" s="12" t="s">
        <v>643</v>
      </c>
      <c r="H521" s="10" t="s">
        <v>583</v>
      </c>
      <c r="I521" s="10" t="s">
        <v>354</v>
      </c>
      <c r="J521" s="12" t="s">
        <v>355</v>
      </c>
      <c r="K521" s="10" t="s">
        <v>941</v>
      </c>
      <c r="L521" s="16" t="s">
        <v>45</v>
      </c>
      <c r="M521" s="10" t="s">
        <v>49</v>
      </c>
      <c r="N521" s="16" t="s">
        <v>45</v>
      </c>
      <c r="O521" s="10" t="s">
        <v>320</v>
      </c>
      <c r="P521" s="9" t="str">
        <f t="shared" si="25"/>
        <v>N/I</v>
      </c>
      <c r="Q521" s="9" t="str">
        <f t="shared" si="26"/>
        <v>N/I</v>
      </c>
      <c r="R521" s="9" t="str">
        <f t="shared" si="27"/>
        <v>N/I</v>
      </c>
    </row>
    <row r="522">
      <c r="A522" s="11" t="s">
        <v>934</v>
      </c>
      <c r="B522" s="11" t="s">
        <v>1419</v>
      </c>
      <c r="C522" s="12" t="s">
        <v>55</v>
      </c>
      <c r="D522" s="34" t="s">
        <v>1420</v>
      </c>
      <c r="E522" s="12" t="s">
        <v>942</v>
      </c>
      <c r="F522" s="10" t="s">
        <v>940</v>
      </c>
      <c r="G522" s="12" t="s">
        <v>1421</v>
      </c>
      <c r="H522" s="10" t="s">
        <v>652</v>
      </c>
      <c r="I522" s="10" t="s">
        <v>354</v>
      </c>
      <c r="J522" s="12" t="s">
        <v>355</v>
      </c>
      <c r="K522" s="10" t="s">
        <v>941</v>
      </c>
      <c r="L522" s="16" t="s">
        <v>45</v>
      </c>
      <c r="M522" s="10" t="s">
        <v>49</v>
      </c>
      <c r="N522" s="16" t="s">
        <v>45</v>
      </c>
      <c r="O522" s="10" t="s">
        <v>320</v>
      </c>
      <c r="P522" s="9" t="str">
        <f t="shared" si="25"/>
        <v>N/I</v>
      </c>
      <c r="Q522" s="9" t="str">
        <f t="shared" si="26"/>
        <v>N/I</v>
      </c>
      <c r="R522" s="9" t="str">
        <f t="shared" si="27"/>
        <v>N/I</v>
      </c>
    </row>
    <row r="523">
      <c r="A523" s="11" t="s">
        <v>934</v>
      </c>
      <c r="B523" s="32" t="s">
        <v>1424</v>
      </c>
      <c r="C523" s="12" t="s">
        <v>55</v>
      </c>
      <c r="D523" s="34" t="s">
        <v>1425</v>
      </c>
      <c r="E523" s="12" t="s">
        <v>942</v>
      </c>
      <c r="F523" s="10" t="s">
        <v>940</v>
      </c>
      <c r="G523" s="12" t="s">
        <v>1426</v>
      </c>
      <c r="H523" s="10" t="s">
        <v>889</v>
      </c>
      <c r="I523" s="10" t="s">
        <v>354</v>
      </c>
      <c r="J523" s="12" t="s">
        <v>355</v>
      </c>
      <c r="K523" s="10" t="s">
        <v>941</v>
      </c>
      <c r="L523" s="16" t="s">
        <v>45</v>
      </c>
      <c r="M523" s="10" t="s">
        <v>49</v>
      </c>
      <c r="N523" s="16" t="s">
        <v>45</v>
      </c>
      <c r="O523" s="10" t="s">
        <v>320</v>
      </c>
      <c r="P523" s="9" t="str">
        <f t="shared" si="25"/>
        <v>N/I</v>
      </c>
      <c r="Q523" s="9" t="str">
        <f t="shared" si="26"/>
        <v>N/I</v>
      </c>
      <c r="R523" s="9" t="str">
        <f t="shared" si="27"/>
        <v>N/I</v>
      </c>
    </row>
    <row r="524">
      <c r="A524" s="11" t="s">
        <v>934</v>
      </c>
      <c r="B524" s="11" t="s">
        <v>1429</v>
      </c>
      <c r="C524" s="12" t="s">
        <v>55</v>
      </c>
      <c r="D524" s="34" t="s">
        <v>1430</v>
      </c>
      <c r="E524" s="12" t="s">
        <v>942</v>
      </c>
      <c r="F524" s="10" t="s">
        <v>940</v>
      </c>
      <c r="G524" s="12" t="s">
        <v>1431</v>
      </c>
      <c r="H524" s="10" t="s">
        <v>521</v>
      </c>
      <c r="I524" s="10" t="s">
        <v>354</v>
      </c>
      <c r="J524" s="12" t="s">
        <v>355</v>
      </c>
      <c r="K524" s="10" t="s">
        <v>941</v>
      </c>
      <c r="L524" s="16" t="s">
        <v>45</v>
      </c>
      <c r="M524" s="10" t="s">
        <v>49</v>
      </c>
      <c r="N524" s="16" t="s">
        <v>45</v>
      </c>
      <c r="O524" s="10" t="s">
        <v>320</v>
      </c>
      <c r="P524" s="9" t="str">
        <f t="shared" si="25"/>
        <v>N/I</v>
      </c>
      <c r="Q524" s="9" t="str">
        <f t="shared" si="26"/>
        <v>N/I</v>
      </c>
      <c r="R524" s="9" t="str">
        <f t="shared" si="27"/>
        <v>N/I</v>
      </c>
    </row>
    <row r="525">
      <c r="A525" s="11" t="s">
        <v>934</v>
      </c>
      <c r="B525" s="11" t="s">
        <v>1434</v>
      </c>
      <c r="C525" s="12" t="s">
        <v>55</v>
      </c>
      <c r="D525" s="34" t="s">
        <v>1435</v>
      </c>
      <c r="E525" s="12" t="s">
        <v>942</v>
      </c>
      <c r="F525" s="10" t="s">
        <v>940</v>
      </c>
      <c r="G525" s="12" t="s">
        <v>1436</v>
      </c>
      <c r="H525" s="10" t="s">
        <v>132</v>
      </c>
      <c r="I525" s="10" t="s">
        <v>354</v>
      </c>
      <c r="J525" s="12" t="s">
        <v>355</v>
      </c>
      <c r="K525" s="10" t="s">
        <v>941</v>
      </c>
      <c r="L525" s="16" t="s">
        <v>45</v>
      </c>
      <c r="M525" s="10" t="s">
        <v>49</v>
      </c>
      <c r="N525" s="16" t="s">
        <v>45</v>
      </c>
      <c r="O525" s="10" t="s">
        <v>320</v>
      </c>
      <c r="P525" s="9" t="str">
        <f t="shared" si="25"/>
        <v>N/I</v>
      </c>
      <c r="Q525" s="9" t="str">
        <f t="shared" si="26"/>
        <v>N/I</v>
      </c>
      <c r="R525" s="9" t="str">
        <f t="shared" si="27"/>
        <v>N/I</v>
      </c>
    </row>
    <row r="526">
      <c r="A526" s="11" t="s">
        <v>934</v>
      </c>
      <c r="B526" s="11" t="s">
        <v>1439</v>
      </c>
      <c r="C526" s="12" t="s">
        <v>55</v>
      </c>
      <c r="D526" s="34" t="s">
        <v>1440</v>
      </c>
      <c r="E526" s="12" t="s">
        <v>942</v>
      </c>
      <c r="F526" s="10" t="s">
        <v>940</v>
      </c>
      <c r="G526" s="12" t="s">
        <v>1441</v>
      </c>
      <c r="H526" s="10" t="s">
        <v>1097</v>
      </c>
      <c r="I526" s="10" t="s">
        <v>354</v>
      </c>
      <c r="J526" s="12" t="s">
        <v>355</v>
      </c>
      <c r="K526" s="10" t="s">
        <v>941</v>
      </c>
      <c r="L526" s="16" t="s">
        <v>45</v>
      </c>
      <c r="M526" s="10" t="s">
        <v>49</v>
      </c>
      <c r="N526" s="16" t="s">
        <v>45</v>
      </c>
      <c r="O526" s="10" t="s">
        <v>320</v>
      </c>
      <c r="P526" s="9" t="str">
        <f t="shared" si="25"/>
        <v>N/I</v>
      </c>
      <c r="Q526" s="9" t="str">
        <f t="shared" si="26"/>
        <v>N/I</v>
      </c>
      <c r="R526" s="9" t="str">
        <f t="shared" si="27"/>
        <v>N/I</v>
      </c>
    </row>
    <row r="527">
      <c r="A527" s="11" t="s">
        <v>934</v>
      </c>
      <c r="B527" s="11" t="s">
        <v>1444</v>
      </c>
      <c r="C527" s="12" t="s">
        <v>55</v>
      </c>
      <c r="D527" s="34" t="s">
        <v>1445</v>
      </c>
      <c r="E527" s="12" t="s">
        <v>942</v>
      </c>
      <c r="F527" s="10" t="s">
        <v>940</v>
      </c>
      <c r="G527" s="12" t="s">
        <v>651</v>
      </c>
      <c r="H527" s="10" t="s">
        <v>652</v>
      </c>
      <c r="I527" s="10" t="s">
        <v>354</v>
      </c>
      <c r="J527" s="12" t="s">
        <v>355</v>
      </c>
      <c r="K527" s="10" t="s">
        <v>941</v>
      </c>
      <c r="L527" s="16" t="s">
        <v>45</v>
      </c>
      <c r="M527" s="10" t="s">
        <v>49</v>
      </c>
      <c r="N527" s="16" t="s">
        <v>45</v>
      </c>
      <c r="O527" s="10" t="s">
        <v>320</v>
      </c>
      <c r="P527" s="9" t="str">
        <f t="shared" si="25"/>
        <v>N/I</v>
      </c>
      <c r="Q527" s="9" t="str">
        <f t="shared" si="26"/>
        <v>N/I</v>
      </c>
      <c r="R527" s="9" t="str">
        <f t="shared" si="27"/>
        <v>N/I</v>
      </c>
    </row>
    <row r="528">
      <c r="A528" s="11" t="s">
        <v>934</v>
      </c>
      <c r="B528" s="11" t="s">
        <v>1448</v>
      </c>
      <c r="C528" s="12" t="s">
        <v>55</v>
      </c>
      <c r="D528" s="34" t="s">
        <v>1449</v>
      </c>
      <c r="E528" s="12" t="s">
        <v>942</v>
      </c>
      <c r="F528" s="10" t="s">
        <v>940</v>
      </c>
      <c r="G528" s="12" t="s">
        <v>1450</v>
      </c>
      <c r="H528" s="10" t="s">
        <v>89</v>
      </c>
      <c r="I528" s="10" t="s">
        <v>354</v>
      </c>
      <c r="J528" s="12" t="s">
        <v>355</v>
      </c>
      <c r="K528" s="10" t="s">
        <v>941</v>
      </c>
      <c r="L528" s="16" t="s">
        <v>45</v>
      </c>
      <c r="M528" s="10" t="s">
        <v>49</v>
      </c>
      <c r="N528" s="16" t="s">
        <v>45</v>
      </c>
      <c r="O528" s="10" t="s">
        <v>320</v>
      </c>
      <c r="P528" s="9" t="str">
        <f t="shared" si="25"/>
        <v>N/I</v>
      </c>
      <c r="Q528" s="9" t="str">
        <f t="shared" si="26"/>
        <v>N/I</v>
      </c>
      <c r="R528" s="9" t="str">
        <f t="shared" si="27"/>
        <v>N/I</v>
      </c>
    </row>
    <row r="529">
      <c r="A529" s="11" t="s">
        <v>934</v>
      </c>
      <c r="B529" s="11" t="s">
        <v>1453</v>
      </c>
      <c r="C529" s="12" t="s">
        <v>55</v>
      </c>
      <c r="D529" s="19" t="s">
        <v>1454</v>
      </c>
      <c r="E529" s="12" t="s">
        <v>942</v>
      </c>
      <c r="F529" s="10" t="s">
        <v>992</v>
      </c>
      <c r="G529" s="12" t="s">
        <v>1455</v>
      </c>
      <c r="H529" s="10" t="s">
        <v>583</v>
      </c>
      <c r="I529" s="10" t="s">
        <v>354</v>
      </c>
      <c r="J529" s="12" t="s">
        <v>355</v>
      </c>
      <c r="K529" s="10" t="s">
        <v>941</v>
      </c>
      <c r="L529" s="16" t="s">
        <v>45</v>
      </c>
      <c r="M529" s="10" t="s">
        <v>49</v>
      </c>
      <c r="N529" s="16" t="s">
        <v>45</v>
      </c>
      <c r="O529" s="10" t="s">
        <v>320</v>
      </c>
      <c r="P529" s="9" t="str">
        <f t="shared" si="25"/>
        <v>N/I</v>
      </c>
      <c r="Q529" s="9" t="str">
        <f t="shared" si="26"/>
        <v>N/I</v>
      </c>
      <c r="R529" s="9" t="str">
        <f t="shared" si="27"/>
        <v>N/I</v>
      </c>
    </row>
    <row r="530">
      <c r="A530" s="11" t="s">
        <v>934</v>
      </c>
      <c r="B530" s="32" t="s">
        <v>1458</v>
      </c>
      <c r="C530" s="12" t="s">
        <v>55</v>
      </c>
      <c r="D530" s="34" t="s">
        <v>1459</v>
      </c>
      <c r="E530" s="12" t="s">
        <v>942</v>
      </c>
      <c r="F530" s="10" t="s">
        <v>940</v>
      </c>
      <c r="G530" s="12" t="s">
        <v>1455</v>
      </c>
      <c r="H530" s="10" t="s">
        <v>583</v>
      </c>
      <c r="I530" s="10" t="s">
        <v>354</v>
      </c>
      <c r="J530" s="12" t="s">
        <v>355</v>
      </c>
      <c r="K530" s="10" t="s">
        <v>941</v>
      </c>
      <c r="L530" s="16" t="s">
        <v>45</v>
      </c>
      <c r="M530" s="10" t="s">
        <v>49</v>
      </c>
      <c r="N530" s="16" t="s">
        <v>45</v>
      </c>
      <c r="O530" s="10" t="s">
        <v>320</v>
      </c>
      <c r="P530" s="9" t="str">
        <f t="shared" si="25"/>
        <v>N/I</v>
      </c>
      <c r="Q530" s="9" t="str">
        <f t="shared" si="26"/>
        <v>N/I</v>
      </c>
      <c r="R530" s="9" t="str">
        <f t="shared" si="27"/>
        <v>N/I</v>
      </c>
    </row>
    <row r="531">
      <c r="A531" s="11" t="s">
        <v>934</v>
      </c>
      <c r="B531" s="11" t="s">
        <v>1462</v>
      </c>
      <c r="C531" s="12" t="s">
        <v>55</v>
      </c>
      <c r="D531" s="34" t="s">
        <v>1463</v>
      </c>
      <c r="E531" s="12" t="s">
        <v>942</v>
      </c>
      <c r="F531" s="10" t="s">
        <v>940</v>
      </c>
      <c r="G531" s="12" t="s">
        <v>1464</v>
      </c>
      <c r="H531" s="10" t="s">
        <v>40</v>
      </c>
      <c r="I531" s="10" t="s">
        <v>354</v>
      </c>
      <c r="J531" s="12" t="s">
        <v>355</v>
      </c>
      <c r="K531" s="10" t="s">
        <v>941</v>
      </c>
      <c r="L531" s="16" t="s">
        <v>45</v>
      </c>
      <c r="M531" s="10" t="s">
        <v>49</v>
      </c>
      <c r="N531" s="16" t="s">
        <v>45</v>
      </c>
      <c r="O531" s="10" t="s">
        <v>320</v>
      </c>
      <c r="P531" s="9" t="str">
        <f>IF(AJ529&lt;0,"Inativo",IF(AJ529&gt;0,"Ativo","N/I"))</f>
        <v>N/I</v>
      </c>
      <c r="Q531" s="9" t="str">
        <f>IF(AO529&lt;0,"Inativo",IF(AO529&gt;0,"Ativo","N/I"))</f>
        <v>N/I</v>
      </c>
      <c r="R531" s="9" t="str">
        <f>IF(AT529&lt;0,"Inativo",IF(AT529&gt;0,"Ativo","N/I"))</f>
        <v>N/I</v>
      </c>
    </row>
    <row r="532">
      <c r="A532" s="11" t="s">
        <v>934</v>
      </c>
      <c r="B532" s="11" t="s">
        <v>1467</v>
      </c>
      <c r="C532" s="12" t="s">
        <v>55</v>
      </c>
      <c r="D532" s="34" t="s">
        <v>1468</v>
      </c>
      <c r="E532" s="12" t="s">
        <v>942</v>
      </c>
      <c r="F532" s="10" t="s">
        <v>940</v>
      </c>
      <c r="G532" s="12" t="s">
        <v>1469</v>
      </c>
      <c r="H532" s="10" t="s">
        <v>208</v>
      </c>
      <c r="I532" s="10" t="s">
        <v>354</v>
      </c>
      <c r="J532" s="12" t="s">
        <v>355</v>
      </c>
      <c r="K532" s="10" t="s">
        <v>941</v>
      </c>
      <c r="L532" s="16" t="s">
        <v>45</v>
      </c>
      <c r="M532" s="10" t="s">
        <v>49</v>
      </c>
      <c r="N532" s="16" t="s">
        <v>45</v>
      </c>
      <c r="O532" s="10" t="s">
        <v>320</v>
      </c>
      <c r="P532" s="9" t="str">
        <f t="shared" ref="P532:P1670" si="28">IF(AJ532&lt;0,"Inativo",IF(AJ532&gt;0,"Ativo","N/I"))</f>
        <v>N/I</v>
      </c>
      <c r="Q532" s="9" t="str">
        <f t="shared" ref="Q532:Q1670" si="29">IF(AO532&lt;0,"Inativo",IF(AO532&gt;0,"Ativo","N/I"))</f>
        <v>N/I</v>
      </c>
      <c r="R532" s="9" t="str">
        <f t="shared" ref="R532:R665" si="30">IF(AT532&lt;0,"Inativo",IF(AT532&gt;0,"Ativo","N/I"))</f>
        <v>N/I</v>
      </c>
    </row>
    <row r="533">
      <c r="A533" s="11" t="s">
        <v>934</v>
      </c>
      <c r="B533" s="11" t="s">
        <v>1472</v>
      </c>
      <c r="C533" s="12" t="s">
        <v>55</v>
      </c>
      <c r="D533" s="34" t="s">
        <v>1473</v>
      </c>
      <c r="E533" s="12" t="s">
        <v>942</v>
      </c>
      <c r="F533" s="10" t="s">
        <v>940</v>
      </c>
      <c r="G533" s="12" t="s">
        <v>1474</v>
      </c>
      <c r="H533" s="10" t="s">
        <v>1097</v>
      </c>
      <c r="I533" s="10" t="s">
        <v>354</v>
      </c>
      <c r="J533" s="12" t="s">
        <v>355</v>
      </c>
      <c r="K533" s="10" t="s">
        <v>941</v>
      </c>
      <c r="L533" s="16" t="s">
        <v>45</v>
      </c>
      <c r="M533" s="10" t="s">
        <v>49</v>
      </c>
      <c r="N533" s="16" t="s">
        <v>45</v>
      </c>
      <c r="O533" s="10" t="s">
        <v>320</v>
      </c>
      <c r="P533" s="9" t="str">
        <f t="shared" si="28"/>
        <v>N/I</v>
      </c>
      <c r="Q533" s="9" t="str">
        <f t="shared" si="29"/>
        <v>N/I</v>
      </c>
      <c r="R533" s="9" t="str">
        <f t="shared" si="30"/>
        <v>N/I</v>
      </c>
    </row>
    <row r="534">
      <c r="A534" s="11" t="s">
        <v>934</v>
      </c>
      <c r="B534" s="11" t="s">
        <v>1477</v>
      </c>
      <c r="C534" s="12" t="s">
        <v>55</v>
      </c>
      <c r="D534" s="34" t="s">
        <v>1478</v>
      </c>
      <c r="E534" s="12" t="s">
        <v>942</v>
      </c>
      <c r="F534" s="10" t="s">
        <v>992</v>
      </c>
      <c r="G534" s="12" t="s">
        <v>1479</v>
      </c>
      <c r="H534" s="10" t="s">
        <v>234</v>
      </c>
      <c r="I534" s="10" t="s">
        <v>354</v>
      </c>
      <c r="J534" s="12" t="s">
        <v>355</v>
      </c>
      <c r="K534" s="10" t="s">
        <v>941</v>
      </c>
      <c r="L534" s="16" t="s">
        <v>45</v>
      </c>
      <c r="M534" s="10" t="s">
        <v>49</v>
      </c>
      <c r="N534" s="16" t="s">
        <v>45</v>
      </c>
      <c r="O534" s="10" t="s">
        <v>320</v>
      </c>
      <c r="P534" s="9" t="str">
        <f t="shared" si="28"/>
        <v>N/I</v>
      </c>
      <c r="Q534" s="9" t="str">
        <f t="shared" si="29"/>
        <v>N/I</v>
      </c>
      <c r="R534" s="9" t="str">
        <f t="shared" si="30"/>
        <v>N/I</v>
      </c>
    </row>
    <row r="535">
      <c r="A535" s="11" t="s">
        <v>934</v>
      </c>
      <c r="B535" s="11" t="s">
        <v>1482</v>
      </c>
      <c r="C535" s="12" t="s">
        <v>55</v>
      </c>
      <c r="D535" s="34" t="s">
        <v>1483</v>
      </c>
      <c r="E535" s="12" t="s">
        <v>942</v>
      </c>
      <c r="F535" s="10" t="s">
        <v>992</v>
      </c>
      <c r="G535" s="12" t="s">
        <v>1484</v>
      </c>
      <c r="H535" s="10" t="s">
        <v>234</v>
      </c>
      <c r="I535" s="10" t="s">
        <v>354</v>
      </c>
      <c r="J535" s="12" t="s">
        <v>355</v>
      </c>
      <c r="K535" s="10" t="s">
        <v>941</v>
      </c>
      <c r="L535" s="16" t="s">
        <v>45</v>
      </c>
      <c r="M535" s="10" t="s">
        <v>49</v>
      </c>
      <c r="N535" s="16" t="s">
        <v>45</v>
      </c>
      <c r="O535" s="10" t="s">
        <v>320</v>
      </c>
      <c r="P535" s="9" t="str">
        <f t="shared" si="28"/>
        <v>N/I</v>
      </c>
      <c r="Q535" s="9" t="str">
        <f t="shared" si="29"/>
        <v>N/I</v>
      </c>
      <c r="R535" s="9" t="str">
        <f t="shared" si="30"/>
        <v>N/I</v>
      </c>
    </row>
    <row r="536">
      <c r="A536" s="11" t="s">
        <v>934</v>
      </c>
      <c r="B536" s="11" t="s">
        <v>1487</v>
      </c>
      <c r="C536" s="12" t="s">
        <v>55</v>
      </c>
      <c r="D536" s="34" t="s">
        <v>1488</v>
      </c>
      <c r="E536" s="12" t="s">
        <v>942</v>
      </c>
      <c r="F536" s="10" t="s">
        <v>992</v>
      </c>
      <c r="G536" s="12" t="s">
        <v>1484</v>
      </c>
      <c r="H536" s="10" t="s">
        <v>234</v>
      </c>
      <c r="I536" s="10" t="s">
        <v>354</v>
      </c>
      <c r="J536" s="12" t="s">
        <v>355</v>
      </c>
      <c r="K536" s="10" t="s">
        <v>941</v>
      </c>
      <c r="L536" s="16" t="s">
        <v>45</v>
      </c>
      <c r="M536" s="10" t="s">
        <v>49</v>
      </c>
      <c r="N536" s="16" t="s">
        <v>45</v>
      </c>
      <c r="O536" s="10" t="s">
        <v>320</v>
      </c>
      <c r="P536" s="9" t="str">
        <f t="shared" si="28"/>
        <v>N/I</v>
      </c>
      <c r="Q536" s="9" t="str">
        <f t="shared" si="29"/>
        <v>N/I</v>
      </c>
      <c r="R536" s="9" t="str">
        <f t="shared" si="30"/>
        <v>N/I</v>
      </c>
    </row>
    <row r="537">
      <c r="A537" s="11" t="s">
        <v>934</v>
      </c>
      <c r="B537" s="11"/>
      <c r="C537" s="12" t="s">
        <v>55</v>
      </c>
      <c r="D537" s="44" t="s">
        <v>187</v>
      </c>
      <c r="E537" s="12" t="s">
        <v>942</v>
      </c>
      <c r="F537" s="10" t="s">
        <v>940</v>
      </c>
      <c r="G537" s="12"/>
      <c r="H537" s="10"/>
      <c r="I537" s="10" t="s">
        <v>354</v>
      </c>
      <c r="J537" s="12" t="s">
        <v>355</v>
      </c>
      <c r="K537" s="10" t="s">
        <v>941</v>
      </c>
      <c r="L537" s="16" t="s">
        <v>45</v>
      </c>
      <c r="M537" s="10" t="s">
        <v>49</v>
      </c>
      <c r="N537" s="16" t="s">
        <v>45</v>
      </c>
      <c r="O537" s="10" t="s">
        <v>320</v>
      </c>
      <c r="P537" s="9" t="str">
        <f t="shared" si="28"/>
        <v>N/I</v>
      </c>
      <c r="Q537" s="9" t="str">
        <f t="shared" si="29"/>
        <v>N/I</v>
      </c>
      <c r="R537" s="9" t="str">
        <f t="shared" si="30"/>
        <v>N/I</v>
      </c>
    </row>
    <row r="538">
      <c r="A538" s="11" t="s">
        <v>934</v>
      </c>
      <c r="B538" s="11"/>
      <c r="C538" s="12" t="s">
        <v>55</v>
      </c>
      <c r="D538" s="44" t="s">
        <v>187</v>
      </c>
      <c r="E538" s="12" t="s">
        <v>942</v>
      </c>
      <c r="F538" s="10" t="s">
        <v>940</v>
      </c>
      <c r="G538" s="12"/>
      <c r="H538" s="10"/>
      <c r="I538" s="10" t="s">
        <v>354</v>
      </c>
      <c r="J538" s="12" t="s">
        <v>355</v>
      </c>
      <c r="K538" s="10" t="s">
        <v>941</v>
      </c>
      <c r="L538" s="16" t="s">
        <v>45</v>
      </c>
      <c r="M538" s="10" t="s">
        <v>49</v>
      </c>
      <c r="N538" s="16" t="s">
        <v>45</v>
      </c>
      <c r="O538" s="10" t="s">
        <v>320</v>
      </c>
      <c r="P538" s="9" t="str">
        <f t="shared" si="28"/>
        <v>N/I</v>
      </c>
      <c r="Q538" s="9" t="str">
        <f t="shared" si="29"/>
        <v>N/I</v>
      </c>
      <c r="R538" s="9" t="str">
        <f t="shared" si="30"/>
        <v>N/I</v>
      </c>
    </row>
    <row r="539">
      <c r="A539" s="11" t="s">
        <v>934</v>
      </c>
      <c r="B539" s="11"/>
      <c r="C539" s="12" t="s">
        <v>55</v>
      </c>
      <c r="D539" s="44" t="s">
        <v>187</v>
      </c>
      <c r="E539" s="12" t="s">
        <v>942</v>
      </c>
      <c r="F539" s="10" t="s">
        <v>940</v>
      </c>
      <c r="G539" s="12"/>
      <c r="H539" s="10"/>
      <c r="I539" s="10" t="s">
        <v>354</v>
      </c>
      <c r="J539" s="12" t="s">
        <v>355</v>
      </c>
      <c r="K539" s="10" t="s">
        <v>941</v>
      </c>
      <c r="L539" s="16" t="s">
        <v>45</v>
      </c>
      <c r="M539" s="10" t="s">
        <v>49</v>
      </c>
      <c r="N539" s="16" t="s">
        <v>45</v>
      </c>
      <c r="O539" s="10" t="s">
        <v>320</v>
      </c>
      <c r="P539" s="9" t="str">
        <f t="shared" si="28"/>
        <v>N/I</v>
      </c>
      <c r="Q539" s="9" t="str">
        <f t="shared" si="29"/>
        <v>N/I</v>
      </c>
      <c r="R539" s="9" t="str">
        <f t="shared" si="30"/>
        <v>N/I</v>
      </c>
    </row>
    <row r="540">
      <c r="A540" s="11" t="s">
        <v>1491</v>
      </c>
      <c r="B540" s="11" t="s">
        <v>1492</v>
      </c>
      <c r="C540" s="12" t="s">
        <v>502</v>
      </c>
      <c r="D540" s="36" t="s">
        <v>1493</v>
      </c>
      <c r="E540" s="10" t="s">
        <v>227</v>
      </c>
      <c r="F540" s="10" t="s">
        <v>1497</v>
      </c>
      <c r="G540" s="12" t="s">
        <v>1494</v>
      </c>
      <c r="H540" s="10" t="s">
        <v>283</v>
      </c>
      <c r="I540" s="10" t="s">
        <v>1498</v>
      </c>
      <c r="J540" s="16" t="s">
        <v>45</v>
      </c>
      <c r="K540" s="16" t="s">
        <v>45</v>
      </c>
      <c r="L540" s="16" t="s">
        <v>45</v>
      </c>
      <c r="M540" s="10" t="s">
        <v>49</v>
      </c>
      <c r="N540" s="16" t="s">
        <v>45</v>
      </c>
      <c r="O540" s="10" t="s">
        <v>1499</v>
      </c>
      <c r="P540" s="9" t="str">
        <f t="shared" si="28"/>
        <v>N/I</v>
      </c>
      <c r="Q540" s="9" t="str">
        <f t="shared" si="29"/>
        <v>N/I</v>
      </c>
      <c r="R540" s="9" t="str">
        <f t="shared" si="30"/>
        <v>N/I</v>
      </c>
    </row>
    <row r="541">
      <c r="A541" s="11" t="s">
        <v>1500</v>
      </c>
      <c r="B541" s="11" t="s">
        <v>1501</v>
      </c>
      <c r="C541" s="12" t="s">
        <v>94</v>
      </c>
      <c r="D541" s="20" t="s">
        <v>1502</v>
      </c>
      <c r="E541" s="16" t="s">
        <v>45</v>
      </c>
      <c r="F541" s="10" t="s">
        <v>1506</v>
      </c>
      <c r="G541" s="12" t="s">
        <v>1503</v>
      </c>
      <c r="H541" s="10" t="s">
        <v>283</v>
      </c>
      <c r="I541" s="16" t="s">
        <v>45</v>
      </c>
      <c r="J541" s="16" t="s">
        <v>45</v>
      </c>
      <c r="K541" s="16" t="s">
        <v>45</v>
      </c>
      <c r="L541" s="16" t="s">
        <v>45</v>
      </c>
      <c r="M541" s="10" t="s">
        <v>49</v>
      </c>
      <c r="N541" s="16" t="s">
        <v>45</v>
      </c>
      <c r="O541" s="10" t="s">
        <v>320</v>
      </c>
      <c r="P541" s="9" t="str">
        <f t="shared" si="28"/>
        <v>N/I</v>
      </c>
      <c r="Q541" s="9" t="str">
        <f t="shared" si="29"/>
        <v>N/I</v>
      </c>
      <c r="R541" s="9" t="str">
        <f t="shared" si="30"/>
        <v>N/I</v>
      </c>
    </row>
    <row r="542">
      <c r="A542" s="11" t="s">
        <v>1491</v>
      </c>
      <c r="B542" s="11" t="s">
        <v>1507</v>
      </c>
      <c r="C542" s="12" t="s">
        <v>502</v>
      </c>
      <c r="D542" s="36">
        <v>17042.0</v>
      </c>
      <c r="E542" s="10" t="s">
        <v>227</v>
      </c>
      <c r="F542" s="10" t="s">
        <v>1497</v>
      </c>
      <c r="G542" s="12" t="s">
        <v>1503</v>
      </c>
      <c r="H542" s="10" t="s">
        <v>283</v>
      </c>
      <c r="I542" s="10" t="s">
        <v>1498</v>
      </c>
      <c r="J542" s="16" t="s">
        <v>45</v>
      </c>
      <c r="K542" s="16" t="s">
        <v>45</v>
      </c>
      <c r="L542" s="16" t="s">
        <v>45</v>
      </c>
      <c r="M542" s="10" t="s">
        <v>49</v>
      </c>
      <c r="N542" s="16" t="s">
        <v>45</v>
      </c>
      <c r="O542" s="10" t="s">
        <v>1499</v>
      </c>
      <c r="P542" s="9" t="str">
        <f t="shared" si="28"/>
        <v>N/I</v>
      </c>
      <c r="Q542" s="9" t="str">
        <f t="shared" si="29"/>
        <v>N/I</v>
      </c>
      <c r="R542" s="9" t="str">
        <f t="shared" si="30"/>
        <v>N/I</v>
      </c>
    </row>
    <row r="543">
      <c r="A543" s="11" t="s">
        <v>1491</v>
      </c>
      <c r="B543" s="11" t="s">
        <v>1510</v>
      </c>
      <c r="C543" s="12" t="s">
        <v>502</v>
      </c>
      <c r="D543" s="36">
        <v>17075.0</v>
      </c>
      <c r="E543" s="10" t="s">
        <v>227</v>
      </c>
      <c r="F543" s="10" t="s">
        <v>1497</v>
      </c>
      <c r="G543" s="12" t="s">
        <v>1503</v>
      </c>
      <c r="H543" s="10" t="s">
        <v>283</v>
      </c>
      <c r="I543" s="10" t="s">
        <v>1498</v>
      </c>
      <c r="J543" s="16" t="s">
        <v>45</v>
      </c>
      <c r="K543" s="16" t="s">
        <v>45</v>
      </c>
      <c r="L543" s="16" t="s">
        <v>45</v>
      </c>
      <c r="M543" s="10" t="s">
        <v>49</v>
      </c>
      <c r="N543" s="16" t="s">
        <v>45</v>
      </c>
      <c r="O543" s="10" t="s">
        <v>1499</v>
      </c>
      <c r="P543" s="9" t="str">
        <f t="shared" si="28"/>
        <v>N/I</v>
      </c>
      <c r="Q543" s="9" t="str">
        <f t="shared" si="29"/>
        <v>N/I</v>
      </c>
      <c r="R543" s="9" t="str">
        <f t="shared" si="30"/>
        <v>N/I</v>
      </c>
    </row>
    <row r="544">
      <c r="A544" s="11" t="s">
        <v>1014</v>
      </c>
      <c r="B544" s="11" t="s">
        <v>1512</v>
      </c>
      <c r="C544" s="12" t="s">
        <v>52</v>
      </c>
      <c r="D544" s="20" t="s">
        <v>1513</v>
      </c>
      <c r="E544" s="12" t="s">
        <v>1020</v>
      </c>
      <c r="F544" s="10" t="s">
        <v>1019</v>
      </c>
      <c r="G544" s="12" t="s">
        <v>1514</v>
      </c>
      <c r="H544" s="10" t="s">
        <v>283</v>
      </c>
      <c r="I544" s="10" t="s">
        <v>354</v>
      </c>
      <c r="J544" s="12" t="s">
        <v>355</v>
      </c>
      <c r="K544" s="16" t="s">
        <v>45</v>
      </c>
      <c r="L544" s="10" t="s">
        <v>1021</v>
      </c>
      <c r="M544" s="10" t="s">
        <v>49</v>
      </c>
      <c r="N544" s="10" t="s">
        <v>1021</v>
      </c>
      <c r="O544" s="16" t="s">
        <v>45</v>
      </c>
      <c r="P544" s="9" t="str">
        <f t="shared" si="28"/>
        <v>N/I</v>
      </c>
      <c r="Q544" s="9" t="str">
        <f t="shared" si="29"/>
        <v>N/I</v>
      </c>
      <c r="R544" s="9" t="str">
        <f t="shared" si="30"/>
        <v>N/I</v>
      </c>
    </row>
    <row r="545">
      <c r="A545" s="11" t="s">
        <v>1491</v>
      </c>
      <c r="B545" s="11" t="s">
        <v>1517</v>
      </c>
      <c r="C545" s="12" t="s">
        <v>502</v>
      </c>
      <c r="D545" s="36">
        <v>17043.0</v>
      </c>
      <c r="E545" s="10" t="s">
        <v>227</v>
      </c>
      <c r="F545" s="10" t="s">
        <v>1497</v>
      </c>
      <c r="G545" s="12" t="s">
        <v>1518</v>
      </c>
      <c r="H545" s="10" t="s">
        <v>283</v>
      </c>
      <c r="I545" s="10" t="s">
        <v>1498</v>
      </c>
      <c r="J545" s="16" t="s">
        <v>45</v>
      </c>
      <c r="K545" s="16" t="s">
        <v>45</v>
      </c>
      <c r="L545" s="16" t="s">
        <v>45</v>
      </c>
      <c r="M545" s="10" t="s">
        <v>49</v>
      </c>
      <c r="N545" s="16" t="s">
        <v>45</v>
      </c>
      <c r="O545" s="10" t="s">
        <v>1499</v>
      </c>
      <c r="P545" s="9" t="str">
        <f t="shared" si="28"/>
        <v>N/I</v>
      </c>
      <c r="Q545" s="9" t="str">
        <f t="shared" si="29"/>
        <v>N/I</v>
      </c>
      <c r="R545" s="9" t="str">
        <f t="shared" si="30"/>
        <v>N/I</v>
      </c>
    </row>
    <row r="546">
      <c r="A546" s="11" t="s">
        <v>1500</v>
      </c>
      <c r="B546" s="11" t="s">
        <v>1521</v>
      </c>
      <c r="C546" s="12" t="s">
        <v>94</v>
      </c>
      <c r="D546" s="20" t="s">
        <v>1522</v>
      </c>
      <c r="E546" s="16" t="s">
        <v>45</v>
      </c>
      <c r="F546" s="10" t="s">
        <v>1506</v>
      </c>
      <c r="G546" s="12" t="s">
        <v>713</v>
      </c>
      <c r="H546" s="10" t="s">
        <v>283</v>
      </c>
      <c r="I546" s="16" t="s">
        <v>45</v>
      </c>
      <c r="J546" s="16" t="s">
        <v>45</v>
      </c>
      <c r="K546" s="16" t="s">
        <v>45</v>
      </c>
      <c r="L546" s="16" t="s">
        <v>45</v>
      </c>
      <c r="M546" s="10" t="s">
        <v>49</v>
      </c>
      <c r="N546" s="16" t="s">
        <v>45</v>
      </c>
      <c r="O546" s="10" t="s">
        <v>320</v>
      </c>
      <c r="P546" s="9" t="str">
        <f t="shared" si="28"/>
        <v>N/I</v>
      </c>
      <c r="Q546" s="9" t="str">
        <f t="shared" si="29"/>
        <v>N/I</v>
      </c>
      <c r="R546" s="9" t="str">
        <f t="shared" si="30"/>
        <v>N/I</v>
      </c>
    </row>
    <row r="547">
      <c r="A547" s="11" t="s">
        <v>1491</v>
      </c>
      <c r="B547" s="11" t="s">
        <v>1525</v>
      </c>
      <c r="C547" s="12" t="s">
        <v>502</v>
      </c>
      <c r="D547" s="36">
        <v>17049.0</v>
      </c>
      <c r="E547" s="10" t="s">
        <v>227</v>
      </c>
      <c r="F547" s="10" t="s">
        <v>1497</v>
      </c>
      <c r="G547" s="12" t="s">
        <v>713</v>
      </c>
      <c r="H547" s="10" t="s">
        <v>283</v>
      </c>
      <c r="I547" s="10" t="s">
        <v>1498</v>
      </c>
      <c r="J547" s="16" t="s">
        <v>45</v>
      </c>
      <c r="K547" s="16" t="s">
        <v>45</v>
      </c>
      <c r="L547" s="16" t="s">
        <v>45</v>
      </c>
      <c r="M547" s="10" t="s">
        <v>49</v>
      </c>
      <c r="N547" s="16" t="s">
        <v>45</v>
      </c>
      <c r="O547" s="10" t="s">
        <v>1499</v>
      </c>
      <c r="P547" s="9" t="str">
        <f t="shared" si="28"/>
        <v>N/I</v>
      </c>
      <c r="Q547" s="9" t="str">
        <f t="shared" si="29"/>
        <v>N/I</v>
      </c>
      <c r="R547" s="9" t="str">
        <f t="shared" si="30"/>
        <v>N/I</v>
      </c>
    </row>
    <row r="548">
      <c r="A548" s="11" t="s">
        <v>1491</v>
      </c>
      <c r="B548" s="11" t="s">
        <v>1528</v>
      </c>
      <c r="C548" s="12" t="s">
        <v>502</v>
      </c>
      <c r="D548" s="36" t="s">
        <v>1529</v>
      </c>
      <c r="E548" s="10" t="s">
        <v>227</v>
      </c>
      <c r="F548" s="10" t="s">
        <v>1497</v>
      </c>
      <c r="G548" s="12" t="s">
        <v>713</v>
      </c>
      <c r="H548" s="10" t="s">
        <v>283</v>
      </c>
      <c r="I548" s="10" t="s">
        <v>1498</v>
      </c>
      <c r="J548" s="16" t="s">
        <v>45</v>
      </c>
      <c r="K548" s="16" t="s">
        <v>45</v>
      </c>
      <c r="L548" s="16" t="s">
        <v>45</v>
      </c>
      <c r="M548" s="10" t="s">
        <v>49</v>
      </c>
      <c r="N548" s="16" t="s">
        <v>45</v>
      </c>
      <c r="O548" s="10" t="s">
        <v>1499</v>
      </c>
      <c r="P548" s="9" t="str">
        <f t="shared" si="28"/>
        <v>N/I</v>
      </c>
      <c r="Q548" s="9" t="str">
        <f t="shared" si="29"/>
        <v>N/I</v>
      </c>
      <c r="R548" s="9" t="str">
        <f t="shared" si="30"/>
        <v>N/I</v>
      </c>
    </row>
    <row r="549">
      <c r="A549" s="11" t="s">
        <v>1500</v>
      </c>
      <c r="B549" s="11" t="s">
        <v>1532</v>
      </c>
      <c r="C549" s="12" t="s">
        <v>94</v>
      </c>
      <c r="D549" s="20" t="s">
        <v>1533</v>
      </c>
      <c r="E549" s="16" t="s">
        <v>45</v>
      </c>
      <c r="F549" s="10" t="s">
        <v>1506</v>
      </c>
      <c r="G549" s="12" t="s">
        <v>541</v>
      </c>
      <c r="H549" s="10" t="s">
        <v>283</v>
      </c>
      <c r="I549" s="16" t="s">
        <v>45</v>
      </c>
      <c r="J549" s="16" t="s">
        <v>45</v>
      </c>
      <c r="K549" s="16" t="s">
        <v>45</v>
      </c>
      <c r="L549" s="16" t="s">
        <v>45</v>
      </c>
      <c r="M549" s="10" t="s">
        <v>49</v>
      </c>
      <c r="N549" s="16" t="s">
        <v>45</v>
      </c>
      <c r="O549" s="10" t="s">
        <v>320</v>
      </c>
      <c r="P549" s="9" t="str">
        <f t="shared" si="28"/>
        <v>N/I</v>
      </c>
      <c r="Q549" s="9" t="str">
        <f t="shared" si="29"/>
        <v>N/I</v>
      </c>
      <c r="R549" s="9" t="str">
        <f t="shared" si="30"/>
        <v>N/I</v>
      </c>
    </row>
    <row r="550">
      <c r="A550" s="11" t="s">
        <v>1491</v>
      </c>
      <c r="B550" s="11" t="s">
        <v>1536</v>
      </c>
      <c r="C550" s="12" t="s">
        <v>502</v>
      </c>
      <c r="D550" s="36">
        <v>17067.0</v>
      </c>
      <c r="E550" s="10" t="s">
        <v>227</v>
      </c>
      <c r="F550" s="10" t="s">
        <v>1497</v>
      </c>
      <c r="G550" s="12" t="s">
        <v>541</v>
      </c>
      <c r="H550" s="10" t="s">
        <v>283</v>
      </c>
      <c r="I550" s="10" t="s">
        <v>1498</v>
      </c>
      <c r="J550" s="16" t="s">
        <v>45</v>
      </c>
      <c r="K550" s="16" t="s">
        <v>45</v>
      </c>
      <c r="L550" s="16" t="s">
        <v>45</v>
      </c>
      <c r="M550" s="10" t="s">
        <v>49</v>
      </c>
      <c r="N550" s="16" t="s">
        <v>45</v>
      </c>
      <c r="O550" s="10" t="s">
        <v>1499</v>
      </c>
      <c r="P550" s="9" t="str">
        <f t="shared" si="28"/>
        <v>N/I</v>
      </c>
      <c r="Q550" s="9" t="str">
        <f t="shared" si="29"/>
        <v>N/I</v>
      </c>
      <c r="R550" s="9" t="str">
        <f t="shared" si="30"/>
        <v>N/I</v>
      </c>
    </row>
    <row r="551">
      <c r="A551" s="11" t="s">
        <v>1491</v>
      </c>
      <c r="B551" s="11" t="s">
        <v>1539</v>
      </c>
      <c r="C551" s="12" t="s">
        <v>502</v>
      </c>
      <c r="D551" s="36">
        <v>17040.0</v>
      </c>
      <c r="E551" s="10" t="s">
        <v>227</v>
      </c>
      <c r="F551" s="10" t="s">
        <v>1497</v>
      </c>
      <c r="G551" s="12" t="s">
        <v>541</v>
      </c>
      <c r="H551" s="10" t="s">
        <v>283</v>
      </c>
      <c r="I551" s="10" t="s">
        <v>1498</v>
      </c>
      <c r="J551" s="16" t="s">
        <v>45</v>
      </c>
      <c r="K551" s="16" t="s">
        <v>45</v>
      </c>
      <c r="L551" s="16" t="s">
        <v>45</v>
      </c>
      <c r="M551" s="10" t="s">
        <v>49</v>
      </c>
      <c r="N551" s="16" t="s">
        <v>45</v>
      </c>
      <c r="O551" s="10" t="s">
        <v>1499</v>
      </c>
      <c r="P551" s="9" t="str">
        <f t="shared" si="28"/>
        <v>N/I</v>
      </c>
      <c r="Q551" s="9" t="str">
        <f t="shared" si="29"/>
        <v>N/I</v>
      </c>
      <c r="R551" s="9" t="str">
        <f t="shared" si="30"/>
        <v>N/I</v>
      </c>
    </row>
    <row r="552">
      <c r="A552" s="11" t="s">
        <v>1491</v>
      </c>
      <c r="B552" s="11" t="s">
        <v>1540</v>
      </c>
      <c r="C552" s="12" t="s">
        <v>502</v>
      </c>
      <c r="D552" s="36">
        <v>17052.0</v>
      </c>
      <c r="E552" s="10" t="s">
        <v>227</v>
      </c>
      <c r="F552" s="10" t="s">
        <v>1497</v>
      </c>
      <c r="G552" s="12" t="s">
        <v>541</v>
      </c>
      <c r="H552" s="10" t="s">
        <v>283</v>
      </c>
      <c r="I552" s="10" t="s">
        <v>1498</v>
      </c>
      <c r="J552" s="16" t="s">
        <v>45</v>
      </c>
      <c r="K552" s="16" t="s">
        <v>45</v>
      </c>
      <c r="L552" s="16" t="s">
        <v>45</v>
      </c>
      <c r="M552" s="10" t="s">
        <v>49</v>
      </c>
      <c r="N552" s="16" t="s">
        <v>45</v>
      </c>
      <c r="O552" s="10" t="s">
        <v>1499</v>
      </c>
      <c r="P552" s="9" t="str">
        <f t="shared" si="28"/>
        <v>N/I</v>
      </c>
      <c r="Q552" s="9" t="str">
        <f t="shared" si="29"/>
        <v>N/I</v>
      </c>
      <c r="R552" s="9" t="str">
        <f t="shared" si="30"/>
        <v>N/I</v>
      </c>
    </row>
    <row r="553">
      <c r="A553" s="11" t="s">
        <v>1491</v>
      </c>
      <c r="B553" s="11" t="s">
        <v>1543</v>
      </c>
      <c r="C553" s="12" t="s">
        <v>502</v>
      </c>
      <c r="D553" s="36" t="s">
        <v>1544</v>
      </c>
      <c r="E553" s="10" t="s">
        <v>227</v>
      </c>
      <c r="F553" s="10" t="s">
        <v>1497</v>
      </c>
      <c r="G553" s="12" t="s">
        <v>541</v>
      </c>
      <c r="H553" s="10" t="s">
        <v>283</v>
      </c>
      <c r="I553" s="10" t="s">
        <v>1498</v>
      </c>
      <c r="J553" s="16" t="s">
        <v>45</v>
      </c>
      <c r="K553" s="16" t="s">
        <v>45</v>
      </c>
      <c r="L553" s="16" t="s">
        <v>45</v>
      </c>
      <c r="M553" s="10" t="s">
        <v>49</v>
      </c>
      <c r="N553" s="16" t="s">
        <v>45</v>
      </c>
      <c r="O553" s="10" t="s">
        <v>1499</v>
      </c>
      <c r="P553" s="9" t="str">
        <f t="shared" si="28"/>
        <v>N/I</v>
      </c>
      <c r="Q553" s="9" t="str">
        <f t="shared" si="29"/>
        <v>N/I</v>
      </c>
      <c r="R553" s="9" t="str">
        <f t="shared" si="30"/>
        <v>N/I</v>
      </c>
    </row>
    <row r="554">
      <c r="A554" s="11" t="s">
        <v>1491</v>
      </c>
      <c r="B554" s="11" t="s">
        <v>1546</v>
      </c>
      <c r="C554" s="12" t="s">
        <v>502</v>
      </c>
      <c r="D554" s="36">
        <v>17066.0</v>
      </c>
      <c r="E554" s="10" t="s">
        <v>227</v>
      </c>
      <c r="F554" s="10" t="s">
        <v>1497</v>
      </c>
      <c r="G554" s="12" t="s">
        <v>1547</v>
      </c>
      <c r="H554" s="10" t="s">
        <v>283</v>
      </c>
      <c r="I554" s="10" t="s">
        <v>1498</v>
      </c>
      <c r="J554" s="16" t="s">
        <v>45</v>
      </c>
      <c r="K554" s="16" t="s">
        <v>45</v>
      </c>
      <c r="L554" s="16" t="s">
        <v>45</v>
      </c>
      <c r="M554" s="10" t="s">
        <v>49</v>
      </c>
      <c r="N554" s="16" t="s">
        <v>45</v>
      </c>
      <c r="O554" s="10" t="s">
        <v>1499</v>
      </c>
      <c r="P554" s="9" t="str">
        <f t="shared" si="28"/>
        <v>N/I</v>
      </c>
      <c r="Q554" s="9" t="str">
        <f t="shared" si="29"/>
        <v>N/I</v>
      </c>
      <c r="R554" s="9" t="str">
        <f t="shared" si="30"/>
        <v>N/I</v>
      </c>
    </row>
    <row r="555">
      <c r="A555" s="11" t="s">
        <v>1491</v>
      </c>
      <c r="B555" s="11" t="s">
        <v>1550</v>
      </c>
      <c r="C555" s="12" t="s">
        <v>502</v>
      </c>
      <c r="D555" s="34" t="s">
        <v>1551</v>
      </c>
      <c r="E555" s="10" t="s">
        <v>227</v>
      </c>
      <c r="F555" s="10" t="s">
        <v>1497</v>
      </c>
      <c r="G555" s="12" t="s">
        <v>1552</v>
      </c>
      <c r="H555" s="10" t="s">
        <v>283</v>
      </c>
      <c r="I555" s="10" t="s">
        <v>1498</v>
      </c>
      <c r="J555" s="16" t="s">
        <v>45</v>
      </c>
      <c r="K555" s="16" t="s">
        <v>45</v>
      </c>
      <c r="L555" s="16" t="s">
        <v>45</v>
      </c>
      <c r="M555" s="10" t="s">
        <v>49</v>
      </c>
      <c r="N555" s="16" t="s">
        <v>45</v>
      </c>
      <c r="O555" s="10" t="s">
        <v>1499</v>
      </c>
      <c r="P555" s="9" t="str">
        <f t="shared" si="28"/>
        <v>N/I</v>
      </c>
      <c r="Q555" s="9" t="str">
        <f t="shared" si="29"/>
        <v>N/I</v>
      </c>
      <c r="R555" s="9" t="str">
        <f t="shared" si="30"/>
        <v>N/I</v>
      </c>
    </row>
    <row r="556">
      <c r="A556" s="11" t="s">
        <v>1500</v>
      </c>
      <c r="B556" s="11" t="s">
        <v>1555</v>
      </c>
      <c r="C556" s="12" t="s">
        <v>94</v>
      </c>
      <c r="D556" s="20" t="s">
        <v>1556</v>
      </c>
      <c r="E556" s="16" t="s">
        <v>45</v>
      </c>
      <c r="F556" s="10" t="s">
        <v>1506</v>
      </c>
      <c r="G556" s="12" t="s">
        <v>1557</v>
      </c>
      <c r="H556" s="10" t="s">
        <v>283</v>
      </c>
      <c r="I556" s="16" t="s">
        <v>45</v>
      </c>
      <c r="J556" s="16" t="s">
        <v>45</v>
      </c>
      <c r="K556" s="16" t="s">
        <v>45</v>
      </c>
      <c r="L556" s="16" t="s">
        <v>45</v>
      </c>
      <c r="M556" s="10" t="s">
        <v>49</v>
      </c>
      <c r="N556" s="16" t="s">
        <v>45</v>
      </c>
      <c r="O556" s="10" t="s">
        <v>320</v>
      </c>
      <c r="P556" s="9" t="str">
        <f t="shared" si="28"/>
        <v>N/I</v>
      </c>
      <c r="Q556" s="9" t="str">
        <f t="shared" si="29"/>
        <v>N/I</v>
      </c>
      <c r="R556" s="9" t="str">
        <f t="shared" si="30"/>
        <v>N/I</v>
      </c>
    </row>
    <row r="557">
      <c r="A557" s="11" t="s">
        <v>1500</v>
      </c>
      <c r="B557" s="11" t="s">
        <v>1560</v>
      </c>
      <c r="C557" s="12" t="s">
        <v>94</v>
      </c>
      <c r="D557" s="20" t="s">
        <v>1561</v>
      </c>
      <c r="E557" s="16" t="s">
        <v>45</v>
      </c>
      <c r="F557" s="10" t="s">
        <v>1506</v>
      </c>
      <c r="G557" s="12" t="s">
        <v>1557</v>
      </c>
      <c r="H557" s="10" t="s">
        <v>283</v>
      </c>
      <c r="I557" s="16" t="s">
        <v>45</v>
      </c>
      <c r="J557" s="16" t="s">
        <v>45</v>
      </c>
      <c r="K557" s="16" t="s">
        <v>45</v>
      </c>
      <c r="L557" s="16" t="s">
        <v>45</v>
      </c>
      <c r="M557" s="10" t="s">
        <v>49</v>
      </c>
      <c r="N557" s="16" t="s">
        <v>45</v>
      </c>
      <c r="O557" s="10" t="s">
        <v>320</v>
      </c>
      <c r="P557" s="9" t="str">
        <f t="shared" si="28"/>
        <v>N/I</v>
      </c>
      <c r="Q557" s="9" t="str">
        <f t="shared" si="29"/>
        <v>N/I</v>
      </c>
      <c r="R557" s="9" t="str">
        <f t="shared" si="30"/>
        <v>N/I</v>
      </c>
    </row>
    <row r="558">
      <c r="A558" s="11" t="s">
        <v>1491</v>
      </c>
      <c r="B558" s="11" t="s">
        <v>1564</v>
      </c>
      <c r="C558" s="12" t="s">
        <v>502</v>
      </c>
      <c r="D558" s="36">
        <v>17050.0</v>
      </c>
      <c r="E558" s="10" t="s">
        <v>227</v>
      </c>
      <c r="F558" s="10" t="s">
        <v>1497</v>
      </c>
      <c r="G558" s="12" t="s">
        <v>1557</v>
      </c>
      <c r="H558" s="10" t="s">
        <v>283</v>
      </c>
      <c r="I558" s="10" t="s">
        <v>1498</v>
      </c>
      <c r="J558" s="16" t="s">
        <v>45</v>
      </c>
      <c r="K558" s="16" t="s">
        <v>45</v>
      </c>
      <c r="L558" s="16" t="s">
        <v>45</v>
      </c>
      <c r="M558" s="10" t="s">
        <v>49</v>
      </c>
      <c r="N558" s="16" t="s">
        <v>45</v>
      </c>
      <c r="O558" s="10" t="s">
        <v>1499</v>
      </c>
      <c r="P558" s="9" t="str">
        <f t="shared" si="28"/>
        <v>N/I</v>
      </c>
      <c r="Q558" s="9" t="str">
        <f t="shared" si="29"/>
        <v>N/I</v>
      </c>
      <c r="R558" s="9" t="str">
        <f t="shared" si="30"/>
        <v>N/I</v>
      </c>
    </row>
    <row r="559">
      <c r="A559" s="11" t="s">
        <v>1491</v>
      </c>
      <c r="B559" s="11" t="s">
        <v>1567</v>
      </c>
      <c r="C559" s="12" t="s">
        <v>502</v>
      </c>
      <c r="D559" s="36">
        <v>17069.0</v>
      </c>
      <c r="E559" s="10" t="s">
        <v>227</v>
      </c>
      <c r="F559" s="10" t="s">
        <v>1497</v>
      </c>
      <c r="G559" s="12" t="s">
        <v>1557</v>
      </c>
      <c r="H559" s="10" t="s">
        <v>283</v>
      </c>
      <c r="I559" s="10" t="s">
        <v>1498</v>
      </c>
      <c r="J559" s="16" t="s">
        <v>45</v>
      </c>
      <c r="K559" s="16" t="s">
        <v>45</v>
      </c>
      <c r="L559" s="16" t="s">
        <v>45</v>
      </c>
      <c r="M559" s="10" t="s">
        <v>49</v>
      </c>
      <c r="N559" s="16" t="s">
        <v>45</v>
      </c>
      <c r="O559" s="10" t="s">
        <v>1499</v>
      </c>
      <c r="P559" s="9" t="str">
        <f t="shared" si="28"/>
        <v>N/I</v>
      </c>
      <c r="Q559" s="9" t="str">
        <f t="shared" si="29"/>
        <v>N/I</v>
      </c>
      <c r="R559" s="9" t="str">
        <f t="shared" si="30"/>
        <v>N/I</v>
      </c>
    </row>
    <row r="560">
      <c r="A560" s="11" t="s">
        <v>1500</v>
      </c>
      <c r="B560" s="11" t="s">
        <v>1569</v>
      </c>
      <c r="C560" s="12" t="s">
        <v>94</v>
      </c>
      <c r="D560" s="20" t="s">
        <v>1570</v>
      </c>
      <c r="E560" s="16" t="s">
        <v>45</v>
      </c>
      <c r="F560" s="10" t="s">
        <v>1506</v>
      </c>
      <c r="G560" s="12" t="s">
        <v>596</v>
      </c>
      <c r="H560" s="10" t="s">
        <v>283</v>
      </c>
      <c r="I560" s="16" t="s">
        <v>45</v>
      </c>
      <c r="J560" s="16" t="s">
        <v>45</v>
      </c>
      <c r="K560" s="16" t="s">
        <v>45</v>
      </c>
      <c r="L560" s="16" t="s">
        <v>45</v>
      </c>
      <c r="M560" s="10" t="s">
        <v>49</v>
      </c>
      <c r="N560" s="16" t="s">
        <v>45</v>
      </c>
      <c r="O560" s="10" t="s">
        <v>320</v>
      </c>
      <c r="P560" s="9" t="str">
        <f t="shared" si="28"/>
        <v>N/I</v>
      </c>
      <c r="Q560" s="9" t="str">
        <f t="shared" si="29"/>
        <v>N/I</v>
      </c>
      <c r="R560" s="9" t="str">
        <f t="shared" si="30"/>
        <v>N/I</v>
      </c>
    </row>
    <row r="561">
      <c r="A561" s="11" t="s">
        <v>1491</v>
      </c>
      <c r="B561" s="11" t="s">
        <v>1573</v>
      </c>
      <c r="C561" s="12" t="s">
        <v>502</v>
      </c>
      <c r="D561" s="36">
        <v>17058.0</v>
      </c>
      <c r="E561" s="10" t="s">
        <v>227</v>
      </c>
      <c r="F561" s="10" t="s">
        <v>1497</v>
      </c>
      <c r="G561" s="12" t="s">
        <v>596</v>
      </c>
      <c r="H561" s="10" t="s">
        <v>283</v>
      </c>
      <c r="I561" s="10" t="s">
        <v>1498</v>
      </c>
      <c r="J561" s="16" t="s">
        <v>45</v>
      </c>
      <c r="K561" s="16" t="s">
        <v>45</v>
      </c>
      <c r="L561" s="16" t="s">
        <v>45</v>
      </c>
      <c r="M561" s="10" t="s">
        <v>49</v>
      </c>
      <c r="N561" s="16" t="s">
        <v>45</v>
      </c>
      <c r="O561" s="10" t="s">
        <v>1499</v>
      </c>
      <c r="P561" s="9" t="str">
        <f t="shared" si="28"/>
        <v>N/I</v>
      </c>
      <c r="Q561" s="9" t="str">
        <f t="shared" si="29"/>
        <v>N/I</v>
      </c>
      <c r="R561" s="9" t="str">
        <f t="shared" si="30"/>
        <v>N/I</v>
      </c>
    </row>
    <row r="562">
      <c r="A562" s="11" t="s">
        <v>1491</v>
      </c>
      <c r="B562" s="11" t="s">
        <v>1576</v>
      </c>
      <c r="C562" s="12" t="s">
        <v>502</v>
      </c>
      <c r="D562" s="36">
        <v>17045.0</v>
      </c>
      <c r="E562" s="10" t="s">
        <v>227</v>
      </c>
      <c r="F562" s="10" t="s">
        <v>1497</v>
      </c>
      <c r="G562" s="12" t="s">
        <v>596</v>
      </c>
      <c r="H562" s="10" t="s">
        <v>283</v>
      </c>
      <c r="I562" s="10" t="s">
        <v>1498</v>
      </c>
      <c r="J562" s="16" t="s">
        <v>45</v>
      </c>
      <c r="K562" s="16" t="s">
        <v>45</v>
      </c>
      <c r="L562" s="16" t="s">
        <v>45</v>
      </c>
      <c r="M562" s="10" t="s">
        <v>49</v>
      </c>
      <c r="N562" s="16" t="s">
        <v>45</v>
      </c>
      <c r="O562" s="10" t="s">
        <v>1499</v>
      </c>
      <c r="P562" s="9" t="str">
        <f t="shared" si="28"/>
        <v>N/I</v>
      </c>
      <c r="Q562" s="9" t="str">
        <f t="shared" si="29"/>
        <v>N/I</v>
      </c>
      <c r="R562" s="9" t="str">
        <f t="shared" si="30"/>
        <v>N/I</v>
      </c>
    </row>
    <row r="563">
      <c r="A563" s="11" t="s">
        <v>1491</v>
      </c>
      <c r="B563" s="11" t="s">
        <v>1577</v>
      </c>
      <c r="C563" s="12" t="s">
        <v>502</v>
      </c>
      <c r="D563" s="36">
        <v>17073.0</v>
      </c>
      <c r="E563" s="10" t="s">
        <v>227</v>
      </c>
      <c r="F563" s="10" t="s">
        <v>1497</v>
      </c>
      <c r="G563" s="12" t="s">
        <v>596</v>
      </c>
      <c r="H563" s="10" t="s">
        <v>283</v>
      </c>
      <c r="I563" s="10" t="s">
        <v>1498</v>
      </c>
      <c r="J563" s="16" t="s">
        <v>45</v>
      </c>
      <c r="K563" s="16" t="s">
        <v>45</v>
      </c>
      <c r="L563" s="16" t="s">
        <v>45</v>
      </c>
      <c r="M563" s="10" t="s">
        <v>49</v>
      </c>
      <c r="N563" s="16" t="s">
        <v>45</v>
      </c>
      <c r="O563" s="10" t="s">
        <v>1499</v>
      </c>
      <c r="P563" s="9" t="str">
        <f t="shared" si="28"/>
        <v>N/I</v>
      </c>
      <c r="Q563" s="9" t="str">
        <f t="shared" si="29"/>
        <v>N/I</v>
      </c>
      <c r="R563" s="9" t="str">
        <f t="shared" si="30"/>
        <v>N/I</v>
      </c>
    </row>
    <row r="564">
      <c r="A564" s="11" t="s">
        <v>1491</v>
      </c>
      <c r="B564" s="11" t="s">
        <v>1580</v>
      </c>
      <c r="C564" s="12" t="s">
        <v>502</v>
      </c>
      <c r="D564" s="36">
        <v>17065.0</v>
      </c>
      <c r="E564" s="10" t="s">
        <v>227</v>
      </c>
      <c r="F564" s="10" t="s">
        <v>1497</v>
      </c>
      <c r="G564" s="12" t="s">
        <v>596</v>
      </c>
      <c r="H564" s="10" t="s">
        <v>283</v>
      </c>
      <c r="I564" s="10" t="s">
        <v>1498</v>
      </c>
      <c r="J564" s="16" t="s">
        <v>45</v>
      </c>
      <c r="K564" s="16" t="s">
        <v>45</v>
      </c>
      <c r="L564" s="16" t="s">
        <v>45</v>
      </c>
      <c r="M564" s="10" t="s">
        <v>49</v>
      </c>
      <c r="N564" s="16" t="s">
        <v>45</v>
      </c>
      <c r="O564" s="10" t="s">
        <v>1499</v>
      </c>
      <c r="P564" s="9" t="str">
        <f t="shared" si="28"/>
        <v>N/I</v>
      </c>
      <c r="Q564" s="9" t="str">
        <f t="shared" si="29"/>
        <v>N/I</v>
      </c>
      <c r="R564" s="9" t="str">
        <f t="shared" si="30"/>
        <v>N/I</v>
      </c>
    </row>
    <row r="565">
      <c r="A565" s="11" t="s">
        <v>1491</v>
      </c>
      <c r="B565" s="11" t="s">
        <v>1583</v>
      </c>
      <c r="C565" s="12" t="s">
        <v>502</v>
      </c>
      <c r="D565" s="36" t="s">
        <v>1584</v>
      </c>
      <c r="E565" s="10" t="s">
        <v>227</v>
      </c>
      <c r="F565" s="10" t="s">
        <v>1497</v>
      </c>
      <c r="G565" s="12" t="s">
        <v>596</v>
      </c>
      <c r="H565" s="10" t="s">
        <v>283</v>
      </c>
      <c r="I565" s="10" t="s">
        <v>1498</v>
      </c>
      <c r="J565" s="16" t="s">
        <v>45</v>
      </c>
      <c r="K565" s="16" t="s">
        <v>45</v>
      </c>
      <c r="L565" s="16" t="s">
        <v>45</v>
      </c>
      <c r="M565" s="10" t="s">
        <v>49</v>
      </c>
      <c r="N565" s="16" t="s">
        <v>45</v>
      </c>
      <c r="O565" s="10" t="s">
        <v>1499</v>
      </c>
      <c r="P565" s="9" t="str">
        <f t="shared" si="28"/>
        <v>N/I</v>
      </c>
      <c r="Q565" s="9" t="str">
        <f t="shared" si="29"/>
        <v>N/I</v>
      </c>
      <c r="R565" s="9" t="str">
        <f t="shared" si="30"/>
        <v>N/I</v>
      </c>
    </row>
    <row r="566">
      <c r="A566" s="11" t="s">
        <v>1491</v>
      </c>
      <c r="B566" s="11" t="s">
        <v>1586</v>
      </c>
      <c r="C566" s="12" t="s">
        <v>502</v>
      </c>
      <c r="D566" s="36">
        <v>17056.0</v>
      </c>
      <c r="E566" s="10" t="s">
        <v>227</v>
      </c>
      <c r="F566" s="10" t="s">
        <v>1497</v>
      </c>
      <c r="G566" s="12" t="s">
        <v>1587</v>
      </c>
      <c r="H566" s="10" t="s">
        <v>283</v>
      </c>
      <c r="I566" s="10" t="s">
        <v>1498</v>
      </c>
      <c r="J566" s="16" t="s">
        <v>45</v>
      </c>
      <c r="K566" s="16" t="s">
        <v>45</v>
      </c>
      <c r="L566" s="16" t="s">
        <v>45</v>
      </c>
      <c r="M566" s="10" t="s">
        <v>49</v>
      </c>
      <c r="N566" s="16" t="s">
        <v>45</v>
      </c>
      <c r="O566" s="10" t="s">
        <v>1499</v>
      </c>
      <c r="P566" s="9" t="str">
        <f t="shared" si="28"/>
        <v>N/I</v>
      </c>
      <c r="Q566" s="9" t="str">
        <f t="shared" si="29"/>
        <v>N/I</v>
      </c>
      <c r="R566" s="9" t="str">
        <f t="shared" si="30"/>
        <v>N/I</v>
      </c>
    </row>
    <row r="567">
      <c r="A567" s="11" t="s">
        <v>1491</v>
      </c>
      <c r="B567" s="11" t="s">
        <v>1590</v>
      </c>
      <c r="C567" s="12" t="s">
        <v>502</v>
      </c>
      <c r="D567" s="36">
        <v>17051.0</v>
      </c>
      <c r="E567" s="10" t="s">
        <v>227</v>
      </c>
      <c r="F567" s="10" t="s">
        <v>1497</v>
      </c>
      <c r="G567" s="12" t="s">
        <v>1587</v>
      </c>
      <c r="H567" s="10" t="s">
        <v>283</v>
      </c>
      <c r="I567" s="10" t="s">
        <v>1498</v>
      </c>
      <c r="J567" s="16" t="s">
        <v>45</v>
      </c>
      <c r="K567" s="16" t="s">
        <v>45</v>
      </c>
      <c r="L567" s="16" t="s">
        <v>45</v>
      </c>
      <c r="M567" s="10" t="s">
        <v>49</v>
      </c>
      <c r="N567" s="16" t="s">
        <v>45</v>
      </c>
      <c r="O567" s="10" t="s">
        <v>1499</v>
      </c>
      <c r="P567" s="9" t="str">
        <f t="shared" si="28"/>
        <v>N/I</v>
      </c>
      <c r="Q567" s="9" t="str">
        <f t="shared" si="29"/>
        <v>N/I</v>
      </c>
      <c r="R567" s="9" t="str">
        <f t="shared" si="30"/>
        <v>N/I</v>
      </c>
    </row>
    <row r="568">
      <c r="A568" s="11" t="s">
        <v>1491</v>
      </c>
      <c r="B568" s="11" t="s">
        <v>1593</v>
      </c>
      <c r="C568" s="12" t="s">
        <v>502</v>
      </c>
      <c r="D568" s="36">
        <v>17061.0</v>
      </c>
      <c r="E568" s="10" t="s">
        <v>227</v>
      </c>
      <c r="F568" s="10" t="s">
        <v>1497</v>
      </c>
      <c r="G568" s="12" t="s">
        <v>1587</v>
      </c>
      <c r="H568" s="10" t="s">
        <v>283</v>
      </c>
      <c r="I568" s="10" t="s">
        <v>1498</v>
      </c>
      <c r="J568" s="16" t="s">
        <v>45</v>
      </c>
      <c r="K568" s="16" t="s">
        <v>45</v>
      </c>
      <c r="L568" s="16" t="s">
        <v>45</v>
      </c>
      <c r="M568" s="10" t="s">
        <v>49</v>
      </c>
      <c r="N568" s="16" t="s">
        <v>45</v>
      </c>
      <c r="O568" s="10" t="s">
        <v>1499</v>
      </c>
      <c r="P568" s="9" t="str">
        <f t="shared" si="28"/>
        <v>N/I</v>
      </c>
      <c r="Q568" s="9" t="str">
        <f t="shared" si="29"/>
        <v>N/I</v>
      </c>
      <c r="R568" s="9" t="str">
        <f t="shared" si="30"/>
        <v>N/I</v>
      </c>
    </row>
    <row r="569">
      <c r="A569" s="11" t="s">
        <v>1500</v>
      </c>
      <c r="B569" s="11" t="s">
        <v>1595</v>
      </c>
      <c r="C569" s="12" t="s">
        <v>94</v>
      </c>
      <c r="D569" s="20" t="s">
        <v>1596</v>
      </c>
      <c r="E569" s="16" t="s">
        <v>45</v>
      </c>
      <c r="F569" s="10" t="s">
        <v>1506</v>
      </c>
      <c r="G569" s="12" t="s">
        <v>1597</v>
      </c>
      <c r="H569" s="10" t="s">
        <v>283</v>
      </c>
      <c r="I569" s="16" t="s">
        <v>45</v>
      </c>
      <c r="J569" s="16" t="s">
        <v>45</v>
      </c>
      <c r="K569" s="16" t="s">
        <v>45</v>
      </c>
      <c r="L569" s="16" t="s">
        <v>45</v>
      </c>
      <c r="M569" s="10" t="s">
        <v>49</v>
      </c>
      <c r="N569" s="16" t="s">
        <v>45</v>
      </c>
      <c r="O569" s="10" t="s">
        <v>320</v>
      </c>
      <c r="P569" s="9" t="str">
        <f t="shared" si="28"/>
        <v>N/I</v>
      </c>
      <c r="Q569" s="9" t="str">
        <f t="shared" si="29"/>
        <v>N/I</v>
      </c>
      <c r="R569" s="9" t="str">
        <f t="shared" si="30"/>
        <v>N/I</v>
      </c>
    </row>
    <row r="570">
      <c r="A570" s="11" t="s">
        <v>1600</v>
      </c>
      <c r="B570" s="11" t="s">
        <v>1601</v>
      </c>
      <c r="C570" s="12" t="s">
        <v>94</v>
      </c>
      <c r="D570" s="20" t="s">
        <v>1602</v>
      </c>
      <c r="E570" s="16" t="s">
        <v>45</v>
      </c>
      <c r="F570" s="10" t="s">
        <v>1603</v>
      </c>
      <c r="G570" s="12" t="s">
        <v>1597</v>
      </c>
      <c r="H570" s="10" t="s">
        <v>283</v>
      </c>
      <c r="I570" s="16" t="s">
        <v>45</v>
      </c>
      <c r="J570" s="16" t="s">
        <v>45</v>
      </c>
      <c r="K570" s="16" t="s">
        <v>45</v>
      </c>
      <c r="L570" s="16" t="s">
        <v>45</v>
      </c>
      <c r="M570" s="10" t="s">
        <v>49</v>
      </c>
      <c r="N570" s="16" t="s">
        <v>45</v>
      </c>
      <c r="O570" s="10" t="s">
        <v>320</v>
      </c>
      <c r="P570" s="9" t="str">
        <f t="shared" si="28"/>
        <v>N/I</v>
      </c>
      <c r="Q570" s="9" t="str">
        <f t="shared" si="29"/>
        <v>N/I</v>
      </c>
      <c r="R570" s="9" t="str">
        <f t="shared" si="30"/>
        <v>N/I</v>
      </c>
    </row>
    <row r="571">
      <c r="A571" s="11" t="s">
        <v>1500</v>
      </c>
      <c r="B571" s="11" t="s">
        <v>1604</v>
      </c>
      <c r="C571" s="12" t="s">
        <v>94</v>
      </c>
      <c r="D571" s="20" t="s">
        <v>1605</v>
      </c>
      <c r="E571" s="16" t="s">
        <v>45</v>
      </c>
      <c r="F571" s="10" t="s">
        <v>1506</v>
      </c>
      <c r="G571" s="12" t="s">
        <v>1606</v>
      </c>
      <c r="H571" s="10" t="s">
        <v>283</v>
      </c>
      <c r="I571" s="16" t="s">
        <v>45</v>
      </c>
      <c r="J571" s="16" t="s">
        <v>45</v>
      </c>
      <c r="K571" s="16" t="s">
        <v>45</v>
      </c>
      <c r="L571" s="16" t="s">
        <v>45</v>
      </c>
      <c r="M571" s="10" t="s">
        <v>49</v>
      </c>
      <c r="N571" s="16" t="s">
        <v>45</v>
      </c>
      <c r="O571" s="10" t="s">
        <v>320</v>
      </c>
      <c r="P571" s="9" t="str">
        <f t="shared" si="28"/>
        <v>N/I</v>
      </c>
      <c r="Q571" s="9" t="str">
        <f t="shared" si="29"/>
        <v>N/I</v>
      </c>
      <c r="R571" s="9" t="str">
        <f t="shared" si="30"/>
        <v>N/I</v>
      </c>
    </row>
    <row r="572">
      <c r="A572" s="11" t="s">
        <v>1500</v>
      </c>
      <c r="B572" s="11" t="s">
        <v>1604</v>
      </c>
      <c r="C572" s="12" t="s">
        <v>94</v>
      </c>
      <c r="D572" s="20" t="s">
        <v>1609</v>
      </c>
      <c r="E572" s="16" t="s">
        <v>45</v>
      </c>
      <c r="F572" s="10" t="s">
        <v>1506</v>
      </c>
      <c r="G572" s="12" t="s">
        <v>1606</v>
      </c>
      <c r="H572" s="10" t="s">
        <v>283</v>
      </c>
      <c r="I572" s="16" t="s">
        <v>45</v>
      </c>
      <c r="J572" s="16" t="s">
        <v>45</v>
      </c>
      <c r="K572" s="16" t="s">
        <v>45</v>
      </c>
      <c r="L572" s="16" t="s">
        <v>45</v>
      </c>
      <c r="M572" s="10" t="s">
        <v>49</v>
      </c>
      <c r="N572" s="16" t="s">
        <v>45</v>
      </c>
      <c r="O572" s="10" t="s">
        <v>320</v>
      </c>
      <c r="P572" s="9" t="str">
        <f t="shared" si="28"/>
        <v>N/I</v>
      </c>
      <c r="Q572" s="9" t="str">
        <f t="shared" si="29"/>
        <v>N/I</v>
      </c>
      <c r="R572" s="9" t="str">
        <f t="shared" si="30"/>
        <v>N/I</v>
      </c>
    </row>
    <row r="573">
      <c r="A573" s="11" t="s">
        <v>1500</v>
      </c>
      <c r="B573" s="11" t="s">
        <v>1610</v>
      </c>
      <c r="C573" s="12" t="s">
        <v>94</v>
      </c>
      <c r="D573" s="20" t="s">
        <v>1611</v>
      </c>
      <c r="E573" s="16" t="s">
        <v>45</v>
      </c>
      <c r="F573" s="10" t="s">
        <v>1506</v>
      </c>
      <c r="G573" s="12" t="s">
        <v>1606</v>
      </c>
      <c r="H573" s="10" t="s">
        <v>283</v>
      </c>
      <c r="I573" s="16" t="s">
        <v>45</v>
      </c>
      <c r="J573" s="16" t="s">
        <v>45</v>
      </c>
      <c r="K573" s="16" t="s">
        <v>45</v>
      </c>
      <c r="L573" s="16" t="s">
        <v>45</v>
      </c>
      <c r="M573" s="10" t="s">
        <v>49</v>
      </c>
      <c r="N573" s="16" t="s">
        <v>45</v>
      </c>
      <c r="O573" s="10" t="s">
        <v>320</v>
      </c>
      <c r="P573" s="9" t="str">
        <f t="shared" si="28"/>
        <v>N/I</v>
      </c>
      <c r="Q573" s="9" t="str">
        <f t="shared" si="29"/>
        <v>N/I</v>
      </c>
      <c r="R573" s="9" t="str">
        <f t="shared" si="30"/>
        <v>N/I</v>
      </c>
    </row>
    <row r="574">
      <c r="A574" s="11" t="s">
        <v>1500</v>
      </c>
      <c r="B574" s="11" t="s">
        <v>1613</v>
      </c>
      <c r="C574" s="12" t="s">
        <v>94</v>
      </c>
      <c r="D574" s="20" t="s">
        <v>1614</v>
      </c>
      <c r="E574" s="16" t="s">
        <v>45</v>
      </c>
      <c r="F574" s="10" t="s">
        <v>1506</v>
      </c>
      <c r="G574" s="12" t="s">
        <v>1615</v>
      </c>
      <c r="H574" s="10" t="s">
        <v>283</v>
      </c>
      <c r="I574" s="16" t="s">
        <v>45</v>
      </c>
      <c r="J574" s="16" t="s">
        <v>45</v>
      </c>
      <c r="K574" s="16" t="s">
        <v>45</v>
      </c>
      <c r="L574" s="16" t="s">
        <v>45</v>
      </c>
      <c r="M574" s="10" t="s">
        <v>49</v>
      </c>
      <c r="N574" s="16" t="s">
        <v>45</v>
      </c>
      <c r="O574" s="10" t="s">
        <v>320</v>
      </c>
      <c r="P574" s="9" t="str">
        <f t="shared" si="28"/>
        <v>N/I</v>
      </c>
      <c r="Q574" s="9" t="str">
        <f t="shared" si="29"/>
        <v>N/I</v>
      </c>
      <c r="R574" s="9" t="str">
        <f t="shared" si="30"/>
        <v>N/I</v>
      </c>
    </row>
    <row r="575">
      <c r="A575" s="11" t="s">
        <v>1491</v>
      </c>
      <c r="B575" s="11" t="s">
        <v>1613</v>
      </c>
      <c r="C575" s="12" t="s">
        <v>502</v>
      </c>
      <c r="D575" s="36">
        <v>17057.0</v>
      </c>
      <c r="E575" s="10" t="s">
        <v>227</v>
      </c>
      <c r="F575" s="10" t="s">
        <v>1497</v>
      </c>
      <c r="G575" s="12" t="s">
        <v>1615</v>
      </c>
      <c r="H575" s="10" t="s">
        <v>283</v>
      </c>
      <c r="I575" s="10" t="s">
        <v>1498</v>
      </c>
      <c r="J575" s="16" t="s">
        <v>45</v>
      </c>
      <c r="K575" s="16" t="s">
        <v>45</v>
      </c>
      <c r="L575" s="16" t="s">
        <v>45</v>
      </c>
      <c r="M575" s="10" t="s">
        <v>49</v>
      </c>
      <c r="N575" s="16" t="s">
        <v>45</v>
      </c>
      <c r="O575" s="10" t="s">
        <v>1499</v>
      </c>
      <c r="P575" s="9" t="str">
        <f t="shared" si="28"/>
        <v>N/I</v>
      </c>
      <c r="Q575" s="9" t="str">
        <f t="shared" si="29"/>
        <v>N/I</v>
      </c>
      <c r="R575" s="9" t="str">
        <f t="shared" si="30"/>
        <v>N/I</v>
      </c>
    </row>
    <row r="576">
      <c r="A576" s="11" t="s">
        <v>1491</v>
      </c>
      <c r="B576" s="11" t="s">
        <v>1619</v>
      </c>
      <c r="C576" s="12" t="s">
        <v>502</v>
      </c>
      <c r="D576" s="34" t="s">
        <v>1620</v>
      </c>
      <c r="E576" s="10" t="s">
        <v>227</v>
      </c>
      <c r="F576" s="10" t="s">
        <v>1497</v>
      </c>
      <c r="G576" s="12" t="s">
        <v>1336</v>
      </c>
      <c r="H576" s="10" t="s">
        <v>283</v>
      </c>
      <c r="I576" s="10" t="s">
        <v>1498</v>
      </c>
      <c r="J576" s="16" t="s">
        <v>45</v>
      </c>
      <c r="K576" s="16" t="s">
        <v>45</v>
      </c>
      <c r="L576" s="16" t="s">
        <v>45</v>
      </c>
      <c r="M576" s="10" t="s">
        <v>49</v>
      </c>
      <c r="N576" s="16" t="s">
        <v>45</v>
      </c>
      <c r="O576" s="10" t="s">
        <v>1499</v>
      </c>
      <c r="P576" s="9" t="str">
        <f t="shared" si="28"/>
        <v>N/I</v>
      </c>
      <c r="Q576" s="9" t="str">
        <f t="shared" si="29"/>
        <v>N/I</v>
      </c>
      <c r="R576" s="9" t="str">
        <f t="shared" si="30"/>
        <v>N/I</v>
      </c>
    </row>
    <row r="577">
      <c r="A577" s="11" t="s">
        <v>1491</v>
      </c>
      <c r="B577" s="11" t="s">
        <v>1619</v>
      </c>
      <c r="C577" s="12" t="s">
        <v>502</v>
      </c>
      <c r="D577" s="34" t="s">
        <v>1622</v>
      </c>
      <c r="E577" s="10" t="s">
        <v>227</v>
      </c>
      <c r="F577" s="10" t="s">
        <v>1497</v>
      </c>
      <c r="G577" s="12" t="s">
        <v>1336</v>
      </c>
      <c r="H577" s="10" t="s">
        <v>283</v>
      </c>
      <c r="I577" s="10" t="s">
        <v>1498</v>
      </c>
      <c r="J577" s="16" t="s">
        <v>45</v>
      </c>
      <c r="K577" s="16" t="s">
        <v>45</v>
      </c>
      <c r="L577" s="16" t="s">
        <v>45</v>
      </c>
      <c r="M577" s="10" t="s">
        <v>49</v>
      </c>
      <c r="N577" s="16" t="s">
        <v>45</v>
      </c>
      <c r="O577" s="10" t="s">
        <v>1499</v>
      </c>
      <c r="P577" s="9" t="str">
        <f t="shared" si="28"/>
        <v>N/I</v>
      </c>
      <c r="Q577" s="9" t="str">
        <f t="shared" si="29"/>
        <v>N/I</v>
      </c>
      <c r="R577" s="9" t="str">
        <f t="shared" si="30"/>
        <v>N/I</v>
      </c>
    </row>
    <row r="578">
      <c r="A578" s="11" t="s">
        <v>1491</v>
      </c>
      <c r="B578" s="11" t="s">
        <v>1619</v>
      </c>
      <c r="C578" s="12" t="s">
        <v>502</v>
      </c>
      <c r="D578" s="34" t="s">
        <v>1623</v>
      </c>
      <c r="E578" s="10" t="s">
        <v>227</v>
      </c>
      <c r="F578" s="10" t="s">
        <v>1497</v>
      </c>
      <c r="G578" s="12" t="s">
        <v>1336</v>
      </c>
      <c r="H578" s="10" t="s">
        <v>283</v>
      </c>
      <c r="I578" s="10" t="s">
        <v>1498</v>
      </c>
      <c r="J578" s="16" t="s">
        <v>45</v>
      </c>
      <c r="K578" s="16" t="s">
        <v>45</v>
      </c>
      <c r="L578" s="16" t="s">
        <v>45</v>
      </c>
      <c r="M578" s="10" t="s">
        <v>49</v>
      </c>
      <c r="N578" s="16" t="s">
        <v>45</v>
      </c>
      <c r="O578" s="10" t="s">
        <v>1499</v>
      </c>
      <c r="P578" s="9" t="str">
        <f t="shared" si="28"/>
        <v>N/I</v>
      </c>
      <c r="Q578" s="9" t="str">
        <f t="shared" si="29"/>
        <v>N/I</v>
      </c>
      <c r="R578" s="9" t="str">
        <f t="shared" si="30"/>
        <v>N/I</v>
      </c>
    </row>
    <row r="579">
      <c r="A579" s="11" t="s">
        <v>1600</v>
      </c>
      <c r="B579" s="11" t="s">
        <v>1624</v>
      </c>
      <c r="C579" s="12" t="s">
        <v>94</v>
      </c>
      <c r="D579" s="20" t="s">
        <v>1625</v>
      </c>
      <c r="E579" s="16" t="s">
        <v>45</v>
      </c>
      <c r="F579" s="10" t="s">
        <v>1603</v>
      </c>
      <c r="G579" s="12" t="s">
        <v>1626</v>
      </c>
      <c r="H579" s="10" t="s">
        <v>283</v>
      </c>
      <c r="I579" s="16" t="s">
        <v>45</v>
      </c>
      <c r="J579" s="16" t="s">
        <v>45</v>
      </c>
      <c r="K579" s="16" t="s">
        <v>45</v>
      </c>
      <c r="L579" s="16" t="s">
        <v>45</v>
      </c>
      <c r="M579" s="10" t="s">
        <v>49</v>
      </c>
      <c r="N579" s="16" t="s">
        <v>45</v>
      </c>
      <c r="O579" s="10" t="s">
        <v>320</v>
      </c>
      <c r="P579" s="9" t="str">
        <f t="shared" si="28"/>
        <v>N/I</v>
      </c>
      <c r="Q579" s="9" t="str">
        <f t="shared" si="29"/>
        <v>N/I</v>
      </c>
      <c r="R579" s="9" t="str">
        <f t="shared" si="30"/>
        <v>N/I</v>
      </c>
    </row>
    <row r="580">
      <c r="A580" s="11" t="s">
        <v>1491</v>
      </c>
      <c r="B580" s="11" t="s">
        <v>1629</v>
      </c>
      <c r="C580" s="12" t="s">
        <v>502</v>
      </c>
      <c r="D580" s="36">
        <v>17064.0</v>
      </c>
      <c r="E580" s="10" t="s">
        <v>227</v>
      </c>
      <c r="F580" s="10" t="s">
        <v>1497</v>
      </c>
      <c r="G580" s="12" t="s">
        <v>1626</v>
      </c>
      <c r="H580" s="10" t="s">
        <v>283</v>
      </c>
      <c r="I580" s="10" t="s">
        <v>1498</v>
      </c>
      <c r="J580" s="16" t="s">
        <v>45</v>
      </c>
      <c r="K580" s="16" t="s">
        <v>45</v>
      </c>
      <c r="L580" s="16" t="s">
        <v>45</v>
      </c>
      <c r="M580" s="10" t="s">
        <v>49</v>
      </c>
      <c r="N580" s="16" t="s">
        <v>45</v>
      </c>
      <c r="O580" s="10" t="s">
        <v>1499</v>
      </c>
      <c r="P580" s="9" t="str">
        <f t="shared" si="28"/>
        <v>N/I</v>
      </c>
      <c r="Q580" s="9" t="str">
        <f t="shared" si="29"/>
        <v>N/I</v>
      </c>
      <c r="R580" s="9" t="str">
        <f t="shared" si="30"/>
        <v>N/I</v>
      </c>
    </row>
    <row r="581">
      <c r="A581" s="11" t="s">
        <v>1491</v>
      </c>
      <c r="B581" s="11" t="s">
        <v>1632</v>
      </c>
      <c r="C581" s="12" t="s">
        <v>502</v>
      </c>
      <c r="D581" s="36">
        <v>17055.0</v>
      </c>
      <c r="E581" s="10" t="s">
        <v>227</v>
      </c>
      <c r="F581" s="10" t="s">
        <v>1497</v>
      </c>
      <c r="G581" s="12" t="s">
        <v>1626</v>
      </c>
      <c r="H581" s="10" t="s">
        <v>283</v>
      </c>
      <c r="I581" s="10" t="s">
        <v>1498</v>
      </c>
      <c r="J581" s="16" t="s">
        <v>45</v>
      </c>
      <c r="K581" s="16" t="s">
        <v>45</v>
      </c>
      <c r="L581" s="16" t="s">
        <v>45</v>
      </c>
      <c r="M581" s="10" t="s">
        <v>49</v>
      </c>
      <c r="N581" s="16" t="s">
        <v>45</v>
      </c>
      <c r="O581" s="10" t="s">
        <v>1499</v>
      </c>
      <c r="P581" s="9" t="str">
        <f t="shared" si="28"/>
        <v>N/I</v>
      </c>
      <c r="Q581" s="9" t="str">
        <f t="shared" si="29"/>
        <v>N/I</v>
      </c>
      <c r="R581" s="9" t="str">
        <f t="shared" si="30"/>
        <v>N/I</v>
      </c>
    </row>
    <row r="582">
      <c r="A582" s="11" t="s">
        <v>1491</v>
      </c>
      <c r="B582" s="11" t="s">
        <v>1629</v>
      </c>
      <c r="C582" s="12" t="s">
        <v>502</v>
      </c>
      <c r="D582" s="36">
        <v>17072.0</v>
      </c>
      <c r="E582" s="10" t="s">
        <v>227</v>
      </c>
      <c r="F582" s="10" t="s">
        <v>1497</v>
      </c>
      <c r="G582" s="12" t="s">
        <v>1626</v>
      </c>
      <c r="H582" s="10" t="s">
        <v>283</v>
      </c>
      <c r="I582" s="10" t="s">
        <v>1498</v>
      </c>
      <c r="J582" s="16" t="s">
        <v>45</v>
      </c>
      <c r="K582" s="16" t="s">
        <v>45</v>
      </c>
      <c r="L582" s="16" t="s">
        <v>45</v>
      </c>
      <c r="M582" s="10" t="s">
        <v>49</v>
      </c>
      <c r="N582" s="16" t="s">
        <v>45</v>
      </c>
      <c r="O582" s="10" t="s">
        <v>1499</v>
      </c>
      <c r="P582" s="9" t="str">
        <f t="shared" si="28"/>
        <v>N/I</v>
      </c>
      <c r="Q582" s="9" t="str">
        <f t="shared" si="29"/>
        <v>N/I</v>
      </c>
      <c r="R582" s="9" t="str">
        <f t="shared" si="30"/>
        <v>N/I</v>
      </c>
    </row>
    <row r="583">
      <c r="A583" s="11" t="s">
        <v>1491</v>
      </c>
      <c r="B583" s="11" t="s">
        <v>1633</v>
      </c>
      <c r="C583" s="12" t="s">
        <v>502</v>
      </c>
      <c r="D583" s="36" t="s">
        <v>1634</v>
      </c>
      <c r="E583" s="10" t="s">
        <v>227</v>
      </c>
      <c r="F583" s="10" t="s">
        <v>1497</v>
      </c>
      <c r="G583" s="12" t="s">
        <v>1626</v>
      </c>
      <c r="H583" s="10" t="s">
        <v>283</v>
      </c>
      <c r="I583" s="10" t="s">
        <v>1498</v>
      </c>
      <c r="J583" s="16" t="s">
        <v>45</v>
      </c>
      <c r="K583" s="16" t="s">
        <v>45</v>
      </c>
      <c r="L583" s="16" t="s">
        <v>45</v>
      </c>
      <c r="M583" s="10" t="s">
        <v>49</v>
      </c>
      <c r="N583" s="16" t="s">
        <v>45</v>
      </c>
      <c r="O583" s="10" t="s">
        <v>1499</v>
      </c>
      <c r="P583" s="9" t="str">
        <f t="shared" si="28"/>
        <v>N/I</v>
      </c>
      <c r="Q583" s="9" t="str">
        <f t="shared" si="29"/>
        <v>N/I</v>
      </c>
      <c r="R583" s="9" t="str">
        <f t="shared" si="30"/>
        <v>N/I</v>
      </c>
    </row>
    <row r="584">
      <c r="A584" s="11" t="s">
        <v>1600</v>
      </c>
      <c r="B584" s="11" t="s">
        <v>1637</v>
      </c>
      <c r="C584" s="12" t="s">
        <v>94</v>
      </c>
      <c r="D584" s="20" t="s">
        <v>1638</v>
      </c>
      <c r="E584" s="16" t="s">
        <v>45</v>
      </c>
      <c r="F584" s="10" t="s">
        <v>1603</v>
      </c>
      <c r="G584" s="12" t="s">
        <v>1639</v>
      </c>
      <c r="H584" s="10" t="s">
        <v>283</v>
      </c>
      <c r="I584" s="16" t="s">
        <v>45</v>
      </c>
      <c r="J584" s="16" t="s">
        <v>45</v>
      </c>
      <c r="K584" s="16" t="s">
        <v>45</v>
      </c>
      <c r="L584" s="16" t="s">
        <v>45</v>
      </c>
      <c r="M584" s="10" t="s">
        <v>49</v>
      </c>
      <c r="N584" s="16" t="s">
        <v>45</v>
      </c>
      <c r="O584" s="10" t="s">
        <v>320</v>
      </c>
      <c r="P584" s="9" t="str">
        <f t="shared" si="28"/>
        <v>N/I</v>
      </c>
      <c r="Q584" s="9" t="str">
        <f t="shared" si="29"/>
        <v>N/I</v>
      </c>
      <c r="R584" s="9" t="str">
        <f t="shared" si="30"/>
        <v>N/I</v>
      </c>
    </row>
    <row r="585">
      <c r="A585" s="11" t="s">
        <v>1500</v>
      </c>
      <c r="B585" s="11" t="s">
        <v>1642</v>
      </c>
      <c r="C585" s="12" t="s">
        <v>94</v>
      </c>
      <c r="D585" s="20" t="s">
        <v>1643</v>
      </c>
      <c r="E585" s="16" t="s">
        <v>45</v>
      </c>
      <c r="F585" s="10" t="s">
        <v>1506</v>
      </c>
      <c r="G585" s="12" t="s">
        <v>627</v>
      </c>
      <c r="H585" s="10" t="s">
        <v>283</v>
      </c>
      <c r="I585" s="16" t="s">
        <v>45</v>
      </c>
      <c r="J585" s="16" t="s">
        <v>45</v>
      </c>
      <c r="K585" s="16" t="s">
        <v>45</v>
      </c>
      <c r="L585" s="16" t="s">
        <v>45</v>
      </c>
      <c r="M585" s="10" t="s">
        <v>49</v>
      </c>
      <c r="N585" s="16" t="s">
        <v>45</v>
      </c>
      <c r="O585" s="10" t="s">
        <v>320</v>
      </c>
      <c r="P585" s="9" t="str">
        <f t="shared" si="28"/>
        <v>N/I</v>
      </c>
      <c r="Q585" s="9" t="str">
        <f t="shared" si="29"/>
        <v>N/I</v>
      </c>
      <c r="R585" s="9" t="str">
        <f t="shared" si="30"/>
        <v>N/I</v>
      </c>
    </row>
    <row r="586">
      <c r="A586" s="11" t="s">
        <v>1500</v>
      </c>
      <c r="B586" s="11" t="s">
        <v>1646</v>
      </c>
      <c r="C586" s="12" t="s">
        <v>94</v>
      </c>
      <c r="D586" s="20" t="s">
        <v>1647</v>
      </c>
      <c r="E586" s="16" t="s">
        <v>45</v>
      </c>
      <c r="F586" s="10" t="s">
        <v>1506</v>
      </c>
      <c r="G586" s="12" t="s">
        <v>627</v>
      </c>
      <c r="H586" s="10" t="s">
        <v>283</v>
      </c>
      <c r="I586" s="16" t="s">
        <v>45</v>
      </c>
      <c r="J586" s="16" t="s">
        <v>45</v>
      </c>
      <c r="K586" s="16" t="s">
        <v>45</v>
      </c>
      <c r="L586" s="16" t="s">
        <v>45</v>
      </c>
      <c r="M586" s="10" t="s">
        <v>49</v>
      </c>
      <c r="N586" s="16" t="s">
        <v>45</v>
      </c>
      <c r="O586" s="10" t="s">
        <v>320</v>
      </c>
      <c r="P586" s="9" t="str">
        <f t="shared" si="28"/>
        <v>N/I</v>
      </c>
      <c r="Q586" s="9" t="str">
        <f t="shared" si="29"/>
        <v>N/I</v>
      </c>
      <c r="R586" s="9" t="str">
        <f t="shared" si="30"/>
        <v>N/I</v>
      </c>
    </row>
    <row r="587">
      <c r="A587" s="11" t="s">
        <v>1491</v>
      </c>
      <c r="B587" s="11" t="s">
        <v>1648</v>
      </c>
      <c r="C587" s="12" t="s">
        <v>502</v>
      </c>
      <c r="D587" s="36">
        <v>17060.0</v>
      </c>
      <c r="E587" s="10" t="s">
        <v>227</v>
      </c>
      <c r="F587" s="10" t="s">
        <v>1497</v>
      </c>
      <c r="G587" s="12" t="s">
        <v>627</v>
      </c>
      <c r="H587" s="10" t="s">
        <v>283</v>
      </c>
      <c r="I587" s="10" t="s">
        <v>1498</v>
      </c>
      <c r="J587" s="16" t="s">
        <v>45</v>
      </c>
      <c r="K587" s="16" t="s">
        <v>45</v>
      </c>
      <c r="L587" s="16" t="s">
        <v>45</v>
      </c>
      <c r="M587" s="10" t="s">
        <v>49</v>
      </c>
      <c r="N587" s="16" t="s">
        <v>45</v>
      </c>
      <c r="O587" s="10" t="s">
        <v>1499</v>
      </c>
      <c r="P587" s="9" t="str">
        <f t="shared" si="28"/>
        <v>N/I</v>
      </c>
      <c r="Q587" s="9" t="str">
        <f t="shared" si="29"/>
        <v>N/I</v>
      </c>
      <c r="R587" s="9" t="str">
        <f t="shared" si="30"/>
        <v>N/I</v>
      </c>
    </row>
    <row r="588">
      <c r="A588" s="11" t="s">
        <v>1650</v>
      </c>
      <c r="B588" s="11" t="s">
        <v>1651</v>
      </c>
      <c r="C588" s="12" t="s">
        <v>502</v>
      </c>
      <c r="D588" s="36" t="s">
        <v>1652</v>
      </c>
      <c r="E588" s="16" t="s">
        <v>45</v>
      </c>
      <c r="F588" s="10" t="s">
        <v>1655</v>
      </c>
      <c r="G588" s="12" t="s">
        <v>958</v>
      </c>
      <c r="H588" s="10" t="s">
        <v>562</v>
      </c>
      <c r="I588" s="16" t="s">
        <v>45</v>
      </c>
      <c r="J588" s="16" t="s">
        <v>45</v>
      </c>
      <c r="K588" s="16" t="s">
        <v>45</v>
      </c>
      <c r="L588" s="16" t="s">
        <v>45</v>
      </c>
      <c r="M588" s="16" t="s">
        <v>45</v>
      </c>
      <c r="N588" s="16" t="s">
        <v>45</v>
      </c>
      <c r="O588" s="16" t="s">
        <v>45</v>
      </c>
      <c r="P588" s="9" t="str">
        <f t="shared" si="28"/>
        <v>N/I</v>
      </c>
      <c r="Q588" s="9" t="str">
        <f t="shared" si="29"/>
        <v>N/I</v>
      </c>
      <c r="R588" s="9" t="str">
        <f t="shared" si="30"/>
        <v>N/I</v>
      </c>
    </row>
    <row r="589">
      <c r="A589" s="11" t="s">
        <v>1650</v>
      </c>
      <c r="B589" s="11" t="s">
        <v>1656</v>
      </c>
      <c r="C589" s="12" t="s">
        <v>502</v>
      </c>
      <c r="D589" s="36" t="s">
        <v>1657</v>
      </c>
      <c r="E589" s="16" t="s">
        <v>45</v>
      </c>
      <c r="F589" s="10" t="s">
        <v>1655</v>
      </c>
      <c r="G589" s="12" t="s">
        <v>963</v>
      </c>
      <c r="H589" s="10" t="s">
        <v>562</v>
      </c>
      <c r="I589" s="16" t="s">
        <v>45</v>
      </c>
      <c r="J589" s="16" t="s">
        <v>45</v>
      </c>
      <c r="K589" s="16" t="s">
        <v>45</v>
      </c>
      <c r="L589" s="16" t="s">
        <v>45</v>
      </c>
      <c r="M589" s="16" t="s">
        <v>45</v>
      </c>
      <c r="N589" s="16" t="s">
        <v>45</v>
      </c>
      <c r="O589" s="16" t="s">
        <v>45</v>
      </c>
      <c r="P589" s="9" t="str">
        <f t="shared" si="28"/>
        <v>N/I</v>
      </c>
      <c r="Q589" s="9" t="str">
        <f t="shared" si="29"/>
        <v>N/I</v>
      </c>
      <c r="R589" s="9" t="str">
        <f t="shared" si="30"/>
        <v>N/I</v>
      </c>
    </row>
    <row r="590">
      <c r="A590" s="11" t="s">
        <v>1650</v>
      </c>
      <c r="B590" s="11" t="s">
        <v>1659</v>
      </c>
      <c r="C590" s="12" t="s">
        <v>502</v>
      </c>
      <c r="D590" s="36" t="s">
        <v>1660</v>
      </c>
      <c r="E590" s="16" t="s">
        <v>45</v>
      </c>
      <c r="F590" s="10" t="s">
        <v>1655</v>
      </c>
      <c r="G590" s="12" t="s">
        <v>963</v>
      </c>
      <c r="H590" s="10" t="s">
        <v>562</v>
      </c>
      <c r="I590" s="16" t="s">
        <v>45</v>
      </c>
      <c r="J590" s="16" t="s">
        <v>45</v>
      </c>
      <c r="K590" s="16" t="s">
        <v>45</v>
      </c>
      <c r="L590" s="16" t="s">
        <v>45</v>
      </c>
      <c r="M590" s="16" t="s">
        <v>45</v>
      </c>
      <c r="N590" s="16" t="s">
        <v>45</v>
      </c>
      <c r="O590" s="16" t="s">
        <v>45</v>
      </c>
      <c r="P590" s="9" t="str">
        <f t="shared" si="28"/>
        <v>N/I</v>
      </c>
      <c r="Q590" s="9" t="str">
        <f t="shared" si="29"/>
        <v>N/I</v>
      </c>
      <c r="R590" s="9" t="str">
        <f t="shared" si="30"/>
        <v>N/I</v>
      </c>
    </row>
    <row r="591">
      <c r="A591" s="11" t="s">
        <v>1650</v>
      </c>
      <c r="B591" s="11" t="s">
        <v>1663</v>
      </c>
      <c r="C591" s="12" t="s">
        <v>502</v>
      </c>
      <c r="D591" s="36" t="s">
        <v>1664</v>
      </c>
      <c r="E591" s="16" t="s">
        <v>45</v>
      </c>
      <c r="F591" s="10" t="s">
        <v>1655</v>
      </c>
      <c r="G591" s="12" t="s">
        <v>963</v>
      </c>
      <c r="H591" s="10" t="s">
        <v>562</v>
      </c>
      <c r="I591" s="16" t="s">
        <v>45</v>
      </c>
      <c r="J591" s="16" t="s">
        <v>45</v>
      </c>
      <c r="K591" s="16" t="s">
        <v>45</v>
      </c>
      <c r="L591" s="16" t="s">
        <v>45</v>
      </c>
      <c r="M591" s="16" t="s">
        <v>45</v>
      </c>
      <c r="N591" s="16" t="s">
        <v>45</v>
      </c>
      <c r="O591" s="16" t="s">
        <v>45</v>
      </c>
      <c r="P591" s="9" t="str">
        <f t="shared" si="28"/>
        <v>N/I</v>
      </c>
      <c r="Q591" s="9" t="str">
        <f t="shared" si="29"/>
        <v>N/I</v>
      </c>
      <c r="R591" s="9" t="str">
        <f t="shared" si="30"/>
        <v>N/I</v>
      </c>
    </row>
    <row r="592">
      <c r="A592" s="11" t="s">
        <v>1650</v>
      </c>
      <c r="B592" s="11" t="s">
        <v>1665</v>
      </c>
      <c r="C592" s="12" t="s">
        <v>502</v>
      </c>
      <c r="D592" s="36" t="s">
        <v>1666</v>
      </c>
      <c r="E592" s="16" t="s">
        <v>45</v>
      </c>
      <c r="F592" s="10" t="s">
        <v>1655</v>
      </c>
      <c r="G592" s="12" t="s">
        <v>963</v>
      </c>
      <c r="H592" s="10" t="s">
        <v>562</v>
      </c>
      <c r="I592" s="16" t="s">
        <v>45</v>
      </c>
      <c r="J592" s="16" t="s">
        <v>45</v>
      </c>
      <c r="K592" s="16" t="s">
        <v>45</v>
      </c>
      <c r="L592" s="16" t="s">
        <v>45</v>
      </c>
      <c r="M592" s="16" t="s">
        <v>45</v>
      </c>
      <c r="N592" s="16" t="s">
        <v>45</v>
      </c>
      <c r="O592" s="16" t="s">
        <v>45</v>
      </c>
      <c r="P592" s="9" t="str">
        <f t="shared" si="28"/>
        <v>N/I</v>
      </c>
      <c r="Q592" s="9" t="str">
        <f t="shared" si="29"/>
        <v>N/I</v>
      </c>
      <c r="R592" s="9" t="str">
        <f t="shared" si="30"/>
        <v>N/I</v>
      </c>
    </row>
    <row r="593">
      <c r="A593" s="11" t="s">
        <v>1650</v>
      </c>
      <c r="B593" s="11" t="s">
        <v>1663</v>
      </c>
      <c r="C593" s="12" t="s">
        <v>502</v>
      </c>
      <c r="D593" s="36" t="s">
        <v>1668</v>
      </c>
      <c r="E593" s="16" t="s">
        <v>45</v>
      </c>
      <c r="F593" s="10" t="s">
        <v>1655</v>
      </c>
      <c r="G593" s="12" t="s">
        <v>963</v>
      </c>
      <c r="H593" s="10" t="s">
        <v>562</v>
      </c>
      <c r="I593" s="16" t="s">
        <v>45</v>
      </c>
      <c r="J593" s="16" t="s">
        <v>45</v>
      </c>
      <c r="K593" s="16" t="s">
        <v>45</v>
      </c>
      <c r="L593" s="16" t="s">
        <v>45</v>
      </c>
      <c r="M593" s="16" t="s">
        <v>45</v>
      </c>
      <c r="N593" s="16" t="s">
        <v>45</v>
      </c>
      <c r="O593" s="16" t="s">
        <v>45</v>
      </c>
      <c r="P593" s="9" t="str">
        <f t="shared" si="28"/>
        <v>N/I</v>
      </c>
      <c r="Q593" s="9" t="str">
        <f t="shared" si="29"/>
        <v>N/I</v>
      </c>
      <c r="R593" s="9" t="str">
        <f t="shared" si="30"/>
        <v>N/I</v>
      </c>
    </row>
    <row r="594">
      <c r="A594" s="11" t="s">
        <v>1650</v>
      </c>
      <c r="B594" s="11" t="s">
        <v>1669</v>
      </c>
      <c r="C594" s="12" t="s">
        <v>502</v>
      </c>
      <c r="D594" s="36" t="s">
        <v>1670</v>
      </c>
      <c r="E594" s="16" t="s">
        <v>45</v>
      </c>
      <c r="F594" s="10" t="s">
        <v>1655</v>
      </c>
      <c r="G594" s="12" t="s">
        <v>963</v>
      </c>
      <c r="H594" s="10" t="s">
        <v>562</v>
      </c>
      <c r="I594" s="16" t="s">
        <v>45</v>
      </c>
      <c r="J594" s="16" t="s">
        <v>45</v>
      </c>
      <c r="K594" s="16" t="s">
        <v>45</v>
      </c>
      <c r="L594" s="16" t="s">
        <v>45</v>
      </c>
      <c r="M594" s="16" t="s">
        <v>45</v>
      </c>
      <c r="N594" s="16" t="s">
        <v>45</v>
      </c>
      <c r="O594" s="16" t="s">
        <v>45</v>
      </c>
      <c r="P594" s="9" t="str">
        <f t="shared" si="28"/>
        <v>N/I</v>
      </c>
      <c r="Q594" s="9" t="str">
        <f t="shared" si="29"/>
        <v>N/I</v>
      </c>
      <c r="R594" s="9" t="str">
        <f t="shared" si="30"/>
        <v>N/I</v>
      </c>
    </row>
    <row r="595">
      <c r="A595" s="11" t="s">
        <v>1650</v>
      </c>
      <c r="B595" s="11" t="s">
        <v>1669</v>
      </c>
      <c r="C595" s="12" t="s">
        <v>502</v>
      </c>
      <c r="D595" s="36" t="s">
        <v>1671</v>
      </c>
      <c r="E595" s="16" t="s">
        <v>45</v>
      </c>
      <c r="F595" s="10" t="s">
        <v>1655</v>
      </c>
      <c r="G595" s="12" t="s">
        <v>963</v>
      </c>
      <c r="H595" s="10" t="s">
        <v>562</v>
      </c>
      <c r="I595" s="16" t="s">
        <v>45</v>
      </c>
      <c r="J595" s="16" t="s">
        <v>45</v>
      </c>
      <c r="K595" s="16" t="s">
        <v>45</v>
      </c>
      <c r="L595" s="16" t="s">
        <v>45</v>
      </c>
      <c r="M595" s="16" t="s">
        <v>45</v>
      </c>
      <c r="N595" s="16" t="s">
        <v>45</v>
      </c>
      <c r="O595" s="16" t="s">
        <v>45</v>
      </c>
      <c r="P595" s="9" t="str">
        <f t="shared" si="28"/>
        <v>N/I</v>
      </c>
      <c r="Q595" s="9" t="str">
        <f t="shared" si="29"/>
        <v>N/I</v>
      </c>
      <c r="R595" s="9" t="str">
        <f t="shared" si="30"/>
        <v>N/I</v>
      </c>
    </row>
    <row r="596">
      <c r="A596" s="11" t="s">
        <v>1650</v>
      </c>
      <c r="B596" s="11" t="s">
        <v>1672</v>
      </c>
      <c r="C596" s="12" t="s">
        <v>55</v>
      </c>
      <c r="D596" s="27" t="s">
        <v>1673</v>
      </c>
      <c r="E596" s="10" t="s">
        <v>390</v>
      </c>
      <c r="F596" s="10" t="s">
        <v>1675</v>
      </c>
      <c r="G596" s="12" t="s">
        <v>963</v>
      </c>
      <c r="H596" s="10" t="s">
        <v>562</v>
      </c>
      <c r="I596" s="16" t="s">
        <v>45</v>
      </c>
      <c r="J596" s="12" t="s">
        <v>46</v>
      </c>
      <c r="K596" s="10" t="s">
        <v>226</v>
      </c>
      <c r="L596" s="16" t="s">
        <v>45</v>
      </c>
      <c r="M596" s="16" t="s">
        <v>45</v>
      </c>
      <c r="N596" s="16" t="s">
        <v>45</v>
      </c>
      <c r="O596" s="10" t="s">
        <v>320</v>
      </c>
      <c r="P596" s="9" t="str">
        <f t="shared" si="28"/>
        <v>N/I</v>
      </c>
      <c r="Q596" s="9" t="str">
        <f t="shared" si="29"/>
        <v>N/I</v>
      </c>
      <c r="R596" s="9" t="str">
        <f t="shared" si="30"/>
        <v>N/I</v>
      </c>
    </row>
    <row r="597">
      <c r="A597" s="11" t="s">
        <v>1650</v>
      </c>
      <c r="B597" s="11" t="s">
        <v>1676</v>
      </c>
      <c r="C597" s="12" t="s">
        <v>55</v>
      </c>
      <c r="D597" s="27" t="s">
        <v>1677</v>
      </c>
      <c r="E597" s="10" t="s">
        <v>390</v>
      </c>
      <c r="F597" s="10" t="s">
        <v>1675</v>
      </c>
      <c r="G597" s="12" t="s">
        <v>963</v>
      </c>
      <c r="H597" s="10" t="s">
        <v>562</v>
      </c>
      <c r="I597" s="16" t="s">
        <v>45</v>
      </c>
      <c r="J597" s="12" t="s">
        <v>46</v>
      </c>
      <c r="K597" s="10" t="s">
        <v>226</v>
      </c>
      <c r="L597" s="16" t="s">
        <v>45</v>
      </c>
      <c r="M597" s="16" t="s">
        <v>45</v>
      </c>
      <c r="N597" s="16" t="s">
        <v>45</v>
      </c>
      <c r="O597" s="10" t="s">
        <v>320</v>
      </c>
      <c r="P597" s="9" t="str">
        <f t="shared" si="28"/>
        <v>N/I</v>
      </c>
      <c r="Q597" s="9" t="str">
        <f t="shared" si="29"/>
        <v>N/I</v>
      </c>
      <c r="R597" s="9" t="str">
        <f t="shared" si="30"/>
        <v>N/I</v>
      </c>
    </row>
    <row r="598">
      <c r="A598" s="11" t="s">
        <v>1650</v>
      </c>
      <c r="B598" s="11" t="s">
        <v>1669</v>
      </c>
      <c r="C598" s="12" t="s">
        <v>55</v>
      </c>
      <c r="D598" s="27" t="s">
        <v>1678</v>
      </c>
      <c r="E598" s="10" t="s">
        <v>390</v>
      </c>
      <c r="F598" s="10" t="s">
        <v>1675</v>
      </c>
      <c r="G598" s="12" t="s">
        <v>963</v>
      </c>
      <c r="H598" s="10" t="s">
        <v>562</v>
      </c>
      <c r="I598" s="16" t="s">
        <v>45</v>
      </c>
      <c r="J598" s="12" t="s">
        <v>46</v>
      </c>
      <c r="K598" s="10" t="s">
        <v>226</v>
      </c>
      <c r="L598" s="16" t="s">
        <v>45</v>
      </c>
      <c r="M598" s="16" t="s">
        <v>45</v>
      </c>
      <c r="N598" s="16" t="s">
        <v>45</v>
      </c>
      <c r="O598" s="10" t="s">
        <v>320</v>
      </c>
      <c r="P598" s="9" t="str">
        <f t="shared" si="28"/>
        <v>N/I</v>
      </c>
      <c r="Q598" s="9" t="str">
        <f t="shared" si="29"/>
        <v>N/I</v>
      </c>
      <c r="R598" s="9" t="str">
        <f t="shared" si="30"/>
        <v>N/I</v>
      </c>
    </row>
    <row r="599">
      <c r="A599" s="11" t="s">
        <v>1650</v>
      </c>
      <c r="B599" s="11" t="s">
        <v>1679</v>
      </c>
      <c r="C599" s="12" t="s">
        <v>502</v>
      </c>
      <c r="D599" s="36" t="s">
        <v>1680</v>
      </c>
      <c r="E599" s="16" t="s">
        <v>45</v>
      </c>
      <c r="F599" s="10" t="s">
        <v>1655</v>
      </c>
      <c r="G599" s="12" t="s">
        <v>1681</v>
      </c>
      <c r="H599" s="10" t="s">
        <v>562</v>
      </c>
      <c r="I599" s="16" t="s">
        <v>45</v>
      </c>
      <c r="J599" s="16" t="s">
        <v>45</v>
      </c>
      <c r="K599" s="16" t="s">
        <v>45</v>
      </c>
      <c r="L599" s="16" t="s">
        <v>45</v>
      </c>
      <c r="M599" s="16" t="s">
        <v>45</v>
      </c>
      <c r="N599" s="16" t="s">
        <v>45</v>
      </c>
      <c r="O599" s="16" t="s">
        <v>45</v>
      </c>
      <c r="P599" s="9" t="str">
        <f t="shared" si="28"/>
        <v>N/I</v>
      </c>
      <c r="Q599" s="9" t="str">
        <f t="shared" si="29"/>
        <v>N/I</v>
      </c>
      <c r="R599" s="9" t="str">
        <f t="shared" si="30"/>
        <v>N/I</v>
      </c>
    </row>
    <row r="600">
      <c r="A600" s="11" t="s">
        <v>1650</v>
      </c>
      <c r="B600" s="11" t="s">
        <v>1684</v>
      </c>
      <c r="C600" s="12" t="s">
        <v>502</v>
      </c>
      <c r="D600" s="36" t="s">
        <v>1685</v>
      </c>
      <c r="E600" s="16" t="s">
        <v>45</v>
      </c>
      <c r="F600" s="10" t="s">
        <v>1655</v>
      </c>
      <c r="G600" s="12" t="s">
        <v>1686</v>
      </c>
      <c r="H600" s="10" t="s">
        <v>562</v>
      </c>
      <c r="I600" s="16" t="s">
        <v>45</v>
      </c>
      <c r="J600" s="16" t="s">
        <v>45</v>
      </c>
      <c r="K600" s="16" t="s">
        <v>45</v>
      </c>
      <c r="L600" s="16" t="s">
        <v>45</v>
      </c>
      <c r="M600" s="16" t="s">
        <v>45</v>
      </c>
      <c r="N600" s="16" t="s">
        <v>45</v>
      </c>
      <c r="O600" s="16" t="s">
        <v>45</v>
      </c>
      <c r="P600" s="9" t="str">
        <f t="shared" si="28"/>
        <v>N/I</v>
      </c>
      <c r="Q600" s="9" t="str">
        <f t="shared" si="29"/>
        <v>N/I</v>
      </c>
      <c r="R600" s="9" t="str">
        <f t="shared" si="30"/>
        <v>N/I</v>
      </c>
    </row>
    <row r="601">
      <c r="A601" s="11" t="s">
        <v>1689</v>
      </c>
      <c r="B601" s="11" t="s">
        <v>1690</v>
      </c>
      <c r="C601" s="12" t="s">
        <v>1691</v>
      </c>
      <c r="D601" s="42" t="s">
        <v>1692</v>
      </c>
      <c r="E601" s="16" t="s">
        <v>45</v>
      </c>
      <c r="F601" s="10" t="s">
        <v>1695</v>
      </c>
      <c r="G601" s="12" t="s">
        <v>1693</v>
      </c>
      <c r="H601" s="10" t="s">
        <v>562</v>
      </c>
      <c r="I601" s="10" t="s">
        <v>1498</v>
      </c>
      <c r="J601" s="12" t="s">
        <v>46</v>
      </c>
      <c r="K601" s="16" t="s">
        <v>45</v>
      </c>
      <c r="L601" s="16" t="s">
        <v>45</v>
      </c>
      <c r="M601" s="10" t="s">
        <v>49</v>
      </c>
      <c r="N601" s="16" t="s">
        <v>45</v>
      </c>
      <c r="O601" s="10" t="s">
        <v>1499</v>
      </c>
      <c r="P601" s="9" t="str">
        <f t="shared" si="28"/>
        <v>N/I</v>
      </c>
      <c r="Q601" s="9" t="str">
        <f t="shared" si="29"/>
        <v>N/I</v>
      </c>
      <c r="R601" s="9" t="str">
        <f t="shared" si="30"/>
        <v>N/I</v>
      </c>
    </row>
    <row r="602">
      <c r="A602" s="11" t="s">
        <v>1689</v>
      </c>
      <c r="B602" s="11" t="s">
        <v>1696</v>
      </c>
      <c r="C602" s="12" t="s">
        <v>1691</v>
      </c>
      <c r="D602" s="42" t="s">
        <v>1697</v>
      </c>
      <c r="E602" s="16" t="s">
        <v>45</v>
      </c>
      <c r="F602" s="10" t="s">
        <v>1695</v>
      </c>
      <c r="G602" s="12" t="s">
        <v>1698</v>
      </c>
      <c r="H602" s="10" t="s">
        <v>562</v>
      </c>
      <c r="I602" s="10" t="s">
        <v>1498</v>
      </c>
      <c r="J602" s="12" t="s">
        <v>46</v>
      </c>
      <c r="K602" s="16" t="s">
        <v>45</v>
      </c>
      <c r="L602" s="16" t="s">
        <v>45</v>
      </c>
      <c r="M602" s="10" t="s">
        <v>49</v>
      </c>
      <c r="N602" s="16" t="s">
        <v>45</v>
      </c>
      <c r="O602" s="10" t="s">
        <v>1499</v>
      </c>
      <c r="P602" s="9" t="str">
        <f t="shared" si="28"/>
        <v>N/I</v>
      </c>
      <c r="Q602" s="9" t="str">
        <f t="shared" si="29"/>
        <v>N/I</v>
      </c>
      <c r="R602" s="9" t="str">
        <f t="shared" si="30"/>
        <v>N/I</v>
      </c>
    </row>
    <row r="603">
      <c r="A603" s="11" t="s">
        <v>1689</v>
      </c>
      <c r="B603" s="11" t="s">
        <v>1701</v>
      </c>
      <c r="C603" s="12" t="s">
        <v>1691</v>
      </c>
      <c r="D603" s="42" t="s">
        <v>1702</v>
      </c>
      <c r="E603" s="16" t="s">
        <v>45</v>
      </c>
      <c r="F603" s="10" t="s">
        <v>1695</v>
      </c>
      <c r="G603" s="12" t="s">
        <v>1703</v>
      </c>
      <c r="H603" s="10" t="s">
        <v>562</v>
      </c>
      <c r="I603" s="10" t="s">
        <v>1498</v>
      </c>
      <c r="J603" s="12" t="s">
        <v>46</v>
      </c>
      <c r="K603" s="16" t="s">
        <v>45</v>
      </c>
      <c r="L603" s="16" t="s">
        <v>45</v>
      </c>
      <c r="M603" s="10" t="s">
        <v>49</v>
      </c>
      <c r="N603" s="16" t="s">
        <v>45</v>
      </c>
      <c r="O603" s="10" t="s">
        <v>1499</v>
      </c>
      <c r="P603" s="9" t="str">
        <f t="shared" si="28"/>
        <v>N/I</v>
      </c>
      <c r="Q603" s="9" t="str">
        <f t="shared" si="29"/>
        <v>N/I</v>
      </c>
      <c r="R603" s="9" t="str">
        <f t="shared" si="30"/>
        <v>N/I</v>
      </c>
    </row>
    <row r="604">
      <c r="A604" s="11" t="s">
        <v>1689</v>
      </c>
      <c r="B604" s="11" t="s">
        <v>1651</v>
      </c>
      <c r="C604" s="12" t="s">
        <v>1691</v>
      </c>
      <c r="D604" s="42" t="s">
        <v>1705</v>
      </c>
      <c r="E604" s="16" t="s">
        <v>45</v>
      </c>
      <c r="F604" s="10" t="s">
        <v>1695</v>
      </c>
      <c r="G604" s="12" t="s">
        <v>958</v>
      </c>
      <c r="H604" s="10" t="s">
        <v>562</v>
      </c>
      <c r="I604" s="10" t="s">
        <v>1498</v>
      </c>
      <c r="J604" s="12" t="s">
        <v>46</v>
      </c>
      <c r="K604" s="16" t="s">
        <v>45</v>
      </c>
      <c r="L604" s="16" t="s">
        <v>45</v>
      </c>
      <c r="M604" s="10" t="s">
        <v>49</v>
      </c>
      <c r="N604" s="16" t="s">
        <v>45</v>
      </c>
      <c r="O604" s="10" t="s">
        <v>1499</v>
      </c>
      <c r="P604" s="9" t="str">
        <f t="shared" si="28"/>
        <v>N/I</v>
      </c>
      <c r="Q604" s="9" t="str">
        <f t="shared" si="29"/>
        <v>N/I</v>
      </c>
      <c r="R604" s="9" t="str">
        <f t="shared" si="30"/>
        <v>N/I</v>
      </c>
    </row>
    <row r="605">
      <c r="A605" s="11" t="s">
        <v>1689</v>
      </c>
      <c r="B605" s="11" t="s">
        <v>1707</v>
      </c>
      <c r="C605" s="12" t="s">
        <v>1691</v>
      </c>
      <c r="D605" s="42" t="s">
        <v>1708</v>
      </c>
      <c r="E605" s="16" t="s">
        <v>45</v>
      </c>
      <c r="F605" s="10" t="s">
        <v>1695</v>
      </c>
      <c r="G605" s="12" t="s">
        <v>1709</v>
      </c>
      <c r="H605" s="10" t="s">
        <v>562</v>
      </c>
      <c r="I605" s="10" t="s">
        <v>1498</v>
      </c>
      <c r="J605" s="12" t="s">
        <v>46</v>
      </c>
      <c r="K605" s="16" t="s">
        <v>45</v>
      </c>
      <c r="L605" s="16" t="s">
        <v>45</v>
      </c>
      <c r="M605" s="10" t="s">
        <v>49</v>
      </c>
      <c r="N605" s="16" t="s">
        <v>45</v>
      </c>
      <c r="O605" s="10" t="s">
        <v>1499</v>
      </c>
      <c r="P605" s="9" t="str">
        <f t="shared" si="28"/>
        <v>N/I</v>
      </c>
      <c r="Q605" s="9" t="str">
        <f t="shared" si="29"/>
        <v>N/I</v>
      </c>
      <c r="R605" s="9" t="str">
        <f t="shared" si="30"/>
        <v>N/I</v>
      </c>
    </row>
    <row r="606">
      <c r="A606" s="11" t="s">
        <v>1689</v>
      </c>
      <c r="B606" s="11" t="s">
        <v>1669</v>
      </c>
      <c r="C606" s="12" t="s">
        <v>1691</v>
      </c>
      <c r="D606" s="42" t="s">
        <v>1712</v>
      </c>
      <c r="E606" s="16" t="s">
        <v>45</v>
      </c>
      <c r="F606" s="10" t="s">
        <v>1695</v>
      </c>
      <c r="G606" s="12" t="s">
        <v>963</v>
      </c>
      <c r="H606" s="10" t="s">
        <v>562</v>
      </c>
      <c r="I606" s="10" t="s">
        <v>1498</v>
      </c>
      <c r="J606" s="12" t="s">
        <v>46</v>
      </c>
      <c r="K606" s="16" t="s">
        <v>45</v>
      </c>
      <c r="L606" s="16" t="s">
        <v>45</v>
      </c>
      <c r="M606" s="10" t="s">
        <v>49</v>
      </c>
      <c r="N606" s="16" t="s">
        <v>45</v>
      </c>
      <c r="O606" s="10" t="s">
        <v>1499</v>
      </c>
      <c r="P606" s="9" t="str">
        <f t="shared" si="28"/>
        <v>N/I</v>
      </c>
      <c r="Q606" s="9" t="str">
        <f t="shared" si="29"/>
        <v>N/I</v>
      </c>
      <c r="R606" s="9" t="str">
        <f t="shared" si="30"/>
        <v>N/I</v>
      </c>
    </row>
    <row r="607">
      <c r="A607" s="11" t="s">
        <v>1689</v>
      </c>
      <c r="B607" s="11" t="s">
        <v>1669</v>
      </c>
      <c r="C607" s="12" t="s">
        <v>1691</v>
      </c>
      <c r="D607" s="42" t="s">
        <v>1714</v>
      </c>
      <c r="E607" s="16" t="s">
        <v>45</v>
      </c>
      <c r="F607" s="10" t="s">
        <v>1695</v>
      </c>
      <c r="G607" s="12" t="s">
        <v>963</v>
      </c>
      <c r="H607" s="10" t="s">
        <v>562</v>
      </c>
      <c r="I607" s="10" t="s">
        <v>1498</v>
      </c>
      <c r="J607" s="12" t="s">
        <v>46</v>
      </c>
      <c r="K607" s="16" t="s">
        <v>45</v>
      </c>
      <c r="L607" s="16" t="s">
        <v>45</v>
      </c>
      <c r="M607" s="10" t="s">
        <v>49</v>
      </c>
      <c r="N607" s="16" t="s">
        <v>45</v>
      </c>
      <c r="O607" s="10" t="s">
        <v>1499</v>
      </c>
      <c r="P607" s="9" t="str">
        <f t="shared" si="28"/>
        <v>N/I</v>
      </c>
      <c r="Q607" s="9" t="str">
        <f t="shared" si="29"/>
        <v>N/I</v>
      </c>
      <c r="R607" s="9" t="str">
        <f t="shared" si="30"/>
        <v>N/I</v>
      </c>
    </row>
    <row r="608">
      <c r="A608" s="11" t="s">
        <v>1689</v>
      </c>
      <c r="B608" s="11" t="s">
        <v>1663</v>
      </c>
      <c r="C608" s="12" t="s">
        <v>1691</v>
      </c>
      <c r="D608" s="42" t="s">
        <v>1715</v>
      </c>
      <c r="E608" s="16" t="s">
        <v>45</v>
      </c>
      <c r="F608" s="10" t="s">
        <v>1695</v>
      </c>
      <c r="G608" s="12" t="s">
        <v>963</v>
      </c>
      <c r="H608" s="10" t="s">
        <v>562</v>
      </c>
      <c r="I608" s="10" t="s">
        <v>1498</v>
      </c>
      <c r="J608" s="12" t="s">
        <v>46</v>
      </c>
      <c r="K608" s="16" t="s">
        <v>45</v>
      </c>
      <c r="L608" s="16" t="s">
        <v>45</v>
      </c>
      <c r="M608" s="10" t="s">
        <v>49</v>
      </c>
      <c r="N608" s="16" t="s">
        <v>45</v>
      </c>
      <c r="O608" s="10" t="s">
        <v>1499</v>
      </c>
      <c r="P608" s="9" t="str">
        <f t="shared" si="28"/>
        <v>N/I</v>
      </c>
      <c r="Q608" s="9" t="str">
        <f t="shared" si="29"/>
        <v>N/I</v>
      </c>
      <c r="R608" s="9" t="str">
        <f t="shared" si="30"/>
        <v>N/I</v>
      </c>
    </row>
    <row r="609">
      <c r="A609" s="11" t="s">
        <v>1689</v>
      </c>
      <c r="B609" s="11" t="s">
        <v>1717</v>
      </c>
      <c r="C609" s="12" t="s">
        <v>1691</v>
      </c>
      <c r="D609" s="42" t="s">
        <v>1718</v>
      </c>
      <c r="E609" s="16" t="s">
        <v>45</v>
      </c>
      <c r="F609" s="10" t="s">
        <v>1695</v>
      </c>
      <c r="G609" s="12" t="s">
        <v>963</v>
      </c>
      <c r="H609" s="10" t="s">
        <v>562</v>
      </c>
      <c r="I609" s="10" t="s">
        <v>1498</v>
      </c>
      <c r="J609" s="12" t="s">
        <v>46</v>
      </c>
      <c r="K609" s="16" t="s">
        <v>45</v>
      </c>
      <c r="L609" s="16" t="s">
        <v>45</v>
      </c>
      <c r="M609" s="10" t="s">
        <v>49</v>
      </c>
      <c r="N609" s="16" t="s">
        <v>45</v>
      </c>
      <c r="O609" s="10" t="s">
        <v>1499</v>
      </c>
      <c r="P609" s="9" t="str">
        <f t="shared" si="28"/>
        <v>N/I</v>
      </c>
      <c r="Q609" s="9" t="str">
        <f t="shared" si="29"/>
        <v>N/I</v>
      </c>
      <c r="R609" s="9" t="str">
        <f t="shared" si="30"/>
        <v>N/I</v>
      </c>
    </row>
    <row r="610">
      <c r="A610" s="11" t="s">
        <v>1689</v>
      </c>
      <c r="B610" s="11" t="s">
        <v>1659</v>
      </c>
      <c r="C610" s="12" t="s">
        <v>1691</v>
      </c>
      <c r="D610" s="42" t="s">
        <v>1719</v>
      </c>
      <c r="E610" s="16" t="s">
        <v>45</v>
      </c>
      <c r="F610" s="10" t="s">
        <v>1695</v>
      </c>
      <c r="G610" s="12" t="s">
        <v>963</v>
      </c>
      <c r="H610" s="10" t="s">
        <v>562</v>
      </c>
      <c r="I610" s="10" t="s">
        <v>1498</v>
      </c>
      <c r="J610" s="12" t="s">
        <v>46</v>
      </c>
      <c r="K610" s="16" t="s">
        <v>45</v>
      </c>
      <c r="L610" s="16" t="s">
        <v>45</v>
      </c>
      <c r="M610" s="10" t="s">
        <v>49</v>
      </c>
      <c r="N610" s="16" t="s">
        <v>45</v>
      </c>
      <c r="O610" s="10" t="s">
        <v>1499</v>
      </c>
      <c r="P610" s="9" t="str">
        <f t="shared" si="28"/>
        <v>N/I</v>
      </c>
      <c r="Q610" s="9" t="str">
        <f t="shared" si="29"/>
        <v>N/I</v>
      </c>
      <c r="R610" s="9" t="str">
        <f t="shared" si="30"/>
        <v>N/I</v>
      </c>
    </row>
    <row r="611">
      <c r="A611" s="11" t="s">
        <v>1689</v>
      </c>
      <c r="B611" s="11" t="s">
        <v>1720</v>
      </c>
      <c r="C611" s="12" t="s">
        <v>1691</v>
      </c>
      <c r="D611" s="42" t="s">
        <v>1721</v>
      </c>
      <c r="E611" s="16" t="s">
        <v>45</v>
      </c>
      <c r="F611" s="10" t="s">
        <v>1695</v>
      </c>
      <c r="G611" s="12" t="s">
        <v>963</v>
      </c>
      <c r="H611" s="10" t="s">
        <v>562</v>
      </c>
      <c r="I611" s="10" t="s">
        <v>1498</v>
      </c>
      <c r="J611" s="12" t="s">
        <v>46</v>
      </c>
      <c r="K611" s="16" t="s">
        <v>45</v>
      </c>
      <c r="L611" s="16" t="s">
        <v>45</v>
      </c>
      <c r="M611" s="10" t="s">
        <v>49</v>
      </c>
      <c r="N611" s="16" t="s">
        <v>45</v>
      </c>
      <c r="O611" s="10" t="s">
        <v>1499</v>
      </c>
      <c r="P611" s="9" t="str">
        <f t="shared" si="28"/>
        <v>N/I</v>
      </c>
      <c r="Q611" s="9" t="str">
        <f t="shared" si="29"/>
        <v>N/I</v>
      </c>
      <c r="R611" s="9" t="str">
        <f t="shared" si="30"/>
        <v>N/I</v>
      </c>
    </row>
    <row r="612">
      <c r="A612" s="11" t="s">
        <v>1689</v>
      </c>
      <c r="B612" s="11" t="s">
        <v>1663</v>
      </c>
      <c r="C612" s="12" t="s">
        <v>1691</v>
      </c>
      <c r="D612" s="42" t="s">
        <v>1723</v>
      </c>
      <c r="E612" s="16" t="s">
        <v>45</v>
      </c>
      <c r="F612" s="10" t="s">
        <v>1695</v>
      </c>
      <c r="G612" s="12" t="s">
        <v>963</v>
      </c>
      <c r="H612" s="10" t="s">
        <v>562</v>
      </c>
      <c r="I612" s="10" t="s">
        <v>1498</v>
      </c>
      <c r="J612" s="12" t="s">
        <v>46</v>
      </c>
      <c r="K612" s="16" t="s">
        <v>45</v>
      </c>
      <c r="L612" s="16" t="s">
        <v>45</v>
      </c>
      <c r="M612" s="10" t="s">
        <v>49</v>
      </c>
      <c r="N612" s="16" t="s">
        <v>45</v>
      </c>
      <c r="O612" s="10" t="s">
        <v>1499</v>
      </c>
      <c r="P612" s="9" t="str">
        <f t="shared" si="28"/>
        <v>N/I</v>
      </c>
      <c r="Q612" s="9" t="str">
        <f t="shared" si="29"/>
        <v>N/I</v>
      </c>
      <c r="R612" s="9" t="str">
        <f t="shared" si="30"/>
        <v>N/I</v>
      </c>
    </row>
    <row r="613">
      <c r="A613" s="11" t="s">
        <v>1689</v>
      </c>
      <c r="B613" s="11" t="s">
        <v>1663</v>
      </c>
      <c r="C613" s="12" t="s">
        <v>1691</v>
      </c>
      <c r="D613" s="42" t="s">
        <v>1724</v>
      </c>
      <c r="E613" s="16" t="s">
        <v>45</v>
      </c>
      <c r="F613" s="10" t="s">
        <v>1695</v>
      </c>
      <c r="G613" s="12" t="s">
        <v>963</v>
      </c>
      <c r="H613" s="10" t="s">
        <v>562</v>
      </c>
      <c r="I613" s="10" t="s">
        <v>1498</v>
      </c>
      <c r="J613" s="12" t="s">
        <v>46</v>
      </c>
      <c r="K613" s="16" t="s">
        <v>45</v>
      </c>
      <c r="L613" s="16" t="s">
        <v>45</v>
      </c>
      <c r="M613" s="10" t="s">
        <v>49</v>
      </c>
      <c r="N613" s="16" t="s">
        <v>45</v>
      </c>
      <c r="O613" s="10" t="s">
        <v>1499</v>
      </c>
      <c r="P613" s="9" t="str">
        <f t="shared" si="28"/>
        <v>N/I</v>
      </c>
      <c r="Q613" s="9" t="str">
        <f t="shared" si="29"/>
        <v>N/I</v>
      </c>
      <c r="R613" s="9" t="str">
        <f t="shared" si="30"/>
        <v>N/I</v>
      </c>
    </row>
    <row r="614">
      <c r="A614" s="11" t="s">
        <v>1689</v>
      </c>
      <c r="B614" s="11" t="s">
        <v>1720</v>
      </c>
      <c r="C614" s="12" t="s">
        <v>1691</v>
      </c>
      <c r="D614" s="42" t="s">
        <v>1726</v>
      </c>
      <c r="E614" s="16" t="s">
        <v>45</v>
      </c>
      <c r="F614" s="10" t="s">
        <v>1695</v>
      </c>
      <c r="G614" s="12" t="s">
        <v>963</v>
      </c>
      <c r="H614" s="10" t="s">
        <v>562</v>
      </c>
      <c r="I614" s="10" t="s">
        <v>1498</v>
      </c>
      <c r="J614" s="12" t="s">
        <v>46</v>
      </c>
      <c r="K614" s="16" t="s">
        <v>45</v>
      </c>
      <c r="L614" s="16" t="s">
        <v>45</v>
      </c>
      <c r="M614" s="10" t="s">
        <v>49</v>
      </c>
      <c r="N614" s="16" t="s">
        <v>45</v>
      </c>
      <c r="O614" s="10" t="s">
        <v>1499</v>
      </c>
      <c r="P614" s="9" t="str">
        <f t="shared" si="28"/>
        <v>N/I</v>
      </c>
      <c r="Q614" s="9" t="str">
        <f t="shared" si="29"/>
        <v>N/I</v>
      </c>
      <c r="R614" s="9" t="str">
        <f t="shared" si="30"/>
        <v>N/I</v>
      </c>
    </row>
    <row r="615">
      <c r="A615" s="11" t="s">
        <v>1689</v>
      </c>
      <c r="B615" s="11" t="s">
        <v>1727</v>
      </c>
      <c r="C615" s="12" t="s">
        <v>1691</v>
      </c>
      <c r="D615" s="42" t="s">
        <v>1728</v>
      </c>
      <c r="E615" s="16" t="s">
        <v>45</v>
      </c>
      <c r="F615" s="10" t="s">
        <v>1695</v>
      </c>
      <c r="G615" s="12" t="s">
        <v>1729</v>
      </c>
      <c r="H615" s="10" t="s">
        <v>562</v>
      </c>
      <c r="I615" s="10" t="s">
        <v>1498</v>
      </c>
      <c r="J615" s="12" t="s">
        <v>46</v>
      </c>
      <c r="K615" s="16" t="s">
        <v>45</v>
      </c>
      <c r="L615" s="16" t="s">
        <v>45</v>
      </c>
      <c r="M615" s="10" t="s">
        <v>49</v>
      </c>
      <c r="N615" s="16" t="s">
        <v>45</v>
      </c>
      <c r="O615" s="10" t="s">
        <v>1499</v>
      </c>
      <c r="P615" s="9" t="str">
        <f t="shared" si="28"/>
        <v>N/I</v>
      </c>
      <c r="Q615" s="9" t="str">
        <f t="shared" si="29"/>
        <v>N/I</v>
      </c>
      <c r="R615" s="9" t="str">
        <f t="shared" si="30"/>
        <v>N/I</v>
      </c>
    </row>
    <row r="616">
      <c r="A616" s="11" t="s">
        <v>1689</v>
      </c>
      <c r="B616" s="11" t="s">
        <v>1732</v>
      </c>
      <c r="C616" s="12" t="s">
        <v>1691</v>
      </c>
      <c r="D616" s="42" t="s">
        <v>1733</v>
      </c>
      <c r="E616" s="16" t="s">
        <v>45</v>
      </c>
      <c r="F616" s="10" t="s">
        <v>1695</v>
      </c>
      <c r="G616" s="12" t="s">
        <v>1734</v>
      </c>
      <c r="H616" s="10" t="s">
        <v>562</v>
      </c>
      <c r="I616" s="10" t="s">
        <v>1498</v>
      </c>
      <c r="J616" s="12" t="s">
        <v>46</v>
      </c>
      <c r="K616" s="16" t="s">
        <v>45</v>
      </c>
      <c r="L616" s="16" t="s">
        <v>45</v>
      </c>
      <c r="M616" s="10" t="s">
        <v>49</v>
      </c>
      <c r="N616" s="16" t="s">
        <v>45</v>
      </c>
      <c r="O616" s="10" t="s">
        <v>1499</v>
      </c>
      <c r="P616" s="9" t="str">
        <f t="shared" si="28"/>
        <v>N/I</v>
      </c>
      <c r="Q616" s="9" t="str">
        <f t="shared" si="29"/>
        <v>N/I</v>
      </c>
      <c r="R616" s="9" t="str">
        <f t="shared" si="30"/>
        <v>N/I</v>
      </c>
    </row>
    <row r="617">
      <c r="A617" s="11" t="s">
        <v>1689</v>
      </c>
      <c r="B617" s="11" t="s">
        <v>1736</v>
      </c>
      <c r="C617" s="12" t="s">
        <v>1691</v>
      </c>
      <c r="D617" s="42" t="s">
        <v>1737</v>
      </c>
      <c r="E617" s="16" t="s">
        <v>45</v>
      </c>
      <c r="F617" s="10" t="s">
        <v>1695</v>
      </c>
      <c r="G617" s="12" t="s">
        <v>1738</v>
      </c>
      <c r="H617" s="10" t="s">
        <v>562</v>
      </c>
      <c r="I617" s="10" t="s">
        <v>1498</v>
      </c>
      <c r="J617" s="12" t="s">
        <v>46</v>
      </c>
      <c r="K617" s="16" t="s">
        <v>45</v>
      </c>
      <c r="L617" s="16" t="s">
        <v>45</v>
      </c>
      <c r="M617" s="10" t="s">
        <v>49</v>
      </c>
      <c r="N617" s="16" t="s">
        <v>45</v>
      </c>
      <c r="O617" s="10" t="s">
        <v>1499</v>
      </c>
      <c r="P617" s="9" t="str">
        <f t="shared" si="28"/>
        <v>N/I</v>
      </c>
      <c r="Q617" s="9" t="str">
        <f t="shared" si="29"/>
        <v>N/I</v>
      </c>
      <c r="R617" s="9" t="str">
        <f t="shared" si="30"/>
        <v>N/I</v>
      </c>
    </row>
    <row r="618">
      <c r="A618" s="11" t="s">
        <v>1689</v>
      </c>
      <c r="B618" s="11" t="s">
        <v>1741</v>
      </c>
      <c r="C618" s="12" t="s">
        <v>1691</v>
      </c>
      <c r="D618" s="42" t="s">
        <v>1742</v>
      </c>
      <c r="E618" s="16" t="s">
        <v>45</v>
      </c>
      <c r="F618" s="10" t="s">
        <v>1695</v>
      </c>
      <c r="G618" s="12" t="s">
        <v>1743</v>
      </c>
      <c r="H618" s="10" t="s">
        <v>562</v>
      </c>
      <c r="I618" s="10" t="s">
        <v>1498</v>
      </c>
      <c r="J618" s="12" t="s">
        <v>46</v>
      </c>
      <c r="K618" s="16" t="s">
        <v>45</v>
      </c>
      <c r="L618" s="16" t="s">
        <v>45</v>
      </c>
      <c r="M618" s="10" t="s">
        <v>49</v>
      </c>
      <c r="N618" s="16" t="s">
        <v>45</v>
      </c>
      <c r="O618" s="10" t="s">
        <v>1499</v>
      </c>
      <c r="P618" s="9" t="str">
        <f t="shared" si="28"/>
        <v>N/I</v>
      </c>
      <c r="Q618" s="9" t="str">
        <f t="shared" si="29"/>
        <v>N/I</v>
      </c>
      <c r="R618" s="9" t="str">
        <f t="shared" si="30"/>
        <v>N/I</v>
      </c>
    </row>
    <row r="619">
      <c r="A619" s="11" t="s">
        <v>1689</v>
      </c>
      <c r="B619" s="11" t="s">
        <v>1746</v>
      </c>
      <c r="C619" s="12" t="s">
        <v>1691</v>
      </c>
      <c r="D619" s="42" t="s">
        <v>1747</v>
      </c>
      <c r="E619" s="16" t="s">
        <v>45</v>
      </c>
      <c r="F619" s="10" t="s">
        <v>1695</v>
      </c>
      <c r="G619" s="12" t="s">
        <v>1748</v>
      </c>
      <c r="H619" s="10" t="s">
        <v>562</v>
      </c>
      <c r="I619" s="10" t="s">
        <v>1498</v>
      </c>
      <c r="J619" s="12" t="s">
        <v>46</v>
      </c>
      <c r="K619" s="16" t="s">
        <v>45</v>
      </c>
      <c r="L619" s="16" t="s">
        <v>45</v>
      </c>
      <c r="M619" s="10" t="s">
        <v>49</v>
      </c>
      <c r="N619" s="16" t="s">
        <v>45</v>
      </c>
      <c r="O619" s="10" t="s">
        <v>1499</v>
      </c>
      <c r="P619" s="9" t="str">
        <f t="shared" si="28"/>
        <v>N/I</v>
      </c>
      <c r="Q619" s="9" t="str">
        <f t="shared" si="29"/>
        <v>N/I</v>
      </c>
      <c r="R619" s="9" t="str">
        <f t="shared" si="30"/>
        <v>N/I</v>
      </c>
    </row>
    <row r="620">
      <c r="A620" s="11" t="s">
        <v>1689</v>
      </c>
      <c r="B620" s="11" t="s">
        <v>1751</v>
      </c>
      <c r="C620" s="12" t="s">
        <v>1691</v>
      </c>
      <c r="D620" s="42" t="s">
        <v>1752</v>
      </c>
      <c r="E620" s="16" t="s">
        <v>45</v>
      </c>
      <c r="F620" s="10" t="s">
        <v>1695</v>
      </c>
      <c r="G620" s="12" t="s">
        <v>1753</v>
      </c>
      <c r="H620" s="10" t="s">
        <v>562</v>
      </c>
      <c r="I620" s="10" t="s">
        <v>1498</v>
      </c>
      <c r="J620" s="12" t="s">
        <v>46</v>
      </c>
      <c r="K620" s="16" t="s">
        <v>45</v>
      </c>
      <c r="L620" s="16" t="s">
        <v>45</v>
      </c>
      <c r="M620" s="10" t="s">
        <v>49</v>
      </c>
      <c r="N620" s="16" t="s">
        <v>45</v>
      </c>
      <c r="O620" s="10" t="s">
        <v>1499</v>
      </c>
      <c r="P620" s="9" t="str">
        <f t="shared" si="28"/>
        <v>N/I</v>
      </c>
      <c r="Q620" s="9" t="str">
        <f t="shared" si="29"/>
        <v>N/I</v>
      </c>
      <c r="R620" s="9" t="str">
        <f t="shared" si="30"/>
        <v>N/I</v>
      </c>
    </row>
    <row r="621">
      <c r="A621" s="11" t="s">
        <v>1689</v>
      </c>
      <c r="B621" s="11" t="s">
        <v>1756</v>
      </c>
      <c r="C621" s="12" t="s">
        <v>1691</v>
      </c>
      <c r="D621" s="42" t="s">
        <v>1757</v>
      </c>
      <c r="E621" s="16" t="s">
        <v>45</v>
      </c>
      <c r="F621" s="10" t="s">
        <v>1695</v>
      </c>
      <c r="G621" s="12" t="s">
        <v>1758</v>
      </c>
      <c r="H621" s="10" t="s">
        <v>562</v>
      </c>
      <c r="I621" s="10" t="s">
        <v>1498</v>
      </c>
      <c r="J621" s="12" t="s">
        <v>46</v>
      </c>
      <c r="K621" s="16" t="s">
        <v>45</v>
      </c>
      <c r="L621" s="16" t="s">
        <v>45</v>
      </c>
      <c r="M621" s="10" t="s">
        <v>49</v>
      </c>
      <c r="N621" s="16" t="s">
        <v>45</v>
      </c>
      <c r="O621" s="10" t="s">
        <v>1499</v>
      </c>
      <c r="P621" s="9" t="str">
        <f t="shared" si="28"/>
        <v>N/I</v>
      </c>
      <c r="Q621" s="9" t="str">
        <f t="shared" si="29"/>
        <v>N/I</v>
      </c>
      <c r="R621" s="9" t="str">
        <f t="shared" si="30"/>
        <v>N/I</v>
      </c>
    </row>
    <row r="622">
      <c r="A622" s="11" t="s">
        <v>1689</v>
      </c>
      <c r="B622" s="11" t="s">
        <v>1761</v>
      </c>
      <c r="C622" s="12" t="s">
        <v>1691</v>
      </c>
      <c r="D622" s="42" t="s">
        <v>1762</v>
      </c>
      <c r="E622" s="16" t="s">
        <v>45</v>
      </c>
      <c r="F622" s="10" t="s">
        <v>1695</v>
      </c>
      <c r="G622" s="12" t="s">
        <v>1763</v>
      </c>
      <c r="H622" s="10" t="s">
        <v>562</v>
      </c>
      <c r="I622" s="10" t="s">
        <v>1498</v>
      </c>
      <c r="J622" s="12" t="s">
        <v>46</v>
      </c>
      <c r="K622" s="16" t="s">
        <v>45</v>
      </c>
      <c r="L622" s="16" t="s">
        <v>45</v>
      </c>
      <c r="M622" s="10" t="s">
        <v>49</v>
      </c>
      <c r="N622" s="16" t="s">
        <v>45</v>
      </c>
      <c r="O622" s="10" t="s">
        <v>1499</v>
      </c>
      <c r="P622" s="9" t="str">
        <f t="shared" si="28"/>
        <v>N/I</v>
      </c>
      <c r="Q622" s="9" t="str">
        <f t="shared" si="29"/>
        <v>N/I</v>
      </c>
      <c r="R622" s="9" t="str">
        <f t="shared" si="30"/>
        <v>N/I</v>
      </c>
    </row>
    <row r="623">
      <c r="A623" s="11" t="s">
        <v>1689</v>
      </c>
      <c r="B623" s="11" t="s">
        <v>1766</v>
      </c>
      <c r="C623" s="12" t="s">
        <v>1691</v>
      </c>
      <c r="D623" s="42" t="s">
        <v>1767</v>
      </c>
      <c r="E623" s="16" t="s">
        <v>45</v>
      </c>
      <c r="F623" s="10" t="s">
        <v>1695</v>
      </c>
      <c r="G623" s="12" t="s">
        <v>1768</v>
      </c>
      <c r="H623" s="10" t="s">
        <v>562</v>
      </c>
      <c r="I623" s="10" t="s">
        <v>1498</v>
      </c>
      <c r="J623" s="12" t="s">
        <v>46</v>
      </c>
      <c r="K623" s="16" t="s">
        <v>45</v>
      </c>
      <c r="L623" s="16" t="s">
        <v>45</v>
      </c>
      <c r="M623" s="10" t="s">
        <v>49</v>
      </c>
      <c r="N623" s="16" t="s">
        <v>45</v>
      </c>
      <c r="O623" s="10" t="s">
        <v>1499</v>
      </c>
      <c r="P623" s="9" t="str">
        <f t="shared" si="28"/>
        <v>N/I</v>
      </c>
      <c r="Q623" s="9" t="str">
        <f t="shared" si="29"/>
        <v>N/I</v>
      </c>
      <c r="R623" s="9" t="str">
        <f t="shared" si="30"/>
        <v>N/I</v>
      </c>
    </row>
    <row r="624">
      <c r="A624" s="11" t="s">
        <v>1689</v>
      </c>
      <c r="B624" s="11" t="s">
        <v>1679</v>
      </c>
      <c r="C624" s="12" t="s">
        <v>502</v>
      </c>
      <c r="D624" s="42" t="s">
        <v>1771</v>
      </c>
      <c r="E624" s="16" t="s">
        <v>45</v>
      </c>
      <c r="F624" s="10" t="s">
        <v>1695</v>
      </c>
      <c r="G624" s="12" t="s">
        <v>1681</v>
      </c>
      <c r="H624" s="10" t="s">
        <v>562</v>
      </c>
      <c r="I624" s="10" t="s">
        <v>1498</v>
      </c>
      <c r="J624" s="12" t="s">
        <v>46</v>
      </c>
      <c r="K624" s="16" t="s">
        <v>45</v>
      </c>
      <c r="L624" s="16" t="s">
        <v>45</v>
      </c>
      <c r="M624" s="10" t="s">
        <v>49</v>
      </c>
      <c r="N624" s="16" t="s">
        <v>45</v>
      </c>
      <c r="O624" s="10" t="s">
        <v>1499</v>
      </c>
      <c r="P624" s="9" t="str">
        <f t="shared" si="28"/>
        <v>N/I</v>
      </c>
      <c r="Q624" s="9" t="str">
        <f t="shared" si="29"/>
        <v>N/I</v>
      </c>
      <c r="R624" s="9" t="str">
        <f t="shared" si="30"/>
        <v>N/I</v>
      </c>
    </row>
    <row r="625">
      <c r="A625" s="11" t="s">
        <v>1689</v>
      </c>
      <c r="B625" s="11" t="s">
        <v>1774</v>
      </c>
      <c r="C625" s="12" t="s">
        <v>1691</v>
      </c>
      <c r="D625" s="42" t="s">
        <v>1775</v>
      </c>
      <c r="E625" s="16" t="s">
        <v>45</v>
      </c>
      <c r="F625" s="10" t="s">
        <v>1695</v>
      </c>
      <c r="G625" s="12" t="s">
        <v>1681</v>
      </c>
      <c r="H625" s="10" t="s">
        <v>562</v>
      </c>
      <c r="I625" s="10" t="s">
        <v>1498</v>
      </c>
      <c r="J625" s="12" t="s">
        <v>46</v>
      </c>
      <c r="K625" s="16" t="s">
        <v>45</v>
      </c>
      <c r="L625" s="16" t="s">
        <v>45</v>
      </c>
      <c r="M625" s="10" t="s">
        <v>49</v>
      </c>
      <c r="N625" s="16" t="s">
        <v>45</v>
      </c>
      <c r="O625" s="10" t="s">
        <v>1499</v>
      </c>
      <c r="P625" s="9" t="str">
        <f t="shared" si="28"/>
        <v>N/I</v>
      </c>
      <c r="Q625" s="9" t="str">
        <f t="shared" si="29"/>
        <v>N/I</v>
      </c>
      <c r="R625" s="9" t="str">
        <f t="shared" si="30"/>
        <v>N/I</v>
      </c>
    </row>
    <row r="626">
      <c r="A626" s="11" t="s">
        <v>1689</v>
      </c>
      <c r="B626" s="11" t="s">
        <v>1778</v>
      </c>
      <c r="C626" s="12" t="s">
        <v>1691</v>
      </c>
      <c r="D626" s="42" t="s">
        <v>1779</v>
      </c>
      <c r="E626" s="16" t="s">
        <v>45</v>
      </c>
      <c r="F626" s="10" t="s">
        <v>1695</v>
      </c>
      <c r="G626" s="12" t="s">
        <v>1780</v>
      </c>
      <c r="H626" s="10" t="s">
        <v>562</v>
      </c>
      <c r="I626" s="10" t="s">
        <v>1498</v>
      </c>
      <c r="J626" s="12" t="s">
        <v>46</v>
      </c>
      <c r="K626" s="16" t="s">
        <v>45</v>
      </c>
      <c r="L626" s="16" t="s">
        <v>45</v>
      </c>
      <c r="M626" s="10" t="s">
        <v>49</v>
      </c>
      <c r="N626" s="16" t="s">
        <v>45</v>
      </c>
      <c r="O626" s="10" t="s">
        <v>1499</v>
      </c>
      <c r="P626" s="9" t="str">
        <f t="shared" si="28"/>
        <v>N/I</v>
      </c>
      <c r="Q626" s="9" t="str">
        <f t="shared" si="29"/>
        <v>N/I</v>
      </c>
      <c r="R626" s="9" t="str">
        <f t="shared" si="30"/>
        <v>N/I</v>
      </c>
    </row>
    <row r="627">
      <c r="A627" s="11" t="s">
        <v>1689</v>
      </c>
      <c r="B627" s="11" t="s">
        <v>1783</v>
      </c>
      <c r="C627" s="12" t="s">
        <v>1691</v>
      </c>
      <c r="D627" s="42" t="s">
        <v>1784</v>
      </c>
      <c r="E627" s="16" t="s">
        <v>45</v>
      </c>
      <c r="F627" s="10" t="s">
        <v>1695</v>
      </c>
      <c r="G627" s="12" t="s">
        <v>1785</v>
      </c>
      <c r="H627" s="10" t="s">
        <v>562</v>
      </c>
      <c r="I627" s="10" t="s">
        <v>1498</v>
      </c>
      <c r="J627" s="12" t="s">
        <v>46</v>
      </c>
      <c r="K627" s="16" t="s">
        <v>45</v>
      </c>
      <c r="L627" s="16" t="s">
        <v>45</v>
      </c>
      <c r="M627" s="10" t="s">
        <v>49</v>
      </c>
      <c r="N627" s="16" t="s">
        <v>45</v>
      </c>
      <c r="O627" s="10" t="s">
        <v>1499</v>
      </c>
      <c r="P627" s="9" t="str">
        <f t="shared" si="28"/>
        <v>N/I</v>
      </c>
      <c r="Q627" s="9" t="str">
        <f t="shared" si="29"/>
        <v>N/I</v>
      </c>
      <c r="R627" s="9" t="str">
        <f t="shared" si="30"/>
        <v>N/I</v>
      </c>
    </row>
    <row r="628">
      <c r="A628" s="11" t="s">
        <v>1689</v>
      </c>
      <c r="B628" s="11" t="s">
        <v>1788</v>
      </c>
      <c r="C628" s="12" t="s">
        <v>1691</v>
      </c>
      <c r="D628" s="42" t="s">
        <v>1789</v>
      </c>
      <c r="E628" s="16" t="s">
        <v>45</v>
      </c>
      <c r="F628" s="10" t="s">
        <v>1695</v>
      </c>
      <c r="G628" s="12" t="s">
        <v>1790</v>
      </c>
      <c r="H628" s="10" t="s">
        <v>562</v>
      </c>
      <c r="I628" s="10" t="s">
        <v>1498</v>
      </c>
      <c r="J628" s="12" t="s">
        <v>46</v>
      </c>
      <c r="K628" s="16" t="s">
        <v>45</v>
      </c>
      <c r="L628" s="16" t="s">
        <v>45</v>
      </c>
      <c r="M628" s="10" t="s">
        <v>49</v>
      </c>
      <c r="N628" s="16" t="s">
        <v>45</v>
      </c>
      <c r="O628" s="10" t="s">
        <v>1499</v>
      </c>
      <c r="P628" s="9" t="str">
        <f t="shared" si="28"/>
        <v>N/I</v>
      </c>
      <c r="Q628" s="9" t="str">
        <f t="shared" si="29"/>
        <v>N/I</v>
      </c>
      <c r="R628" s="9" t="str">
        <f t="shared" si="30"/>
        <v>N/I</v>
      </c>
    </row>
    <row r="629">
      <c r="A629" s="11" t="s">
        <v>1689</v>
      </c>
      <c r="B629" s="11" t="s">
        <v>1793</v>
      </c>
      <c r="C629" s="12" t="s">
        <v>1691</v>
      </c>
      <c r="D629" s="42" t="s">
        <v>1794</v>
      </c>
      <c r="E629" s="16" t="s">
        <v>45</v>
      </c>
      <c r="F629" s="10" t="s">
        <v>1695</v>
      </c>
      <c r="G629" s="12" t="s">
        <v>1795</v>
      </c>
      <c r="H629" s="10" t="s">
        <v>562</v>
      </c>
      <c r="I629" s="10" t="s">
        <v>1498</v>
      </c>
      <c r="J629" s="12" t="s">
        <v>46</v>
      </c>
      <c r="K629" s="16" t="s">
        <v>45</v>
      </c>
      <c r="L629" s="16" t="s">
        <v>45</v>
      </c>
      <c r="M629" s="10" t="s">
        <v>49</v>
      </c>
      <c r="N629" s="16" t="s">
        <v>45</v>
      </c>
      <c r="O629" s="10" t="s">
        <v>1499</v>
      </c>
      <c r="P629" s="9" t="str">
        <f t="shared" si="28"/>
        <v>N/I</v>
      </c>
      <c r="Q629" s="9" t="str">
        <f t="shared" si="29"/>
        <v>N/I</v>
      </c>
      <c r="R629" s="9" t="str">
        <f t="shared" si="30"/>
        <v>N/I</v>
      </c>
    </row>
    <row r="630">
      <c r="A630" s="11" t="s">
        <v>1689</v>
      </c>
      <c r="B630" s="11" t="s">
        <v>1798</v>
      </c>
      <c r="C630" s="12" t="s">
        <v>1691</v>
      </c>
      <c r="D630" s="27" t="s">
        <v>1799</v>
      </c>
      <c r="E630" s="16" t="s">
        <v>45</v>
      </c>
      <c r="F630" s="10" t="s">
        <v>1695</v>
      </c>
      <c r="G630" s="12" t="s">
        <v>1800</v>
      </c>
      <c r="H630" s="10" t="s">
        <v>562</v>
      </c>
      <c r="I630" s="10" t="s">
        <v>1498</v>
      </c>
      <c r="J630" s="12" t="s">
        <v>46</v>
      </c>
      <c r="K630" s="16" t="s">
        <v>45</v>
      </c>
      <c r="L630" s="16" t="s">
        <v>45</v>
      </c>
      <c r="M630" s="10" t="s">
        <v>49</v>
      </c>
      <c r="N630" s="16" t="s">
        <v>45</v>
      </c>
      <c r="O630" s="10" t="s">
        <v>1499</v>
      </c>
      <c r="P630" s="9" t="str">
        <f t="shared" si="28"/>
        <v>N/I</v>
      </c>
      <c r="Q630" s="9" t="str">
        <f t="shared" si="29"/>
        <v>N/I</v>
      </c>
      <c r="R630" s="9" t="str">
        <f t="shared" si="30"/>
        <v>N/I</v>
      </c>
    </row>
    <row r="631">
      <c r="A631" s="11" t="s">
        <v>1689</v>
      </c>
      <c r="B631" s="11" t="s">
        <v>1803</v>
      </c>
      <c r="C631" s="12" t="s">
        <v>1691</v>
      </c>
      <c r="D631" s="42" t="s">
        <v>1804</v>
      </c>
      <c r="E631" s="16" t="s">
        <v>45</v>
      </c>
      <c r="F631" s="10" t="s">
        <v>1695</v>
      </c>
      <c r="G631" s="12" t="s">
        <v>1805</v>
      </c>
      <c r="H631" s="10" t="s">
        <v>562</v>
      </c>
      <c r="I631" s="10" t="s">
        <v>1498</v>
      </c>
      <c r="J631" s="12" t="s">
        <v>46</v>
      </c>
      <c r="K631" s="16" t="s">
        <v>45</v>
      </c>
      <c r="L631" s="16" t="s">
        <v>45</v>
      </c>
      <c r="M631" s="10" t="s">
        <v>49</v>
      </c>
      <c r="N631" s="16" t="s">
        <v>45</v>
      </c>
      <c r="O631" s="10" t="s">
        <v>1499</v>
      </c>
      <c r="P631" s="9" t="str">
        <f t="shared" si="28"/>
        <v>N/I</v>
      </c>
      <c r="Q631" s="9" t="str">
        <f t="shared" si="29"/>
        <v>N/I</v>
      </c>
      <c r="R631" s="9" t="str">
        <f t="shared" si="30"/>
        <v>N/I</v>
      </c>
    </row>
    <row r="632">
      <c r="A632" s="11" t="s">
        <v>1689</v>
      </c>
      <c r="B632" s="11" t="s">
        <v>1808</v>
      </c>
      <c r="C632" s="12" t="s">
        <v>1691</v>
      </c>
      <c r="D632" s="42" t="s">
        <v>1809</v>
      </c>
      <c r="E632" s="16" t="s">
        <v>45</v>
      </c>
      <c r="F632" s="10" t="s">
        <v>1695</v>
      </c>
      <c r="G632" s="12" t="s">
        <v>1159</v>
      </c>
      <c r="H632" s="10" t="s">
        <v>562</v>
      </c>
      <c r="I632" s="10" t="s">
        <v>1498</v>
      </c>
      <c r="J632" s="12" t="s">
        <v>46</v>
      </c>
      <c r="K632" s="16" t="s">
        <v>45</v>
      </c>
      <c r="L632" s="16" t="s">
        <v>45</v>
      </c>
      <c r="M632" s="10" t="s">
        <v>49</v>
      </c>
      <c r="N632" s="16" t="s">
        <v>45</v>
      </c>
      <c r="O632" s="10" t="s">
        <v>1499</v>
      </c>
      <c r="P632" s="9" t="str">
        <f t="shared" si="28"/>
        <v>N/I</v>
      </c>
      <c r="Q632" s="9" t="str">
        <f t="shared" si="29"/>
        <v>N/I</v>
      </c>
      <c r="R632" s="9" t="str">
        <f t="shared" si="30"/>
        <v>N/I</v>
      </c>
    </row>
    <row r="633">
      <c r="A633" s="11" t="s">
        <v>1689</v>
      </c>
      <c r="B633" s="11" t="s">
        <v>1810</v>
      </c>
      <c r="C633" s="12" t="s">
        <v>1691</v>
      </c>
      <c r="D633" s="42" t="s">
        <v>1811</v>
      </c>
      <c r="E633" s="16" t="s">
        <v>45</v>
      </c>
      <c r="F633" s="10" t="s">
        <v>1695</v>
      </c>
      <c r="G633" s="12" t="s">
        <v>1812</v>
      </c>
      <c r="H633" s="10" t="s">
        <v>562</v>
      </c>
      <c r="I633" s="10" t="s">
        <v>1498</v>
      </c>
      <c r="J633" s="12" t="s">
        <v>46</v>
      </c>
      <c r="K633" s="16" t="s">
        <v>45</v>
      </c>
      <c r="L633" s="16" t="s">
        <v>45</v>
      </c>
      <c r="M633" s="10" t="s">
        <v>49</v>
      </c>
      <c r="N633" s="16" t="s">
        <v>45</v>
      </c>
      <c r="O633" s="10" t="s">
        <v>1499</v>
      </c>
      <c r="P633" s="9" t="str">
        <f t="shared" si="28"/>
        <v>N/I</v>
      </c>
      <c r="Q633" s="9" t="str">
        <f t="shared" si="29"/>
        <v>N/I</v>
      </c>
      <c r="R633" s="9" t="str">
        <f t="shared" si="30"/>
        <v>N/I</v>
      </c>
    </row>
    <row r="634">
      <c r="A634" s="11" t="s">
        <v>1689</v>
      </c>
      <c r="B634" s="11" t="s">
        <v>1815</v>
      </c>
      <c r="C634" s="12" t="s">
        <v>1691</v>
      </c>
      <c r="D634" s="42" t="s">
        <v>1816</v>
      </c>
      <c r="E634" s="16" t="s">
        <v>45</v>
      </c>
      <c r="F634" s="10" t="s">
        <v>1695</v>
      </c>
      <c r="G634" s="12" t="s">
        <v>1817</v>
      </c>
      <c r="H634" s="10" t="s">
        <v>562</v>
      </c>
      <c r="I634" s="10" t="s">
        <v>1498</v>
      </c>
      <c r="J634" s="12" t="s">
        <v>46</v>
      </c>
      <c r="K634" s="16" t="s">
        <v>45</v>
      </c>
      <c r="L634" s="16" t="s">
        <v>45</v>
      </c>
      <c r="M634" s="10" t="s">
        <v>49</v>
      </c>
      <c r="N634" s="16" t="s">
        <v>45</v>
      </c>
      <c r="O634" s="10" t="s">
        <v>1499</v>
      </c>
      <c r="P634" s="9" t="str">
        <f t="shared" si="28"/>
        <v>N/I</v>
      </c>
      <c r="Q634" s="9" t="str">
        <f t="shared" si="29"/>
        <v>N/I</v>
      </c>
      <c r="R634" s="9" t="str">
        <f t="shared" si="30"/>
        <v>N/I</v>
      </c>
    </row>
    <row r="635">
      <c r="A635" s="11" t="s">
        <v>1689</v>
      </c>
      <c r="B635" s="11" t="s">
        <v>1684</v>
      </c>
      <c r="C635" s="12" t="s">
        <v>1691</v>
      </c>
      <c r="D635" s="42" t="s">
        <v>1820</v>
      </c>
      <c r="E635" s="16" t="s">
        <v>45</v>
      </c>
      <c r="F635" s="10" t="s">
        <v>1695</v>
      </c>
      <c r="G635" s="12" t="s">
        <v>1686</v>
      </c>
      <c r="H635" s="10" t="s">
        <v>562</v>
      </c>
      <c r="I635" s="10" t="s">
        <v>1498</v>
      </c>
      <c r="J635" s="12" t="s">
        <v>46</v>
      </c>
      <c r="K635" s="16" t="s">
        <v>45</v>
      </c>
      <c r="L635" s="16" t="s">
        <v>45</v>
      </c>
      <c r="M635" s="10" t="s">
        <v>49</v>
      </c>
      <c r="N635" s="16" t="s">
        <v>45</v>
      </c>
      <c r="O635" s="10" t="s">
        <v>1499</v>
      </c>
      <c r="P635" s="9" t="str">
        <f t="shared" si="28"/>
        <v>N/I</v>
      </c>
      <c r="Q635" s="9" t="str">
        <f t="shared" si="29"/>
        <v>N/I</v>
      </c>
      <c r="R635" s="9" t="str">
        <f t="shared" si="30"/>
        <v>N/I</v>
      </c>
    </row>
    <row r="636">
      <c r="A636" s="11" t="s">
        <v>1689</v>
      </c>
      <c r="B636" s="11" t="s">
        <v>1821</v>
      </c>
      <c r="C636" s="12" t="s">
        <v>1691</v>
      </c>
      <c r="D636" s="42" t="s">
        <v>1822</v>
      </c>
      <c r="E636" s="16" t="s">
        <v>45</v>
      </c>
      <c r="F636" s="10" t="s">
        <v>1695</v>
      </c>
      <c r="G636" s="12" t="s">
        <v>1823</v>
      </c>
      <c r="H636" s="10" t="s">
        <v>562</v>
      </c>
      <c r="I636" s="10" t="s">
        <v>1498</v>
      </c>
      <c r="J636" s="12" t="s">
        <v>46</v>
      </c>
      <c r="K636" s="16" t="s">
        <v>45</v>
      </c>
      <c r="L636" s="16" t="s">
        <v>45</v>
      </c>
      <c r="M636" s="10" t="s">
        <v>49</v>
      </c>
      <c r="N636" s="16" t="s">
        <v>45</v>
      </c>
      <c r="O636" s="10" t="s">
        <v>1499</v>
      </c>
      <c r="P636" s="9" t="str">
        <f t="shared" si="28"/>
        <v>N/I</v>
      </c>
      <c r="Q636" s="9" t="str">
        <f t="shared" si="29"/>
        <v>N/I</v>
      </c>
      <c r="R636" s="9" t="str">
        <f t="shared" si="30"/>
        <v>N/I</v>
      </c>
    </row>
    <row r="637">
      <c r="A637" s="11" t="s">
        <v>1689</v>
      </c>
      <c r="B637" s="11" t="s">
        <v>1826</v>
      </c>
      <c r="C637" s="12" t="s">
        <v>1691</v>
      </c>
      <c r="D637" s="42" t="s">
        <v>1827</v>
      </c>
      <c r="E637" s="16" t="s">
        <v>45</v>
      </c>
      <c r="F637" s="10" t="s">
        <v>1695</v>
      </c>
      <c r="G637" s="12" t="s">
        <v>1828</v>
      </c>
      <c r="H637" s="10" t="s">
        <v>562</v>
      </c>
      <c r="I637" s="10" t="s">
        <v>1498</v>
      </c>
      <c r="J637" s="12" t="s">
        <v>46</v>
      </c>
      <c r="K637" s="16" t="s">
        <v>45</v>
      </c>
      <c r="L637" s="16" t="s">
        <v>45</v>
      </c>
      <c r="M637" s="10" t="s">
        <v>49</v>
      </c>
      <c r="N637" s="16" t="s">
        <v>45</v>
      </c>
      <c r="O637" s="10" t="s">
        <v>1499</v>
      </c>
      <c r="P637" s="9" t="str">
        <f t="shared" si="28"/>
        <v>N/I</v>
      </c>
      <c r="Q637" s="9" t="str">
        <f t="shared" si="29"/>
        <v>N/I</v>
      </c>
      <c r="R637" s="9" t="str">
        <f t="shared" si="30"/>
        <v>N/I</v>
      </c>
    </row>
    <row r="638">
      <c r="A638" s="11" t="s">
        <v>1689</v>
      </c>
      <c r="B638" s="11" t="s">
        <v>1831</v>
      </c>
      <c r="C638" s="12" t="s">
        <v>1691</v>
      </c>
      <c r="D638" s="42" t="s">
        <v>1832</v>
      </c>
      <c r="E638" s="16" t="s">
        <v>45</v>
      </c>
      <c r="F638" s="10" t="s">
        <v>1695</v>
      </c>
      <c r="G638" s="12" t="s">
        <v>1833</v>
      </c>
      <c r="H638" s="10" t="s">
        <v>562</v>
      </c>
      <c r="I638" s="10" t="s">
        <v>1498</v>
      </c>
      <c r="J638" s="12" t="s">
        <v>46</v>
      </c>
      <c r="K638" s="16" t="s">
        <v>45</v>
      </c>
      <c r="L638" s="16" t="s">
        <v>45</v>
      </c>
      <c r="M638" s="10" t="s">
        <v>49</v>
      </c>
      <c r="N638" s="16" t="s">
        <v>45</v>
      </c>
      <c r="O638" s="10" t="s">
        <v>1499</v>
      </c>
      <c r="P638" s="9" t="str">
        <f t="shared" si="28"/>
        <v>N/I</v>
      </c>
      <c r="Q638" s="9" t="str">
        <f t="shared" si="29"/>
        <v>N/I</v>
      </c>
      <c r="R638" s="9" t="str">
        <f t="shared" si="30"/>
        <v>N/I</v>
      </c>
    </row>
    <row r="639">
      <c r="A639" s="11" t="s">
        <v>1689</v>
      </c>
      <c r="B639" s="11" t="s">
        <v>1835</v>
      </c>
      <c r="C639" s="12" t="s">
        <v>1691</v>
      </c>
      <c r="D639" s="42" t="s">
        <v>1836</v>
      </c>
      <c r="E639" s="16" t="s">
        <v>45</v>
      </c>
      <c r="F639" s="10" t="s">
        <v>1695</v>
      </c>
      <c r="G639" s="12" t="s">
        <v>1837</v>
      </c>
      <c r="H639" s="10" t="s">
        <v>562</v>
      </c>
      <c r="I639" s="10" t="s">
        <v>1498</v>
      </c>
      <c r="J639" s="12" t="s">
        <v>46</v>
      </c>
      <c r="K639" s="16" t="s">
        <v>45</v>
      </c>
      <c r="L639" s="16" t="s">
        <v>45</v>
      </c>
      <c r="M639" s="10" t="s">
        <v>49</v>
      </c>
      <c r="N639" s="16" t="s">
        <v>45</v>
      </c>
      <c r="O639" s="10" t="s">
        <v>1499</v>
      </c>
      <c r="P639" s="9" t="str">
        <f t="shared" si="28"/>
        <v>N/I</v>
      </c>
      <c r="Q639" s="9" t="str">
        <f t="shared" si="29"/>
        <v>N/I</v>
      </c>
      <c r="R639" s="9" t="str">
        <f t="shared" si="30"/>
        <v>N/I</v>
      </c>
    </row>
    <row r="640">
      <c r="A640" s="11" t="s">
        <v>1689</v>
      </c>
      <c r="B640" s="11" t="s">
        <v>1839</v>
      </c>
      <c r="C640" s="12" t="s">
        <v>1691</v>
      </c>
      <c r="D640" s="42" t="s">
        <v>1840</v>
      </c>
      <c r="E640" s="16" t="s">
        <v>45</v>
      </c>
      <c r="F640" s="10" t="s">
        <v>1695</v>
      </c>
      <c r="G640" s="12" t="s">
        <v>1841</v>
      </c>
      <c r="H640" s="10" t="s">
        <v>562</v>
      </c>
      <c r="I640" s="10" t="s">
        <v>1498</v>
      </c>
      <c r="J640" s="12" t="s">
        <v>46</v>
      </c>
      <c r="K640" s="16" t="s">
        <v>45</v>
      </c>
      <c r="L640" s="16" t="s">
        <v>45</v>
      </c>
      <c r="M640" s="10" t="s">
        <v>49</v>
      </c>
      <c r="N640" s="16" t="s">
        <v>45</v>
      </c>
      <c r="O640" s="10" t="s">
        <v>1499</v>
      </c>
      <c r="P640" s="9" t="str">
        <f t="shared" si="28"/>
        <v>N/I</v>
      </c>
      <c r="Q640" s="9" t="str">
        <f t="shared" si="29"/>
        <v>N/I</v>
      </c>
      <c r="R640" s="9" t="str">
        <f t="shared" si="30"/>
        <v>N/I</v>
      </c>
    </row>
    <row r="641">
      <c r="A641" s="11" t="s">
        <v>1689</v>
      </c>
      <c r="B641" s="11" t="s">
        <v>1843</v>
      </c>
      <c r="C641" s="12" t="s">
        <v>1691</v>
      </c>
      <c r="D641" s="42" t="s">
        <v>1844</v>
      </c>
      <c r="E641" s="16" t="s">
        <v>45</v>
      </c>
      <c r="F641" s="10" t="s">
        <v>1695</v>
      </c>
      <c r="G641" s="12" t="s">
        <v>1845</v>
      </c>
      <c r="H641" s="10" t="s">
        <v>562</v>
      </c>
      <c r="I641" s="10" t="s">
        <v>1498</v>
      </c>
      <c r="J641" s="12" t="s">
        <v>46</v>
      </c>
      <c r="K641" s="16" t="s">
        <v>45</v>
      </c>
      <c r="L641" s="16" t="s">
        <v>45</v>
      </c>
      <c r="M641" s="10" t="s">
        <v>49</v>
      </c>
      <c r="N641" s="16" t="s">
        <v>45</v>
      </c>
      <c r="O641" s="10" t="s">
        <v>1499</v>
      </c>
      <c r="P641" s="9" t="str">
        <f t="shared" si="28"/>
        <v>N/I</v>
      </c>
      <c r="Q641" s="9" t="str">
        <f t="shared" si="29"/>
        <v>N/I</v>
      </c>
      <c r="R641" s="9" t="str">
        <f t="shared" si="30"/>
        <v>N/I</v>
      </c>
    </row>
    <row r="642">
      <c r="A642" s="11" t="s">
        <v>1689</v>
      </c>
      <c r="B642" s="11" t="s">
        <v>1848</v>
      </c>
      <c r="C642" s="12" t="s">
        <v>1691</v>
      </c>
      <c r="D642" s="42" t="s">
        <v>1849</v>
      </c>
      <c r="E642" s="16" t="s">
        <v>45</v>
      </c>
      <c r="F642" s="10" t="s">
        <v>1695</v>
      </c>
      <c r="G642" s="12" t="s">
        <v>1850</v>
      </c>
      <c r="H642" s="10" t="s">
        <v>562</v>
      </c>
      <c r="I642" s="10" t="s">
        <v>1498</v>
      </c>
      <c r="J642" s="12" t="s">
        <v>46</v>
      </c>
      <c r="K642" s="16" t="s">
        <v>45</v>
      </c>
      <c r="L642" s="16" t="s">
        <v>45</v>
      </c>
      <c r="M642" s="10" t="s">
        <v>49</v>
      </c>
      <c r="N642" s="16" t="s">
        <v>45</v>
      </c>
      <c r="O642" s="10" t="s">
        <v>1499</v>
      </c>
      <c r="P642" s="9" t="str">
        <f t="shared" si="28"/>
        <v>N/I</v>
      </c>
      <c r="Q642" s="9" t="str">
        <f t="shared" si="29"/>
        <v>N/I</v>
      </c>
      <c r="R642" s="9" t="str">
        <f t="shared" si="30"/>
        <v>N/I</v>
      </c>
    </row>
    <row r="643">
      <c r="A643" s="11" t="s">
        <v>1689</v>
      </c>
      <c r="B643" s="11" t="s">
        <v>1853</v>
      </c>
      <c r="C643" s="12" t="s">
        <v>1691</v>
      </c>
      <c r="D643" s="42" t="s">
        <v>1854</v>
      </c>
      <c r="E643" s="16" t="s">
        <v>45</v>
      </c>
      <c r="F643" s="10" t="s">
        <v>1695</v>
      </c>
      <c r="G643" s="12" t="s">
        <v>1855</v>
      </c>
      <c r="H643" s="10" t="s">
        <v>562</v>
      </c>
      <c r="I643" s="10" t="s">
        <v>1498</v>
      </c>
      <c r="J643" s="12" t="s">
        <v>46</v>
      </c>
      <c r="K643" s="16" t="s">
        <v>45</v>
      </c>
      <c r="L643" s="16" t="s">
        <v>45</v>
      </c>
      <c r="M643" s="10" t="s">
        <v>49</v>
      </c>
      <c r="N643" s="16" t="s">
        <v>45</v>
      </c>
      <c r="O643" s="10" t="s">
        <v>1499</v>
      </c>
      <c r="P643" s="9" t="str">
        <f t="shared" si="28"/>
        <v>N/I</v>
      </c>
      <c r="Q643" s="9" t="str">
        <f t="shared" si="29"/>
        <v>N/I</v>
      </c>
      <c r="R643" s="9" t="str">
        <f t="shared" si="30"/>
        <v>N/I</v>
      </c>
    </row>
    <row r="644">
      <c r="A644" s="11" t="s">
        <v>1689</v>
      </c>
      <c r="B644" s="11" t="s">
        <v>1858</v>
      </c>
      <c r="C644" s="12" t="s">
        <v>1691</v>
      </c>
      <c r="D644" s="42" t="s">
        <v>1859</v>
      </c>
      <c r="E644" s="16" t="s">
        <v>45</v>
      </c>
      <c r="F644" s="10" t="s">
        <v>1695</v>
      </c>
      <c r="G644" s="12" t="s">
        <v>1860</v>
      </c>
      <c r="H644" s="10" t="s">
        <v>562</v>
      </c>
      <c r="I644" s="10" t="s">
        <v>1498</v>
      </c>
      <c r="J644" s="12" t="s">
        <v>46</v>
      </c>
      <c r="K644" s="16" t="s">
        <v>45</v>
      </c>
      <c r="L644" s="16" t="s">
        <v>45</v>
      </c>
      <c r="M644" s="10" t="s">
        <v>49</v>
      </c>
      <c r="N644" s="16" t="s">
        <v>45</v>
      </c>
      <c r="O644" s="10" t="s">
        <v>1499</v>
      </c>
      <c r="P644" s="9" t="str">
        <f t="shared" si="28"/>
        <v>N/I</v>
      </c>
      <c r="Q644" s="9" t="str">
        <f t="shared" si="29"/>
        <v>N/I</v>
      </c>
      <c r="R644" s="9" t="str">
        <f t="shared" si="30"/>
        <v>N/I</v>
      </c>
    </row>
    <row r="645">
      <c r="A645" s="11" t="s">
        <v>1689</v>
      </c>
      <c r="B645" s="11" t="s">
        <v>1863</v>
      </c>
      <c r="C645" s="12" t="s">
        <v>1691</v>
      </c>
      <c r="D645" s="42" t="s">
        <v>1864</v>
      </c>
      <c r="E645" s="16" t="s">
        <v>45</v>
      </c>
      <c r="F645" s="10" t="s">
        <v>1695</v>
      </c>
      <c r="G645" s="12" t="s">
        <v>1865</v>
      </c>
      <c r="H645" s="10" t="s">
        <v>562</v>
      </c>
      <c r="I645" s="10" t="s">
        <v>1498</v>
      </c>
      <c r="J645" s="12" t="s">
        <v>46</v>
      </c>
      <c r="K645" s="16" t="s">
        <v>45</v>
      </c>
      <c r="L645" s="16" t="s">
        <v>45</v>
      </c>
      <c r="M645" s="10" t="s">
        <v>49</v>
      </c>
      <c r="N645" s="16" t="s">
        <v>45</v>
      </c>
      <c r="O645" s="10" t="s">
        <v>1499</v>
      </c>
      <c r="P645" s="9" t="str">
        <f t="shared" si="28"/>
        <v>N/I</v>
      </c>
      <c r="Q645" s="9" t="str">
        <f t="shared" si="29"/>
        <v>N/I</v>
      </c>
      <c r="R645" s="9" t="str">
        <f t="shared" si="30"/>
        <v>N/I</v>
      </c>
    </row>
    <row r="646">
      <c r="A646" s="11" t="s">
        <v>1689</v>
      </c>
      <c r="B646" s="11" t="s">
        <v>1868</v>
      </c>
      <c r="C646" s="12" t="s">
        <v>1691</v>
      </c>
      <c r="D646" s="42" t="s">
        <v>1869</v>
      </c>
      <c r="E646" s="16" t="s">
        <v>45</v>
      </c>
      <c r="F646" s="10" t="s">
        <v>1695</v>
      </c>
      <c r="G646" s="12" t="s">
        <v>1870</v>
      </c>
      <c r="H646" s="10" t="s">
        <v>562</v>
      </c>
      <c r="I646" s="10" t="s">
        <v>1498</v>
      </c>
      <c r="J646" s="12" t="s">
        <v>46</v>
      </c>
      <c r="K646" s="16" t="s">
        <v>45</v>
      </c>
      <c r="L646" s="16" t="s">
        <v>45</v>
      </c>
      <c r="M646" s="10" t="s">
        <v>49</v>
      </c>
      <c r="N646" s="16" t="s">
        <v>45</v>
      </c>
      <c r="O646" s="10" t="s">
        <v>1499</v>
      </c>
      <c r="P646" s="9" t="str">
        <f t="shared" si="28"/>
        <v>N/I</v>
      </c>
      <c r="Q646" s="9" t="str">
        <f t="shared" si="29"/>
        <v>N/I</v>
      </c>
      <c r="R646" s="9" t="str">
        <f t="shared" si="30"/>
        <v>N/I</v>
      </c>
    </row>
    <row r="647">
      <c r="A647" s="11" t="s">
        <v>1689</v>
      </c>
      <c r="B647" s="11" t="s">
        <v>1872</v>
      </c>
      <c r="C647" s="12" t="s">
        <v>1691</v>
      </c>
      <c r="D647" s="42" t="s">
        <v>1873</v>
      </c>
      <c r="E647" s="16" t="s">
        <v>45</v>
      </c>
      <c r="F647" s="10" t="s">
        <v>1695</v>
      </c>
      <c r="G647" s="12" t="s">
        <v>1874</v>
      </c>
      <c r="H647" s="10" t="s">
        <v>562</v>
      </c>
      <c r="I647" s="10" t="s">
        <v>1498</v>
      </c>
      <c r="J647" s="12" t="s">
        <v>46</v>
      </c>
      <c r="K647" s="16" t="s">
        <v>45</v>
      </c>
      <c r="L647" s="16" t="s">
        <v>45</v>
      </c>
      <c r="M647" s="10" t="s">
        <v>49</v>
      </c>
      <c r="N647" s="16" t="s">
        <v>45</v>
      </c>
      <c r="O647" s="10" t="s">
        <v>1499</v>
      </c>
      <c r="P647" s="9" t="str">
        <f t="shared" si="28"/>
        <v>N/I</v>
      </c>
      <c r="Q647" s="9" t="str">
        <f t="shared" si="29"/>
        <v>N/I</v>
      </c>
      <c r="R647" s="9" t="str">
        <f t="shared" si="30"/>
        <v>N/I</v>
      </c>
    </row>
    <row r="648">
      <c r="A648" s="11" t="s">
        <v>1689</v>
      </c>
      <c r="B648" s="11" t="s">
        <v>1877</v>
      </c>
      <c r="C648" s="12" t="s">
        <v>1691</v>
      </c>
      <c r="D648" s="42" t="s">
        <v>1878</v>
      </c>
      <c r="E648" s="16" t="s">
        <v>45</v>
      </c>
      <c r="F648" s="10" t="s">
        <v>1695</v>
      </c>
      <c r="G648" s="12" t="s">
        <v>1879</v>
      </c>
      <c r="H648" s="10" t="s">
        <v>562</v>
      </c>
      <c r="I648" s="10" t="s">
        <v>1498</v>
      </c>
      <c r="J648" s="12" t="s">
        <v>46</v>
      </c>
      <c r="K648" s="16" t="s">
        <v>45</v>
      </c>
      <c r="L648" s="16" t="s">
        <v>45</v>
      </c>
      <c r="M648" s="10" t="s">
        <v>49</v>
      </c>
      <c r="N648" s="16" t="s">
        <v>45</v>
      </c>
      <c r="O648" s="10" t="s">
        <v>1499</v>
      </c>
      <c r="P648" s="9" t="str">
        <f t="shared" si="28"/>
        <v>N/I</v>
      </c>
      <c r="Q648" s="9" t="str">
        <f t="shared" si="29"/>
        <v>N/I</v>
      </c>
      <c r="R648" s="9" t="str">
        <f t="shared" si="30"/>
        <v>N/I</v>
      </c>
    </row>
    <row r="649">
      <c r="A649" s="11" t="s">
        <v>1689</v>
      </c>
      <c r="B649" s="11" t="s">
        <v>1882</v>
      </c>
      <c r="C649" s="12" t="s">
        <v>1691</v>
      </c>
      <c r="D649" s="42" t="s">
        <v>1883</v>
      </c>
      <c r="E649" s="16" t="s">
        <v>45</v>
      </c>
      <c r="F649" s="10" t="s">
        <v>1695</v>
      </c>
      <c r="G649" s="12" t="s">
        <v>1884</v>
      </c>
      <c r="H649" s="10" t="s">
        <v>562</v>
      </c>
      <c r="I649" s="10" t="s">
        <v>1498</v>
      </c>
      <c r="J649" s="12" t="s">
        <v>46</v>
      </c>
      <c r="K649" s="16" t="s">
        <v>45</v>
      </c>
      <c r="L649" s="16" t="s">
        <v>45</v>
      </c>
      <c r="M649" s="10" t="s">
        <v>49</v>
      </c>
      <c r="N649" s="16" t="s">
        <v>45</v>
      </c>
      <c r="O649" s="10" t="s">
        <v>1499</v>
      </c>
      <c r="P649" s="9" t="str">
        <f t="shared" si="28"/>
        <v>N/I</v>
      </c>
      <c r="Q649" s="9" t="str">
        <f t="shared" si="29"/>
        <v>N/I</v>
      </c>
      <c r="R649" s="9" t="str">
        <f t="shared" si="30"/>
        <v>N/I</v>
      </c>
    </row>
    <row r="650">
      <c r="A650" s="11" t="s">
        <v>1689</v>
      </c>
      <c r="B650" s="11" t="s">
        <v>1887</v>
      </c>
      <c r="C650" s="12" t="s">
        <v>1691</v>
      </c>
      <c r="D650" s="42" t="s">
        <v>1888</v>
      </c>
      <c r="E650" s="16" t="s">
        <v>45</v>
      </c>
      <c r="F650" s="10" t="s">
        <v>1695</v>
      </c>
      <c r="G650" s="12" t="s">
        <v>1889</v>
      </c>
      <c r="H650" s="10" t="s">
        <v>562</v>
      </c>
      <c r="I650" s="10" t="s">
        <v>1498</v>
      </c>
      <c r="J650" s="12" t="s">
        <v>46</v>
      </c>
      <c r="K650" s="16" t="s">
        <v>45</v>
      </c>
      <c r="L650" s="16" t="s">
        <v>45</v>
      </c>
      <c r="M650" s="10" t="s">
        <v>49</v>
      </c>
      <c r="N650" s="16" t="s">
        <v>45</v>
      </c>
      <c r="O650" s="10" t="s">
        <v>1499</v>
      </c>
      <c r="P650" s="9" t="str">
        <f t="shared" si="28"/>
        <v>N/I</v>
      </c>
      <c r="Q650" s="9" t="str">
        <f t="shared" si="29"/>
        <v>N/I</v>
      </c>
      <c r="R650" s="9" t="str">
        <f t="shared" si="30"/>
        <v>N/I</v>
      </c>
    </row>
    <row r="651">
      <c r="A651" s="11" t="s">
        <v>1689</v>
      </c>
      <c r="B651" s="11" t="s">
        <v>1892</v>
      </c>
      <c r="C651" s="12" t="s">
        <v>1691</v>
      </c>
      <c r="D651" s="42" t="s">
        <v>1893</v>
      </c>
      <c r="E651" s="16" t="s">
        <v>45</v>
      </c>
      <c r="F651" s="10" t="s">
        <v>1695</v>
      </c>
      <c r="G651" s="12" t="s">
        <v>1894</v>
      </c>
      <c r="H651" s="10" t="s">
        <v>562</v>
      </c>
      <c r="I651" s="10" t="s">
        <v>1498</v>
      </c>
      <c r="J651" s="12" t="s">
        <v>46</v>
      </c>
      <c r="K651" s="16" t="s">
        <v>45</v>
      </c>
      <c r="L651" s="16" t="s">
        <v>45</v>
      </c>
      <c r="M651" s="10" t="s">
        <v>49</v>
      </c>
      <c r="N651" s="16" t="s">
        <v>45</v>
      </c>
      <c r="O651" s="10" t="s">
        <v>1499</v>
      </c>
      <c r="P651" s="9" t="str">
        <f t="shared" si="28"/>
        <v>N/I</v>
      </c>
      <c r="Q651" s="9" t="str">
        <f t="shared" si="29"/>
        <v>N/I</v>
      </c>
      <c r="R651" s="9" t="str">
        <f t="shared" si="30"/>
        <v>N/I</v>
      </c>
    </row>
    <row r="652">
      <c r="A652" s="11" t="s">
        <v>1689</v>
      </c>
      <c r="B652" s="11" t="s">
        <v>1896</v>
      </c>
      <c r="C652" s="12" t="s">
        <v>1691</v>
      </c>
      <c r="D652" s="42" t="s">
        <v>1897</v>
      </c>
      <c r="E652" s="16" t="s">
        <v>45</v>
      </c>
      <c r="F652" s="10" t="s">
        <v>1695</v>
      </c>
      <c r="G652" s="12" t="s">
        <v>1898</v>
      </c>
      <c r="H652" s="10" t="s">
        <v>562</v>
      </c>
      <c r="I652" s="10" t="s">
        <v>1498</v>
      </c>
      <c r="J652" s="12" t="s">
        <v>46</v>
      </c>
      <c r="K652" s="16" t="s">
        <v>45</v>
      </c>
      <c r="L652" s="16" t="s">
        <v>45</v>
      </c>
      <c r="M652" s="10" t="s">
        <v>49</v>
      </c>
      <c r="N652" s="16" t="s">
        <v>45</v>
      </c>
      <c r="O652" s="10" t="s">
        <v>1499</v>
      </c>
      <c r="P652" s="9" t="str">
        <f t="shared" si="28"/>
        <v>N/I</v>
      </c>
      <c r="Q652" s="9" t="str">
        <f t="shared" si="29"/>
        <v>N/I</v>
      </c>
      <c r="R652" s="9" t="str">
        <f t="shared" si="30"/>
        <v>N/I</v>
      </c>
    </row>
    <row r="653">
      <c r="A653" s="11" t="s">
        <v>1689</v>
      </c>
      <c r="B653" s="11" t="s">
        <v>1901</v>
      </c>
      <c r="C653" s="12" t="s">
        <v>1691</v>
      </c>
      <c r="D653" s="42" t="s">
        <v>1902</v>
      </c>
      <c r="E653" s="16" t="s">
        <v>45</v>
      </c>
      <c r="F653" s="10" t="s">
        <v>1695</v>
      </c>
      <c r="G653" s="12" t="s">
        <v>1903</v>
      </c>
      <c r="H653" s="10" t="s">
        <v>562</v>
      </c>
      <c r="I653" s="10" t="s">
        <v>1498</v>
      </c>
      <c r="J653" s="12" t="s">
        <v>46</v>
      </c>
      <c r="K653" s="16" t="s">
        <v>45</v>
      </c>
      <c r="L653" s="16" t="s">
        <v>45</v>
      </c>
      <c r="M653" s="10" t="s">
        <v>49</v>
      </c>
      <c r="N653" s="16" t="s">
        <v>45</v>
      </c>
      <c r="O653" s="10" t="s">
        <v>1499</v>
      </c>
      <c r="P653" s="9" t="str">
        <f t="shared" si="28"/>
        <v>N/I</v>
      </c>
      <c r="Q653" s="9" t="str">
        <f t="shared" si="29"/>
        <v>N/I</v>
      </c>
      <c r="R653" s="9" t="str">
        <f t="shared" si="30"/>
        <v>N/I</v>
      </c>
    </row>
    <row r="654">
      <c r="A654" s="11" t="s">
        <v>1689</v>
      </c>
      <c r="B654" s="11" t="s">
        <v>1905</v>
      </c>
      <c r="C654" s="12" t="s">
        <v>1691</v>
      </c>
      <c r="D654" s="42" t="s">
        <v>1906</v>
      </c>
      <c r="E654" s="16" t="s">
        <v>45</v>
      </c>
      <c r="F654" s="10" t="s">
        <v>1695</v>
      </c>
      <c r="G654" s="12" t="s">
        <v>1907</v>
      </c>
      <c r="H654" s="10" t="s">
        <v>562</v>
      </c>
      <c r="I654" s="10" t="s">
        <v>1498</v>
      </c>
      <c r="J654" s="12" t="s">
        <v>46</v>
      </c>
      <c r="K654" s="16" t="s">
        <v>45</v>
      </c>
      <c r="L654" s="16" t="s">
        <v>45</v>
      </c>
      <c r="M654" s="10" t="s">
        <v>49</v>
      </c>
      <c r="N654" s="16" t="s">
        <v>45</v>
      </c>
      <c r="O654" s="10" t="s">
        <v>1499</v>
      </c>
      <c r="P654" s="9" t="str">
        <f t="shared" si="28"/>
        <v>N/I</v>
      </c>
      <c r="Q654" s="9" t="str">
        <f t="shared" si="29"/>
        <v>N/I</v>
      </c>
      <c r="R654" s="9" t="str">
        <f t="shared" si="30"/>
        <v>N/I</v>
      </c>
    </row>
    <row r="655">
      <c r="A655" s="11" t="s">
        <v>1689</v>
      </c>
      <c r="B655" s="11" t="s">
        <v>1910</v>
      </c>
      <c r="C655" s="12" t="s">
        <v>1691</v>
      </c>
      <c r="D655" s="42" t="s">
        <v>1911</v>
      </c>
      <c r="E655" s="16" t="s">
        <v>45</v>
      </c>
      <c r="F655" s="10" t="s">
        <v>1695</v>
      </c>
      <c r="G655" s="12" t="s">
        <v>1912</v>
      </c>
      <c r="H655" s="10" t="s">
        <v>562</v>
      </c>
      <c r="I655" s="10" t="s">
        <v>1498</v>
      </c>
      <c r="J655" s="12" t="s">
        <v>46</v>
      </c>
      <c r="K655" s="16" t="s">
        <v>45</v>
      </c>
      <c r="L655" s="16" t="s">
        <v>45</v>
      </c>
      <c r="M655" s="10" t="s">
        <v>49</v>
      </c>
      <c r="N655" s="16" t="s">
        <v>45</v>
      </c>
      <c r="O655" s="10" t="s">
        <v>1499</v>
      </c>
      <c r="P655" s="9" t="str">
        <f t="shared" si="28"/>
        <v>N/I</v>
      </c>
      <c r="Q655" s="9" t="str">
        <f t="shared" si="29"/>
        <v>N/I</v>
      </c>
      <c r="R655" s="9" t="str">
        <f t="shared" si="30"/>
        <v>N/I</v>
      </c>
    </row>
    <row r="656">
      <c r="A656" s="11" t="s">
        <v>1916</v>
      </c>
      <c r="B656" s="11" t="s">
        <v>1917</v>
      </c>
      <c r="C656" s="12" t="s">
        <v>94</v>
      </c>
      <c r="D656" s="16">
        <v>150291.0</v>
      </c>
      <c r="E656" s="10" t="s">
        <v>227</v>
      </c>
      <c r="F656" s="10" t="s">
        <v>1921</v>
      </c>
      <c r="G656" s="12" t="s">
        <v>1918</v>
      </c>
      <c r="H656" s="10" t="s">
        <v>197</v>
      </c>
      <c r="I656" s="10" t="s">
        <v>354</v>
      </c>
      <c r="J656" s="12" t="s">
        <v>355</v>
      </c>
      <c r="K656" s="10" t="s">
        <v>717</v>
      </c>
      <c r="L656" s="16" t="s">
        <v>45</v>
      </c>
      <c r="M656" s="10" t="s">
        <v>49</v>
      </c>
      <c r="N656" s="16" t="s">
        <v>45</v>
      </c>
      <c r="O656" s="10" t="s">
        <v>50</v>
      </c>
      <c r="P656" s="9" t="str">
        <f t="shared" si="28"/>
        <v>N/I</v>
      </c>
      <c r="Q656" s="9" t="str">
        <f t="shared" si="29"/>
        <v>N/I</v>
      </c>
      <c r="R656" s="9" t="str">
        <f t="shared" si="30"/>
        <v>N/I</v>
      </c>
    </row>
    <row r="657">
      <c r="A657" s="11" t="s">
        <v>1923</v>
      </c>
      <c r="B657" s="32" t="s">
        <v>1924</v>
      </c>
      <c r="C657" s="12" t="s">
        <v>1691</v>
      </c>
      <c r="D657" s="34" t="s">
        <v>1925</v>
      </c>
      <c r="E657" s="12" t="s">
        <v>1930</v>
      </c>
      <c r="F657" s="10" t="s">
        <v>1929</v>
      </c>
      <c r="G657" s="12" t="s">
        <v>1926</v>
      </c>
      <c r="H657" s="10" t="s">
        <v>197</v>
      </c>
      <c r="I657" s="10" t="s">
        <v>680</v>
      </c>
      <c r="J657" s="12" t="s">
        <v>46</v>
      </c>
      <c r="K657" s="10" t="s">
        <v>226</v>
      </c>
      <c r="L657" s="16" t="s">
        <v>45</v>
      </c>
      <c r="M657" s="10" t="s">
        <v>49</v>
      </c>
      <c r="N657" s="12" t="s">
        <v>1931</v>
      </c>
      <c r="O657" s="10" t="s">
        <v>50</v>
      </c>
      <c r="P657" s="9" t="str">
        <f t="shared" si="28"/>
        <v>N/I</v>
      </c>
      <c r="Q657" s="9" t="str">
        <f t="shared" si="29"/>
        <v>N/I</v>
      </c>
      <c r="R657" s="9" t="str">
        <f t="shared" si="30"/>
        <v>N/I</v>
      </c>
    </row>
    <row r="658">
      <c r="A658" s="11" t="s">
        <v>1923</v>
      </c>
      <c r="B658" s="32" t="s">
        <v>1932</v>
      </c>
      <c r="C658" s="12" t="s">
        <v>1691</v>
      </c>
      <c r="D658" s="34" t="s">
        <v>1933</v>
      </c>
      <c r="E658" s="12" t="s">
        <v>1930</v>
      </c>
      <c r="F658" s="10" t="s">
        <v>1929</v>
      </c>
      <c r="G658" s="12" t="s">
        <v>1926</v>
      </c>
      <c r="H658" s="10" t="s">
        <v>197</v>
      </c>
      <c r="I658" s="10" t="s">
        <v>680</v>
      </c>
      <c r="J658" s="12" t="s">
        <v>46</v>
      </c>
      <c r="K658" s="10" t="s">
        <v>226</v>
      </c>
      <c r="L658" s="16" t="s">
        <v>45</v>
      </c>
      <c r="M658" s="10" t="s">
        <v>49</v>
      </c>
      <c r="N658" s="12" t="s">
        <v>1931</v>
      </c>
      <c r="O658" s="10" t="s">
        <v>50</v>
      </c>
      <c r="P658" s="9" t="str">
        <f t="shared" si="28"/>
        <v>N/I</v>
      </c>
      <c r="Q658" s="9" t="str">
        <f t="shared" si="29"/>
        <v>N/I</v>
      </c>
      <c r="R658" s="9" t="str">
        <f t="shared" si="30"/>
        <v>N/I</v>
      </c>
    </row>
    <row r="659">
      <c r="A659" s="11" t="s">
        <v>1923</v>
      </c>
      <c r="B659" s="32" t="s">
        <v>1936</v>
      </c>
      <c r="C659" s="12" t="s">
        <v>1691</v>
      </c>
      <c r="D659" s="34" t="s">
        <v>1937</v>
      </c>
      <c r="E659" s="12" t="s">
        <v>1930</v>
      </c>
      <c r="F659" s="10" t="s">
        <v>1929</v>
      </c>
      <c r="G659" s="12" t="s">
        <v>1938</v>
      </c>
      <c r="H659" s="10" t="s">
        <v>197</v>
      </c>
      <c r="I659" s="10" t="s">
        <v>680</v>
      </c>
      <c r="J659" s="12" t="s">
        <v>46</v>
      </c>
      <c r="K659" s="10" t="s">
        <v>226</v>
      </c>
      <c r="L659" s="16" t="s">
        <v>45</v>
      </c>
      <c r="M659" s="10" t="s">
        <v>49</v>
      </c>
      <c r="N659" s="12" t="s">
        <v>1931</v>
      </c>
      <c r="O659" s="10" t="s">
        <v>50</v>
      </c>
      <c r="P659" s="9" t="str">
        <f t="shared" si="28"/>
        <v>N/I</v>
      </c>
      <c r="Q659" s="9" t="str">
        <f t="shared" si="29"/>
        <v>N/I</v>
      </c>
      <c r="R659" s="9" t="str">
        <f t="shared" si="30"/>
        <v>N/I</v>
      </c>
    </row>
    <row r="660">
      <c r="A660" s="11" t="s">
        <v>1923</v>
      </c>
      <c r="B660" s="32" t="s">
        <v>1941</v>
      </c>
      <c r="C660" s="12" t="s">
        <v>1691</v>
      </c>
      <c r="D660" s="34" t="s">
        <v>1942</v>
      </c>
      <c r="E660" s="12" t="s">
        <v>1930</v>
      </c>
      <c r="F660" s="10" t="s">
        <v>1929</v>
      </c>
      <c r="G660" s="12" t="s">
        <v>1943</v>
      </c>
      <c r="H660" s="10" t="s">
        <v>197</v>
      </c>
      <c r="I660" s="10" t="s">
        <v>680</v>
      </c>
      <c r="J660" s="12" t="s">
        <v>46</v>
      </c>
      <c r="K660" s="10" t="s">
        <v>226</v>
      </c>
      <c r="L660" s="16" t="s">
        <v>45</v>
      </c>
      <c r="M660" s="10" t="s">
        <v>49</v>
      </c>
      <c r="N660" s="12" t="s">
        <v>1931</v>
      </c>
      <c r="O660" s="10" t="s">
        <v>50</v>
      </c>
      <c r="P660" s="9" t="str">
        <f t="shared" si="28"/>
        <v>N/I</v>
      </c>
      <c r="Q660" s="9" t="str">
        <f t="shared" si="29"/>
        <v>N/I</v>
      </c>
      <c r="R660" s="9" t="str">
        <f t="shared" si="30"/>
        <v>N/I</v>
      </c>
    </row>
    <row r="661">
      <c r="A661" s="11" t="s">
        <v>1923</v>
      </c>
      <c r="B661" s="32" t="s">
        <v>1946</v>
      </c>
      <c r="C661" s="12" t="s">
        <v>1691</v>
      </c>
      <c r="D661" s="34" t="s">
        <v>1947</v>
      </c>
      <c r="E661" s="12" t="s">
        <v>1930</v>
      </c>
      <c r="F661" s="10" t="s">
        <v>1929</v>
      </c>
      <c r="G661" s="12" t="s">
        <v>1948</v>
      </c>
      <c r="H661" s="10" t="s">
        <v>197</v>
      </c>
      <c r="I661" s="10" t="s">
        <v>680</v>
      </c>
      <c r="J661" s="12" t="s">
        <v>46</v>
      </c>
      <c r="K661" s="10" t="s">
        <v>226</v>
      </c>
      <c r="L661" s="16" t="s">
        <v>45</v>
      </c>
      <c r="M661" s="10" t="s">
        <v>49</v>
      </c>
      <c r="N661" s="12" t="s">
        <v>1931</v>
      </c>
      <c r="O661" s="10" t="s">
        <v>50</v>
      </c>
      <c r="P661" s="9" t="str">
        <f t="shared" si="28"/>
        <v>N/I</v>
      </c>
      <c r="Q661" s="9" t="str">
        <f t="shared" si="29"/>
        <v>N/I</v>
      </c>
      <c r="R661" s="9" t="str">
        <f t="shared" si="30"/>
        <v>N/I</v>
      </c>
    </row>
    <row r="662">
      <c r="A662" s="11" t="s">
        <v>1923</v>
      </c>
      <c r="B662" s="32" t="s">
        <v>1951</v>
      </c>
      <c r="C662" s="12" t="s">
        <v>1691</v>
      </c>
      <c r="D662" s="34" t="s">
        <v>1952</v>
      </c>
      <c r="E662" s="12" t="s">
        <v>1930</v>
      </c>
      <c r="F662" s="10" t="s">
        <v>1929</v>
      </c>
      <c r="G662" s="12" t="s">
        <v>1948</v>
      </c>
      <c r="H662" s="10" t="s">
        <v>197</v>
      </c>
      <c r="I662" s="10" t="s">
        <v>680</v>
      </c>
      <c r="J662" s="12" t="s">
        <v>46</v>
      </c>
      <c r="K662" s="10" t="s">
        <v>226</v>
      </c>
      <c r="L662" s="16" t="s">
        <v>45</v>
      </c>
      <c r="M662" s="10" t="s">
        <v>49</v>
      </c>
      <c r="N662" s="12" t="s">
        <v>1931</v>
      </c>
      <c r="O662" s="10" t="s">
        <v>50</v>
      </c>
      <c r="P662" s="9" t="str">
        <f t="shared" si="28"/>
        <v>N/I</v>
      </c>
      <c r="Q662" s="9" t="str">
        <f t="shared" si="29"/>
        <v>N/I</v>
      </c>
      <c r="R662" s="9" t="str">
        <f t="shared" si="30"/>
        <v>N/I</v>
      </c>
    </row>
    <row r="663">
      <c r="A663" s="11" t="s">
        <v>1923</v>
      </c>
      <c r="B663" s="32" t="s">
        <v>1953</v>
      </c>
      <c r="C663" s="12" t="s">
        <v>1691</v>
      </c>
      <c r="D663" s="34" t="s">
        <v>1954</v>
      </c>
      <c r="E663" s="12" t="s">
        <v>1930</v>
      </c>
      <c r="F663" s="10" t="s">
        <v>1929</v>
      </c>
      <c r="G663" s="12" t="s">
        <v>1955</v>
      </c>
      <c r="H663" s="10" t="s">
        <v>197</v>
      </c>
      <c r="I663" s="10" t="s">
        <v>680</v>
      </c>
      <c r="J663" s="12" t="s">
        <v>46</v>
      </c>
      <c r="K663" s="10" t="s">
        <v>226</v>
      </c>
      <c r="L663" s="16" t="s">
        <v>45</v>
      </c>
      <c r="M663" s="10" t="s">
        <v>49</v>
      </c>
      <c r="N663" s="12" t="s">
        <v>1931</v>
      </c>
      <c r="O663" s="10" t="s">
        <v>50</v>
      </c>
      <c r="P663" s="9" t="str">
        <f t="shared" si="28"/>
        <v>N/I</v>
      </c>
      <c r="Q663" s="9" t="str">
        <f t="shared" si="29"/>
        <v>N/I</v>
      </c>
      <c r="R663" s="9" t="str">
        <f t="shared" si="30"/>
        <v>N/I</v>
      </c>
    </row>
    <row r="664">
      <c r="A664" s="11" t="s">
        <v>1923</v>
      </c>
      <c r="B664" s="32" t="s">
        <v>1958</v>
      </c>
      <c r="C664" s="12" t="s">
        <v>1691</v>
      </c>
      <c r="D664" s="13" t="s">
        <v>1959</v>
      </c>
      <c r="E664" s="12" t="s">
        <v>1930</v>
      </c>
      <c r="F664" s="10" t="s">
        <v>1929</v>
      </c>
      <c r="G664" s="12" t="s">
        <v>1960</v>
      </c>
      <c r="H664" s="10" t="s">
        <v>197</v>
      </c>
      <c r="I664" s="10" t="s">
        <v>680</v>
      </c>
      <c r="J664" s="12" t="s">
        <v>46</v>
      </c>
      <c r="K664" s="10" t="s">
        <v>226</v>
      </c>
      <c r="L664" s="16" t="s">
        <v>45</v>
      </c>
      <c r="M664" s="10" t="s">
        <v>49</v>
      </c>
      <c r="N664" s="12" t="s">
        <v>1931</v>
      </c>
      <c r="O664" s="10" t="s">
        <v>50</v>
      </c>
      <c r="P664" s="9" t="str">
        <f t="shared" si="28"/>
        <v>N/I</v>
      </c>
      <c r="Q664" s="9" t="str">
        <f t="shared" si="29"/>
        <v>N/I</v>
      </c>
      <c r="R664" s="9" t="str">
        <f t="shared" si="30"/>
        <v>N/I</v>
      </c>
    </row>
    <row r="665">
      <c r="A665" s="11" t="s">
        <v>1923</v>
      </c>
      <c r="B665" s="32" t="s">
        <v>1963</v>
      </c>
      <c r="C665" s="12" t="s">
        <v>1691</v>
      </c>
      <c r="D665" s="34" t="s">
        <v>1964</v>
      </c>
      <c r="E665" s="12" t="s">
        <v>1930</v>
      </c>
      <c r="F665" s="10" t="s">
        <v>1929</v>
      </c>
      <c r="G665" s="12" t="s">
        <v>1960</v>
      </c>
      <c r="H665" s="10" t="s">
        <v>197</v>
      </c>
      <c r="I665" s="10" t="s">
        <v>680</v>
      </c>
      <c r="J665" s="12" t="s">
        <v>46</v>
      </c>
      <c r="K665" s="10" t="s">
        <v>226</v>
      </c>
      <c r="L665" s="16" t="s">
        <v>45</v>
      </c>
      <c r="M665" s="10" t="s">
        <v>49</v>
      </c>
      <c r="N665" s="12" t="s">
        <v>1931</v>
      </c>
      <c r="O665" s="10" t="s">
        <v>50</v>
      </c>
      <c r="P665" s="9" t="str">
        <f t="shared" si="28"/>
        <v>N/I</v>
      </c>
      <c r="Q665" s="9" t="str">
        <f t="shared" si="29"/>
        <v>N/I</v>
      </c>
      <c r="R665" s="9" t="str">
        <f t="shared" si="30"/>
        <v>N/I</v>
      </c>
    </row>
    <row r="666">
      <c r="A666" s="46" t="s">
        <v>1923</v>
      </c>
      <c r="B666" s="39" t="s">
        <v>1968</v>
      </c>
      <c r="C666" s="37" t="s">
        <v>1691</v>
      </c>
      <c r="D666" s="36" t="s">
        <v>1969</v>
      </c>
      <c r="E666" s="12" t="s">
        <v>1930</v>
      </c>
      <c r="F666" s="10" t="s">
        <v>1929</v>
      </c>
      <c r="G666" s="12" t="s">
        <v>1960</v>
      </c>
      <c r="H666" s="10" t="s">
        <v>197</v>
      </c>
      <c r="I666" s="10" t="s">
        <v>680</v>
      </c>
      <c r="J666" s="12" t="s">
        <v>46</v>
      </c>
      <c r="K666" s="10" t="s">
        <v>226</v>
      </c>
      <c r="L666" s="16" t="s">
        <v>45</v>
      </c>
      <c r="M666" s="10" t="s">
        <v>49</v>
      </c>
      <c r="N666" s="12" t="s">
        <v>1931</v>
      </c>
      <c r="O666" s="10" t="s">
        <v>50</v>
      </c>
      <c r="P666" s="9" t="str">
        <f t="shared" si="28"/>
        <v>N/I</v>
      </c>
      <c r="Q666" s="9" t="str">
        <f t="shared" si="29"/>
        <v>N/I</v>
      </c>
      <c r="R666" s="9" t="s">
        <v>1967</v>
      </c>
    </row>
    <row r="667">
      <c r="A667" s="11" t="s">
        <v>1923</v>
      </c>
      <c r="B667" s="32" t="s">
        <v>1972</v>
      </c>
      <c r="C667" s="12" t="s">
        <v>1691</v>
      </c>
      <c r="D667" s="13" t="s">
        <v>1973</v>
      </c>
      <c r="E667" s="12" t="s">
        <v>1930</v>
      </c>
      <c r="F667" s="10" t="s">
        <v>1929</v>
      </c>
      <c r="G667" s="12" t="s">
        <v>332</v>
      </c>
      <c r="H667" s="10" t="s">
        <v>197</v>
      </c>
      <c r="I667" s="10" t="s">
        <v>680</v>
      </c>
      <c r="J667" s="12" t="s">
        <v>46</v>
      </c>
      <c r="K667" s="10" t="s">
        <v>226</v>
      </c>
      <c r="L667" s="16" t="s">
        <v>45</v>
      </c>
      <c r="M667" s="10" t="s">
        <v>49</v>
      </c>
      <c r="N667" s="12" t="s">
        <v>1931</v>
      </c>
      <c r="O667" s="10" t="s">
        <v>50</v>
      </c>
      <c r="P667" s="9" t="str">
        <f t="shared" si="28"/>
        <v>N/I</v>
      </c>
      <c r="Q667" s="9" t="str">
        <f t="shared" si="29"/>
        <v>N/I</v>
      </c>
      <c r="R667" s="9" t="str">
        <f t="shared" ref="R667:R914" si="31">IF(AT667&lt;0,"Inativo",IF(AT667&gt;0,"Ativo","N/I"))</f>
        <v>N/I</v>
      </c>
    </row>
    <row r="668">
      <c r="A668" s="11" t="s">
        <v>1923</v>
      </c>
      <c r="B668" s="32" t="s">
        <v>1976</v>
      </c>
      <c r="C668" s="12" t="s">
        <v>1691</v>
      </c>
      <c r="D668" s="13" t="s">
        <v>1977</v>
      </c>
      <c r="E668" s="12" t="s">
        <v>1930</v>
      </c>
      <c r="F668" s="10" t="s">
        <v>1929</v>
      </c>
      <c r="G668" s="12" t="s">
        <v>332</v>
      </c>
      <c r="H668" s="10" t="s">
        <v>197</v>
      </c>
      <c r="I668" s="10" t="s">
        <v>680</v>
      </c>
      <c r="J668" s="12" t="s">
        <v>46</v>
      </c>
      <c r="K668" s="10" t="s">
        <v>226</v>
      </c>
      <c r="L668" s="16" t="s">
        <v>45</v>
      </c>
      <c r="M668" s="10" t="s">
        <v>49</v>
      </c>
      <c r="N668" s="12" t="s">
        <v>1931</v>
      </c>
      <c r="O668" s="10" t="s">
        <v>50</v>
      </c>
      <c r="P668" s="9" t="str">
        <f t="shared" si="28"/>
        <v>N/I</v>
      </c>
      <c r="Q668" s="9" t="str">
        <f t="shared" si="29"/>
        <v>N/I</v>
      </c>
      <c r="R668" s="9" t="str">
        <f t="shared" si="31"/>
        <v>N/I</v>
      </c>
    </row>
    <row r="669">
      <c r="A669" s="11" t="s">
        <v>1923</v>
      </c>
      <c r="B669" s="32" t="s">
        <v>1978</v>
      </c>
      <c r="C669" s="12" t="s">
        <v>1691</v>
      </c>
      <c r="D669" s="13" t="s">
        <v>1979</v>
      </c>
      <c r="E669" s="12" t="s">
        <v>1930</v>
      </c>
      <c r="F669" s="10" t="s">
        <v>1929</v>
      </c>
      <c r="G669" s="12" t="s">
        <v>332</v>
      </c>
      <c r="H669" s="10" t="s">
        <v>197</v>
      </c>
      <c r="I669" s="10" t="s">
        <v>680</v>
      </c>
      <c r="J669" s="12" t="s">
        <v>46</v>
      </c>
      <c r="K669" s="10" t="s">
        <v>226</v>
      </c>
      <c r="L669" s="16" t="s">
        <v>45</v>
      </c>
      <c r="M669" s="10" t="s">
        <v>49</v>
      </c>
      <c r="N669" s="12" t="s">
        <v>1931</v>
      </c>
      <c r="O669" s="10" t="s">
        <v>50</v>
      </c>
      <c r="P669" s="9" t="str">
        <f t="shared" si="28"/>
        <v>N/I</v>
      </c>
      <c r="Q669" s="9" t="str">
        <f t="shared" si="29"/>
        <v>N/I</v>
      </c>
      <c r="R669" s="9" t="str">
        <f t="shared" si="31"/>
        <v>N/I</v>
      </c>
    </row>
    <row r="670">
      <c r="A670" s="11" t="s">
        <v>1923</v>
      </c>
      <c r="B670" s="32" t="s">
        <v>1980</v>
      </c>
      <c r="C670" s="12" t="s">
        <v>1691</v>
      </c>
      <c r="D670" s="34" t="s">
        <v>1981</v>
      </c>
      <c r="E670" s="12" t="s">
        <v>1930</v>
      </c>
      <c r="F670" s="10" t="s">
        <v>1929</v>
      </c>
      <c r="G670" s="12" t="s">
        <v>1982</v>
      </c>
      <c r="H670" s="10" t="s">
        <v>197</v>
      </c>
      <c r="I670" s="10" t="s">
        <v>680</v>
      </c>
      <c r="J670" s="12" t="s">
        <v>46</v>
      </c>
      <c r="K670" s="10" t="s">
        <v>226</v>
      </c>
      <c r="L670" s="16" t="s">
        <v>45</v>
      </c>
      <c r="M670" s="10" t="s">
        <v>49</v>
      </c>
      <c r="N670" s="12" t="s">
        <v>1931</v>
      </c>
      <c r="O670" s="10" t="s">
        <v>50</v>
      </c>
      <c r="P670" s="9" t="str">
        <f t="shared" si="28"/>
        <v>N/I</v>
      </c>
      <c r="Q670" s="9" t="str">
        <f t="shared" si="29"/>
        <v>N/I</v>
      </c>
      <c r="R670" s="9" t="str">
        <f t="shared" si="31"/>
        <v>N/I</v>
      </c>
    </row>
    <row r="671">
      <c r="A671" s="11" t="s">
        <v>1923</v>
      </c>
      <c r="B671" s="32" t="s">
        <v>1985</v>
      </c>
      <c r="C671" s="12" t="s">
        <v>1691</v>
      </c>
      <c r="D671" s="34" t="s">
        <v>1986</v>
      </c>
      <c r="E671" s="12" t="s">
        <v>1930</v>
      </c>
      <c r="F671" s="10" t="s">
        <v>1929</v>
      </c>
      <c r="G671" s="12" t="s">
        <v>1987</v>
      </c>
      <c r="H671" s="10" t="s">
        <v>197</v>
      </c>
      <c r="I671" s="10" t="s">
        <v>680</v>
      </c>
      <c r="J671" s="12" t="s">
        <v>46</v>
      </c>
      <c r="K671" s="10" t="s">
        <v>226</v>
      </c>
      <c r="L671" s="16" t="s">
        <v>45</v>
      </c>
      <c r="M671" s="10" t="s">
        <v>49</v>
      </c>
      <c r="N671" s="12" t="s">
        <v>1931</v>
      </c>
      <c r="O671" s="10" t="s">
        <v>50</v>
      </c>
      <c r="P671" s="9" t="str">
        <f t="shared" si="28"/>
        <v>N/I</v>
      </c>
      <c r="Q671" s="9" t="str">
        <f t="shared" si="29"/>
        <v>N/I</v>
      </c>
      <c r="R671" s="9" t="str">
        <f t="shared" si="31"/>
        <v>N/I</v>
      </c>
    </row>
    <row r="672">
      <c r="A672" s="11" t="s">
        <v>1923</v>
      </c>
      <c r="B672" s="32" t="s">
        <v>1990</v>
      </c>
      <c r="C672" s="12" t="s">
        <v>1691</v>
      </c>
      <c r="D672" s="34" t="s">
        <v>1991</v>
      </c>
      <c r="E672" s="12" t="s">
        <v>1930</v>
      </c>
      <c r="F672" s="10" t="s">
        <v>1929</v>
      </c>
      <c r="G672" s="12" t="s">
        <v>1987</v>
      </c>
      <c r="H672" s="10" t="s">
        <v>197</v>
      </c>
      <c r="I672" s="10" t="s">
        <v>680</v>
      </c>
      <c r="J672" s="12" t="s">
        <v>46</v>
      </c>
      <c r="K672" s="10" t="s">
        <v>226</v>
      </c>
      <c r="L672" s="16" t="s">
        <v>45</v>
      </c>
      <c r="M672" s="10" t="s">
        <v>49</v>
      </c>
      <c r="N672" s="12" t="s">
        <v>1931</v>
      </c>
      <c r="O672" s="10" t="s">
        <v>50</v>
      </c>
      <c r="P672" s="9" t="str">
        <f t="shared" si="28"/>
        <v>N/I</v>
      </c>
      <c r="Q672" s="9" t="str">
        <f t="shared" si="29"/>
        <v>N/I</v>
      </c>
      <c r="R672" s="9" t="str">
        <f t="shared" si="31"/>
        <v>N/I</v>
      </c>
    </row>
    <row r="673">
      <c r="A673" s="11" t="s">
        <v>1923</v>
      </c>
      <c r="B673" s="32" t="s">
        <v>1993</v>
      </c>
      <c r="C673" s="12" t="s">
        <v>1691</v>
      </c>
      <c r="D673" s="34" t="s">
        <v>1994</v>
      </c>
      <c r="E673" s="12" t="s">
        <v>1930</v>
      </c>
      <c r="F673" s="10" t="s">
        <v>1929</v>
      </c>
      <c r="G673" s="12" t="s">
        <v>1987</v>
      </c>
      <c r="H673" s="10" t="s">
        <v>197</v>
      </c>
      <c r="I673" s="10" t="s">
        <v>680</v>
      </c>
      <c r="J673" s="12" t="s">
        <v>46</v>
      </c>
      <c r="K673" s="10" t="s">
        <v>226</v>
      </c>
      <c r="L673" s="16" t="s">
        <v>45</v>
      </c>
      <c r="M673" s="10" t="s">
        <v>49</v>
      </c>
      <c r="N673" s="12" t="s">
        <v>1931</v>
      </c>
      <c r="O673" s="10" t="s">
        <v>50</v>
      </c>
      <c r="P673" s="9" t="str">
        <f t="shared" si="28"/>
        <v>N/I</v>
      </c>
      <c r="Q673" s="9" t="str">
        <f t="shared" si="29"/>
        <v>N/I</v>
      </c>
      <c r="R673" s="9" t="str">
        <f t="shared" si="31"/>
        <v>N/I</v>
      </c>
    </row>
    <row r="674">
      <c r="A674" s="11" t="s">
        <v>1923</v>
      </c>
      <c r="B674" s="32" t="s">
        <v>1995</v>
      </c>
      <c r="C674" s="12" t="s">
        <v>1691</v>
      </c>
      <c r="D674" s="13" t="s">
        <v>1996</v>
      </c>
      <c r="E674" s="12" t="s">
        <v>1930</v>
      </c>
      <c r="F674" s="10" t="s">
        <v>1929</v>
      </c>
      <c r="G674" s="12" t="s">
        <v>1997</v>
      </c>
      <c r="H674" s="10" t="s">
        <v>197</v>
      </c>
      <c r="I674" s="10" t="s">
        <v>680</v>
      </c>
      <c r="J674" s="12" t="s">
        <v>46</v>
      </c>
      <c r="K674" s="10" t="s">
        <v>226</v>
      </c>
      <c r="L674" s="16" t="s">
        <v>45</v>
      </c>
      <c r="M674" s="10" t="s">
        <v>49</v>
      </c>
      <c r="N674" s="12" t="s">
        <v>1931</v>
      </c>
      <c r="O674" s="10" t="s">
        <v>50</v>
      </c>
      <c r="P674" s="9" t="str">
        <f t="shared" si="28"/>
        <v>N/I</v>
      </c>
      <c r="Q674" s="9" t="str">
        <f t="shared" si="29"/>
        <v>N/I</v>
      </c>
      <c r="R674" s="9" t="str">
        <f t="shared" si="31"/>
        <v>N/I</v>
      </c>
    </row>
    <row r="675">
      <c r="A675" s="11" t="s">
        <v>1923</v>
      </c>
      <c r="B675" s="32" t="s">
        <v>2000</v>
      </c>
      <c r="C675" s="12" t="s">
        <v>1691</v>
      </c>
      <c r="D675" s="34" t="s">
        <v>2001</v>
      </c>
      <c r="E675" s="12" t="s">
        <v>1930</v>
      </c>
      <c r="F675" s="10" t="s">
        <v>1929</v>
      </c>
      <c r="G675" s="12" t="s">
        <v>2002</v>
      </c>
      <c r="H675" s="10" t="s">
        <v>197</v>
      </c>
      <c r="I675" s="10" t="s">
        <v>680</v>
      </c>
      <c r="J675" s="12" t="s">
        <v>46</v>
      </c>
      <c r="K675" s="10" t="s">
        <v>226</v>
      </c>
      <c r="L675" s="16" t="s">
        <v>45</v>
      </c>
      <c r="M675" s="10" t="s">
        <v>49</v>
      </c>
      <c r="N675" s="12" t="s">
        <v>1931</v>
      </c>
      <c r="O675" s="10" t="s">
        <v>50</v>
      </c>
      <c r="P675" s="9" t="str">
        <f t="shared" si="28"/>
        <v>N/I</v>
      </c>
      <c r="Q675" s="9" t="str">
        <f t="shared" si="29"/>
        <v>N/I</v>
      </c>
      <c r="R675" s="9" t="str">
        <f t="shared" si="31"/>
        <v>N/I</v>
      </c>
    </row>
    <row r="676">
      <c r="A676" s="11" t="s">
        <v>1923</v>
      </c>
      <c r="B676" s="32" t="s">
        <v>2005</v>
      </c>
      <c r="C676" s="12" t="s">
        <v>1691</v>
      </c>
      <c r="D676" s="13" t="s">
        <v>2006</v>
      </c>
      <c r="E676" s="12" t="s">
        <v>1930</v>
      </c>
      <c r="F676" s="10" t="s">
        <v>1929</v>
      </c>
      <c r="G676" s="12" t="s">
        <v>2007</v>
      </c>
      <c r="H676" s="10" t="s">
        <v>197</v>
      </c>
      <c r="I676" s="10" t="s">
        <v>680</v>
      </c>
      <c r="J676" s="12" t="s">
        <v>46</v>
      </c>
      <c r="K676" s="10" t="s">
        <v>226</v>
      </c>
      <c r="L676" s="16" t="s">
        <v>45</v>
      </c>
      <c r="M676" s="10" t="s">
        <v>49</v>
      </c>
      <c r="N676" s="12" t="s">
        <v>1931</v>
      </c>
      <c r="O676" s="10" t="s">
        <v>50</v>
      </c>
      <c r="P676" s="9" t="str">
        <f t="shared" si="28"/>
        <v>N/I</v>
      </c>
      <c r="Q676" s="9" t="str">
        <f t="shared" si="29"/>
        <v>N/I</v>
      </c>
      <c r="R676" s="9" t="str">
        <f t="shared" si="31"/>
        <v>N/I</v>
      </c>
    </row>
    <row r="677">
      <c r="A677" s="11" t="s">
        <v>1923</v>
      </c>
      <c r="B677" s="32" t="s">
        <v>2010</v>
      </c>
      <c r="C677" s="12" t="s">
        <v>1691</v>
      </c>
      <c r="D677" s="13" t="s">
        <v>2011</v>
      </c>
      <c r="E677" s="12" t="s">
        <v>1930</v>
      </c>
      <c r="F677" s="10" t="s">
        <v>1929</v>
      </c>
      <c r="G677" s="12" t="s">
        <v>2007</v>
      </c>
      <c r="H677" s="10" t="s">
        <v>197</v>
      </c>
      <c r="I677" s="10" t="s">
        <v>680</v>
      </c>
      <c r="J677" s="12" t="s">
        <v>46</v>
      </c>
      <c r="K677" s="10" t="s">
        <v>226</v>
      </c>
      <c r="L677" s="16" t="s">
        <v>45</v>
      </c>
      <c r="M677" s="10" t="s">
        <v>49</v>
      </c>
      <c r="N677" s="12" t="s">
        <v>1931</v>
      </c>
      <c r="O677" s="10" t="s">
        <v>50</v>
      </c>
      <c r="P677" s="9" t="str">
        <f t="shared" si="28"/>
        <v>N/I</v>
      </c>
      <c r="Q677" s="9" t="str">
        <f t="shared" si="29"/>
        <v>N/I</v>
      </c>
      <c r="R677" s="9" t="str">
        <f t="shared" si="31"/>
        <v>N/I</v>
      </c>
    </row>
    <row r="678">
      <c r="A678" s="11" t="s">
        <v>1923</v>
      </c>
      <c r="B678" s="32" t="s">
        <v>2013</v>
      </c>
      <c r="C678" s="12" t="s">
        <v>1691</v>
      </c>
      <c r="D678" s="34" t="s">
        <v>2014</v>
      </c>
      <c r="E678" s="12" t="s">
        <v>1930</v>
      </c>
      <c r="F678" s="10" t="s">
        <v>1929</v>
      </c>
      <c r="G678" s="12" t="s">
        <v>2015</v>
      </c>
      <c r="H678" s="10" t="s">
        <v>197</v>
      </c>
      <c r="I678" s="10" t="s">
        <v>680</v>
      </c>
      <c r="J678" s="12" t="s">
        <v>46</v>
      </c>
      <c r="K678" s="10" t="s">
        <v>226</v>
      </c>
      <c r="L678" s="16" t="s">
        <v>45</v>
      </c>
      <c r="M678" s="10" t="s">
        <v>49</v>
      </c>
      <c r="N678" s="12" t="s">
        <v>1931</v>
      </c>
      <c r="O678" s="10" t="s">
        <v>50</v>
      </c>
      <c r="P678" s="9" t="str">
        <f t="shared" si="28"/>
        <v>N/I</v>
      </c>
      <c r="Q678" s="9" t="str">
        <f t="shared" si="29"/>
        <v>N/I</v>
      </c>
      <c r="R678" s="9" t="str">
        <f t="shared" si="31"/>
        <v>N/I</v>
      </c>
    </row>
    <row r="679">
      <c r="A679" s="11" t="s">
        <v>1923</v>
      </c>
      <c r="B679" s="32" t="s">
        <v>2018</v>
      </c>
      <c r="C679" s="12" t="s">
        <v>1691</v>
      </c>
      <c r="D679" s="13" t="s">
        <v>2019</v>
      </c>
      <c r="E679" s="12" t="s">
        <v>1930</v>
      </c>
      <c r="F679" s="10" t="s">
        <v>1929</v>
      </c>
      <c r="G679" s="12" t="s">
        <v>324</v>
      </c>
      <c r="H679" s="10" t="s">
        <v>197</v>
      </c>
      <c r="I679" s="10" t="s">
        <v>680</v>
      </c>
      <c r="J679" s="12" t="s">
        <v>46</v>
      </c>
      <c r="K679" s="10" t="s">
        <v>226</v>
      </c>
      <c r="L679" s="16" t="s">
        <v>45</v>
      </c>
      <c r="M679" s="10" t="s">
        <v>49</v>
      </c>
      <c r="N679" s="12" t="s">
        <v>1931</v>
      </c>
      <c r="O679" s="10" t="s">
        <v>50</v>
      </c>
      <c r="P679" s="9" t="str">
        <f t="shared" si="28"/>
        <v>N/I</v>
      </c>
      <c r="Q679" s="9" t="str">
        <f t="shared" si="29"/>
        <v>N/I</v>
      </c>
      <c r="R679" s="9" t="str">
        <f t="shared" si="31"/>
        <v>N/I</v>
      </c>
    </row>
    <row r="680">
      <c r="A680" s="11" t="s">
        <v>1923</v>
      </c>
      <c r="B680" s="32" t="s">
        <v>2022</v>
      </c>
      <c r="C680" s="12" t="s">
        <v>1691</v>
      </c>
      <c r="D680" s="13" t="s">
        <v>2023</v>
      </c>
      <c r="E680" s="12" t="s">
        <v>1930</v>
      </c>
      <c r="F680" s="10" t="s">
        <v>1929</v>
      </c>
      <c r="G680" s="12" t="s">
        <v>324</v>
      </c>
      <c r="H680" s="10" t="s">
        <v>197</v>
      </c>
      <c r="I680" s="10" t="s">
        <v>680</v>
      </c>
      <c r="J680" s="12" t="s">
        <v>46</v>
      </c>
      <c r="K680" s="10" t="s">
        <v>226</v>
      </c>
      <c r="L680" s="16" t="s">
        <v>45</v>
      </c>
      <c r="M680" s="10" t="s">
        <v>49</v>
      </c>
      <c r="N680" s="12" t="s">
        <v>1931</v>
      </c>
      <c r="O680" s="10" t="s">
        <v>50</v>
      </c>
      <c r="P680" s="9" t="str">
        <f t="shared" si="28"/>
        <v>N/I</v>
      </c>
      <c r="Q680" s="9" t="str">
        <f t="shared" si="29"/>
        <v>N/I</v>
      </c>
      <c r="R680" s="9" t="str">
        <f t="shared" si="31"/>
        <v>N/I</v>
      </c>
    </row>
    <row r="681">
      <c r="A681" s="11" t="s">
        <v>1923</v>
      </c>
      <c r="B681" s="32" t="s">
        <v>2024</v>
      </c>
      <c r="C681" s="12" t="s">
        <v>1691</v>
      </c>
      <c r="D681" s="34" t="s">
        <v>2025</v>
      </c>
      <c r="E681" s="12" t="s">
        <v>1930</v>
      </c>
      <c r="F681" s="10" t="s">
        <v>1929</v>
      </c>
      <c r="G681" s="12" t="s">
        <v>324</v>
      </c>
      <c r="H681" s="10" t="s">
        <v>197</v>
      </c>
      <c r="I681" s="10" t="s">
        <v>680</v>
      </c>
      <c r="J681" s="12" t="s">
        <v>46</v>
      </c>
      <c r="K681" s="10" t="s">
        <v>226</v>
      </c>
      <c r="L681" s="16" t="s">
        <v>45</v>
      </c>
      <c r="M681" s="10" t="s">
        <v>49</v>
      </c>
      <c r="N681" s="12" t="s">
        <v>1931</v>
      </c>
      <c r="O681" s="10" t="s">
        <v>50</v>
      </c>
      <c r="P681" s="9" t="str">
        <f t="shared" si="28"/>
        <v>N/I</v>
      </c>
      <c r="Q681" s="9" t="str">
        <f t="shared" si="29"/>
        <v>N/I</v>
      </c>
      <c r="R681" s="9" t="str">
        <f t="shared" si="31"/>
        <v>N/I</v>
      </c>
    </row>
    <row r="682">
      <c r="A682" s="11" t="s">
        <v>1923</v>
      </c>
      <c r="B682" s="32" t="s">
        <v>2026</v>
      </c>
      <c r="C682" s="12" t="s">
        <v>1691</v>
      </c>
      <c r="D682" s="34" t="s">
        <v>2027</v>
      </c>
      <c r="E682" s="12" t="s">
        <v>1930</v>
      </c>
      <c r="F682" s="10" t="s">
        <v>1929</v>
      </c>
      <c r="G682" s="12" t="s">
        <v>2028</v>
      </c>
      <c r="H682" s="10" t="s">
        <v>197</v>
      </c>
      <c r="I682" s="10" t="s">
        <v>680</v>
      </c>
      <c r="J682" s="12" t="s">
        <v>46</v>
      </c>
      <c r="K682" s="10" t="s">
        <v>226</v>
      </c>
      <c r="L682" s="16" t="s">
        <v>45</v>
      </c>
      <c r="M682" s="10" t="s">
        <v>49</v>
      </c>
      <c r="N682" s="12" t="s">
        <v>1931</v>
      </c>
      <c r="O682" s="10" t="s">
        <v>50</v>
      </c>
      <c r="P682" s="9" t="str">
        <f t="shared" si="28"/>
        <v>N/I</v>
      </c>
      <c r="Q682" s="9" t="str">
        <f t="shared" si="29"/>
        <v>N/I</v>
      </c>
      <c r="R682" s="9" t="str">
        <f t="shared" si="31"/>
        <v>N/I</v>
      </c>
    </row>
    <row r="683">
      <c r="A683" s="11" t="s">
        <v>1923</v>
      </c>
      <c r="B683" s="32" t="s">
        <v>2031</v>
      </c>
      <c r="C683" s="12" t="s">
        <v>1691</v>
      </c>
      <c r="D683" s="34" t="s">
        <v>2032</v>
      </c>
      <c r="E683" s="12" t="s">
        <v>1930</v>
      </c>
      <c r="F683" s="10" t="s">
        <v>1929</v>
      </c>
      <c r="G683" s="12" t="s">
        <v>2033</v>
      </c>
      <c r="H683" s="10" t="s">
        <v>197</v>
      </c>
      <c r="I683" s="10" t="s">
        <v>680</v>
      </c>
      <c r="J683" s="12" t="s">
        <v>46</v>
      </c>
      <c r="K683" s="10" t="s">
        <v>226</v>
      </c>
      <c r="L683" s="16" t="s">
        <v>45</v>
      </c>
      <c r="M683" s="10" t="s">
        <v>49</v>
      </c>
      <c r="N683" s="12" t="s">
        <v>1931</v>
      </c>
      <c r="O683" s="10" t="s">
        <v>50</v>
      </c>
      <c r="P683" s="9" t="str">
        <f t="shared" si="28"/>
        <v>N/I</v>
      </c>
      <c r="Q683" s="9" t="str">
        <f t="shared" si="29"/>
        <v>N/I</v>
      </c>
      <c r="R683" s="9" t="str">
        <f t="shared" si="31"/>
        <v>N/I</v>
      </c>
    </row>
    <row r="684">
      <c r="A684" s="11" t="s">
        <v>1923</v>
      </c>
      <c r="B684" s="32" t="s">
        <v>2036</v>
      </c>
      <c r="C684" s="12" t="s">
        <v>1691</v>
      </c>
      <c r="D684" s="34" t="s">
        <v>2037</v>
      </c>
      <c r="E684" s="12" t="s">
        <v>1930</v>
      </c>
      <c r="F684" s="10" t="s">
        <v>1929</v>
      </c>
      <c r="G684" s="12" t="s">
        <v>2033</v>
      </c>
      <c r="H684" s="10" t="s">
        <v>197</v>
      </c>
      <c r="I684" s="10" t="s">
        <v>680</v>
      </c>
      <c r="J684" s="12" t="s">
        <v>46</v>
      </c>
      <c r="K684" s="10" t="s">
        <v>226</v>
      </c>
      <c r="L684" s="16" t="s">
        <v>45</v>
      </c>
      <c r="M684" s="10" t="s">
        <v>49</v>
      </c>
      <c r="N684" s="12" t="s">
        <v>1931</v>
      </c>
      <c r="O684" s="10" t="s">
        <v>50</v>
      </c>
      <c r="P684" s="9" t="str">
        <f t="shared" si="28"/>
        <v>N/I</v>
      </c>
      <c r="Q684" s="9" t="str">
        <f t="shared" si="29"/>
        <v>N/I</v>
      </c>
      <c r="R684" s="9" t="str">
        <f t="shared" si="31"/>
        <v>N/I</v>
      </c>
    </row>
    <row r="685">
      <c r="A685" s="11" t="s">
        <v>1923</v>
      </c>
      <c r="B685" s="32" t="s">
        <v>2038</v>
      </c>
      <c r="C685" s="12" t="s">
        <v>1691</v>
      </c>
      <c r="D685" s="34" t="s">
        <v>2039</v>
      </c>
      <c r="E685" s="12" t="s">
        <v>1930</v>
      </c>
      <c r="F685" s="10" t="s">
        <v>1929</v>
      </c>
      <c r="G685" s="12" t="s">
        <v>2040</v>
      </c>
      <c r="H685" s="10" t="s">
        <v>197</v>
      </c>
      <c r="I685" s="10" t="s">
        <v>680</v>
      </c>
      <c r="J685" s="12" t="s">
        <v>46</v>
      </c>
      <c r="K685" s="10" t="s">
        <v>226</v>
      </c>
      <c r="L685" s="16" t="s">
        <v>45</v>
      </c>
      <c r="M685" s="10" t="s">
        <v>49</v>
      </c>
      <c r="N685" s="12" t="s">
        <v>1931</v>
      </c>
      <c r="O685" s="10" t="s">
        <v>50</v>
      </c>
      <c r="P685" s="9" t="str">
        <f t="shared" si="28"/>
        <v>N/I</v>
      </c>
      <c r="Q685" s="9" t="str">
        <f t="shared" si="29"/>
        <v>N/I</v>
      </c>
      <c r="R685" s="9" t="str">
        <f t="shared" si="31"/>
        <v>N/I</v>
      </c>
    </row>
    <row r="686">
      <c r="A686" s="11" t="s">
        <v>1923</v>
      </c>
      <c r="B686" s="32" t="s">
        <v>2043</v>
      </c>
      <c r="C686" s="12" t="s">
        <v>1691</v>
      </c>
      <c r="D686" s="13" t="s">
        <v>2044</v>
      </c>
      <c r="E686" s="12" t="s">
        <v>1930</v>
      </c>
      <c r="F686" s="10" t="s">
        <v>1929</v>
      </c>
      <c r="G686" s="12" t="s">
        <v>2045</v>
      </c>
      <c r="H686" s="10" t="s">
        <v>197</v>
      </c>
      <c r="I686" s="10" t="s">
        <v>680</v>
      </c>
      <c r="J686" s="12" t="s">
        <v>46</v>
      </c>
      <c r="K686" s="10" t="s">
        <v>226</v>
      </c>
      <c r="L686" s="16" t="s">
        <v>45</v>
      </c>
      <c r="M686" s="10" t="s">
        <v>49</v>
      </c>
      <c r="N686" s="12" t="s">
        <v>1931</v>
      </c>
      <c r="O686" s="10" t="s">
        <v>50</v>
      </c>
      <c r="P686" s="9" t="str">
        <f t="shared" si="28"/>
        <v>N/I</v>
      </c>
      <c r="Q686" s="9" t="str">
        <f t="shared" si="29"/>
        <v>N/I</v>
      </c>
      <c r="R686" s="9" t="str">
        <f t="shared" si="31"/>
        <v>N/I</v>
      </c>
    </row>
    <row r="687">
      <c r="A687" s="11" t="s">
        <v>1923</v>
      </c>
      <c r="B687" s="32" t="s">
        <v>2048</v>
      </c>
      <c r="C687" s="12" t="s">
        <v>1691</v>
      </c>
      <c r="D687" s="34" t="s">
        <v>2049</v>
      </c>
      <c r="E687" s="12" t="s">
        <v>1930</v>
      </c>
      <c r="F687" s="10" t="s">
        <v>1929</v>
      </c>
      <c r="G687" s="12" t="s">
        <v>2045</v>
      </c>
      <c r="H687" s="10" t="s">
        <v>197</v>
      </c>
      <c r="I687" s="10" t="s">
        <v>680</v>
      </c>
      <c r="J687" s="12" t="s">
        <v>46</v>
      </c>
      <c r="K687" s="10" t="s">
        <v>226</v>
      </c>
      <c r="L687" s="16" t="s">
        <v>45</v>
      </c>
      <c r="M687" s="10" t="s">
        <v>49</v>
      </c>
      <c r="N687" s="12" t="s">
        <v>1931</v>
      </c>
      <c r="O687" s="10" t="s">
        <v>50</v>
      </c>
      <c r="P687" s="9" t="str">
        <f t="shared" si="28"/>
        <v>N/I</v>
      </c>
      <c r="Q687" s="9" t="str">
        <f t="shared" si="29"/>
        <v>N/I</v>
      </c>
      <c r="R687" s="9" t="str">
        <f t="shared" si="31"/>
        <v>N/I</v>
      </c>
    </row>
    <row r="688">
      <c r="A688" s="11" t="s">
        <v>1923</v>
      </c>
      <c r="B688" s="32" t="s">
        <v>2052</v>
      </c>
      <c r="C688" s="12" t="s">
        <v>1691</v>
      </c>
      <c r="D688" s="13" t="s">
        <v>2053</v>
      </c>
      <c r="E688" s="12" t="s">
        <v>1930</v>
      </c>
      <c r="F688" s="10" t="s">
        <v>1929</v>
      </c>
      <c r="G688" s="12" t="s">
        <v>2054</v>
      </c>
      <c r="H688" s="10" t="s">
        <v>197</v>
      </c>
      <c r="I688" s="10" t="s">
        <v>680</v>
      </c>
      <c r="J688" s="12" t="s">
        <v>46</v>
      </c>
      <c r="K688" s="10" t="s">
        <v>226</v>
      </c>
      <c r="L688" s="16" t="s">
        <v>45</v>
      </c>
      <c r="M688" s="10" t="s">
        <v>49</v>
      </c>
      <c r="N688" s="12" t="s">
        <v>1931</v>
      </c>
      <c r="O688" s="10" t="s">
        <v>50</v>
      </c>
      <c r="P688" s="9" t="str">
        <f t="shared" si="28"/>
        <v>N/I</v>
      </c>
      <c r="Q688" s="9" t="str">
        <f t="shared" si="29"/>
        <v>N/I</v>
      </c>
      <c r="R688" s="9" t="str">
        <f t="shared" si="31"/>
        <v>N/I</v>
      </c>
    </row>
    <row r="689">
      <c r="A689" s="11" t="s">
        <v>1923</v>
      </c>
      <c r="B689" s="32" t="s">
        <v>2057</v>
      </c>
      <c r="C689" s="12" t="s">
        <v>1691</v>
      </c>
      <c r="D689" s="34" t="s">
        <v>2058</v>
      </c>
      <c r="E689" s="12" t="s">
        <v>1930</v>
      </c>
      <c r="F689" s="10" t="s">
        <v>1929</v>
      </c>
      <c r="G689" s="12" t="s">
        <v>2059</v>
      </c>
      <c r="H689" s="10" t="s">
        <v>197</v>
      </c>
      <c r="I689" s="10" t="s">
        <v>680</v>
      </c>
      <c r="J689" s="12" t="s">
        <v>46</v>
      </c>
      <c r="K689" s="10" t="s">
        <v>226</v>
      </c>
      <c r="L689" s="16" t="s">
        <v>45</v>
      </c>
      <c r="M689" s="10" t="s">
        <v>49</v>
      </c>
      <c r="N689" s="12" t="s">
        <v>1931</v>
      </c>
      <c r="O689" s="10" t="s">
        <v>50</v>
      </c>
      <c r="P689" s="9" t="str">
        <f t="shared" si="28"/>
        <v>N/I</v>
      </c>
      <c r="Q689" s="9" t="str">
        <f t="shared" si="29"/>
        <v>N/I</v>
      </c>
      <c r="R689" s="9" t="str">
        <f t="shared" si="31"/>
        <v>N/I</v>
      </c>
    </row>
    <row r="690">
      <c r="A690" s="11" t="s">
        <v>1923</v>
      </c>
      <c r="B690" s="32" t="s">
        <v>2062</v>
      </c>
      <c r="C690" s="12" t="s">
        <v>1691</v>
      </c>
      <c r="D690" s="13" t="s">
        <v>2063</v>
      </c>
      <c r="E690" s="12" t="s">
        <v>1930</v>
      </c>
      <c r="F690" s="10" t="s">
        <v>1929</v>
      </c>
      <c r="G690" s="12" t="s">
        <v>2064</v>
      </c>
      <c r="H690" s="10" t="s">
        <v>197</v>
      </c>
      <c r="I690" s="10" t="s">
        <v>680</v>
      </c>
      <c r="J690" s="12" t="s">
        <v>46</v>
      </c>
      <c r="K690" s="10" t="s">
        <v>226</v>
      </c>
      <c r="L690" s="16" t="s">
        <v>45</v>
      </c>
      <c r="M690" s="10" t="s">
        <v>49</v>
      </c>
      <c r="N690" s="12" t="s">
        <v>1931</v>
      </c>
      <c r="O690" s="10" t="s">
        <v>50</v>
      </c>
      <c r="P690" s="9" t="str">
        <f t="shared" si="28"/>
        <v>N/I</v>
      </c>
      <c r="Q690" s="9" t="str">
        <f t="shared" si="29"/>
        <v>N/I</v>
      </c>
      <c r="R690" s="9" t="str">
        <f t="shared" si="31"/>
        <v>N/I</v>
      </c>
    </row>
    <row r="691">
      <c r="A691" s="11" t="s">
        <v>1923</v>
      </c>
      <c r="B691" s="32" t="s">
        <v>2067</v>
      </c>
      <c r="C691" s="12" t="s">
        <v>1691</v>
      </c>
      <c r="D691" s="13" t="s">
        <v>2068</v>
      </c>
      <c r="E691" s="12" t="s">
        <v>1930</v>
      </c>
      <c r="F691" s="10" t="s">
        <v>1929</v>
      </c>
      <c r="G691" s="12" t="s">
        <v>2064</v>
      </c>
      <c r="H691" s="10" t="s">
        <v>197</v>
      </c>
      <c r="I691" s="10" t="s">
        <v>680</v>
      </c>
      <c r="J691" s="12" t="s">
        <v>46</v>
      </c>
      <c r="K691" s="10" t="s">
        <v>226</v>
      </c>
      <c r="L691" s="16" t="s">
        <v>45</v>
      </c>
      <c r="M691" s="10" t="s">
        <v>49</v>
      </c>
      <c r="N691" s="12" t="s">
        <v>1931</v>
      </c>
      <c r="O691" s="10" t="s">
        <v>50</v>
      </c>
      <c r="P691" s="9" t="str">
        <f t="shared" si="28"/>
        <v>N/I</v>
      </c>
      <c r="Q691" s="9" t="str">
        <f t="shared" si="29"/>
        <v>N/I</v>
      </c>
      <c r="R691" s="9" t="str">
        <f t="shared" si="31"/>
        <v>N/I</v>
      </c>
    </row>
    <row r="692">
      <c r="A692" s="11" t="s">
        <v>1923</v>
      </c>
      <c r="B692" s="32" t="s">
        <v>2069</v>
      </c>
      <c r="C692" s="12" t="s">
        <v>1691</v>
      </c>
      <c r="D692" s="34" t="s">
        <v>2070</v>
      </c>
      <c r="E692" s="12" t="s">
        <v>1930</v>
      </c>
      <c r="F692" s="10" t="s">
        <v>1929</v>
      </c>
      <c r="G692" s="12" t="s">
        <v>2071</v>
      </c>
      <c r="H692" s="10" t="s">
        <v>197</v>
      </c>
      <c r="I692" s="10" t="s">
        <v>680</v>
      </c>
      <c r="J692" s="12" t="s">
        <v>46</v>
      </c>
      <c r="K692" s="10" t="s">
        <v>226</v>
      </c>
      <c r="L692" s="16" t="s">
        <v>45</v>
      </c>
      <c r="M692" s="10" t="s">
        <v>49</v>
      </c>
      <c r="N692" s="12" t="s">
        <v>1931</v>
      </c>
      <c r="O692" s="10" t="s">
        <v>50</v>
      </c>
      <c r="P692" s="9" t="str">
        <f t="shared" si="28"/>
        <v>N/I</v>
      </c>
      <c r="Q692" s="9" t="str">
        <f t="shared" si="29"/>
        <v>N/I</v>
      </c>
      <c r="R692" s="9" t="str">
        <f t="shared" si="31"/>
        <v>N/I</v>
      </c>
    </row>
    <row r="693">
      <c r="A693" s="11" t="s">
        <v>1923</v>
      </c>
      <c r="B693" s="32" t="s">
        <v>2074</v>
      </c>
      <c r="C693" s="12" t="s">
        <v>1691</v>
      </c>
      <c r="D693" s="34" t="s">
        <v>2075</v>
      </c>
      <c r="E693" s="12" t="s">
        <v>1930</v>
      </c>
      <c r="F693" s="10" t="s">
        <v>1929</v>
      </c>
      <c r="G693" s="12" t="s">
        <v>2071</v>
      </c>
      <c r="H693" s="10" t="s">
        <v>197</v>
      </c>
      <c r="I693" s="10" t="s">
        <v>680</v>
      </c>
      <c r="J693" s="12" t="s">
        <v>46</v>
      </c>
      <c r="K693" s="10" t="s">
        <v>226</v>
      </c>
      <c r="L693" s="16" t="s">
        <v>45</v>
      </c>
      <c r="M693" s="10" t="s">
        <v>49</v>
      </c>
      <c r="N693" s="12" t="s">
        <v>1931</v>
      </c>
      <c r="O693" s="10" t="s">
        <v>50</v>
      </c>
      <c r="P693" s="9" t="str">
        <f t="shared" si="28"/>
        <v>N/I</v>
      </c>
      <c r="Q693" s="9" t="str">
        <f t="shared" si="29"/>
        <v>N/I</v>
      </c>
      <c r="R693" s="9" t="str">
        <f t="shared" si="31"/>
        <v>N/I</v>
      </c>
    </row>
    <row r="694">
      <c r="A694" s="11" t="s">
        <v>1923</v>
      </c>
      <c r="B694" s="32" t="s">
        <v>2078</v>
      </c>
      <c r="C694" s="12" t="s">
        <v>1691</v>
      </c>
      <c r="D694" s="34" t="s">
        <v>2079</v>
      </c>
      <c r="E694" s="12" t="s">
        <v>1930</v>
      </c>
      <c r="F694" s="10" t="s">
        <v>1929</v>
      </c>
      <c r="G694" s="12" t="s">
        <v>2080</v>
      </c>
      <c r="H694" s="10" t="s">
        <v>197</v>
      </c>
      <c r="I694" s="10" t="s">
        <v>680</v>
      </c>
      <c r="J694" s="12" t="s">
        <v>46</v>
      </c>
      <c r="K694" s="10" t="s">
        <v>226</v>
      </c>
      <c r="L694" s="16" t="s">
        <v>45</v>
      </c>
      <c r="M694" s="10" t="s">
        <v>49</v>
      </c>
      <c r="N694" s="12" t="s">
        <v>1931</v>
      </c>
      <c r="O694" s="10" t="s">
        <v>50</v>
      </c>
      <c r="P694" s="9" t="str">
        <f t="shared" si="28"/>
        <v>N/I</v>
      </c>
      <c r="Q694" s="9" t="str">
        <f t="shared" si="29"/>
        <v>N/I</v>
      </c>
      <c r="R694" s="9" t="str">
        <f t="shared" si="31"/>
        <v>N/I</v>
      </c>
    </row>
    <row r="695">
      <c r="A695" s="11" t="s">
        <v>1923</v>
      </c>
      <c r="B695" s="32" t="s">
        <v>2083</v>
      </c>
      <c r="C695" s="12" t="s">
        <v>1691</v>
      </c>
      <c r="D695" s="34" t="s">
        <v>2084</v>
      </c>
      <c r="E695" s="12" t="s">
        <v>1930</v>
      </c>
      <c r="F695" s="10" t="s">
        <v>1929</v>
      </c>
      <c r="G695" s="12" t="s">
        <v>2085</v>
      </c>
      <c r="H695" s="10" t="s">
        <v>197</v>
      </c>
      <c r="I695" s="10" t="s">
        <v>680</v>
      </c>
      <c r="J695" s="12" t="s">
        <v>46</v>
      </c>
      <c r="K695" s="10" t="s">
        <v>226</v>
      </c>
      <c r="L695" s="16" t="s">
        <v>45</v>
      </c>
      <c r="M695" s="10" t="s">
        <v>49</v>
      </c>
      <c r="N695" s="12" t="s">
        <v>1931</v>
      </c>
      <c r="O695" s="10" t="s">
        <v>50</v>
      </c>
      <c r="P695" s="9" t="str">
        <f t="shared" si="28"/>
        <v>N/I</v>
      </c>
      <c r="Q695" s="9" t="str">
        <f t="shared" si="29"/>
        <v>N/I</v>
      </c>
      <c r="R695" s="9" t="str">
        <f t="shared" si="31"/>
        <v>N/I</v>
      </c>
    </row>
    <row r="696">
      <c r="A696" s="11" t="s">
        <v>1923</v>
      </c>
      <c r="B696" s="32" t="s">
        <v>2088</v>
      </c>
      <c r="C696" s="12" t="s">
        <v>1691</v>
      </c>
      <c r="D696" s="13" t="s">
        <v>2089</v>
      </c>
      <c r="E696" s="12" t="s">
        <v>1930</v>
      </c>
      <c r="F696" s="10" t="s">
        <v>1929</v>
      </c>
      <c r="G696" s="12" t="s">
        <v>2090</v>
      </c>
      <c r="H696" s="10" t="s">
        <v>197</v>
      </c>
      <c r="I696" s="10" t="s">
        <v>680</v>
      </c>
      <c r="J696" s="12" t="s">
        <v>46</v>
      </c>
      <c r="K696" s="10" t="s">
        <v>226</v>
      </c>
      <c r="L696" s="16" t="s">
        <v>45</v>
      </c>
      <c r="M696" s="10" t="s">
        <v>49</v>
      </c>
      <c r="N696" s="12" t="s">
        <v>1931</v>
      </c>
      <c r="O696" s="10" t="s">
        <v>50</v>
      </c>
      <c r="P696" s="9" t="str">
        <f t="shared" si="28"/>
        <v>N/I</v>
      </c>
      <c r="Q696" s="9" t="str">
        <f t="shared" si="29"/>
        <v>N/I</v>
      </c>
      <c r="R696" s="9" t="str">
        <f t="shared" si="31"/>
        <v>N/I</v>
      </c>
    </row>
    <row r="697">
      <c r="A697" s="11" t="s">
        <v>1923</v>
      </c>
      <c r="B697" s="32" t="s">
        <v>2093</v>
      </c>
      <c r="C697" s="12" t="s">
        <v>1691</v>
      </c>
      <c r="D697" s="13" t="s">
        <v>2094</v>
      </c>
      <c r="E697" s="12" t="s">
        <v>1930</v>
      </c>
      <c r="F697" s="10" t="s">
        <v>1929</v>
      </c>
      <c r="G697" s="12" t="s">
        <v>2095</v>
      </c>
      <c r="H697" s="10" t="s">
        <v>197</v>
      </c>
      <c r="I697" s="10" t="s">
        <v>680</v>
      </c>
      <c r="J697" s="12" t="s">
        <v>46</v>
      </c>
      <c r="K697" s="10" t="s">
        <v>226</v>
      </c>
      <c r="L697" s="16" t="s">
        <v>45</v>
      </c>
      <c r="M697" s="10" t="s">
        <v>49</v>
      </c>
      <c r="N697" s="12" t="s">
        <v>1931</v>
      </c>
      <c r="O697" s="10" t="s">
        <v>50</v>
      </c>
      <c r="P697" s="9" t="str">
        <f t="shared" si="28"/>
        <v>N/I</v>
      </c>
      <c r="Q697" s="9" t="str">
        <f t="shared" si="29"/>
        <v>N/I</v>
      </c>
      <c r="R697" s="9" t="str">
        <f t="shared" si="31"/>
        <v>N/I</v>
      </c>
    </row>
    <row r="698">
      <c r="A698" s="11" t="s">
        <v>1923</v>
      </c>
      <c r="B698" s="32" t="s">
        <v>2098</v>
      </c>
      <c r="C698" s="12" t="s">
        <v>1691</v>
      </c>
      <c r="D698" s="13" t="s">
        <v>2099</v>
      </c>
      <c r="E698" s="12" t="s">
        <v>1930</v>
      </c>
      <c r="F698" s="10" t="s">
        <v>1929</v>
      </c>
      <c r="G698" s="12" t="s">
        <v>2095</v>
      </c>
      <c r="H698" s="10" t="s">
        <v>197</v>
      </c>
      <c r="I698" s="10" t="s">
        <v>680</v>
      </c>
      <c r="J698" s="12" t="s">
        <v>46</v>
      </c>
      <c r="K698" s="10" t="s">
        <v>226</v>
      </c>
      <c r="L698" s="16" t="s">
        <v>45</v>
      </c>
      <c r="M698" s="10" t="s">
        <v>49</v>
      </c>
      <c r="N698" s="12" t="s">
        <v>1931</v>
      </c>
      <c r="O698" s="10" t="s">
        <v>50</v>
      </c>
      <c r="P698" s="9" t="str">
        <f t="shared" si="28"/>
        <v>N/I</v>
      </c>
      <c r="Q698" s="9" t="str">
        <f t="shared" si="29"/>
        <v>N/I</v>
      </c>
      <c r="R698" s="9" t="str">
        <f t="shared" si="31"/>
        <v>N/I</v>
      </c>
    </row>
    <row r="699">
      <c r="A699" s="11" t="s">
        <v>1923</v>
      </c>
      <c r="B699" s="32" t="s">
        <v>2101</v>
      </c>
      <c r="C699" s="12" t="s">
        <v>1691</v>
      </c>
      <c r="D699" s="13" t="s">
        <v>2102</v>
      </c>
      <c r="E699" s="12" t="s">
        <v>1930</v>
      </c>
      <c r="F699" s="10" t="s">
        <v>1929</v>
      </c>
      <c r="G699" s="12" t="s">
        <v>2103</v>
      </c>
      <c r="H699" s="10" t="s">
        <v>197</v>
      </c>
      <c r="I699" s="10" t="s">
        <v>680</v>
      </c>
      <c r="J699" s="12" t="s">
        <v>46</v>
      </c>
      <c r="K699" s="10" t="s">
        <v>226</v>
      </c>
      <c r="L699" s="16" t="s">
        <v>45</v>
      </c>
      <c r="M699" s="10" t="s">
        <v>49</v>
      </c>
      <c r="N699" s="12" t="s">
        <v>1931</v>
      </c>
      <c r="O699" s="10" t="s">
        <v>50</v>
      </c>
      <c r="P699" s="9" t="str">
        <f t="shared" si="28"/>
        <v>N/I</v>
      </c>
      <c r="Q699" s="9" t="str">
        <f t="shared" si="29"/>
        <v>N/I</v>
      </c>
      <c r="R699" s="9" t="str">
        <f t="shared" si="31"/>
        <v>N/I</v>
      </c>
    </row>
    <row r="700">
      <c r="A700" s="11" t="s">
        <v>1923</v>
      </c>
      <c r="B700" s="32" t="s">
        <v>2106</v>
      </c>
      <c r="C700" s="12" t="s">
        <v>1691</v>
      </c>
      <c r="D700" s="34" t="s">
        <v>2107</v>
      </c>
      <c r="E700" s="12" t="s">
        <v>1930</v>
      </c>
      <c r="F700" s="10" t="s">
        <v>1929</v>
      </c>
      <c r="G700" s="12" t="s">
        <v>2108</v>
      </c>
      <c r="H700" s="10" t="s">
        <v>197</v>
      </c>
      <c r="I700" s="10" t="s">
        <v>680</v>
      </c>
      <c r="J700" s="12" t="s">
        <v>46</v>
      </c>
      <c r="K700" s="10" t="s">
        <v>226</v>
      </c>
      <c r="L700" s="16" t="s">
        <v>45</v>
      </c>
      <c r="M700" s="10" t="s">
        <v>49</v>
      </c>
      <c r="N700" s="12" t="s">
        <v>1931</v>
      </c>
      <c r="O700" s="10" t="s">
        <v>50</v>
      </c>
      <c r="P700" s="9" t="str">
        <f t="shared" si="28"/>
        <v>N/I</v>
      </c>
      <c r="Q700" s="9" t="str">
        <f t="shared" si="29"/>
        <v>N/I</v>
      </c>
      <c r="R700" s="9" t="str">
        <f t="shared" si="31"/>
        <v>N/I</v>
      </c>
    </row>
    <row r="701">
      <c r="A701" s="11" t="s">
        <v>1923</v>
      </c>
      <c r="B701" s="32" t="s">
        <v>2111</v>
      </c>
      <c r="C701" s="12" t="s">
        <v>1691</v>
      </c>
      <c r="D701" s="13" t="s">
        <v>2112</v>
      </c>
      <c r="E701" s="12" t="s">
        <v>1930</v>
      </c>
      <c r="F701" s="10" t="s">
        <v>1929</v>
      </c>
      <c r="G701" s="12" t="s">
        <v>2113</v>
      </c>
      <c r="H701" s="10" t="s">
        <v>197</v>
      </c>
      <c r="I701" s="10" t="s">
        <v>680</v>
      </c>
      <c r="J701" s="12" t="s">
        <v>46</v>
      </c>
      <c r="K701" s="10" t="s">
        <v>226</v>
      </c>
      <c r="L701" s="16" t="s">
        <v>45</v>
      </c>
      <c r="M701" s="10" t="s">
        <v>49</v>
      </c>
      <c r="N701" s="12" t="s">
        <v>1931</v>
      </c>
      <c r="O701" s="10" t="s">
        <v>50</v>
      </c>
      <c r="P701" s="9" t="str">
        <f t="shared" si="28"/>
        <v>N/I</v>
      </c>
      <c r="Q701" s="9" t="str">
        <f t="shared" si="29"/>
        <v>N/I</v>
      </c>
      <c r="R701" s="9" t="str">
        <f t="shared" si="31"/>
        <v>N/I</v>
      </c>
    </row>
    <row r="702">
      <c r="A702" s="11" t="s">
        <v>1923</v>
      </c>
      <c r="B702" s="32" t="s">
        <v>2114</v>
      </c>
      <c r="C702" s="12" t="s">
        <v>1691</v>
      </c>
      <c r="D702" s="13" t="s">
        <v>2115</v>
      </c>
      <c r="E702" s="12" t="s">
        <v>1930</v>
      </c>
      <c r="F702" s="10" t="s">
        <v>1929</v>
      </c>
      <c r="G702" s="12" t="s">
        <v>2113</v>
      </c>
      <c r="H702" s="10" t="s">
        <v>197</v>
      </c>
      <c r="I702" s="10" t="s">
        <v>680</v>
      </c>
      <c r="J702" s="12" t="s">
        <v>46</v>
      </c>
      <c r="K702" s="10" t="s">
        <v>226</v>
      </c>
      <c r="L702" s="16" t="s">
        <v>45</v>
      </c>
      <c r="M702" s="10" t="s">
        <v>49</v>
      </c>
      <c r="N702" s="12" t="s">
        <v>1931</v>
      </c>
      <c r="O702" s="10" t="s">
        <v>50</v>
      </c>
      <c r="P702" s="9" t="str">
        <f t="shared" si="28"/>
        <v>N/I</v>
      </c>
      <c r="Q702" s="9" t="str">
        <f t="shared" si="29"/>
        <v>N/I</v>
      </c>
      <c r="R702" s="9" t="str">
        <f t="shared" si="31"/>
        <v>N/I</v>
      </c>
    </row>
    <row r="703">
      <c r="A703" s="11" t="s">
        <v>1923</v>
      </c>
      <c r="B703" s="32" t="s">
        <v>2118</v>
      </c>
      <c r="C703" s="12" t="s">
        <v>1691</v>
      </c>
      <c r="D703" s="13" t="s">
        <v>2119</v>
      </c>
      <c r="E703" s="12" t="s">
        <v>1930</v>
      </c>
      <c r="F703" s="10" t="s">
        <v>1929</v>
      </c>
      <c r="G703" s="12" t="s">
        <v>2120</v>
      </c>
      <c r="H703" s="10" t="s">
        <v>197</v>
      </c>
      <c r="I703" s="10" t="s">
        <v>680</v>
      </c>
      <c r="J703" s="12" t="s">
        <v>46</v>
      </c>
      <c r="K703" s="10" t="s">
        <v>226</v>
      </c>
      <c r="L703" s="16" t="s">
        <v>45</v>
      </c>
      <c r="M703" s="10" t="s">
        <v>49</v>
      </c>
      <c r="N703" s="12" t="s">
        <v>1931</v>
      </c>
      <c r="O703" s="10" t="s">
        <v>50</v>
      </c>
      <c r="P703" s="9" t="str">
        <f t="shared" si="28"/>
        <v>N/I</v>
      </c>
      <c r="Q703" s="9" t="str">
        <f t="shared" si="29"/>
        <v>N/I</v>
      </c>
      <c r="R703" s="9" t="str">
        <f t="shared" si="31"/>
        <v>N/I</v>
      </c>
    </row>
    <row r="704">
      <c r="A704" s="11" t="s">
        <v>1923</v>
      </c>
      <c r="B704" s="32" t="s">
        <v>2122</v>
      </c>
      <c r="C704" s="12" t="s">
        <v>1691</v>
      </c>
      <c r="D704" s="13" t="s">
        <v>2123</v>
      </c>
      <c r="E704" s="12" t="s">
        <v>1930</v>
      </c>
      <c r="F704" s="10" t="s">
        <v>1929</v>
      </c>
      <c r="G704" s="12" t="s">
        <v>2124</v>
      </c>
      <c r="H704" s="10" t="s">
        <v>197</v>
      </c>
      <c r="I704" s="10" t="s">
        <v>680</v>
      </c>
      <c r="J704" s="12" t="s">
        <v>46</v>
      </c>
      <c r="K704" s="10" t="s">
        <v>226</v>
      </c>
      <c r="L704" s="16" t="s">
        <v>45</v>
      </c>
      <c r="M704" s="10" t="s">
        <v>49</v>
      </c>
      <c r="N704" s="12" t="s">
        <v>1931</v>
      </c>
      <c r="O704" s="10" t="s">
        <v>50</v>
      </c>
      <c r="P704" s="9" t="str">
        <f t="shared" si="28"/>
        <v>N/I</v>
      </c>
      <c r="Q704" s="9" t="str">
        <f t="shared" si="29"/>
        <v>N/I</v>
      </c>
      <c r="R704" s="9" t="str">
        <f t="shared" si="31"/>
        <v>N/I</v>
      </c>
    </row>
    <row r="705">
      <c r="A705" s="11" t="s">
        <v>1923</v>
      </c>
      <c r="B705" s="32" t="s">
        <v>2127</v>
      </c>
      <c r="C705" s="12" t="s">
        <v>1691</v>
      </c>
      <c r="D705" s="13" t="s">
        <v>2128</v>
      </c>
      <c r="E705" s="12" t="s">
        <v>1930</v>
      </c>
      <c r="F705" s="10" t="s">
        <v>1929</v>
      </c>
      <c r="G705" s="12" t="s">
        <v>2129</v>
      </c>
      <c r="H705" s="10" t="s">
        <v>197</v>
      </c>
      <c r="I705" s="10" t="s">
        <v>680</v>
      </c>
      <c r="J705" s="12" t="s">
        <v>46</v>
      </c>
      <c r="K705" s="10" t="s">
        <v>226</v>
      </c>
      <c r="L705" s="16" t="s">
        <v>45</v>
      </c>
      <c r="M705" s="10" t="s">
        <v>49</v>
      </c>
      <c r="N705" s="12" t="s">
        <v>1931</v>
      </c>
      <c r="O705" s="10" t="s">
        <v>50</v>
      </c>
      <c r="P705" s="9" t="str">
        <f t="shared" si="28"/>
        <v>N/I</v>
      </c>
      <c r="Q705" s="9" t="str">
        <f t="shared" si="29"/>
        <v>N/I</v>
      </c>
      <c r="R705" s="9" t="str">
        <f t="shared" si="31"/>
        <v>N/I</v>
      </c>
    </row>
    <row r="706">
      <c r="A706" s="11" t="s">
        <v>1923</v>
      </c>
      <c r="B706" s="32" t="s">
        <v>2132</v>
      </c>
      <c r="C706" s="12" t="s">
        <v>1691</v>
      </c>
      <c r="D706" s="13" t="s">
        <v>2133</v>
      </c>
      <c r="E706" s="12" t="s">
        <v>1930</v>
      </c>
      <c r="F706" s="10" t="s">
        <v>1929</v>
      </c>
      <c r="G706" s="12" t="s">
        <v>2134</v>
      </c>
      <c r="H706" s="10" t="s">
        <v>197</v>
      </c>
      <c r="I706" s="10" t="s">
        <v>680</v>
      </c>
      <c r="J706" s="12" t="s">
        <v>46</v>
      </c>
      <c r="K706" s="10" t="s">
        <v>226</v>
      </c>
      <c r="L706" s="16" t="s">
        <v>45</v>
      </c>
      <c r="M706" s="10" t="s">
        <v>49</v>
      </c>
      <c r="N706" s="12" t="s">
        <v>1931</v>
      </c>
      <c r="O706" s="10" t="s">
        <v>50</v>
      </c>
      <c r="P706" s="9" t="str">
        <f t="shared" si="28"/>
        <v>N/I</v>
      </c>
      <c r="Q706" s="9" t="str">
        <f t="shared" si="29"/>
        <v>N/I</v>
      </c>
      <c r="R706" s="9" t="str">
        <f t="shared" si="31"/>
        <v>N/I</v>
      </c>
    </row>
    <row r="707">
      <c r="A707" s="11" t="s">
        <v>1923</v>
      </c>
      <c r="B707" s="32" t="s">
        <v>2137</v>
      </c>
      <c r="C707" s="12" t="s">
        <v>1691</v>
      </c>
      <c r="D707" s="13" t="s">
        <v>2138</v>
      </c>
      <c r="E707" s="12" t="s">
        <v>1930</v>
      </c>
      <c r="F707" s="10" t="s">
        <v>1929</v>
      </c>
      <c r="G707" s="12" t="s">
        <v>2134</v>
      </c>
      <c r="H707" s="10" t="s">
        <v>197</v>
      </c>
      <c r="I707" s="10" t="s">
        <v>680</v>
      </c>
      <c r="J707" s="12" t="s">
        <v>46</v>
      </c>
      <c r="K707" s="10" t="s">
        <v>226</v>
      </c>
      <c r="L707" s="16" t="s">
        <v>45</v>
      </c>
      <c r="M707" s="10" t="s">
        <v>49</v>
      </c>
      <c r="N707" s="12" t="s">
        <v>1931</v>
      </c>
      <c r="O707" s="10" t="s">
        <v>50</v>
      </c>
      <c r="P707" s="9" t="str">
        <f t="shared" si="28"/>
        <v>N/I</v>
      </c>
      <c r="Q707" s="9" t="str">
        <f t="shared" si="29"/>
        <v>N/I</v>
      </c>
      <c r="R707" s="9" t="str">
        <f t="shared" si="31"/>
        <v>N/I</v>
      </c>
    </row>
    <row r="708">
      <c r="A708" s="11" t="s">
        <v>1923</v>
      </c>
      <c r="B708" s="32" t="s">
        <v>2141</v>
      </c>
      <c r="C708" s="12" t="s">
        <v>1691</v>
      </c>
      <c r="D708" s="34" t="s">
        <v>2142</v>
      </c>
      <c r="E708" s="12" t="s">
        <v>1930</v>
      </c>
      <c r="F708" s="10" t="s">
        <v>1929</v>
      </c>
      <c r="G708" s="12" t="s">
        <v>883</v>
      </c>
      <c r="H708" s="10" t="s">
        <v>197</v>
      </c>
      <c r="I708" s="10" t="s">
        <v>680</v>
      </c>
      <c r="J708" s="12" t="s">
        <v>46</v>
      </c>
      <c r="K708" s="10" t="s">
        <v>226</v>
      </c>
      <c r="L708" s="16" t="s">
        <v>45</v>
      </c>
      <c r="M708" s="10" t="s">
        <v>49</v>
      </c>
      <c r="N708" s="12" t="s">
        <v>1931</v>
      </c>
      <c r="O708" s="10" t="s">
        <v>50</v>
      </c>
      <c r="P708" s="9" t="str">
        <f t="shared" si="28"/>
        <v>N/I</v>
      </c>
      <c r="Q708" s="9" t="str">
        <f t="shared" si="29"/>
        <v>N/I</v>
      </c>
      <c r="R708" s="9" t="str">
        <f t="shared" si="31"/>
        <v>N/I</v>
      </c>
    </row>
    <row r="709">
      <c r="A709" s="11" t="s">
        <v>1923</v>
      </c>
      <c r="B709" s="32" t="s">
        <v>2145</v>
      </c>
      <c r="C709" s="12" t="s">
        <v>1691</v>
      </c>
      <c r="D709" s="34" t="s">
        <v>2146</v>
      </c>
      <c r="E709" s="12" t="s">
        <v>1930</v>
      </c>
      <c r="F709" s="10" t="s">
        <v>1929</v>
      </c>
      <c r="G709" s="12" t="s">
        <v>883</v>
      </c>
      <c r="H709" s="10" t="s">
        <v>197</v>
      </c>
      <c r="I709" s="10" t="s">
        <v>680</v>
      </c>
      <c r="J709" s="12" t="s">
        <v>46</v>
      </c>
      <c r="K709" s="10" t="s">
        <v>226</v>
      </c>
      <c r="L709" s="16" t="s">
        <v>45</v>
      </c>
      <c r="M709" s="10" t="s">
        <v>49</v>
      </c>
      <c r="N709" s="12" t="s">
        <v>1931</v>
      </c>
      <c r="O709" s="10" t="s">
        <v>50</v>
      </c>
      <c r="P709" s="9" t="str">
        <f t="shared" si="28"/>
        <v>N/I</v>
      </c>
      <c r="Q709" s="9" t="str">
        <f t="shared" si="29"/>
        <v>N/I</v>
      </c>
      <c r="R709" s="9" t="str">
        <f t="shared" si="31"/>
        <v>N/I</v>
      </c>
    </row>
    <row r="710">
      <c r="A710" s="11" t="s">
        <v>1923</v>
      </c>
      <c r="B710" s="32" t="s">
        <v>2147</v>
      </c>
      <c r="C710" s="12" t="s">
        <v>1691</v>
      </c>
      <c r="D710" s="34" t="s">
        <v>2148</v>
      </c>
      <c r="E710" s="12" t="s">
        <v>1930</v>
      </c>
      <c r="F710" s="10" t="s">
        <v>1929</v>
      </c>
      <c r="G710" s="12" t="s">
        <v>883</v>
      </c>
      <c r="H710" s="10" t="s">
        <v>197</v>
      </c>
      <c r="I710" s="10" t="s">
        <v>680</v>
      </c>
      <c r="J710" s="12" t="s">
        <v>46</v>
      </c>
      <c r="K710" s="10" t="s">
        <v>226</v>
      </c>
      <c r="L710" s="16" t="s">
        <v>45</v>
      </c>
      <c r="M710" s="10" t="s">
        <v>49</v>
      </c>
      <c r="N710" s="12" t="s">
        <v>1931</v>
      </c>
      <c r="O710" s="10" t="s">
        <v>50</v>
      </c>
      <c r="P710" s="9" t="str">
        <f t="shared" si="28"/>
        <v>N/I</v>
      </c>
      <c r="Q710" s="9" t="str">
        <f t="shared" si="29"/>
        <v>N/I</v>
      </c>
      <c r="R710" s="9" t="str">
        <f t="shared" si="31"/>
        <v>N/I</v>
      </c>
    </row>
    <row r="711">
      <c r="A711" s="11" t="s">
        <v>1923</v>
      </c>
      <c r="B711" s="32" t="s">
        <v>2150</v>
      </c>
      <c r="C711" s="12" t="s">
        <v>1691</v>
      </c>
      <c r="D711" s="13" t="s">
        <v>2151</v>
      </c>
      <c r="E711" s="12" t="s">
        <v>1930</v>
      </c>
      <c r="F711" s="10" t="s">
        <v>1929</v>
      </c>
      <c r="G711" s="12" t="s">
        <v>2152</v>
      </c>
      <c r="H711" s="10" t="s">
        <v>197</v>
      </c>
      <c r="I711" s="10" t="s">
        <v>680</v>
      </c>
      <c r="J711" s="12" t="s">
        <v>46</v>
      </c>
      <c r="K711" s="10" t="s">
        <v>226</v>
      </c>
      <c r="L711" s="16" t="s">
        <v>45</v>
      </c>
      <c r="M711" s="10" t="s">
        <v>49</v>
      </c>
      <c r="N711" s="12" t="s">
        <v>1931</v>
      </c>
      <c r="O711" s="10" t="s">
        <v>50</v>
      </c>
      <c r="P711" s="9" t="str">
        <f t="shared" si="28"/>
        <v>N/I</v>
      </c>
      <c r="Q711" s="9" t="str">
        <f t="shared" si="29"/>
        <v>N/I</v>
      </c>
      <c r="R711" s="9" t="str">
        <f t="shared" si="31"/>
        <v>N/I</v>
      </c>
    </row>
    <row r="712">
      <c r="A712" s="11" t="s">
        <v>1923</v>
      </c>
      <c r="B712" s="32" t="s">
        <v>2155</v>
      </c>
      <c r="C712" s="12" t="s">
        <v>1691</v>
      </c>
      <c r="D712" s="13" t="s">
        <v>2156</v>
      </c>
      <c r="E712" s="12" t="s">
        <v>1930</v>
      </c>
      <c r="F712" s="10" t="s">
        <v>1929</v>
      </c>
      <c r="G712" s="12" t="s">
        <v>2152</v>
      </c>
      <c r="H712" s="10" t="s">
        <v>197</v>
      </c>
      <c r="I712" s="10" t="s">
        <v>680</v>
      </c>
      <c r="J712" s="12" t="s">
        <v>46</v>
      </c>
      <c r="K712" s="10" t="s">
        <v>226</v>
      </c>
      <c r="L712" s="16" t="s">
        <v>45</v>
      </c>
      <c r="M712" s="10" t="s">
        <v>49</v>
      </c>
      <c r="N712" s="12" t="s">
        <v>1931</v>
      </c>
      <c r="O712" s="10" t="s">
        <v>50</v>
      </c>
      <c r="P712" s="9" t="str">
        <f t="shared" si="28"/>
        <v>N/I</v>
      </c>
      <c r="Q712" s="9" t="str">
        <f t="shared" si="29"/>
        <v>N/I</v>
      </c>
      <c r="R712" s="9" t="str">
        <f t="shared" si="31"/>
        <v>N/I</v>
      </c>
    </row>
    <row r="713">
      <c r="A713" s="11" t="s">
        <v>1923</v>
      </c>
      <c r="B713" s="32" t="s">
        <v>2158</v>
      </c>
      <c r="C713" s="12" t="s">
        <v>1691</v>
      </c>
      <c r="D713" s="13" t="s">
        <v>2159</v>
      </c>
      <c r="E713" s="12" t="s">
        <v>1930</v>
      </c>
      <c r="F713" s="10" t="s">
        <v>1929</v>
      </c>
      <c r="G713" s="12" t="s">
        <v>2160</v>
      </c>
      <c r="H713" s="10" t="s">
        <v>197</v>
      </c>
      <c r="I713" s="10" t="s">
        <v>680</v>
      </c>
      <c r="J713" s="12" t="s">
        <v>46</v>
      </c>
      <c r="K713" s="10" t="s">
        <v>226</v>
      </c>
      <c r="L713" s="16" t="s">
        <v>45</v>
      </c>
      <c r="M713" s="10" t="s">
        <v>49</v>
      </c>
      <c r="N713" s="12" t="s">
        <v>1931</v>
      </c>
      <c r="O713" s="10" t="s">
        <v>50</v>
      </c>
      <c r="P713" s="9" t="str">
        <f t="shared" si="28"/>
        <v>N/I</v>
      </c>
      <c r="Q713" s="9" t="str">
        <f t="shared" si="29"/>
        <v>N/I</v>
      </c>
      <c r="R713" s="9" t="str">
        <f t="shared" si="31"/>
        <v>N/I</v>
      </c>
    </row>
    <row r="714">
      <c r="A714" s="11" t="s">
        <v>1923</v>
      </c>
      <c r="B714" s="32" t="s">
        <v>2163</v>
      </c>
      <c r="C714" s="12" t="s">
        <v>1691</v>
      </c>
      <c r="D714" s="34" t="s">
        <v>2164</v>
      </c>
      <c r="E714" s="12" t="s">
        <v>1930</v>
      </c>
      <c r="F714" s="10" t="s">
        <v>1929</v>
      </c>
      <c r="G714" s="12" t="s">
        <v>2165</v>
      </c>
      <c r="H714" s="10" t="s">
        <v>197</v>
      </c>
      <c r="I714" s="10" t="s">
        <v>680</v>
      </c>
      <c r="J714" s="12" t="s">
        <v>46</v>
      </c>
      <c r="K714" s="10" t="s">
        <v>226</v>
      </c>
      <c r="L714" s="16" t="s">
        <v>45</v>
      </c>
      <c r="M714" s="10" t="s">
        <v>49</v>
      </c>
      <c r="N714" s="12" t="s">
        <v>1931</v>
      </c>
      <c r="O714" s="10" t="s">
        <v>50</v>
      </c>
      <c r="P714" s="9" t="str">
        <f t="shared" si="28"/>
        <v>N/I</v>
      </c>
      <c r="Q714" s="9" t="str">
        <f t="shared" si="29"/>
        <v>N/I</v>
      </c>
      <c r="R714" s="9" t="str">
        <f t="shared" si="31"/>
        <v>N/I</v>
      </c>
    </row>
    <row r="715">
      <c r="A715" s="11" t="s">
        <v>1923</v>
      </c>
      <c r="B715" s="32" t="s">
        <v>2168</v>
      </c>
      <c r="C715" s="12" t="s">
        <v>1691</v>
      </c>
      <c r="D715" s="34" t="s">
        <v>2169</v>
      </c>
      <c r="E715" s="12" t="s">
        <v>1930</v>
      </c>
      <c r="F715" s="10" t="s">
        <v>1929</v>
      </c>
      <c r="G715" s="12" t="s">
        <v>2170</v>
      </c>
      <c r="H715" s="10" t="s">
        <v>197</v>
      </c>
      <c r="I715" s="10" t="s">
        <v>680</v>
      </c>
      <c r="J715" s="12" t="s">
        <v>46</v>
      </c>
      <c r="K715" s="10" t="s">
        <v>226</v>
      </c>
      <c r="L715" s="16" t="s">
        <v>45</v>
      </c>
      <c r="M715" s="10" t="s">
        <v>49</v>
      </c>
      <c r="N715" s="12" t="s">
        <v>1931</v>
      </c>
      <c r="O715" s="10" t="s">
        <v>50</v>
      </c>
      <c r="P715" s="9" t="str">
        <f t="shared" si="28"/>
        <v>N/I</v>
      </c>
      <c r="Q715" s="9" t="str">
        <f t="shared" si="29"/>
        <v>N/I</v>
      </c>
      <c r="R715" s="9" t="str">
        <f t="shared" si="31"/>
        <v>N/I</v>
      </c>
    </row>
    <row r="716">
      <c r="A716" s="11" t="s">
        <v>1923</v>
      </c>
      <c r="B716" s="32" t="s">
        <v>2173</v>
      </c>
      <c r="C716" s="12" t="s">
        <v>1691</v>
      </c>
      <c r="D716" s="13" t="s">
        <v>2174</v>
      </c>
      <c r="E716" s="12" t="s">
        <v>1930</v>
      </c>
      <c r="F716" s="10" t="s">
        <v>1929</v>
      </c>
      <c r="G716" s="12" t="s">
        <v>2175</v>
      </c>
      <c r="H716" s="10" t="s">
        <v>197</v>
      </c>
      <c r="I716" s="10" t="s">
        <v>680</v>
      </c>
      <c r="J716" s="12" t="s">
        <v>46</v>
      </c>
      <c r="K716" s="10" t="s">
        <v>226</v>
      </c>
      <c r="L716" s="16" t="s">
        <v>45</v>
      </c>
      <c r="M716" s="10" t="s">
        <v>49</v>
      </c>
      <c r="N716" s="12" t="s">
        <v>1931</v>
      </c>
      <c r="O716" s="10" t="s">
        <v>50</v>
      </c>
      <c r="P716" s="9" t="str">
        <f t="shared" si="28"/>
        <v>N/I</v>
      </c>
      <c r="Q716" s="9" t="str">
        <f t="shared" si="29"/>
        <v>N/I</v>
      </c>
      <c r="R716" s="9" t="str">
        <f t="shared" si="31"/>
        <v>N/I</v>
      </c>
    </row>
    <row r="717">
      <c r="A717" s="11" t="s">
        <v>1923</v>
      </c>
      <c r="B717" s="32" t="s">
        <v>2178</v>
      </c>
      <c r="C717" s="12" t="s">
        <v>1691</v>
      </c>
      <c r="D717" s="13" t="s">
        <v>2179</v>
      </c>
      <c r="E717" s="12" t="s">
        <v>1930</v>
      </c>
      <c r="F717" s="10" t="s">
        <v>1929</v>
      </c>
      <c r="G717" s="12" t="s">
        <v>380</v>
      </c>
      <c r="H717" s="10" t="s">
        <v>197</v>
      </c>
      <c r="I717" s="10" t="s">
        <v>680</v>
      </c>
      <c r="J717" s="12" t="s">
        <v>46</v>
      </c>
      <c r="K717" s="10" t="s">
        <v>226</v>
      </c>
      <c r="L717" s="16" t="s">
        <v>45</v>
      </c>
      <c r="M717" s="10" t="s">
        <v>49</v>
      </c>
      <c r="N717" s="12" t="s">
        <v>1931</v>
      </c>
      <c r="O717" s="10" t="s">
        <v>50</v>
      </c>
      <c r="P717" s="9" t="str">
        <f t="shared" si="28"/>
        <v>N/I</v>
      </c>
      <c r="Q717" s="9" t="str">
        <f t="shared" si="29"/>
        <v>N/I</v>
      </c>
      <c r="R717" s="9" t="str">
        <f t="shared" si="31"/>
        <v>N/I</v>
      </c>
    </row>
    <row r="718">
      <c r="A718" s="11" t="s">
        <v>1923</v>
      </c>
      <c r="B718" s="32" t="s">
        <v>2182</v>
      </c>
      <c r="C718" s="12" t="s">
        <v>1691</v>
      </c>
      <c r="D718" s="13" t="s">
        <v>2183</v>
      </c>
      <c r="E718" s="12" t="s">
        <v>1930</v>
      </c>
      <c r="F718" s="10" t="s">
        <v>1929</v>
      </c>
      <c r="G718" s="12" t="s">
        <v>380</v>
      </c>
      <c r="H718" s="10" t="s">
        <v>197</v>
      </c>
      <c r="I718" s="10" t="s">
        <v>680</v>
      </c>
      <c r="J718" s="12" t="s">
        <v>46</v>
      </c>
      <c r="K718" s="10" t="s">
        <v>226</v>
      </c>
      <c r="L718" s="16" t="s">
        <v>45</v>
      </c>
      <c r="M718" s="10" t="s">
        <v>49</v>
      </c>
      <c r="N718" s="12" t="s">
        <v>1931</v>
      </c>
      <c r="O718" s="10" t="s">
        <v>50</v>
      </c>
      <c r="P718" s="9" t="str">
        <f t="shared" si="28"/>
        <v>N/I</v>
      </c>
      <c r="Q718" s="9" t="str">
        <f t="shared" si="29"/>
        <v>N/I</v>
      </c>
      <c r="R718" s="9" t="str">
        <f t="shared" si="31"/>
        <v>N/I</v>
      </c>
    </row>
    <row r="719">
      <c r="A719" s="11" t="s">
        <v>1923</v>
      </c>
      <c r="B719" s="32" t="s">
        <v>2184</v>
      </c>
      <c r="C719" s="12" t="s">
        <v>1691</v>
      </c>
      <c r="D719" s="13" t="s">
        <v>2185</v>
      </c>
      <c r="E719" s="12" t="s">
        <v>1930</v>
      </c>
      <c r="F719" s="10" t="s">
        <v>1929</v>
      </c>
      <c r="G719" s="12" t="s">
        <v>380</v>
      </c>
      <c r="H719" s="10" t="s">
        <v>197</v>
      </c>
      <c r="I719" s="10" t="s">
        <v>680</v>
      </c>
      <c r="J719" s="12" t="s">
        <v>46</v>
      </c>
      <c r="K719" s="10" t="s">
        <v>226</v>
      </c>
      <c r="L719" s="16" t="s">
        <v>45</v>
      </c>
      <c r="M719" s="10" t="s">
        <v>49</v>
      </c>
      <c r="N719" s="12" t="s">
        <v>1931</v>
      </c>
      <c r="O719" s="10" t="s">
        <v>50</v>
      </c>
      <c r="P719" s="9" t="str">
        <f t="shared" si="28"/>
        <v>N/I</v>
      </c>
      <c r="Q719" s="9" t="str">
        <f t="shared" si="29"/>
        <v>N/I</v>
      </c>
      <c r="R719" s="9" t="str">
        <f t="shared" si="31"/>
        <v>N/I</v>
      </c>
    </row>
    <row r="720">
      <c r="A720" s="11" t="s">
        <v>1923</v>
      </c>
      <c r="B720" s="32" t="s">
        <v>2188</v>
      </c>
      <c r="C720" s="12" t="s">
        <v>1691</v>
      </c>
      <c r="D720" s="13" t="s">
        <v>2189</v>
      </c>
      <c r="E720" s="12" t="s">
        <v>1930</v>
      </c>
      <c r="F720" s="10" t="s">
        <v>1929</v>
      </c>
      <c r="G720" s="12" t="s">
        <v>380</v>
      </c>
      <c r="H720" s="10" t="s">
        <v>197</v>
      </c>
      <c r="I720" s="10" t="s">
        <v>680</v>
      </c>
      <c r="J720" s="12" t="s">
        <v>46</v>
      </c>
      <c r="K720" s="10" t="s">
        <v>226</v>
      </c>
      <c r="L720" s="16" t="s">
        <v>45</v>
      </c>
      <c r="M720" s="10" t="s">
        <v>49</v>
      </c>
      <c r="N720" s="12" t="s">
        <v>1931</v>
      </c>
      <c r="O720" s="10" t="s">
        <v>50</v>
      </c>
      <c r="P720" s="9" t="str">
        <f t="shared" si="28"/>
        <v>N/I</v>
      </c>
      <c r="Q720" s="9" t="str">
        <f t="shared" si="29"/>
        <v>N/I</v>
      </c>
      <c r="R720" s="9" t="str">
        <f t="shared" si="31"/>
        <v>N/I</v>
      </c>
    </row>
    <row r="721">
      <c r="A721" s="11" t="s">
        <v>1923</v>
      </c>
      <c r="B721" s="32" t="s">
        <v>2192</v>
      </c>
      <c r="C721" s="12" t="s">
        <v>1691</v>
      </c>
      <c r="D721" s="13" t="s">
        <v>2193</v>
      </c>
      <c r="E721" s="12" t="s">
        <v>1930</v>
      </c>
      <c r="F721" s="10" t="s">
        <v>1929</v>
      </c>
      <c r="G721" s="12" t="s">
        <v>380</v>
      </c>
      <c r="H721" s="10" t="s">
        <v>197</v>
      </c>
      <c r="I721" s="10" t="s">
        <v>680</v>
      </c>
      <c r="J721" s="12" t="s">
        <v>46</v>
      </c>
      <c r="K721" s="10" t="s">
        <v>226</v>
      </c>
      <c r="L721" s="16" t="s">
        <v>45</v>
      </c>
      <c r="M721" s="10" t="s">
        <v>49</v>
      </c>
      <c r="N721" s="12" t="s">
        <v>1931</v>
      </c>
      <c r="O721" s="10" t="s">
        <v>50</v>
      </c>
      <c r="P721" s="9" t="str">
        <f t="shared" si="28"/>
        <v>N/I</v>
      </c>
      <c r="Q721" s="9" t="str">
        <f t="shared" si="29"/>
        <v>N/I</v>
      </c>
      <c r="R721" s="9" t="str">
        <f t="shared" si="31"/>
        <v>N/I</v>
      </c>
    </row>
    <row r="722">
      <c r="A722" s="11" t="s">
        <v>1923</v>
      </c>
      <c r="B722" s="32" t="s">
        <v>2196</v>
      </c>
      <c r="C722" s="12" t="s">
        <v>1691</v>
      </c>
      <c r="D722" s="34" t="s">
        <v>2197</v>
      </c>
      <c r="E722" s="12" t="s">
        <v>1930</v>
      </c>
      <c r="F722" s="10" t="s">
        <v>1929</v>
      </c>
      <c r="G722" s="12" t="s">
        <v>380</v>
      </c>
      <c r="H722" s="10" t="s">
        <v>197</v>
      </c>
      <c r="I722" s="10" t="s">
        <v>680</v>
      </c>
      <c r="J722" s="12" t="s">
        <v>46</v>
      </c>
      <c r="K722" s="10" t="s">
        <v>226</v>
      </c>
      <c r="L722" s="16" t="s">
        <v>45</v>
      </c>
      <c r="M722" s="10" t="s">
        <v>49</v>
      </c>
      <c r="N722" s="12" t="s">
        <v>1931</v>
      </c>
      <c r="O722" s="10" t="s">
        <v>50</v>
      </c>
      <c r="P722" s="9" t="str">
        <f t="shared" si="28"/>
        <v>N/I</v>
      </c>
      <c r="Q722" s="9" t="str">
        <f t="shared" si="29"/>
        <v>N/I</v>
      </c>
      <c r="R722" s="9" t="str">
        <f t="shared" si="31"/>
        <v>N/I</v>
      </c>
    </row>
    <row r="723">
      <c r="A723" s="11" t="s">
        <v>1923</v>
      </c>
      <c r="B723" s="32" t="s">
        <v>2200</v>
      </c>
      <c r="C723" s="12" t="s">
        <v>1691</v>
      </c>
      <c r="D723" s="13" t="s">
        <v>2201</v>
      </c>
      <c r="E723" s="12" t="s">
        <v>1930</v>
      </c>
      <c r="F723" s="10" t="s">
        <v>1929</v>
      </c>
      <c r="G723" s="12" t="s">
        <v>2202</v>
      </c>
      <c r="H723" s="10" t="s">
        <v>197</v>
      </c>
      <c r="I723" s="10" t="s">
        <v>680</v>
      </c>
      <c r="J723" s="12" t="s">
        <v>46</v>
      </c>
      <c r="K723" s="10" t="s">
        <v>226</v>
      </c>
      <c r="L723" s="16" t="s">
        <v>45</v>
      </c>
      <c r="M723" s="10" t="s">
        <v>49</v>
      </c>
      <c r="N723" s="12" t="s">
        <v>1931</v>
      </c>
      <c r="O723" s="10" t="s">
        <v>50</v>
      </c>
      <c r="P723" s="9" t="str">
        <f t="shared" si="28"/>
        <v>N/I</v>
      </c>
      <c r="Q723" s="9" t="str">
        <f t="shared" si="29"/>
        <v>N/I</v>
      </c>
      <c r="R723" s="9" t="str">
        <f t="shared" si="31"/>
        <v>N/I</v>
      </c>
    </row>
    <row r="724">
      <c r="A724" s="11" t="s">
        <v>1923</v>
      </c>
      <c r="B724" s="32" t="s">
        <v>2205</v>
      </c>
      <c r="C724" s="12" t="s">
        <v>1691</v>
      </c>
      <c r="D724" s="34" t="s">
        <v>2206</v>
      </c>
      <c r="E724" s="12" t="s">
        <v>1930</v>
      </c>
      <c r="F724" s="10" t="s">
        <v>1929</v>
      </c>
      <c r="G724" s="12" t="s">
        <v>2207</v>
      </c>
      <c r="H724" s="10" t="s">
        <v>197</v>
      </c>
      <c r="I724" s="10" t="s">
        <v>680</v>
      </c>
      <c r="J724" s="12" t="s">
        <v>46</v>
      </c>
      <c r="K724" s="10" t="s">
        <v>226</v>
      </c>
      <c r="L724" s="16" t="s">
        <v>45</v>
      </c>
      <c r="M724" s="10" t="s">
        <v>49</v>
      </c>
      <c r="N724" s="12" t="s">
        <v>1931</v>
      </c>
      <c r="O724" s="10" t="s">
        <v>50</v>
      </c>
      <c r="P724" s="9" t="str">
        <f t="shared" si="28"/>
        <v>N/I</v>
      </c>
      <c r="Q724" s="9" t="str">
        <f t="shared" si="29"/>
        <v>N/I</v>
      </c>
      <c r="R724" s="9" t="str">
        <f t="shared" si="31"/>
        <v>N/I</v>
      </c>
    </row>
    <row r="725">
      <c r="A725" s="11" t="s">
        <v>1923</v>
      </c>
      <c r="B725" s="32" t="s">
        <v>2210</v>
      </c>
      <c r="C725" s="12" t="s">
        <v>1691</v>
      </c>
      <c r="D725" s="34" t="s">
        <v>2211</v>
      </c>
      <c r="E725" s="12" t="s">
        <v>1930</v>
      </c>
      <c r="F725" s="10" t="s">
        <v>1929</v>
      </c>
      <c r="G725" s="12" t="s">
        <v>2212</v>
      </c>
      <c r="H725" s="10" t="s">
        <v>197</v>
      </c>
      <c r="I725" s="10" t="s">
        <v>680</v>
      </c>
      <c r="J725" s="12" t="s">
        <v>46</v>
      </c>
      <c r="K725" s="10" t="s">
        <v>226</v>
      </c>
      <c r="L725" s="16" t="s">
        <v>45</v>
      </c>
      <c r="M725" s="10" t="s">
        <v>49</v>
      </c>
      <c r="N725" s="12" t="s">
        <v>1931</v>
      </c>
      <c r="O725" s="10" t="s">
        <v>50</v>
      </c>
      <c r="P725" s="9" t="str">
        <f t="shared" si="28"/>
        <v>N/I</v>
      </c>
      <c r="Q725" s="9" t="str">
        <f t="shared" si="29"/>
        <v>N/I</v>
      </c>
      <c r="R725" s="9" t="str">
        <f t="shared" si="31"/>
        <v>N/I</v>
      </c>
    </row>
    <row r="726">
      <c r="A726" s="11" t="s">
        <v>1923</v>
      </c>
      <c r="B726" s="32" t="s">
        <v>2215</v>
      </c>
      <c r="C726" s="12" t="s">
        <v>1691</v>
      </c>
      <c r="D726" s="34" t="s">
        <v>2216</v>
      </c>
      <c r="E726" s="12" t="s">
        <v>1930</v>
      </c>
      <c r="F726" s="10" t="s">
        <v>1929</v>
      </c>
      <c r="G726" s="12" t="s">
        <v>2212</v>
      </c>
      <c r="H726" s="10" t="s">
        <v>197</v>
      </c>
      <c r="I726" s="10" t="s">
        <v>680</v>
      </c>
      <c r="J726" s="12" t="s">
        <v>46</v>
      </c>
      <c r="K726" s="10" t="s">
        <v>226</v>
      </c>
      <c r="L726" s="16" t="s">
        <v>45</v>
      </c>
      <c r="M726" s="10" t="s">
        <v>49</v>
      </c>
      <c r="N726" s="12" t="s">
        <v>1931</v>
      </c>
      <c r="O726" s="10" t="s">
        <v>50</v>
      </c>
      <c r="P726" s="9" t="str">
        <f t="shared" si="28"/>
        <v>N/I</v>
      </c>
      <c r="Q726" s="9" t="str">
        <f t="shared" si="29"/>
        <v>N/I</v>
      </c>
      <c r="R726" s="9" t="str">
        <f t="shared" si="31"/>
        <v>N/I</v>
      </c>
    </row>
    <row r="727">
      <c r="A727" s="11" t="s">
        <v>1923</v>
      </c>
      <c r="B727" s="32" t="s">
        <v>2217</v>
      </c>
      <c r="C727" s="12" t="s">
        <v>1691</v>
      </c>
      <c r="D727" s="34" t="s">
        <v>2218</v>
      </c>
      <c r="E727" s="12" t="s">
        <v>1930</v>
      </c>
      <c r="F727" s="10" t="s">
        <v>1929</v>
      </c>
      <c r="G727" s="12" t="s">
        <v>2212</v>
      </c>
      <c r="H727" s="10" t="s">
        <v>197</v>
      </c>
      <c r="I727" s="10" t="s">
        <v>680</v>
      </c>
      <c r="J727" s="12" t="s">
        <v>46</v>
      </c>
      <c r="K727" s="10" t="s">
        <v>226</v>
      </c>
      <c r="L727" s="16" t="s">
        <v>45</v>
      </c>
      <c r="M727" s="10" t="s">
        <v>49</v>
      </c>
      <c r="N727" s="12" t="s">
        <v>1931</v>
      </c>
      <c r="O727" s="10" t="s">
        <v>50</v>
      </c>
      <c r="P727" s="9" t="str">
        <f t="shared" si="28"/>
        <v>N/I</v>
      </c>
      <c r="Q727" s="9" t="str">
        <f t="shared" si="29"/>
        <v>N/I</v>
      </c>
      <c r="R727" s="9" t="str">
        <f t="shared" si="31"/>
        <v>N/I</v>
      </c>
    </row>
    <row r="728">
      <c r="A728" s="11" t="s">
        <v>1923</v>
      </c>
      <c r="B728" s="32" t="s">
        <v>2219</v>
      </c>
      <c r="C728" s="12" t="s">
        <v>1691</v>
      </c>
      <c r="D728" s="34" t="s">
        <v>2220</v>
      </c>
      <c r="E728" s="12" t="s">
        <v>1930</v>
      </c>
      <c r="F728" s="10" t="s">
        <v>1929</v>
      </c>
      <c r="G728" s="12" t="s">
        <v>2212</v>
      </c>
      <c r="H728" s="10" t="s">
        <v>197</v>
      </c>
      <c r="I728" s="10" t="s">
        <v>680</v>
      </c>
      <c r="J728" s="12" t="s">
        <v>46</v>
      </c>
      <c r="K728" s="10" t="s">
        <v>226</v>
      </c>
      <c r="L728" s="16" t="s">
        <v>45</v>
      </c>
      <c r="M728" s="10" t="s">
        <v>49</v>
      </c>
      <c r="N728" s="12" t="s">
        <v>1931</v>
      </c>
      <c r="O728" s="10" t="s">
        <v>50</v>
      </c>
      <c r="P728" s="9" t="str">
        <f t="shared" si="28"/>
        <v>N/I</v>
      </c>
      <c r="Q728" s="9" t="str">
        <f t="shared" si="29"/>
        <v>N/I</v>
      </c>
      <c r="R728" s="9" t="str">
        <f t="shared" si="31"/>
        <v>N/I</v>
      </c>
    </row>
    <row r="729">
      <c r="A729" s="11" t="s">
        <v>1923</v>
      </c>
      <c r="B729" s="32" t="s">
        <v>2222</v>
      </c>
      <c r="C729" s="12" t="s">
        <v>1691</v>
      </c>
      <c r="D729" s="34" t="s">
        <v>2223</v>
      </c>
      <c r="E729" s="12" t="s">
        <v>1930</v>
      </c>
      <c r="F729" s="10" t="s">
        <v>1929</v>
      </c>
      <c r="G729" s="12" t="s">
        <v>2224</v>
      </c>
      <c r="H729" s="10" t="s">
        <v>197</v>
      </c>
      <c r="I729" s="10" t="s">
        <v>680</v>
      </c>
      <c r="J729" s="12" t="s">
        <v>46</v>
      </c>
      <c r="K729" s="10" t="s">
        <v>226</v>
      </c>
      <c r="L729" s="16" t="s">
        <v>45</v>
      </c>
      <c r="M729" s="10" t="s">
        <v>49</v>
      </c>
      <c r="N729" s="12" t="s">
        <v>1931</v>
      </c>
      <c r="O729" s="10" t="s">
        <v>50</v>
      </c>
      <c r="P729" s="9" t="str">
        <f t="shared" si="28"/>
        <v>N/I</v>
      </c>
      <c r="Q729" s="9" t="str">
        <f t="shared" si="29"/>
        <v>N/I</v>
      </c>
      <c r="R729" s="9" t="str">
        <f t="shared" si="31"/>
        <v>N/I</v>
      </c>
    </row>
    <row r="730">
      <c r="A730" s="11" t="s">
        <v>1923</v>
      </c>
      <c r="B730" s="32"/>
      <c r="C730" s="12" t="s">
        <v>1691</v>
      </c>
      <c r="D730" s="44" t="s">
        <v>187</v>
      </c>
      <c r="E730" s="12" t="s">
        <v>1930</v>
      </c>
      <c r="F730" s="10" t="s">
        <v>1929</v>
      </c>
      <c r="G730" s="12"/>
      <c r="H730" s="10" t="s">
        <v>197</v>
      </c>
      <c r="I730" s="10" t="s">
        <v>680</v>
      </c>
      <c r="J730" s="12" t="s">
        <v>46</v>
      </c>
      <c r="K730" s="10" t="s">
        <v>226</v>
      </c>
      <c r="L730" s="16" t="s">
        <v>45</v>
      </c>
      <c r="M730" s="10" t="s">
        <v>49</v>
      </c>
      <c r="N730" s="12" t="s">
        <v>1931</v>
      </c>
      <c r="O730" s="10" t="s">
        <v>50</v>
      </c>
      <c r="P730" s="9" t="str">
        <f t="shared" si="28"/>
        <v>N/I</v>
      </c>
      <c r="Q730" s="9" t="str">
        <f t="shared" si="29"/>
        <v>N/I</v>
      </c>
      <c r="R730" s="9" t="str">
        <f t="shared" si="31"/>
        <v>N/I</v>
      </c>
    </row>
    <row r="731">
      <c r="A731" s="11" t="s">
        <v>1923</v>
      </c>
      <c r="B731" s="32"/>
      <c r="C731" s="12" t="s">
        <v>1691</v>
      </c>
      <c r="D731" s="44" t="s">
        <v>187</v>
      </c>
      <c r="E731" s="12" t="s">
        <v>1930</v>
      </c>
      <c r="F731" s="10" t="s">
        <v>1929</v>
      </c>
      <c r="G731" s="12"/>
      <c r="H731" s="10" t="s">
        <v>197</v>
      </c>
      <c r="I731" s="10" t="s">
        <v>680</v>
      </c>
      <c r="J731" s="12" t="s">
        <v>46</v>
      </c>
      <c r="K731" s="10" t="s">
        <v>226</v>
      </c>
      <c r="L731" s="16" t="s">
        <v>45</v>
      </c>
      <c r="M731" s="10" t="s">
        <v>49</v>
      </c>
      <c r="N731" s="12" t="s">
        <v>1931</v>
      </c>
      <c r="O731" s="10" t="s">
        <v>50</v>
      </c>
      <c r="P731" s="9" t="str">
        <f t="shared" si="28"/>
        <v>N/I</v>
      </c>
      <c r="Q731" s="9" t="str">
        <f t="shared" si="29"/>
        <v>N/I</v>
      </c>
      <c r="R731" s="9" t="str">
        <f t="shared" si="31"/>
        <v>N/I</v>
      </c>
    </row>
    <row r="732">
      <c r="A732" s="11" t="s">
        <v>1923</v>
      </c>
      <c r="B732" s="32"/>
      <c r="C732" s="12" t="s">
        <v>1691</v>
      </c>
      <c r="D732" s="44" t="s">
        <v>187</v>
      </c>
      <c r="E732" s="12" t="s">
        <v>1930</v>
      </c>
      <c r="F732" s="10" t="s">
        <v>1929</v>
      </c>
      <c r="G732" s="12"/>
      <c r="H732" s="10" t="s">
        <v>197</v>
      </c>
      <c r="I732" s="10" t="s">
        <v>680</v>
      </c>
      <c r="J732" s="12" t="s">
        <v>46</v>
      </c>
      <c r="K732" s="10" t="s">
        <v>226</v>
      </c>
      <c r="L732" s="16" t="s">
        <v>45</v>
      </c>
      <c r="M732" s="10" t="s">
        <v>49</v>
      </c>
      <c r="N732" s="12" t="s">
        <v>1931</v>
      </c>
      <c r="O732" s="10" t="s">
        <v>50</v>
      </c>
      <c r="P732" s="9" t="str">
        <f t="shared" si="28"/>
        <v>N/I</v>
      </c>
      <c r="Q732" s="9" t="str">
        <f t="shared" si="29"/>
        <v>N/I</v>
      </c>
      <c r="R732" s="9" t="str">
        <f t="shared" si="31"/>
        <v>N/I</v>
      </c>
    </row>
    <row r="733">
      <c r="A733" s="11" t="s">
        <v>1923</v>
      </c>
      <c r="B733" s="32"/>
      <c r="C733" s="12" t="s">
        <v>1691</v>
      </c>
      <c r="D733" s="44" t="s">
        <v>187</v>
      </c>
      <c r="E733" s="12" t="s">
        <v>1930</v>
      </c>
      <c r="F733" s="10" t="s">
        <v>1929</v>
      </c>
      <c r="G733" s="12"/>
      <c r="H733" s="10" t="s">
        <v>197</v>
      </c>
      <c r="I733" s="10" t="s">
        <v>680</v>
      </c>
      <c r="J733" s="12" t="s">
        <v>46</v>
      </c>
      <c r="K733" s="10" t="s">
        <v>226</v>
      </c>
      <c r="L733" s="16" t="s">
        <v>45</v>
      </c>
      <c r="M733" s="10" t="s">
        <v>49</v>
      </c>
      <c r="N733" s="12" t="s">
        <v>1931</v>
      </c>
      <c r="O733" s="10" t="s">
        <v>50</v>
      </c>
      <c r="P733" s="9" t="str">
        <f t="shared" si="28"/>
        <v>N/I</v>
      </c>
      <c r="Q733" s="9" t="str">
        <f t="shared" si="29"/>
        <v>N/I</v>
      </c>
      <c r="R733" s="9" t="str">
        <f t="shared" si="31"/>
        <v>N/I</v>
      </c>
    </row>
    <row r="734">
      <c r="A734" s="11" t="s">
        <v>1923</v>
      </c>
      <c r="B734" s="32"/>
      <c r="C734" s="12" t="s">
        <v>1691</v>
      </c>
      <c r="D734" s="44" t="s">
        <v>187</v>
      </c>
      <c r="E734" s="12" t="s">
        <v>1930</v>
      </c>
      <c r="F734" s="10" t="s">
        <v>1929</v>
      </c>
      <c r="G734" s="12"/>
      <c r="H734" s="10" t="s">
        <v>197</v>
      </c>
      <c r="I734" s="10" t="s">
        <v>680</v>
      </c>
      <c r="J734" s="12" t="s">
        <v>46</v>
      </c>
      <c r="K734" s="10" t="s">
        <v>226</v>
      </c>
      <c r="L734" s="16" t="s">
        <v>45</v>
      </c>
      <c r="M734" s="10" t="s">
        <v>49</v>
      </c>
      <c r="N734" s="12" t="s">
        <v>1931</v>
      </c>
      <c r="O734" s="10" t="s">
        <v>50</v>
      </c>
      <c r="P734" s="9" t="str">
        <f t="shared" si="28"/>
        <v>N/I</v>
      </c>
      <c r="Q734" s="9" t="str">
        <f t="shared" si="29"/>
        <v>N/I</v>
      </c>
      <c r="R734" s="9" t="str">
        <f t="shared" si="31"/>
        <v>N/I</v>
      </c>
    </row>
    <row r="735">
      <c r="A735" s="11" t="s">
        <v>1923</v>
      </c>
      <c r="B735" s="32"/>
      <c r="C735" s="12" t="s">
        <v>1691</v>
      </c>
      <c r="D735" s="44" t="s">
        <v>187</v>
      </c>
      <c r="E735" s="12" t="s">
        <v>1930</v>
      </c>
      <c r="F735" s="10" t="s">
        <v>1929</v>
      </c>
      <c r="G735" s="12"/>
      <c r="H735" s="10" t="s">
        <v>197</v>
      </c>
      <c r="I735" s="10" t="s">
        <v>680</v>
      </c>
      <c r="J735" s="12" t="s">
        <v>46</v>
      </c>
      <c r="K735" s="10" t="s">
        <v>226</v>
      </c>
      <c r="L735" s="16" t="s">
        <v>45</v>
      </c>
      <c r="M735" s="10" t="s">
        <v>49</v>
      </c>
      <c r="N735" s="12" t="s">
        <v>1931</v>
      </c>
      <c r="O735" s="10" t="s">
        <v>50</v>
      </c>
      <c r="P735" s="9" t="str">
        <f t="shared" si="28"/>
        <v>N/I</v>
      </c>
      <c r="Q735" s="9" t="str">
        <f t="shared" si="29"/>
        <v>N/I</v>
      </c>
      <c r="R735" s="9" t="str">
        <f t="shared" si="31"/>
        <v>N/I</v>
      </c>
    </row>
    <row r="736">
      <c r="A736" s="11" t="s">
        <v>1923</v>
      </c>
      <c r="B736" s="32"/>
      <c r="C736" s="12" t="s">
        <v>1691</v>
      </c>
      <c r="D736" s="44" t="s">
        <v>187</v>
      </c>
      <c r="E736" s="12" t="s">
        <v>1930</v>
      </c>
      <c r="F736" s="10" t="s">
        <v>1929</v>
      </c>
      <c r="G736" s="12"/>
      <c r="H736" s="10" t="s">
        <v>197</v>
      </c>
      <c r="I736" s="10" t="s">
        <v>680</v>
      </c>
      <c r="J736" s="12" t="s">
        <v>46</v>
      </c>
      <c r="K736" s="10" t="s">
        <v>226</v>
      </c>
      <c r="L736" s="16" t="s">
        <v>45</v>
      </c>
      <c r="M736" s="10" t="s">
        <v>49</v>
      </c>
      <c r="N736" s="12" t="s">
        <v>1931</v>
      </c>
      <c r="O736" s="10" t="s">
        <v>50</v>
      </c>
      <c r="P736" s="9" t="str">
        <f t="shared" si="28"/>
        <v>N/I</v>
      </c>
      <c r="Q736" s="9" t="str">
        <f t="shared" si="29"/>
        <v>N/I</v>
      </c>
      <c r="R736" s="9" t="str">
        <f t="shared" si="31"/>
        <v>N/I</v>
      </c>
    </row>
    <row r="737">
      <c r="A737" s="11" t="s">
        <v>1923</v>
      </c>
      <c r="B737" s="32"/>
      <c r="C737" s="12" t="s">
        <v>1691</v>
      </c>
      <c r="D737" s="44" t="s">
        <v>187</v>
      </c>
      <c r="E737" s="12" t="s">
        <v>1930</v>
      </c>
      <c r="F737" s="10" t="s">
        <v>1929</v>
      </c>
      <c r="G737" s="12"/>
      <c r="H737" s="10" t="s">
        <v>197</v>
      </c>
      <c r="I737" s="10" t="s">
        <v>680</v>
      </c>
      <c r="J737" s="12" t="s">
        <v>46</v>
      </c>
      <c r="K737" s="10" t="s">
        <v>226</v>
      </c>
      <c r="L737" s="16" t="s">
        <v>45</v>
      </c>
      <c r="M737" s="10" t="s">
        <v>49</v>
      </c>
      <c r="N737" s="12" t="s">
        <v>1931</v>
      </c>
      <c r="O737" s="10" t="s">
        <v>50</v>
      </c>
      <c r="P737" s="9" t="str">
        <f t="shared" si="28"/>
        <v>N/I</v>
      </c>
      <c r="Q737" s="9" t="str">
        <f t="shared" si="29"/>
        <v>N/I</v>
      </c>
      <c r="R737" s="9" t="str">
        <f t="shared" si="31"/>
        <v>N/I</v>
      </c>
    </row>
    <row r="738">
      <c r="A738" s="11" t="s">
        <v>1923</v>
      </c>
      <c r="B738" s="32"/>
      <c r="C738" s="12" t="s">
        <v>1691</v>
      </c>
      <c r="D738" s="44" t="s">
        <v>187</v>
      </c>
      <c r="E738" s="12" t="s">
        <v>1930</v>
      </c>
      <c r="F738" s="10" t="s">
        <v>1929</v>
      </c>
      <c r="G738" s="12"/>
      <c r="H738" s="10" t="s">
        <v>197</v>
      </c>
      <c r="I738" s="10" t="s">
        <v>680</v>
      </c>
      <c r="J738" s="12" t="s">
        <v>46</v>
      </c>
      <c r="K738" s="10" t="s">
        <v>226</v>
      </c>
      <c r="L738" s="16" t="s">
        <v>45</v>
      </c>
      <c r="M738" s="10" t="s">
        <v>49</v>
      </c>
      <c r="N738" s="12" t="s">
        <v>1931</v>
      </c>
      <c r="O738" s="10" t="s">
        <v>50</v>
      </c>
      <c r="P738" s="9" t="str">
        <f t="shared" si="28"/>
        <v>N/I</v>
      </c>
      <c r="Q738" s="9" t="str">
        <f t="shared" si="29"/>
        <v>N/I</v>
      </c>
      <c r="R738" s="9" t="str">
        <f t="shared" si="31"/>
        <v>N/I</v>
      </c>
    </row>
    <row r="739">
      <c r="A739" s="11" t="s">
        <v>1923</v>
      </c>
      <c r="B739" s="32"/>
      <c r="C739" s="12" t="s">
        <v>1691</v>
      </c>
      <c r="D739" s="44" t="s">
        <v>187</v>
      </c>
      <c r="E739" s="12" t="s">
        <v>1930</v>
      </c>
      <c r="F739" s="10" t="s">
        <v>1929</v>
      </c>
      <c r="G739" s="12"/>
      <c r="H739" s="10" t="s">
        <v>197</v>
      </c>
      <c r="I739" s="10" t="s">
        <v>680</v>
      </c>
      <c r="J739" s="12" t="s">
        <v>46</v>
      </c>
      <c r="K739" s="10" t="s">
        <v>226</v>
      </c>
      <c r="L739" s="16" t="s">
        <v>45</v>
      </c>
      <c r="M739" s="10" t="s">
        <v>49</v>
      </c>
      <c r="N739" s="12" t="s">
        <v>1931</v>
      </c>
      <c r="O739" s="10" t="s">
        <v>50</v>
      </c>
      <c r="P739" s="9" t="str">
        <f t="shared" si="28"/>
        <v>N/I</v>
      </c>
      <c r="Q739" s="9" t="str">
        <f t="shared" si="29"/>
        <v>N/I</v>
      </c>
      <c r="R739" s="9" t="str">
        <f t="shared" si="31"/>
        <v>N/I</v>
      </c>
    </row>
    <row r="740">
      <c r="A740" s="11" t="s">
        <v>1923</v>
      </c>
      <c r="B740" s="32"/>
      <c r="C740" s="12" t="s">
        <v>1691</v>
      </c>
      <c r="D740" s="44" t="s">
        <v>187</v>
      </c>
      <c r="E740" s="12" t="s">
        <v>1930</v>
      </c>
      <c r="F740" s="10" t="s">
        <v>1929</v>
      </c>
      <c r="G740" s="12"/>
      <c r="H740" s="10" t="s">
        <v>197</v>
      </c>
      <c r="I740" s="10" t="s">
        <v>680</v>
      </c>
      <c r="J740" s="12" t="s">
        <v>46</v>
      </c>
      <c r="K740" s="10" t="s">
        <v>226</v>
      </c>
      <c r="L740" s="16" t="s">
        <v>45</v>
      </c>
      <c r="M740" s="10" t="s">
        <v>49</v>
      </c>
      <c r="N740" s="12" t="s">
        <v>1931</v>
      </c>
      <c r="O740" s="10" t="s">
        <v>50</v>
      </c>
      <c r="P740" s="9" t="str">
        <f t="shared" si="28"/>
        <v>N/I</v>
      </c>
      <c r="Q740" s="9" t="str">
        <f t="shared" si="29"/>
        <v>N/I</v>
      </c>
      <c r="R740" s="9" t="str">
        <f t="shared" si="31"/>
        <v>N/I</v>
      </c>
    </row>
    <row r="741">
      <c r="A741" s="11" t="s">
        <v>2228</v>
      </c>
      <c r="B741" s="11" t="s">
        <v>2229</v>
      </c>
      <c r="C741" s="12" t="s">
        <v>55</v>
      </c>
      <c r="D741" s="16" t="s">
        <v>2230</v>
      </c>
      <c r="E741" s="16" t="s">
        <v>45</v>
      </c>
      <c r="F741" s="10" t="s">
        <v>2232</v>
      </c>
      <c r="G741" s="12" t="s">
        <v>370</v>
      </c>
      <c r="H741" s="10" t="s">
        <v>89</v>
      </c>
      <c r="I741" s="16" t="s">
        <v>45</v>
      </c>
      <c r="J741" s="16" t="s">
        <v>45</v>
      </c>
      <c r="K741" s="16" t="s">
        <v>45</v>
      </c>
      <c r="L741" s="16" t="s">
        <v>45</v>
      </c>
      <c r="M741" s="10" t="s">
        <v>49</v>
      </c>
      <c r="N741" s="16" t="s">
        <v>45</v>
      </c>
      <c r="O741" s="16" t="s">
        <v>45</v>
      </c>
      <c r="P741" s="9" t="str">
        <f t="shared" si="28"/>
        <v>N/I</v>
      </c>
      <c r="Q741" s="9" t="str">
        <f t="shared" si="29"/>
        <v>N/I</v>
      </c>
      <c r="R741" s="9" t="str">
        <f t="shared" si="31"/>
        <v>N/I</v>
      </c>
    </row>
    <row r="742">
      <c r="A742" s="11" t="s">
        <v>2228</v>
      </c>
      <c r="B742" s="11" t="s">
        <v>2229</v>
      </c>
      <c r="C742" s="12" t="s">
        <v>79</v>
      </c>
      <c r="D742" s="13" t="s">
        <v>2233</v>
      </c>
      <c r="E742" s="10" t="s">
        <v>390</v>
      </c>
      <c r="F742" s="10" t="s">
        <v>2234</v>
      </c>
      <c r="G742" s="12" t="s">
        <v>370</v>
      </c>
      <c r="H742" s="10" t="s">
        <v>89</v>
      </c>
      <c r="I742" s="16" t="s">
        <v>45</v>
      </c>
      <c r="J742" s="12" t="s">
        <v>355</v>
      </c>
      <c r="K742" s="10" t="s">
        <v>226</v>
      </c>
      <c r="L742" s="16" t="s">
        <v>45</v>
      </c>
      <c r="M742" s="10" t="s">
        <v>49</v>
      </c>
      <c r="N742" s="16" t="s">
        <v>45</v>
      </c>
      <c r="O742" s="10" t="s">
        <v>320</v>
      </c>
      <c r="P742" s="9" t="str">
        <f t="shared" si="28"/>
        <v>N/I</v>
      </c>
      <c r="Q742" s="9" t="str">
        <f t="shared" si="29"/>
        <v>N/I</v>
      </c>
      <c r="R742" s="9" t="str">
        <f t="shared" si="31"/>
        <v>N/I</v>
      </c>
    </row>
    <row r="743">
      <c r="A743" s="11" t="s">
        <v>2228</v>
      </c>
      <c r="B743" s="11" t="s">
        <v>2229</v>
      </c>
      <c r="C743" s="12" t="s">
        <v>55</v>
      </c>
      <c r="D743" s="13" t="s">
        <v>2235</v>
      </c>
      <c r="E743" s="16" t="s">
        <v>45</v>
      </c>
      <c r="F743" s="10" t="s">
        <v>2236</v>
      </c>
      <c r="G743" s="12" t="s">
        <v>370</v>
      </c>
      <c r="H743" s="10" t="s">
        <v>89</v>
      </c>
      <c r="I743" s="16" t="s">
        <v>45</v>
      </c>
      <c r="J743" s="10" t="s">
        <v>318</v>
      </c>
      <c r="K743" s="16" t="s">
        <v>45</v>
      </c>
      <c r="L743" s="16" t="s">
        <v>45</v>
      </c>
      <c r="M743" s="10" t="s">
        <v>49</v>
      </c>
      <c r="N743" s="16" t="s">
        <v>45</v>
      </c>
      <c r="O743" s="16" t="s">
        <v>45</v>
      </c>
      <c r="P743" s="9" t="str">
        <f t="shared" si="28"/>
        <v>N/I</v>
      </c>
      <c r="Q743" s="9" t="str">
        <f t="shared" si="29"/>
        <v>N/I</v>
      </c>
      <c r="R743" s="9" t="str">
        <f t="shared" si="31"/>
        <v>N/I</v>
      </c>
    </row>
    <row r="744">
      <c r="A744" s="11" t="s">
        <v>2228</v>
      </c>
      <c r="B744" s="11" t="s">
        <v>2229</v>
      </c>
      <c r="C744" s="12" t="s">
        <v>55</v>
      </c>
      <c r="D744" s="13" t="s">
        <v>2237</v>
      </c>
      <c r="E744" s="16" t="s">
        <v>45</v>
      </c>
      <c r="F744" s="10" t="s">
        <v>2236</v>
      </c>
      <c r="G744" s="12" t="s">
        <v>370</v>
      </c>
      <c r="H744" s="10" t="s">
        <v>89</v>
      </c>
      <c r="I744" s="16" t="s">
        <v>45</v>
      </c>
      <c r="J744" s="10" t="s">
        <v>318</v>
      </c>
      <c r="K744" s="16" t="s">
        <v>45</v>
      </c>
      <c r="L744" s="16" t="s">
        <v>45</v>
      </c>
      <c r="M744" s="10" t="s">
        <v>49</v>
      </c>
      <c r="N744" s="16" t="s">
        <v>45</v>
      </c>
      <c r="O744" s="16" t="s">
        <v>45</v>
      </c>
      <c r="P744" s="9" t="str">
        <f t="shared" si="28"/>
        <v>N/I</v>
      </c>
      <c r="Q744" s="9" t="str">
        <f t="shared" si="29"/>
        <v>N/I</v>
      </c>
      <c r="R744" s="9" t="str">
        <f t="shared" si="31"/>
        <v>N/I</v>
      </c>
    </row>
    <row r="745">
      <c r="A745" s="11" t="s">
        <v>2228</v>
      </c>
      <c r="B745" s="11" t="s">
        <v>2229</v>
      </c>
      <c r="C745" s="12" t="s">
        <v>116</v>
      </c>
      <c r="D745" s="13" t="s">
        <v>2238</v>
      </c>
      <c r="E745" s="16" t="s">
        <v>45</v>
      </c>
      <c r="F745" s="10" t="s">
        <v>2239</v>
      </c>
      <c r="G745" s="12" t="s">
        <v>370</v>
      </c>
      <c r="H745" s="10" t="s">
        <v>89</v>
      </c>
      <c r="I745" s="16" t="s">
        <v>45</v>
      </c>
      <c r="J745" s="16" t="s">
        <v>45</v>
      </c>
      <c r="K745" s="16" t="s">
        <v>45</v>
      </c>
      <c r="L745" s="16" t="s">
        <v>45</v>
      </c>
      <c r="M745" s="10" t="s">
        <v>49</v>
      </c>
      <c r="N745" s="16" t="s">
        <v>45</v>
      </c>
      <c r="O745" s="10" t="s">
        <v>50</v>
      </c>
      <c r="P745" s="9" t="str">
        <f t="shared" si="28"/>
        <v>N/I</v>
      </c>
      <c r="Q745" s="9" t="str">
        <f t="shared" si="29"/>
        <v>N/I</v>
      </c>
      <c r="R745" s="9" t="str">
        <f t="shared" si="31"/>
        <v>N/I</v>
      </c>
    </row>
    <row r="746">
      <c r="A746" s="11" t="s">
        <v>2228</v>
      </c>
      <c r="B746" s="11" t="s">
        <v>2229</v>
      </c>
      <c r="C746" s="12" t="s">
        <v>116</v>
      </c>
      <c r="D746" s="13" t="s">
        <v>2240</v>
      </c>
      <c r="E746" s="16" t="s">
        <v>45</v>
      </c>
      <c r="F746" s="10" t="s">
        <v>2239</v>
      </c>
      <c r="G746" s="12" t="s">
        <v>370</v>
      </c>
      <c r="H746" s="10" t="s">
        <v>89</v>
      </c>
      <c r="I746" s="16" t="s">
        <v>45</v>
      </c>
      <c r="J746" s="16" t="s">
        <v>45</v>
      </c>
      <c r="K746" s="16" t="s">
        <v>45</v>
      </c>
      <c r="L746" s="16" t="s">
        <v>45</v>
      </c>
      <c r="M746" s="10" t="s">
        <v>49</v>
      </c>
      <c r="N746" s="16" t="s">
        <v>45</v>
      </c>
      <c r="O746" s="10" t="s">
        <v>50</v>
      </c>
      <c r="P746" s="9" t="str">
        <f t="shared" si="28"/>
        <v>N/I</v>
      </c>
      <c r="Q746" s="9" t="str">
        <f t="shared" si="29"/>
        <v>N/I</v>
      </c>
      <c r="R746" s="9" t="str">
        <f t="shared" si="31"/>
        <v>N/I</v>
      </c>
    </row>
    <row r="747">
      <c r="A747" s="11" t="s">
        <v>2228</v>
      </c>
      <c r="B747" s="11" t="s">
        <v>2241</v>
      </c>
      <c r="C747" s="12" t="s">
        <v>52</v>
      </c>
      <c r="D747" s="48" t="s">
        <v>2242</v>
      </c>
      <c r="E747" s="16" t="s">
        <v>45</v>
      </c>
      <c r="F747" s="10" t="s">
        <v>2245</v>
      </c>
      <c r="G747" s="12" t="s">
        <v>1345</v>
      </c>
      <c r="H747" s="10" t="s">
        <v>521</v>
      </c>
      <c r="I747" s="16" t="s">
        <v>45</v>
      </c>
      <c r="J747" s="16" t="s">
        <v>45</v>
      </c>
      <c r="K747" s="16" t="s">
        <v>45</v>
      </c>
      <c r="L747" s="16" t="s">
        <v>45</v>
      </c>
      <c r="M747" s="10" t="s">
        <v>49</v>
      </c>
      <c r="N747" s="16" t="s">
        <v>45</v>
      </c>
      <c r="O747" s="10" t="s">
        <v>50</v>
      </c>
      <c r="P747" s="9" t="str">
        <f t="shared" si="28"/>
        <v>N/I</v>
      </c>
      <c r="Q747" s="9" t="str">
        <f t="shared" si="29"/>
        <v>N/I</v>
      </c>
      <c r="R747" s="9" t="str">
        <f t="shared" si="31"/>
        <v>N/I</v>
      </c>
    </row>
    <row r="748">
      <c r="A748" s="11" t="s">
        <v>2228</v>
      </c>
      <c r="B748" s="11" t="s">
        <v>2241</v>
      </c>
      <c r="C748" s="12" t="s">
        <v>52</v>
      </c>
      <c r="D748" s="48" t="s">
        <v>2246</v>
      </c>
      <c r="E748" s="16" t="s">
        <v>45</v>
      </c>
      <c r="F748" s="10" t="s">
        <v>2245</v>
      </c>
      <c r="G748" s="12" t="s">
        <v>1345</v>
      </c>
      <c r="H748" s="10" t="s">
        <v>521</v>
      </c>
      <c r="I748" s="16" t="s">
        <v>45</v>
      </c>
      <c r="J748" s="16" t="s">
        <v>45</v>
      </c>
      <c r="K748" s="16" t="s">
        <v>45</v>
      </c>
      <c r="L748" s="16" t="s">
        <v>45</v>
      </c>
      <c r="M748" s="10" t="s">
        <v>49</v>
      </c>
      <c r="N748" s="16" t="s">
        <v>45</v>
      </c>
      <c r="O748" s="10" t="s">
        <v>50</v>
      </c>
      <c r="P748" s="9" t="str">
        <f t="shared" si="28"/>
        <v>N/I</v>
      </c>
      <c r="Q748" s="9" t="str">
        <f t="shared" si="29"/>
        <v>N/I</v>
      </c>
      <c r="R748" s="9" t="str">
        <f t="shared" si="31"/>
        <v>N/I</v>
      </c>
    </row>
    <row r="749">
      <c r="A749" s="11" t="s">
        <v>2228</v>
      </c>
      <c r="B749" s="11" t="s">
        <v>2241</v>
      </c>
      <c r="C749" s="12" t="s">
        <v>58</v>
      </c>
      <c r="D749" s="48" t="s">
        <v>2247</v>
      </c>
      <c r="E749" s="16" t="s">
        <v>45</v>
      </c>
      <c r="F749" s="10" t="s">
        <v>2245</v>
      </c>
      <c r="G749" s="12" t="s">
        <v>1345</v>
      </c>
      <c r="H749" s="10" t="s">
        <v>521</v>
      </c>
      <c r="I749" s="16" t="s">
        <v>45</v>
      </c>
      <c r="J749" s="16" t="s">
        <v>45</v>
      </c>
      <c r="K749" s="16" t="s">
        <v>45</v>
      </c>
      <c r="L749" s="16" t="s">
        <v>45</v>
      </c>
      <c r="M749" s="10" t="s">
        <v>49</v>
      </c>
      <c r="N749" s="16" t="s">
        <v>45</v>
      </c>
      <c r="O749" s="10" t="s">
        <v>50</v>
      </c>
      <c r="P749" s="9" t="str">
        <f t="shared" si="28"/>
        <v>N/I</v>
      </c>
      <c r="Q749" s="9" t="str">
        <f t="shared" si="29"/>
        <v>N/I</v>
      </c>
      <c r="R749" s="9" t="str">
        <f t="shared" si="31"/>
        <v>N/I</v>
      </c>
    </row>
    <row r="750">
      <c r="A750" s="11" t="s">
        <v>2228</v>
      </c>
      <c r="B750" s="11" t="s">
        <v>2241</v>
      </c>
      <c r="C750" s="12" t="s">
        <v>58</v>
      </c>
      <c r="D750" s="48" t="s">
        <v>2248</v>
      </c>
      <c r="E750" s="16" t="s">
        <v>45</v>
      </c>
      <c r="F750" s="10" t="s">
        <v>2245</v>
      </c>
      <c r="G750" s="12" t="s">
        <v>1345</v>
      </c>
      <c r="H750" s="10" t="s">
        <v>521</v>
      </c>
      <c r="I750" s="16" t="s">
        <v>45</v>
      </c>
      <c r="J750" s="16" t="s">
        <v>45</v>
      </c>
      <c r="K750" s="16" t="s">
        <v>45</v>
      </c>
      <c r="L750" s="16" t="s">
        <v>45</v>
      </c>
      <c r="M750" s="10" t="s">
        <v>49</v>
      </c>
      <c r="N750" s="16" t="s">
        <v>45</v>
      </c>
      <c r="O750" s="10" t="s">
        <v>50</v>
      </c>
      <c r="P750" s="9" t="str">
        <f t="shared" si="28"/>
        <v>N/I</v>
      </c>
      <c r="Q750" s="9" t="str">
        <f t="shared" si="29"/>
        <v>N/I</v>
      </c>
      <c r="R750" s="9" t="str">
        <f t="shared" si="31"/>
        <v>N/I</v>
      </c>
    </row>
    <row r="751">
      <c r="A751" s="11" t="s">
        <v>2228</v>
      </c>
      <c r="B751" s="11" t="s">
        <v>2241</v>
      </c>
      <c r="C751" s="12" t="s">
        <v>52</v>
      </c>
      <c r="D751" s="48" t="s">
        <v>2249</v>
      </c>
      <c r="E751" s="16" t="s">
        <v>45</v>
      </c>
      <c r="F751" s="10" t="s">
        <v>2245</v>
      </c>
      <c r="G751" s="12" t="s">
        <v>1345</v>
      </c>
      <c r="H751" s="10" t="s">
        <v>521</v>
      </c>
      <c r="I751" s="16" t="s">
        <v>45</v>
      </c>
      <c r="J751" s="16" t="s">
        <v>45</v>
      </c>
      <c r="K751" s="16" t="s">
        <v>45</v>
      </c>
      <c r="L751" s="16" t="s">
        <v>45</v>
      </c>
      <c r="M751" s="10" t="s">
        <v>49</v>
      </c>
      <c r="N751" s="16" t="s">
        <v>45</v>
      </c>
      <c r="O751" s="10" t="s">
        <v>50</v>
      </c>
      <c r="P751" s="9" t="str">
        <f t="shared" si="28"/>
        <v>N/I</v>
      </c>
      <c r="Q751" s="9" t="str">
        <f t="shared" si="29"/>
        <v>N/I</v>
      </c>
      <c r="R751" s="9" t="str">
        <f t="shared" si="31"/>
        <v>N/I</v>
      </c>
    </row>
    <row r="752">
      <c r="A752" s="11" t="s">
        <v>2228</v>
      </c>
      <c r="B752" s="11" t="s">
        <v>2241</v>
      </c>
      <c r="C752" s="12" t="s">
        <v>52</v>
      </c>
      <c r="D752" s="48" t="s">
        <v>2250</v>
      </c>
      <c r="E752" s="16" t="s">
        <v>45</v>
      </c>
      <c r="F752" s="10" t="s">
        <v>2245</v>
      </c>
      <c r="G752" s="12" t="s">
        <v>1345</v>
      </c>
      <c r="H752" s="10" t="s">
        <v>521</v>
      </c>
      <c r="I752" s="16" t="s">
        <v>45</v>
      </c>
      <c r="J752" s="16" t="s">
        <v>45</v>
      </c>
      <c r="K752" s="16" t="s">
        <v>45</v>
      </c>
      <c r="L752" s="16" t="s">
        <v>45</v>
      </c>
      <c r="M752" s="10" t="s">
        <v>49</v>
      </c>
      <c r="N752" s="16" t="s">
        <v>45</v>
      </c>
      <c r="O752" s="10" t="s">
        <v>50</v>
      </c>
      <c r="P752" s="9" t="str">
        <f t="shared" si="28"/>
        <v>N/I</v>
      </c>
      <c r="Q752" s="9" t="str">
        <f t="shared" si="29"/>
        <v>N/I</v>
      </c>
      <c r="R752" s="9" t="str">
        <f t="shared" si="31"/>
        <v>N/I</v>
      </c>
    </row>
    <row r="753">
      <c r="A753" s="11" t="s">
        <v>2228</v>
      </c>
      <c r="B753" s="11" t="s">
        <v>2241</v>
      </c>
      <c r="C753" s="12" t="s">
        <v>94</v>
      </c>
      <c r="D753" s="41" t="s">
        <v>2251</v>
      </c>
      <c r="E753" s="16" t="s">
        <v>45</v>
      </c>
      <c r="F753" s="10" t="s">
        <v>2245</v>
      </c>
      <c r="G753" s="12" t="s">
        <v>1345</v>
      </c>
      <c r="H753" s="10" t="s">
        <v>521</v>
      </c>
      <c r="I753" s="16" t="s">
        <v>45</v>
      </c>
      <c r="J753" s="16" t="s">
        <v>45</v>
      </c>
      <c r="K753" s="16" t="s">
        <v>45</v>
      </c>
      <c r="L753" s="16" t="s">
        <v>45</v>
      </c>
      <c r="M753" s="10" t="s">
        <v>49</v>
      </c>
      <c r="N753" s="16" t="s">
        <v>45</v>
      </c>
      <c r="O753" s="10" t="s">
        <v>50</v>
      </c>
      <c r="P753" s="9" t="str">
        <f t="shared" si="28"/>
        <v>N/I</v>
      </c>
      <c r="Q753" s="9" t="str">
        <f t="shared" si="29"/>
        <v>N/I</v>
      </c>
      <c r="R753" s="9" t="str">
        <f t="shared" si="31"/>
        <v>N/I</v>
      </c>
    </row>
    <row r="754">
      <c r="A754" s="11" t="s">
        <v>2228</v>
      </c>
      <c r="B754" s="11" t="s">
        <v>2241</v>
      </c>
      <c r="C754" s="12" t="s">
        <v>94</v>
      </c>
      <c r="D754" s="41" t="s">
        <v>2252</v>
      </c>
      <c r="E754" s="16" t="s">
        <v>45</v>
      </c>
      <c r="F754" s="10" t="s">
        <v>2245</v>
      </c>
      <c r="G754" s="12" t="s">
        <v>1345</v>
      </c>
      <c r="H754" s="10" t="s">
        <v>521</v>
      </c>
      <c r="I754" s="16" t="s">
        <v>45</v>
      </c>
      <c r="J754" s="16" t="s">
        <v>45</v>
      </c>
      <c r="K754" s="16" t="s">
        <v>45</v>
      </c>
      <c r="L754" s="16" t="s">
        <v>45</v>
      </c>
      <c r="M754" s="10" t="s">
        <v>49</v>
      </c>
      <c r="N754" s="16" t="s">
        <v>45</v>
      </c>
      <c r="O754" s="10" t="s">
        <v>50</v>
      </c>
      <c r="P754" s="9" t="str">
        <f t="shared" si="28"/>
        <v>N/I</v>
      </c>
      <c r="Q754" s="9" t="str">
        <f t="shared" si="29"/>
        <v>N/I</v>
      </c>
      <c r="R754" s="9" t="str">
        <f t="shared" si="31"/>
        <v>N/I</v>
      </c>
    </row>
    <row r="755">
      <c r="A755" s="11" t="s">
        <v>2228</v>
      </c>
      <c r="B755" s="11" t="s">
        <v>2241</v>
      </c>
      <c r="C755" s="12" t="s">
        <v>94</v>
      </c>
      <c r="D755" s="41" t="s">
        <v>2253</v>
      </c>
      <c r="E755" s="16" t="s">
        <v>45</v>
      </c>
      <c r="F755" s="10" t="s">
        <v>2245</v>
      </c>
      <c r="G755" s="12" t="s">
        <v>1345</v>
      </c>
      <c r="H755" s="10" t="s">
        <v>521</v>
      </c>
      <c r="I755" s="16" t="s">
        <v>45</v>
      </c>
      <c r="J755" s="16" t="s">
        <v>45</v>
      </c>
      <c r="K755" s="16" t="s">
        <v>45</v>
      </c>
      <c r="L755" s="16" t="s">
        <v>45</v>
      </c>
      <c r="M755" s="10" t="s">
        <v>49</v>
      </c>
      <c r="N755" s="16" t="s">
        <v>45</v>
      </c>
      <c r="O755" s="10" t="s">
        <v>50</v>
      </c>
      <c r="P755" s="9" t="str">
        <f t="shared" si="28"/>
        <v>N/I</v>
      </c>
      <c r="Q755" s="9" t="str">
        <f t="shared" si="29"/>
        <v>N/I</v>
      </c>
      <c r="R755" s="9" t="str">
        <f t="shared" si="31"/>
        <v>N/I</v>
      </c>
    </row>
    <row r="756">
      <c r="A756" s="11" t="s">
        <v>2228</v>
      </c>
      <c r="B756" s="11" t="s">
        <v>2241</v>
      </c>
      <c r="C756" s="12" t="s">
        <v>94</v>
      </c>
      <c r="D756" s="41" t="s">
        <v>2254</v>
      </c>
      <c r="E756" s="16" t="s">
        <v>45</v>
      </c>
      <c r="F756" s="10" t="s">
        <v>2245</v>
      </c>
      <c r="G756" s="12" t="s">
        <v>1345</v>
      </c>
      <c r="H756" s="10" t="s">
        <v>521</v>
      </c>
      <c r="I756" s="16" t="s">
        <v>45</v>
      </c>
      <c r="J756" s="16" t="s">
        <v>45</v>
      </c>
      <c r="K756" s="16" t="s">
        <v>45</v>
      </c>
      <c r="L756" s="16" t="s">
        <v>45</v>
      </c>
      <c r="M756" s="10" t="s">
        <v>49</v>
      </c>
      <c r="N756" s="16" t="s">
        <v>45</v>
      </c>
      <c r="O756" s="10" t="s">
        <v>50</v>
      </c>
      <c r="P756" s="9" t="str">
        <f t="shared" si="28"/>
        <v>N/I</v>
      </c>
      <c r="Q756" s="9" t="str">
        <f t="shared" si="29"/>
        <v>N/I</v>
      </c>
      <c r="R756" s="9" t="str">
        <f t="shared" si="31"/>
        <v>N/I</v>
      </c>
    </row>
    <row r="757">
      <c r="A757" s="11" t="s">
        <v>2228</v>
      </c>
      <c r="B757" s="11" t="s">
        <v>2241</v>
      </c>
      <c r="C757" s="12" t="s">
        <v>94</v>
      </c>
      <c r="D757" s="41" t="s">
        <v>2255</v>
      </c>
      <c r="E757" s="16" t="s">
        <v>45</v>
      </c>
      <c r="F757" s="10" t="s">
        <v>2245</v>
      </c>
      <c r="G757" s="12" t="s">
        <v>1345</v>
      </c>
      <c r="H757" s="10" t="s">
        <v>521</v>
      </c>
      <c r="I757" s="16" t="s">
        <v>45</v>
      </c>
      <c r="J757" s="16" t="s">
        <v>45</v>
      </c>
      <c r="K757" s="16" t="s">
        <v>45</v>
      </c>
      <c r="L757" s="16" t="s">
        <v>45</v>
      </c>
      <c r="M757" s="10" t="s">
        <v>49</v>
      </c>
      <c r="N757" s="16" t="s">
        <v>45</v>
      </c>
      <c r="O757" s="10" t="s">
        <v>50</v>
      </c>
      <c r="P757" s="9" t="str">
        <f t="shared" si="28"/>
        <v>N/I</v>
      </c>
      <c r="Q757" s="9" t="str">
        <f t="shared" si="29"/>
        <v>N/I</v>
      </c>
      <c r="R757" s="9" t="str">
        <f t="shared" si="31"/>
        <v>N/I</v>
      </c>
    </row>
    <row r="758">
      <c r="A758" s="11" t="s">
        <v>2228</v>
      </c>
      <c r="B758" s="11" t="s">
        <v>2241</v>
      </c>
      <c r="C758" s="12" t="s">
        <v>94</v>
      </c>
      <c r="D758" s="41" t="s">
        <v>2256</v>
      </c>
      <c r="E758" s="16" t="s">
        <v>45</v>
      </c>
      <c r="F758" s="10" t="s">
        <v>2245</v>
      </c>
      <c r="G758" s="12" t="s">
        <v>1345</v>
      </c>
      <c r="H758" s="10" t="s">
        <v>521</v>
      </c>
      <c r="I758" s="16" t="s">
        <v>45</v>
      </c>
      <c r="J758" s="16" t="s">
        <v>45</v>
      </c>
      <c r="K758" s="16" t="s">
        <v>45</v>
      </c>
      <c r="L758" s="16" t="s">
        <v>45</v>
      </c>
      <c r="M758" s="10" t="s">
        <v>49</v>
      </c>
      <c r="N758" s="16" t="s">
        <v>45</v>
      </c>
      <c r="O758" s="10" t="s">
        <v>50</v>
      </c>
      <c r="P758" s="9" t="str">
        <f t="shared" si="28"/>
        <v>N/I</v>
      </c>
      <c r="Q758" s="9" t="str">
        <f t="shared" si="29"/>
        <v>N/I</v>
      </c>
      <c r="R758" s="9" t="str">
        <f t="shared" si="31"/>
        <v>N/I</v>
      </c>
    </row>
    <row r="759">
      <c r="A759" s="11" t="s">
        <v>2228</v>
      </c>
      <c r="B759" s="11" t="s">
        <v>2241</v>
      </c>
      <c r="C759" s="12" t="s">
        <v>94</v>
      </c>
      <c r="D759" s="41" t="s">
        <v>2257</v>
      </c>
      <c r="E759" s="16" t="s">
        <v>45</v>
      </c>
      <c r="F759" s="10" t="s">
        <v>2245</v>
      </c>
      <c r="G759" s="12" t="s">
        <v>1345</v>
      </c>
      <c r="H759" s="10" t="s">
        <v>521</v>
      </c>
      <c r="I759" s="16" t="s">
        <v>45</v>
      </c>
      <c r="J759" s="16" t="s">
        <v>45</v>
      </c>
      <c r="K759" s="16" t="s">
        <v>45</v>
      </c>
      <c r="L759" s="16" t="s">
        <v>45</v>
      </c>
      <c r="M759" s="10" t="s">
        <v>49</v>
      </c>
      <c r="N759" s="16" t="s">
        <v>45</v>
      </c>
      <c r="O759" s="10" t="s">
        <v>50</v>
      </c>
      <c r="P759" s="9" t="str">
        <f t="shared" si="28"/>
        <v>N/I</v>
      </c>
      <c r="Q759" s="9" t="str">
        <f t="shared" si="29"/>
        <v>N/I</v>
      </c>
      <c r="R759" s="9" t="str">
        <f t="shared" si="31"/>
        <v>N/I</v>
      </c>
    </row>
    <row r="760">
      <c r="A760" s="11" t="s">
        <v>2228</v>
      </c>
      <c r="B760" s="11" t="s">
        <v>2241</v>
      </c>
      <c r="C760" s="12" t="s">
        <v>94</v>
      </c>
      <c r="D760" s="41" t="s">
        <v>2258</v>
      </c>
      <c r="E760" s="16" t="s">
        <v>45</v>
      </c>
      <c r="F760" s="10" t="s">
        <v>2245</v>
      </c>
      <c r="G760" s="12" t="s">
        <v>1345</v>
      </c>
      <c r="H760" s="10" t="s">
        <v>521</v>
      </c>
      <c r="I760" s="16" t="s">
        <v>45</v>
      </c>
      <c r="J760" s="16" t="s">
        <v>45</v>
      </c>
      <c r="K760" s="16" t="s">
        <v>45</v>
      </c>
      <c r="L760" s="16" t="s">
        <v>45</v>
      </c>
      <c r="M760" s="10" t="s">
        <v>49</v>
      </c>
      <c r="N760" s="16" t="s">
        <v>45</v>
      </c>
      <c r="O760" s="10" t="s">
        <v>50</v>
      </c>
      <c r="P760" s="9" t="str">
        <f t="shared" si="28"/>
        <v>N/I</v>
      </c>
      <c r="Q760" s="9" t="str">
        <f t="shared" si="29"/>
        <v>N/I</v>
      </c>
      <c r="R760" s="9" t="str">
        <f t="shared" si="31"/>
        <v>N/I</v>
      </c>
    </row>
    <row r="761">
      <c r="A761" s="11" t="s">
        <v>2228</v>
      </c>
      <c r="B761" s="11" t="s">
        <v>2241</v>
      </c>
      <c r="C761" s="12" t="s">
        <v>94</v>
      </c>
      <c r="D761" s="48" t="s">
        <v>2259</v>
      </c>
      <c r="E761" s="16" t="s">
        <v>45</v>
      </c>
      <c r="F761" s="10" t="s">
        <v>2245</v>
      </c>
      <c r="G761" s="12" t="s">
        <v>1345</v>
      </c>
      <c r="H761" s="10" t="s">
        <v>521</v>
      </c>
      <c r="I761" s="16" t="s">
        <v>45</v>
      </c>
      <c r="J761" s="16" t="s">
        <v>45</v>
      </c>
      <c r="K761" s="16" t="s">
        <v>45</v>
      </c>
      <c r="L761" s="16" t="s">
        <v>45</v>
      </c>
      <c r="M761" s="10" t="s">
        <v>49</v>
      </c>
      <c r="N761" s="16" t="s">
        <v>45</v>
      </c>
      <c r="O761" s="10" t="s">
        <v>50</v>
      </c>
      <c r="P761" s="9" t="str">
        <f t="shared" si="28"/>
        <v>N/I</v>
      </c>
      <c r="Q761" s="9" t="str">
        <f t="shared" si="29"/>
        <v>N/I</v>
      </c>
      <c r="R761" s="9" t="str">
        <f t="shared" si="31"/>
        <v>N/I</v>
      </c>
    </row>
    <row r="762">
      <c r="A762" s="11" t="s">
        <v>2228</v>
      </c>
      <c r="B762" s="11" t="s">
        <v>2241</v>
      </c>
      <c r="C762" s="12" t="s">
        <v>52</v>
      </c>
      <c r="D762" s="48" t="s">
        <v>2260</v>
      </c>
      <c r="E762" s="16" t="s">
        <v>45</v>
      </c>
      <c r="F762" s="10" t="s">
        <v>2245</v>
      </c>
      <c r="G762" s="12" t="s">
        <v>1345</v>
      </c>
      <c r="H762" s="10" t="s">
        <v>521</v>
      </c>
      <c r="I762" s="16" t="s">
        <v>45</v>
      </c>
      <c r="J762" s="16" t="s">
        <v>45</v>
      </c>
      <c r="K762" s="16" t="s">
        <v>45</v>
      </c>
      <c r="L762" s="16" t="s">
        <v>45</v>
      </c>
      <c r="M762" s="10" t="s">
        <v>49</v>
      </c>
      <c r="N762" s="16" t="s">
        <v>45</v>
      </c>
      <c r="O762" s="10" t="s">
        <v>50</v>
      </c>
      <c r="P762" s="9" t="str">
        <f t="shared" si="28"/>
        <v>N/I</v>
      </c>
      <c r="Q762" s="9" t="str">
        <f t="shared" si="29"/>
        <v>N/I</v>
      </c>
      <c r="R762" s="9" t="str">
        <f t="shared" si="31"/>
        <v>N/I</v>
      </c>
    </row>
    <row r="763">
      <c r="A763" s="11" t="s">
        <v>2228</v>
      </c>
      <c r="B763" s="11" t="s">
        <v>2241</v>
      </c>
      <c r="C763" s="12" t="s">
        <v>52</v>
      </c>
      <c r="D763" s="48" t="s">
        <v>2261</v>
      </c>
      <c r="E763" s="16" t="s">
        <v>45</v>
      </c>
      <c r="F763" s="10" t="s">
        <v>2245</v>
      </c>
      <c r="G763" s="12" t="s">
        <v>1345</v>
      </c>
      <c r="H763" s="10" t="s">
        <v>521</v>
      </c>
      <c r="I763" s="16" t="s">
        <v>45</v>
      </c>
      <c r="J763" s="16" t="s">
        <v>45</v>
      </c>
      <c r="K763" s="16" t="s">
        <v>45</v>
      </c>
      <c r="L763" s="16" t="s">
        <v>45</v>
      </c>
      <c r="M763" s="10" t="s">
        <v>49</v>
      </c>
      <c r="N763" s="16" t="s">
        <v>45</v>
      </c>
      <c r="O763" s="10" t="s">
        <v>50</v>
      </c>
      <c r="P763" s="9" t="str">
        <f t="shared" si="28"/>
        <v>N/I</v>
      </c>
      <c r="Q763" s="9" t="str">
        <f t="shared" si="29"/>
        <v>N/I</v>
      </c>
      <c r="R763" s="9" t="str">
        <f t="shared" si="31"/>
        <v>N/I</v>
      </c>
    </row>
    <row r="764">
      <c r="A764" s="11" t="s">
        <v>2228</v>
      </c>
      <c r="B764" s="11" t="s">
        <v>2241</v>
      </c>
      <c r="C764" s="12" t="s">
        <v>52</v>
      </c>
      <c r="D764" s="48" t="s">
        <v>2262</v>
      </c>
      <c r="E764" s="16" t="s">
        <v>45</v>
      </c>
      <c r="F764" s="10" t="s">
        <v>2245</v>
      </c>
      <c r="G764" s="12" t="s">
        <v>1345</v>
      </c>
      <c r="H764" s="10" t="s">
        <v>521</v>
      </c>
      <c r="I764" s="16" t="s">
        <v>45</v>
      </c>
      <c r="J764" s="16" t="s">
        <v>45</v>
      </c>
      <c r="K764" s="16" t="s">
        <v>45</v>
      </c>
      <c r="L764" s="16" t="s">
        <v>45</v>
      </c>
      <c r="M764" s="10" t="s">
        <v>49</v>
      </c>
      <c r="N764" s="16" t="s">
        <v>45</v>
      </c>
      <c r="O764" s="10" t="s">
        <v>50</v>
      </c>
      <c r="P764" s="9" t="str">
        <f t="shared" si="28"/>
        <v>N/I</v>
      </c>
      <c r="Q764" s="9" t="str">
        <f t="shared" si="29"/>
        <v>N/I</v>
      </c>
      <c r="R764" s="9" t="str">
        <f t="shared" si="31"/>
        <v>N/I</v>
      </c>
    </row>
    <row r="765">
      <c r="A765" s="11" t="s">
        <v>2228</v>
      </c>
      <c r="B765" s="11" t="s">
        <v>2241</v>
      </c>
      <c r="C765" s="12" t="s">
        <v>52</v>
      </c>
      <c r="D765" s="48" t="s">
        <v>2263</v>
      </c>
      <c r="E765" s="16" t="s">
        <v>45</v>
      </c>
      <c r="F765" s="10" t="s">
        <v>2245</v>
      </c>
      <c r="G765" s="12" t="s">
        <v>1345</v>
      </c>
      <c r="H765" s="10" t="s">
        <v>521</v>
      </c>
      <c r="I765" s="16" t="s">
        <v>45</v>
      </c>
      <c r="J765" s="16" t="s">
        <v>45</v>
      </c>
      <c r="K765" s="16" t="s">
        <v>45</v>
      </c>
      <c r="L765" s="16" t="s">
        <v>45</v>
      </c>
      <c r="M765" s="10" t="s">
        <v>49</v>
      </c>
      <c r="N765" s="16" t="s">
        <v>45</v>
      </c>
      <c r="O765" s="10" t="s">
        <v>50</v>
      </c>
      <c r="P765" s="9" t="str">
        <f t="shared" si="28"/>
        <v>N/I</v>
      </c>
      <c r="Q765" s="9" t="str">
        <f t="shared" si="29"/>
        <v>N/I</v>
      </c>
      <c r="R765" s="9" t="str">
        <f t="shared" si="31"/>
        <v>N/I</v>
      </c>
    </row>
    <row r="766">
      <c r="A766" s="11" t="s">
        <v>2228</v>
      </c>
      <c r="B766" s="11" t="s">
        <v>2241</v>
      </c>
      <c r="C766" s="12" t="s">
        <v>52</v>
      </c>
      <c r="D766" s="48" t="s">
        <v>2264</v>
      </c>
      <c r="E766" s="16" t="s">
        <v>45</v>
      </c>
      <c r="F766" s="10" t="s">
        <v>2245</v>
      </c>
      <c r="G766" s="12" t="s">
        <v>1345</v>
      </c>
      <c r="H766" s="10" t="s">
        <v>521</v>
      </c>
      <c r="I766" s="16" t="s">
        <v>45</v>
      </c>
      <c r="J766" s="16" t="s">
        <v>45</v>
      </c>
      <c r="K766" s="16" t="s">
        <v>45</v>
      </c>
      <c r="L766" s="16" t="s">
        <v>45</v>
      </c>
      <c r="M766" s="10" t="s">
        <v>49</v>
      </c>
      <c r="N766" s="16" t="s">
        <v>45</v>
      </c>
      <c r="O766" s="10" t="s">
        <v>50</v>
      </c>
      <c r="P766" s="9" t="str">
        <f t="shared" si="28"/>
        <v>N/I</v>
      </c>
      <c r="Q766" s="9" t="str">
        <f t="shared" si="29"/>
        <v>N/I</v>
      </c>
      <c r="R766" s="9" t="str">
        <f t="shared" si="31"/>
        <v>N/I</v>
      </c>
    </row>
    <row r="767">
      <c r="A767" s="11" t="s">
        <v>2228</v>
      </c>
      <c r="B767" s="11" t="s">
        <v>2241</v>
      </c>
      <c r="C767" s="12" t="s">
        <v>58</v>
      </c>
      <c r="D767" s="48" t="s">
        <v>2265</v>
      </c>
      <c r="E767" s="16" t="s">
        <v>45</v>
      </c>
      <c r="F767" s="10" t="s">
        <v>2245</v>
      </c>
      <c r="G767" s="12" t="s">
        <v>1345</v>
      </c>
      <c r="H767" s="10" t="s">
        <v>521</v>
      </c>
      <c r="I767" s="16" t="s">
        <v>45</v>
      </c>
      <c r="J767" s="16" t="s">
        <v>45</v>
      </c>
      <c r="K767" s="16" t="s">
        <v>45</v>
      </c>
      <c r="L767" s="16" t="s">
        <v>45</v>
      </c>
      <c r="M767" s="10" t="s">
        <v>49</v>
      </c>
      <c r="N767" s="16" t="s">
        <v>45</v>
      </c>
      <c r="O767" s="10" t="s">
        <v>50</v>
      </c>
      <c r="P767" s="9" t="str">
        <f t="shared" si="28"/>
        <v>N/I</v>
      </c>
      <c r="Q767" s="9" t="str">
        <f t="shared" si="29"/>
        <v>N/I</v>
      </c>
      <c r="R767" s="9" t="str">
        <f t="shared" si="31"/>
        <v>N/I</v>
      </c>
    </row>
    <row r="768">
      <c r="A768" s="11" t="s">
        <v>2228</v>
      </c>
      <c r="B768" s="11" t="s">
        <v>2241</v>
      </c>
      <c r="C768" s="12" t="s">
        <v>58</v>
      </c>
      <c r="D768" s="48" t="s">
        <v>2266</v>
      </c>
      <c r="E768" s="16" t="s">
        <v>45</v>
      </c>
      <c r="F768" s="10" t="s">
        <v>2245</v>
      </c>
      <c r="G768" s="12" t="s">
        <v>1345</v>
      </c>
      <c r="H768" s="10" t="s">
        <v>521</v>
      </c>
      <c r="I768" s="16" t="s">
        <v>45</v>
      </c>
      <c r="J768" s="16" t="s">
        <v>45</v>
      </c>
      <c r="K768" s="16" t="s">
        <v>45</v>
      </c>
      <c r="L768" s="16" t="s">
        <v>45</v>
      </c>
      <c r="M768" s="10" t="s">
        <v>49</v>
      </c>
      <c r="N768" s="16" t="s">
        <v>45</v>
      </c>
      <c r="O768" s="10" t="s">
        <v>50</v>
      </c>
      <c r="P768" s="9" t="str">
        <f t="shared" si="28"/>
        <v>N/I</v>
      </c>
      <c r="Q768" s="9" t="str">
        <f t="shared" si="29"/>
        <v>N/I</v>
      </c>
      <c r="R768" s="9" t="str">
        <f t="shared" si="31"/>
        <v>N/I</v>
      </c>
    </row>
    <row r="769">
      <c r="A769" s="11" t="s">
        <v>2228</v>
      </c>
      <c r="B769" s="11" t="s">
        <v>2241</v>
      </c>
      <c r="C769" s="12" t="s">
        <v>52</v>
      </c>
      <c r="D769" s="48" t="s">
        <v>2267</v>
      </c>
      <c r="E769" s="16" t="s">
        <v>45</v>
      </c>
      <c r="F769" s="10" t="s">
        <v>2245</v>
      </c>
      <c r="G769" s="12" t="s">
        <v>1345</v>
      </c>
      <c r="H769" s="10" t="s">
        <v>521</v>
      </c>
      <c r="I769" s="16" t="s">
        <v>45</v>
      </c>
      <c r="J769" s="16" t="s">
        <v>45</v>
      </c>
      <c r="K769" s="16" t="s">
        <v>45</v>
      </c>
      <c r="L769" s="16" t="s">
        <v>45</v>
      </c>
      <c r="M769" s="10" t="s">
        <v>49</v>
      </c>
      <c r="N769" s="16" t="s">
        <v>45</v>
      </c>
      <c r="O769" s="10" t="s">
        <v>50</v>
      </c>
      <c r="P769" s="9" t="str">
        <f t="shared" si="28"/>
        <v>N/I</v>
      </c>
      <c r="Q769" s="9" t="str">
        <f t="shared" si="29"/>
        <v>N/I</v>
      </c>
      <c r="R769" s="9" t="str">
        <f t="shared" si="31"/>
        <v>N/I</v>
      </c>
    </row>
    <row r="770">
      <c r="A770" s="11" t="s">
        <v>2228</v>
      </c>
      <c r="B770" s="11" t="s">
        <v>2241</v>
      </c>
      <c r="C770" s="12" t="s">
        <v>58</v>
      </c>
      <c r="D770" s="48" t="s">
        <v>2268</v>
      </c>
      <c r="E770" s="16" t="s">
        <v>45</v>
      </c>
      <c r="F770" s="10" t="s">
        <v>2245</v>
      </c>
      <c r="G770" s="12" t="s">
        <v>1345</v>
      </c>
      <c r="H770" s="10" t="s">
        <v>521</v>
      </c>
      <c r="I770" s="16" t="s">
        <v>45</v>
      </c>
      <c r="J770" s="16" t="s">
        <v>45</v>
      </c>
      <c r="K770" s="16" t="s">
        <v>45</v>
      </c>
      <c r="L770" s="16" t="s">
        <v>45</v>
      </c>
      <c r="M770" s="10" t="s">
        <v>49</v>
      </c>
      <c r="N770" s="16" t="s">
        <v>45</v>
      </c>
      <c r="O770" s="10" t="s">
        <v>50</v>
      </c>
      <c r="P770" s="9" t="str">
        <f t="shared" si="28"/>
        <v>N/I</v>
      </c>
      <c r="Q770" s="9" t="str">
        <f t="shared" si="29"/>
        <v>N/I</v>
      </c>
      <c r="R770" s="9" t="str">
        <f t="shared" si="31"/>
        <v>N/I</v>
      </c>
    </row>
    <row r="771">
      <c r="A771" s="11" t="s">
        <v>2228</v>
      </c>
      <c r="B771" s="11" t="s">
        <v>2241</v>
      </c>
      <c r="C771" s="12" t="s">
        <v>58</v>
      </c>
      <c r="D771" s="48" t="s">
        <v>2269</v>
      </c>
      <c r="E771" s="16" t="s">
        <v>45</v>
      </c>
      <c r="F771" s="10" t="s">
        <v>2245</v>
      </c>
      <c r="G771" s="12" t="s">
        <v>1345</v>
      </c>
      <c r="H771" s="10" t="s">
        <v>521</v>
      </c>
      <c r="I771" s="16" t="s">
        <v>45</v>
      </c>
      <c r="J771" s="16" t="s">
        <v>45</v>
      </c>
      <c r="K771" s="16" t="s">
        <v>45</v>
      </c>
      <c r="L771" s="16" t="s">
        <v>45</v>
      </c>
      <c r="M771" s="10" t="s">
        <v>49</v>
      </c>
      <c r="N771" s="16" t="s">
        <v>45</v>
      </c>
      <c r="O771" s="10" t="s">
        <v>50</v>
      </c>
      <c r="P771" s="9" t="str">
        <f t="shared" si="28"/>
        <v>N/I</v>
      </c>
      <c r="Q771" s="9" t="str">
        <f t="shared" si="29"/>
        <v>N/I</v>
      </c>
      <c r="R771" s="9" t="str">
        <f t="shared" si="31"/>
        <v>N/I</v>
      </c>
    </row>
    <row r="772">
      <c r="A772" s="11" t="s">
        <v>2228</v>
      </c>
      <c r="B772" s="11" t="s">
        <v>2241</v>
      </c>
      <c r="C772" s="12" t="s">
        <v>58</v>
      </c>
      <c r="D772" s="48" t="s">
        <v>2270</v>
      </c>
      <c r="E772" s="16" t="s">
        <v>45</v>
      </c>
      <c r="F772" s="10" t="s">
        <v>2245</v>
      </c>
      <c r="G772" s="12" t="s">
        <v>1345</v>
      </c>
      <c r="H772" s="10" t="s">
        <v>521</v>
      </c>
      <c r="I772" s="16" t="s">
        <v>45</v>
      </c>
      <c r="J772" s="16" t="s">
        <v>45</v>
      </c>
      <c r="K772" s="16" t="s">
        <v>45</v>
      </c>
      <c r="L772" s="16" t="s">
        <v>45</v>
      </c>
      <c r="M772" s="10" t="s">
        <v>49</v>
      </c>
      <c r="N772" s="16" t="s">
        <v>45</v>
      </c>
      <c r="O772" s="10" t="s">
        <v>50</v>
      </c>
      <c r="P772" s="9" t="str">
        <f t="shared" si="28"/>
        <v>N/I</v>
      </c>
      <c r="Q772" s="9" t="str">
        <f t="shared" si="29"/>
        <v>N/I</v>
      </c>
      <c r="R772" s="9" t="str">
        <f t="shared" si="31"/>
        <v>N/I</v>
      </c>
    </row>
    <row r="773">
      <c r="A773" s="11" t="s">
        <v>2228</v>
      </c>
      <c r="B773" s="11" t="s">
        <v>2241</v>
      </c>
      <c r="C773" s="12" t="s">
        <v>58</v>
      </c>
      <c r="D773" s="48" t="s">
        <v>2271</v>
      </c>
      <c r="E773" s="16" t="s">
        <v>45</v>
      </c>
      <c r="F773" s="10" t="s">
        <v>2245</v>
      </c>
      <c r="G773" s="12" t="s">
        <v>1345</v>
      </c>
      <c r="H773" s="10" t="s">
        <v>521</v>
      </c>
      <c r="I773" s="16" t="s">
        <v>45</v>
      </c>
      <c r="J773" s="16" t="s">
        <v>45</v>
      </c>
      <c r="K773" s="16" t="s">
        <v>45</v>
      </c>
      <c r="L773" s="16" t="s">
        <v>45</v>
      </c>
      <c r="M773" s="10" t="s">
        <v>49</v>
      </c>
      <c r="N773" s="16" t="s">
        <v>45</v>
      </c>
      <c r="O773" s="10" t="s">
        <v>50</v>
      </c>
      <c r="P773" s="9" t="str">
        <f t="shared" si="28"/>
        <v>N/I</v>
      </c>
      <c r="Q773" s="9" t="str">
        <f t="shared" si="29"/>
        <v>N/I</v>
      </c>
      <c r="R773" s="9" t="str">
        <f t="shared" si="31"/>
        <v>N/I</v>
      </c>
    </row>
    <row r="774">
      <c r="A774" s="11" t="s">
        <v>2228</v>
      </c>
      <c r="B774" s="11" t="s">
        <v>2241</v>
      </c>
      <c r="C774" s="12" t="s">
        <v>58</v>
      </c>
      <c r="D774" s="48" t="s">
        <v>2272</v>
      </c>
      <c r="E774" s="16" t="s">
        <v>45</v>
      </c>
      <c r="F774" s="10" t="s">
        <v>2245</v>
      </c>
      <c r="G774" s="12" t="s">
        <v>1345</v>
      </c>
      <c r="H774" s="10" t="s">
        <v>521</v>
      </c>
      <c r="I774" s="16" t="s">
        <v>45</v>
      </c>
      <c r="J774" s="16" t="s">
        <v>45</v>
      </c>
      <c r="K774" s="16" t="s">
        <v>45</v>
      </c>
      <c r="L774" s="16" t="s">
        <v>45</v>
      </c>
      <c r="M774" s="10" t="s">
        <v>49</v>
      </c>
      <c r="N774" s="16" t="s">
        <v>45</v>
      </c>
      <c r="O774" s="10" t="s">
        <v>50</v>
      </c>
      <c r="P774" s="9" t="str">
        <f t="shared" si="28"/>
        <v>N/I</v>
      </c>
      <c r="Q774" s="9" t="str">
        <f t="shared" si="29"/>
        <v>N/I</v>
      </c>
      <c r="R774" s="9" t="str">
        <f t="shared" si="31"/>
        <v>N/I</v>
      </c>
    </row>
    <row r="775">
      <c r="A775" s="11" t="s">
        <v>2228</v>
      </c>
      <c r="B775" s="11" t="s">
        <v>2241</v>
      </c>
      <c r="C775" s="12" t="s">
        <v>52</v>
      </c>
      <c r="D775" s="48" t="s">
        <v>2273</v>
      </c>
      <c r="E775" s="16" t="s">
        <v>45</v>
      </c>
      <c r="F775" s="10" t="s">
        <v>2245</v>
      </c>
      <c r="G775" s="12" t="s">
        <v>1345</v>
      </c>
      <c r="H775" s="10" t="s">
        <v>521</v>
      </c>
      <c r="I775" s="16" t="s">
        <v>45</v>
      </c>
      <c r="J775" s="16" t="s">
        <v>45</v>
      </c>
      <c r="K775" s="16" t="s">
        <v>45</v>
      </c>
      <c r="L775" s="16" t="s">
        <v>45</v>
      </c>
      <c r="M775" s="10" t="s">
        <v>49</v>
      </c>
      <c r="N775" s="16" t="s">
        <v>45</v>
      </c>
      <c r="O775" s="10" t="s">
        <v>50</v>
      </c>
      <c r="P775" s="9" t="str">
        <f t="shared" si="28"/>
        <v>N/I</v>
      </c>
      <c r="Q775" s="9" t="str">
        <f t="shared" si="29"/>
        <v>N/I</v>
      </c>
      <c r="R775" s="9" t="str">
        <f t="shared" si="31"/>
        <v>N/I</v>
      </c>
    </row>
    <row r="776">
      <c r="A776" s="11" t="s">
        <v>2228</v>
      </c>
      <c r="B776" s="11" t="s">
        <v>2241</v>
      </c>
      <c r="C776" s="12" t="s">
        <v>116</v>
      </c>
      <c r="D776" s="48" t="s">
        <v>2274</v>
      </c>
      <c r="E776" s="16" t="s">
        <v>45</v>
      </c>
      <c r="F776" s="10" t="s">
        <v>2245</v>
      </c>
      <c r="G776" s="12" t="s">
        <v>1345</v>
      </c>
      <c r="H776" s="10" t="s">
        <v>521</v>
      </c>
      <c r="I776" s="16" t="s">
        <v>45</v>
      </c>
      <c r="J776" s="16" t="s">
        <v>45</v>
      </c>
      <c r="K776" s="16" t="s">
        <v>45</v>
      </c>
      <c r="L776" s="16" t="s">
        <v>45</v>
      </c>
      <c r="M776" s="10" t="s">
        <v>49</v>
      </c>
      <c r="N776" s="16" t="s">
        <v>45</v>
      </c>
      <c r="O776" s="10" t="s">
        <v>50</v>
      </c>
      <c r="P776" s="9" t="str">
        <f t="shared" si="28"/>
        <v>N/I</v>
      </c>
      <c r="Q776" s="9" t="str">
        <f t="shared" si="29"/>
        <v>N/I</v>
      </c>
      <c r="R776" s="9" t="str">
        <f t="shared" si="31"/>
        <v>N/I</v>
      </c>
    </row>
    <row r="777">
      <c r="A777" s="11" t="s">
        <v>2228</v>
      </c>
      <c r="B777" s="11" t="s">
        <v>2241</v>
      </c>
      <c r="C777" s="12" t="s">
        <v>116</v>
      </c>
      <c r="D777" s="48" t="s">
        <v>2275</v>
      </c>
      <c r="E777" s="16" t="s">
        <v>45</v>
      </c>
      <c r="F777" s="10" t="s">
        <v>2245</v>
      </c>
      <c r="G777" s="12" t="s">
        <v>1345</v>
      </c>
      <c r="H777" s="10" t="s">
        <v>521</v>
      </c>
      <c r="I777" s="16" t="s">
        <v>45</v>
      </c>
      <c r="J777" s="16" t="s">
        <v>45</v>
      </c>
      <c r="K777" s="16" t="s">
        <v>45</v>
      </c>
      <c r="L777" s="16" t="s">
        <v>45</v>
      </c>
      <c r="M777" s="10" t="s">
        <v>49</v>
      </c>
      <c r="N777" s="16" t="s">
        <v>45</v>
      </c>
      <c r="O777" s="10" t="s">
        <v>50</v>
      </c>
      <c r="P777" s="9" t="str">
        <f t="shared" si="28"/>
        <v>N/I</v>
      </c>
      <c r="Q777" s="9" t="str">
        <f t="shared" si="29"/>
        <v>N/I</v>
      </c>
      <c r="R777" s="9" t="str">
        <f t="shared" si="31"/>
        <v>N/I</v>
      </c>
    </row>
    <row r="778">
      <c r="A778" s="11" t="s">
        <v>2228</v>
      </c>
      <c r="B778" s="11" t="s">
        <v>2241</v>
      </c>
      <c r="C778" s="12" t="s">
        <v>116</v>
      </c>
      <c r="D778" s="48" t="s">
        <v>2276</v>
      </c>
      <c r="E778" s="16" t="s">
        <v>45</v>
      </c>
      <c r="F778" s="10" t="s">
        <v>2245</v>
      </c>
      <c r="G778" s="12" t="s">
        <v>1345</v>
      </c>
      <c r="H778" s="10" t="s">
        <v>521</v>
      </c>
      <c r="I778" s="16" t="s">
        <v>45</v>
      </c>
      <c r="J778" s="16" t="s">
        <v>45</v>
      </c>
      <c r="K778" s="16" t="s">
        <v>45</v>
      </c>
      <c r="L778" s="16" t="s">
        <v>45</v>
      </c>
      <c r="M778" s="10" t="s">
        <v>49</v>
      </c>
      <c r="N778" s="16" t="s">
        <v>45</v>
      </c>
      <c r="O778" s="10" t="s">
        <v>50</v>
      </c>
      <c r="P778" s="9" t="str">
        <f t="shared" si="28"/>
        <v>N/I</v>
      </c>
      <c r="Q778" s="9" t="str">
        <f t="shared" si="29"/>
        <v>N/I</v>
      </c>
      <c r="R778" s="9" t="str">
        <f t="shared" si="31"/>
        <v>N/I</v>
      </c>
    </row>
    <row r="779">
      <c r="A779" s="11" t="s">
        <v>2278</v>
      </c>
      <c r="B779" s="11" t="s">
        <v>2279</v>
      </c>
      <c r="C779" s="12" t="s">
        <v>55</v>
      </c>
      <c r="D779" s="27" t="s">
        <v>2280</v>
      </c>
      <c r="E779" s="10" t="s">
        <v>356</v>
      </c>
      <c r="F779" s="10" t="s">
        <v>2283</v>
      </c>
      <c r="G779" s="12" t="s">
        <v>324</v>
      </c>
      <c r="H779" s="10" t="s">
        <v>197</v>
      </c>
      <c r="I779" s="16" t="s">
        <v>45</v>
      </c>
      <c r="J779" s="12" t="s">
        <v>46</v>
      </c>
      <c r="K779" s="16" t="s">
        <v>45</v>
      </c>
      <c r="L779" s="16" t="s">
        <v>45</v>
      </c>
      <c r="M779" s="10" t="s">
        <v>49</v>
      </c>
      <c r="N779" s="16" t="s">
        <v>45</v>
      </c>
      <c r="O779" s="10" t="s">
        <v>50</v>
      </c>
      <c r="P779" s="9" t="str">
        <f t="shared" si="28"/>
        <v>N/I</v>
      </c>
      <c r="Q779" s="9" t="str">
        <f t="shared" si="29"/>
        <v>N/I</v>
      </c>
      <c r="R779" s="9" t="str">
        <f t="shared" si="31"/>
        <v>N/I</v>
      </c>
    </row>
    <row r="780">
      <c r="A780" s="11" t="s">
        <v>2278</v>
      </c>
      <c r="B780" s="11" t="s">
        <v>2279</v>
      </c>
      <c r="C780" s="12" t="s">
        <v>52</v>
      </c>
      <c r="D780" s="25" t="s">
        <v>187</v>
      </c>
      <c r="E780" s="10" t="s">
        <v>356</v>
      </c>
      <c r="F780" s="10" t="s">
        <v>2283</v>
      </c>
      <c r="G780" s="12" t="s">
        <v>324</v>
      </c>
      <c r="H780" s="10" t="s">
        <v>197</v>
      </c>
      <c r="I780" s="16" t="s">
        <v>45</v>
      </c>
      <c r="J780" s="12" t="s">
        <v>46</v>
      </c>
      <c r="K780" s="16" t="s">
        <v>45</v>
      </c>
      <c r="L780" s="16" t="s">
        <v>45</v>
      </c>
      <c r="M780" s="10" t="s">
        <v>49</v>
      </c>
      <c r="N780" s="16" t="s">
        <v>45</v>
      </c>
      <c r="O780" s="10" t="s">
        <v>50</v>
      </c>
      <c r="P780" s="9" t="str">
        <f t="shared" si="28"/>
        <v>N/I</v>
      </c>
      <c r="Q780" s="9" t="str">
        <f t="shared" si="29"/>
        <v>N/I</v>
      </c>
      <c r="R780" s="9" t="str">
        <f t="shared" si="31"/>
        <v>N/I</v>
      </c>
    </row>
    <row r="781">
      <c r="A781" s="11" t="s">
        <v>2285</v>
      </c>
      <c r="B781" s="32" t="s">
        <v>2286</v>
      </c>
      <c r="C781" s="12" t="s">
        <v>94</v>
      </c>
      <c r="D781" s="20" t="s">
        <v>2287</v>
      </c>
      <c r="E781" s="10" t="s">
        <v>291</v>
      </c>
      <c r="F781" s="10" t="s">
        <v>2288</v>
      </c>
      <c r="G781" s="12" t="s">
        <v>836</v>
      </c>
      <c r="H781" s="10" t="s">
        <v>837</v>
      </c>
      <c r="I781" s="10" t="s">
        <v>290</v>
      </c>
      <c r="J781" s="12" t="s">
        <v>355</v>
      </c>
      <c r="K781" s="10" t="s">
        <v>226</v>
      </c>
      <c r="L781" s="16" t="s">
        <v>45</v>
      </c>
      <c r="M781" s="10" t="s">
        <v>2289</v>
      </c>
      <c r="N781" s="10" t="s">
        <v>319</v>
      </c>
      <c r="O781" s="10" t="s">
        <v>50</v>
      </c>
      <c r="P781" s="9" t="str">
        <f t="shared" si="28"/>
        <v>N/I</v>
      </c>
      <c r="Q781" s="9" t="str">
        <f t="shared" si="29"/>
        <v>N/I</v>
      </c>
      <c r="R781" s="9" t="str">
        <f t="shared" si="31"/>
        <v>N/I</v>
      </c>
    </row>
    <row r="782">
      <c r="A782" s="11" t="s">
        <v>2285</v>
      </c>
      <c r="B782" s="32" t="s">
        <v>2290</v>
      </c>
      <c r="C782" s="12" t="s">
        <v>94</v>
      </c>
      <c r="D782" s="20" t="s">
        <v>2291</v>
      </c>
      <c r="E782" s="10" t="s">
        <v>291</v>
      </c>
      <c r="F782" s="10" t="s">
        <v>2288</v>
      </c>
      <c r="G782" s="12" t="s">
        <v>836</v>
      </c>
      <c r="H782" s="10" t="s">
        <v>837</v>
      </c>
      <c r="I782" s="10" t="s">
        <v>290</v>
      </c>
      <c r="J782" s="12" t="s">
        <v>355</v>
      </c>
      <c r="K782" s="10" t="s">
        <v>226</v>
      </c>
      <c r="L782" s="16" t="s">
        <v>45</v>
      </c>
      <c r="M782" s="10" t="s">
        <v>2289</v>
      </c>
      <c r="N782" s="10" t="s">
        <v>319</v>
      </c>
      <c r="O782" s="10" t="s">
        <v>50</v>
      </c>
      <c r="P782" s="9" t="str">
        <f t="shared" si="28"/>
        <v>N/I</v>
      </c>
      <c r="Q782" s="9" t="str">
        <f t="shared" si="29"/>
        <v>N/I</v>
      </c>
      <c r="R782" s="9" t="str">
        <f t="shared" si="31"/>
        <v>N/I</v>
      </c>
    </row>
    <row r="783">
      <c r="A783" s="11" t="s">
        <v>2285</v>
      </c>
      <c r="B783" s="32" t="s">
        <v>2290</v>
      </c>
      <c r="C783" s="12" t="s">
        <v>94</v>
      </c>
      <c r="D783" s="20" t="s">
        <v>2292</v>
      </c>
      <c r="E783" s="10" t="s">
        <v>291</v>
      </c>
      <c r="F783" s="10" t="s">
        <v>2288</v>
      </c>
      <c r="G783" s="12" t="s">
        <v>836</v>
      </c>
      <c r="H783" s="10" t="s">
        <v>837</v>
      </c>
      <c r="I783" s="10" t="s">
        <v>290</v>
      </c>
      <c r="J783" s="12" t="s">
        <v>355</v>
      </c>
      <c r="K783" s="10" t="s">
        <v>226</v>
      </c>
      <c r="L783" s="16" t="s">
        <v>45</v>
      </c>
      <c r="M783" s="10" t="s">
        <v>2289</v>
      </c>
      <c r="N783" s="10" t="s">
        <v>319</v>
      </c>
      <c r="O783" s="10" t="s">
        <v>50</v>
      </c>
      <c r="P783" s="9" t="str">
        <f t="shared" si="28"/>
        <v>N/I</v>
      </c>
      <c r="Q783" s="9" t="str">
        <f t="shared" si="29"/>
        <v>N/I</v>
      </c>
      <c r="R783" s="9" t="str">
        <f t="shared" si="31"/>
        <v>N/I</v>
      </c>
    </row>
    <row r="784">
      <c r="A784" s="11" t="s">
        <v>2285</v>
      </c>
      <c r="B784" s="32" t="s">
        <v>2293</v>
      </c>
      <c r="C784" s="12" t="s">
        <v>94</v>
      </c>
      <c r="D784" s="20" t="s">
        <v>2294</v>
      </c>
      <c r="E784" s="10" t="s">
        <v>291</v>
      </c>
      <c r="F784" s="10" t="s">
        <v>2288</v>
      </c>
      <c r="G784" s="12" t="s">
        <v>836</v>
      </c>
      <c r="H784" s="10" t="s">
        <v>837</v>
      </c>
      <c r="I784" s="10" t="s">
        <v>290</v>
      </c>
      <c r="J784" s="12" t="s">
        <v>355</v>
      </c>
      <c r="K784" s="10" t="s">
        <v>226</v>
      </c>
      <c r="L784" s="16" t="s">
        <v>45</v>
      </c>
      <c r="M784" s="10" t="s">
        <v>2289</v>
      </c>
      <c r="N784" s="10" t="s">
        <v>319</v>
      </c>
      <c r="O784" s="10" t="s">
        <v>50</v>
      </c>
      <c r="P784" s="9" t="str">
        <f t="shared" si="28"/>
        <v>N/I</v>
      </c>
      <c r="Q784" s="9" t="str">
        <f t="shared" si="29"/>
        <v>N/I</v>
      </c>
      <c r="R784" s="9" t="str">
        <f t="shared" si="31"/>
        <v>N/I</v>
      </c>
    </row>
    <row r="785">
      <c r="A785" s="11" t="s">
        <v>2285</v>
      </c>
      <c r="B785" s="32" t="s">
        <v>1227</v>
      </c>
      <c r="C785" s="12" t="s">
        <v>94</v>
      </c>
      <c r="D785" s="20" t="s">
        <v>2297</v>
      </c>
      <c r="E785" s="10" t="s">
        <v>291</v>
      </c>
      <c r="F785" s="10" t="s">
        <v>2288</v>
      </c>
      <c r="G785" s="12" t="s">
        <v>836</v>
      </c>
      <c r="H785" s="10" t="s">
        <v>837</v>
      </c>
      <c r="I785" s="10" t="s">
        <v>290</v>
      </c>
      <c r="J785" s="12" t="s">
        <v>355</v>
      </c>
      <c r="K785" s="10" t="s">
        <v>226</v>
      </c>
      <c r="L785" s="16" t="s">
        <v>45</v>
      </c>
      <c r="M785" s="10" t="s">
        <v>2289</v>
      </c>
      <c r="N785" s="10" t="s">
        <v>319</v>
      </c>
      <c r="O785" s="10" t="s">
        <v>50</v>
      </c>
      <c r="P785" s="9" t="str">
        <f t="shared" si="28"/>
        <v>N/I</v>
      </c>
      <c r="Q785" s="9" t="str">
        <f t="shared" si="29"/>
        <v>N/I</v>
      </c>
      <c r="R785" s="9" t="str">
        <f t="shared" si="31"/>
        <v>N/I</v>
      </c>
    </row>
    <row r="786">
      <c r="A786" s="11" t="s">
        <v>2299</v>
      </c>
      <c r="B786" s="11" t="s">
        <v>2300</v>
      </c>
      <c r="C786" s="12" t="s">
        <v>711</v>
      </c>
      <c r="D786" s="27" t="s">
        <v>2301</v>
      </c>
      <c r="E786" s="16" t="s">
        <v>45</v>
      </c>
      <c r="F786" s="10" t="s">
        <v>2305</v>
      </c>
      <c r="G786" s="12" t="s">
        <v>2302</v>
      </c>
      <c r="H786" s="10" t="s">
        <v>858</v>
      </c>
      <c r="I786" s="16" t="s">
        <v>45</v>
      </c>
      <c r="J786" s="16" t="s">
        <v>45</v>
      </c>
      <c r="K786" s="16" t="s">
        <v>45</v>
      </c>
      <c r="L786" s="16" t="s">
        <v>45</v>
      </c>
      <c r="M786" s="16" t="s">
        <v>45</v>
      </c>
      <c r="N786" s="16" t="s">
        <v>45</v>
      </c>
      <c r="O786" s="16" t="s">
        <v>45</v>
      </c>
      <c r="P786" s="9" t="str">
        <f t="shared" si="28"/>
        <v>N/I</v>
      </c>
      <c r="Q786" s="9" t="str">
        <f t="shared" si="29"/>
        <v>N/I</v>
      </c>
      <c r="R786" s="9" t="str">
        <f t="shared" si="31"/>
        <v>N/I</v>
      </c>
    </row>
    <row r="787">
      <c r="A787" s="11" t="s">
        <v>2307</v>
      </c>
      <c r="B787" s="50" t="s">
        <v>398</v>
      </c>
      <c r="C787" s="12" t="s">
        <v>52</v>
      </c>
      <c r="D787" s="27" t="s">
        <v>2308</v>
      </c>
      <c r="E787" s="10" t="s">
        <v>227</v>
      </c>
      <c r="F787" s="10" t="s">
        <v>2310</v>
      </c>
      <c r="G787" s="12" t="s">
        <v>332</v>
      </c>
      <c r="H787" s="10" t="s">
        <v>197</v>
      </c>
      <c r="I787" s="16" t="s">
        <v>45</v>
      </c>
      <c r="J787" s="12" t="s">
        <v>355</v>
      </c>
      <c r="K787" s="16" t="s">
        <v>45</v>
      </c>
      <c r="L787" s="16" t="s">
        <v>45</v>
      </c>
      <c r="M787" s="16" t="s">
        <v>45</v>
      </c>
      <c r="N787" s="16" t="s">
        <v>45</v>
      </c>
      <c r="O787" s="16" t="s">
        <v>45</v>
      </c>
      <c r="P787" s="9" t="str">
        <f t="shared" si="28"/>
        <v>N/I</v>
      </c>
      <c r="Q787" s="9" t="str">
        <f t="shared" si="29"/>
        <v>N/I</v>
      </c>
      <c r="R787" s="9" t="str">
        <f t="shared" si="31"/>
        <v>N/I</v>
      </c>
    </row>
    <row r="788">
      <c r="A788" s="11" t="s">
        <v>2312</v>
      </c>
      <c r="B788" s="11"/>
      <c r="C788" s="12" t="s">
        <v>94</v>
      </c>
      <c r="D788" s="25" t="s">
        <v>187</v>
      </c>
      <c r="E788" s="16" t="s">
        <v>45</v>
      </c>
      <c r="F788" s="10" t="s">
        <v>2313</v>
      </c>
      <c r="G788" s="12"/>
      <c r="H788" s="10"/>
      <c r="I788" s="16" t="s">
        <v>45</v>
      </c>
      <c r="J788" s="16" t="s">
        <v>45</v>
      </c>
      <c r="K788" s="16" t="s">
        <v>45</v>
      </c>
      <c r="L788" s="16" t="s">
        <v>45</v>
      </c>
      <c r="M788" s="16" t="s">
        <v>45</v>
      </c>
      <c r="N788" s="10" t="s">
        <v>320</v>
      </c>
      <c r="O788" s="10"/>
      <c r="P788" s="9" t="str">
        <f t="shared" si="28"/>
        <v>N/I</v>
      </c>
      <c r="Q788" s="9" t="str">
        <f t="shared" si="29"/>
        <v>N/I</v>
      </c>
      <c r="R788" s="9" t="str">
        <f t="shared" si="31"/>
        <v>N/I</v>
      </c>
    </row>
    <row r="789">
      <c r="A789" s="11" t="s">
        <v>2312</v>
      </c>
      <c r="B789" s="11"/>
      <c r="C789" s="12" t="s">
        <v>94</v>
      </c>
      <c r="D789" s="25" t="s">
        <v>187</v>
      </c>
      <c r="E789" s="16" t="s">
        <v>45</v>
      </c>
      <c r="F789" s="10" t="s">
        <v>2313</v>
      </c>
      <c r="G789" s="12"/>
      <c r="H789" s="10"/>
      <c r="I789" s="16" t="s">
        <v>45</v>
      </c>
      <c r="J789" s="16" t="s">
        <v>45</v>
      </c>
      <c r="K789" s="16" t="s">
        <v>45</v>
      </c>
      <c r="L789" s="16" t="s">
        <v>45</v>
      </c>
      <c r="M789" s="16" t="s">
        <v>45</v>
      </c>
      <c r="N789" s="10" t="s">
        <v>320</v>
      </c>
      <c r="O789" s="10"/>
      <c r="P789" s="9" t="str">
        <f t="shared" si="28"/>
        <v>N/I</v>
      </c>
      <c r="Q789" s="9" t="str">
        <f t="shared" si="29"/>
        <v>N/I</v>
      </c>
      <c r="R789" s="9" t="str">
        <f t="shared" si="31"/>
        <v>N/I</v>
      </c>
    </row>
    <row r="790">
      <c r="A790" s="11" t="s">
        <v>2312</v>
      </c>
      <c r="B790" s="11"/>
      <c r="C790" s="12" t="s">
        <v>94</v>
      </c>
      <c r="D790" s="25" t="s">
        <v>187</v>
      </c>
      <c r="E790" s="16" t="s">
        <v>45</v>
      </c>
      <c r="F790" s="10" t="s">
        <v>2313</v>
      </c>
      <c r="G790" s="12"/>
      <c r="H790" s="10"/>
      <c r="I790" s="16" t="s">
        <v>45</v>
      </c>
      <c r="J790" s="16" t="s">
        <v>45</v>
      </c>
      <c r="K790" s="16" t="s">
        <v>45</v>
      </c>
      <c r="L790" s="16" t="s">
        <v>45</v>
      </c>
      <c r="M790" s="16" t="s">
        <v>45</v>
      </c>
      <c r="N790" s="10" t="s">
        <v>320</v>
      </c>
      <c r="O790" s="10"/>
      <c r="P790" s="9" t="str">
        <f t="shared" si="28"/>
        <v>N/I</v>
      </c>
      <c r="Q790" s="9" t="str">
        <f t="shared" si="29"/>
        <v>N/I</v>
      </c>
      <c r="R790" s="9" t="str">
        <f t="shared" si="31"/>
        <v>N/I</v>
      </c>
    </row>
    <row r="791">
      <c r="A791" s="11" t="s">
        <v>2312</v>
      </c>
      <c r="B791" s="11"/>
      <c r="C791" s="12" t="s">
        <v>94</v>
      </c>
      <c r="D791" s="25" t="s">
        <v>187</v>
      </c>
      <c r="E791" s="16" t="s">
        <v>45</v>
      </c>
      <c r="F791" s="10" t="s">
        <v>2313</v>
      </c>
      <c r="G791" s="12"/>
      <c r="H791" s="10"/>
      <c r="I791" s="16" t="s">
        <v>45</v>
      </c>
      <c r="J791" s="16" t="s">
        <v>45</v>
      </c>
      <c r="K791" s="16" t="s">
        <v>45</v>
      </c>
      <c r="L791" s="16" t="s">
        <v>45</v>
      </c>
      <c r="M791" s="16" t="s">
        <v>45</v>
      </c>
      <c r="N791" s="10" t="s">
        <v>320</v>
      </c>
      <c r="O791" s="10"/>
      <c r="P791" s="9" t="str">
        <f t="shared" si="28"/>
        <v>N/I</v>
      </c>
      <c r="Q791" s="9" t="str">
        <f t="shared" si="29"/>
        <v>N/I</v>
      </c>
      <c r="R791" s="9" t="str">
        <f t="shared" si="31"/>
        <v>N/I</v>
      </c>
    </row>
    <row r="792">
      <c r="A792" s="11" t="s">
        <v>2315</v>
      </c>
      <c r="B792" s="32" t="s">
        <v>2316</v>
      </c>
      <c r="C792" s="12" t="s">
        <v>2317</v>
      </c>
      <c r="D792" s="34" t="s">
        <v>2318</v>
      </c>
      <c r="E792" s="16" t="s">
        <v>45</v>
      </c>
      <c r="F792" s="10" t="s">
        <v>2322</v>
      </c>
      <c r="G792" s="12" t="s">
        <v>2319</v>
      </c>
      <c r="H792" s="10" t="s">
        <v>222</v>
      </c>
      <c r="I792" s="16" t="s">
        <v>45</v>
      </c>
      <c r="J792" s="16" t="s">
        <v>45</v>
      </c>
      <c r="K792" s="16" t="s">
        <v>45</v>
      </c>
      <c r="L792" s="16" t="s">
        <v>45</v>
      </c>
      <c r="M792" s="10" t="s">
        <v>49</v>
      </c>
      <c r="N792" s="16" t="s">
        <v>45</v>
      </c>
      <c r="O792" s="16" t="s">
        <v>45</v>
      </c>
      <c r="P792" s="9" t="str">
        <f t="shared" si="28"/>
        <v>N/I</v>
      </c>
      <c r="Q792" s="9" t="str">
        <f t="shared" si="29"/>
        <v>N/I</v>
      </c>
      <c r="R792" s="9" t="str">
        <f t="shared" si="31"/>
        <v>N/I</v>
      </c>
    </row>
    <row r="793">
      <c r="A793" s="11" t="s">
        <v>2315</v>
      </c>
      <c r="B793" s="32" t="s">
        <v>2316</v>
      </c>
      <c r="C793" s="12" t="s">
        <v>2317</v>
      </c>
      <c r="D793" s="34" t="s">
        <v>2323</v>
      </c>
      <c r="E793" s="16" t="s">
        <v>45</v>
      </c>
      <c r="F793" s="10" t="s">
        <v>2322</v>
      </c>
      <c r="G793" s="12" t="s">
        <v>2319</v>
      </c>
      <c r="H793" s="10" t="s">
        <v>222</v>
      </c>
      <c r="I793" s="16" t="s">
        <v>45</v>
      </c>
      <c r="J793" s="16" t="s">
        <v>45</v>
      </c>
      <c r="K793" s="16" t="s">
        <v>45</v>
      </c>
      <c r="L793" s="16" t="s">
        <v>45</v>
      </c>
      <c r="M793" s="10" t="s">
        <v>49</v>
      </c>
      <c r="N793" s="16" t="s">
        <v>45</v>
      </c>
      <c r="O793" s="16" t="s">
        <v>45</v>
      </c>
      <c r="P793" s="9" t="str">
        <f t="shared" si="28"/>
        <v>N/I</v>
      </c>
      <c r="Q793" s="9" t="str">
        <f t="shared" si="29"/>
        <v>N/I</v>
      </c>
      <c r="R793" s="9" t="str">
        <f t="shared" si="31"/>
        <v>N/I</v>
      </c>
    </row>
    <row r="794">
      <c r="A794" s="11" t="s">
        <v>2315</v>
      </c>
      <c r="B794" s="32" t="s">
        <v>2316</v>
      </c>
      <c r="C794" s="12" t="s">
        <v>2324</v>
      </c>
      <c r="D794" s="34" t="s">
        <v>2325</v>
      </c>
      <c r="E794" s="16" t="s">
        <v>45</v>
      </c>
      <c r="F794" s="10" t="s">
        <v>2322</v>
      </c>
      <c r="G794" s="12" t="s">
        <v>2319</v>
      </c>
      <c r="H794" s="10" t="s">
        <v>222</v>
      </c>
      <c r="I794" s="16" t="s">
        <v>45</v>
      </c>
      <c r="J794" s="16" t="s">
        <v>45</v>
      </c>
      <c r="K794" s="16" t="s">
        <v>45</v>
      </c>
      <c r="L794" s="16" t="s">
        <v>45</v>
      </c>
      <c r="M794" s="10" t="s">
        <v>49</v>
      </c>
      <c r="N794" s="16" t="s">
        <v>45</v>
      </c>
      <c r="O794" s="16" t="s">
        <v>45</v>
      </c>
      <c r="P794" s="9" t="str">
        <f t="shared" si="28"/>
        <v>N/I</v>
      </c>
      <c r="Q794" s="9" t="str">
        <f t="shared" si="29"/>
        <v>N/I</v>
      </c>
      <c r="R794" s="9" t="str">
        <f t="shared" si="31"/>
        <v>N/I</v>
      </c>
    </row>
    <row r="795">
      <c r="A795" s="11" t="s">
        <v>2315</v>
      </c>
      <c r="B795" s="32" t="s">
        <v>2316</v>
      </c>
      <c r="C795" s="12" t="s">
        <v>2324</v>
      </c>
      <c r="D795" s="34" t="s">
        <v>2326</v>
      </c>
      <c r="E795" s="16" t="s">
        <v>45</v>
      </c>
      <c r="F795" s="10" t="s">
        <v>2322</v>
      </c>
      <c r="G795" s="12" t="s">
        <v>2319</v>
      </c>
      <c r="H795" s="10" t="s">
        <v>222</v>
      </c>
      <c r="I795" s="16" t="s">
        <v>45</v>
      </c>
      <c r="J795" s="16" t="s">
        <v>45</v>
      </c>
      <c r="K795" s="16" t="s">
        <v>45</v>
      </c>
      <c r="L795" s="16" t="s">
        <v>45</v>
      </c>
      <c r="M795" s="10" t="s">
        <v>49</v>
      </c>
      <c r="N795" s="16" t="s">
        <v>45</v>
      </c>
      <c r="O795" s="16" t="s">
        <v>45</v>
      </c>
      <c r="P795" s="9" t="str">
        <f t="shared" si="28"/>
        <v>N/I</v>
      </c>
      <c r="Q795" s="9" t="str">
        <f t="shared" si="29"/>
        <v>N/I</v>
      </c>
      <c r="R795" s="9" t="str">
        <f t="shared" si="31"/>
        <v>N/I</v>
      </c>
    </row>
    <row r="796">
      <c r="A796" s="11" t="s">
        <v>2315</v>
      </c>
      <c r="B796" s="32" t="s">
        <v>2316</v>
      </c>
      <c r="C796" s="12" t="s">
        <v>2324</v>
      </c>
      <c r="D796" s="34" t="s">
        <v>2327</v>
      </c>
      <c r="E796" s="16" t="s">
        <v>45</v>
      </c>
      <c r="F796" s="10" t="s">
        <v>2322</v>
      </c>
      <c r="G796" s="12" t="s">
        <v>2319</v>
      </c>
      <c r="H796" s="10" t="s">
        <v>222</v>
      </c>
      <c r="I796" s="16" t="s">
        <v>45</v>
      </c>
      <c r="J796" s="16" t="s">
        <v>45</v>
      </c>
      <c r="K796" s="16" t="s">
        <v>45</v>
      </c>
      <c r="L796" s="16" t="s">
        <v>45</v>
      </c>
      <c r="M796" s="10" t="s">
        <v>49</v>
      </c>
      <c r="N796" s="16" t="s">
        <v>45</v>
      </c>
      <c r="O796" s="16" t="s">
        <v>45</v>
      </c>
      <c r="P796" s="9" t="str">
        <f t="shared" si="28"/>
        <v>N/I</v>
      </c>
      <c r="Q796" s="9" t="str">
        <f t="shared" si="29"/>
        <v>N/I</v>
      </c>
      <c r="R796" s="9" t="str">
        <f t="shared" si="31"/>
        <v>N/I</v>
      </c>
    </row>
    <row r="797">
      <c r="A797" s="11" t="s">
        <v>2315</v>
      </c>
      <c r="B797" s="32" t="s">
        <v>2316</v>
      </c>
      <c r="C797" s="12" t="s">
        <v>2324</v>
      </c>
      <c r="D797" s="34" t="s">
        <v>2328</v>
      </c>
      <c r="E797" s="16" t="s">
        <v>45</v>
      </c>
      <c r="F797" s="10" t="s">
        <v>2322</v>
      </c>
      <c r="G797" s="12" t="s">
        <v>2319</v>
      </c>
      <c r="H797" s="10" t="s">
        <v>222</v>
      </c>
      <c r="I797" s="16" t="s">
        <v>45</v>
      </c>
      <c r="J797" s="16" t="s">
        <v>45</v>
      </c>
      <c r="K797" s="16" t="s">
        <v>45</v>
      </c>
      <c r="L797" s="16" t="s">
        <v>45</v>
      </c>
      <c r="M797" s="10" t="s">
        <v>49</v>
      </c>
      <c r="N797" s="16" t="s">
        <v>45</v>
      </c>
      <c r="O797" s="16" t="s">
        <v>45</v>
      </c>
      <c r="P797" s="9" t="str">
        <f t="shared" si="28"/>
        <v>N/I</v>
      </c>
      <c r="Q797" s="9" t="str">
        <f t="shared" si="29"/>
        <v>N/I</v>
      </c>
      <c r="R797" s="9" t="str">
        <f t="shared" si="31"/>
        <v>N/I</v>
      </c>
    </row>
    <row r="798">
      <c r="A798" s="11" t="s">
        <v>2315</v>
      </c>
      <c r="B798" s="32" t="s">
        <v>2316</v>
      </c>
      <c r="C798" s="12" t="s">
        <v>2324</v>
      </c>
      <c r="D798" s="34" t="s">
        <v>2329</v>
      </c>
      <c r="E798" s="16" t="s">
        <v>45</v>
      </c>
      <c r="F798" s="10" t="s">
        <v>2322</v>
      </c>
      <c r="G798" s="12" t="s">
        <v>2319</v>
      </c>
      <c r="H798" s="10" t="s">
        <v>222</v>
      </c>
      <c r="I798" s="16" t="s">
        <v>45</v>
      </c>
      <c r="J798" s="16" t="s">
        <v>45</v>
      </c>
      <c r="K798" s="16" t="s">
        <v>45</v>
      </c>
      <c r="L798" s="16" t="s">
        <v>45</v>
      </c>
      <c r="M798" s="10" t="s">
        <v>49</v>
      </c>
      <c r="N798" s="16" t="s">
        <v>45</v>
      </c>
      <c r="O798" s="16" t="s">
        <v>45</v>
      </c>
      <c r="P798" s="9" t="str">
        <f t="shared" si="28"/>
        <v>N/I</v>
      </c>
      <c r="Q798" s="9" t="str">
        <f t="shared" si="29"/>
        <v>N/I</v>
      </c>
      <c r="R798" s="9" t="str">
        <f t="shared" si="31"/>
        <v>N/I</v>
      </c>
    </row>
    <row r="799">
      <c r="A799" s="11" t="s">
        <v>2315</v>
      </c>
      <c r="B799" s="32" t="s">
        <v>2316</v>
      </c>
      <c r="C799" s="12" t="s">
        <v>94</v>
      </c>
      <c r="D799" s="34" t="s">
        <v>2330</v>
      </c>
      <c r="E799" s="16" t="s">
        <v>45</v>
      </c>
      <c r="F799" s="10" t="s">
        <v>2322</v>
      </c>
      <c r="G799" s="12" t="s">
        <v>2319</v>
      </c>
      <c r="H799" s="10" t="s">
        <v>222</v>
      </c>
      <c r="I799" s="16" t="s">
        <v>45</v>
      </c>
      <c r="J799" s="16" t="s">
        <v>45</v>
      </c>
      <c r="K799" s="16" t="s">
        <v>45</v>
      </c>
      <c r="L799" s="16" t="s">
        <v>45</v>
      </c>
      <c r="M799" s="10" t="s">
        <v>49</v>
      </c>
      <c r="N799" s="16" t="s">
        <v>45</v>
      </c>
      <c r="O799" s="16" t="s">
        <v>45</v>
      </c>
      <c r="P799" s="9" t="str">
        <f t="shared" si="28"/>
        <v>N/I</v>
      </c>
      <c r="Q799" s="9" t="str">
        <f t="shared" si="29"/>
        <v>N/I</v>
      </c>
      <c r="R799" s="9" t="str">
        <f t="shared" si="31"/>
        <v>N/I</v>
      </c>
    </row>
    <row r="800">
      <c r="A800" s="11" t="s">
        <v>2315</v>
      </c>
      <c r="B800" s="32" t="s">
        <v>2316</v>
      </c>
      <c r="C800" s="12" t="s">
        <v>2317</v>
      </c>
      <c r="D800" s="34" t="s">
        <v>2331</v>
      </c>
      <c r="E800" s="16" t="s">
        <v>45</v>
      </c>
      <c r="F800" s="10" t="s">
        <v>2332</v>
      </c>
      <c r="G800" s="12" t="s">
        <v>2319</v>
      </c>
      <c r="H800" s="10" t="s">
        <v>222</v>
      </c>
      <c r="I800" s="16" t="s">
        <v>45</v>
      </c>
      <c r="J800" s="16" t="s">
        <v>45</v>
      </c>
      <c r="K800" s="16" t="s">
        <v>45</v>
      </c>
      <c r="L800" s="16" t="s">
        <v>45</v>
      </c>
      <c r="M800" s="10" t="s">
        <v>49</v>
      </c>
      <c r="N800" s="16" t="s">
        <v>45</v>
      </c>
      <c r="O800" s="16" t="s">
        <v>45</v>
      </c>
      <c r="P800" s="9" t="str">
        <f t="shared" si="28"/>
        <v>N/I</v>
      </c>
      <c r="Q800" s="9" t="str">
        <f t="shared" si="29"/>
        <v>N/I</v>
      </c>
      <c r="R800" s="9" t="str">
        <f t="shared" si="31"/>
        <v>N/I</v>
      </c>
    </row>
    <row r="801">
      <c r="A801" s="11" t="s">
        <v>2315</v>
      </c>
      <c r="B801" s="32" t="s">
        <v>2316</v>
      </c>
      <c r="C801" s="12" t="s">
        <v>2317</v>
      </c>
      <c r="D801" s="34" t="s">
        <v>2333</v>
      </c>
      <c r="E801" s="16" t="s">
        <v>45</v>
      </c>
      <c r="F801" s="10" t="s">
        <v>2332</v>
      </c>
      <c r="G801" s="12" t="s">
        <v>2319</v>
      </c>
      <c r="H801" s="10" t="s">
        <v>222</v>
      </c>
      <c r="I801" s="16" t="s">
        <v>45</v>
      </c>
      <c r="J801" s="16" t="s">
        <v>45</v>
      </c>
      <c r="K801" s="16" t="s">
        <v>45</v>
      </c>
      <c r="L801" s="16" t="s">
        <v>45</v>
      </c>
      <c r="M801" s="10" t="s">
        <v>49</v>
      </c>
      <c r="N801" s="16" t="s">
        <v>45</v>
      </c>
      <c r="O801" s="16" t="s">
        <v>45</v>
      </c>
      <c r="P801" s="9" t="str">
        <f t="shared" si="28"/>
        <v>N/I</v>
      </c>
      <c r="Q801" s="9" t="str">
        <f t="shared" si="29"/>
        <v>N/I</v>
      </c>
      <c r="R801" s="9" t="str">
        <f t="shared" si="31"/>
        <v>N/I</v>
      </c>
    </row>
    <row r="802">
      <c r="A802" s="11" t="s">
        <v>2315</v>
      </c>
      <c r="B802" s="32" t="s">
        <v>2316</v>
      </c>
      <c r="C802" s="12" t="s">
        <v>94</v>
      </c>
      <c r="D802" s="34" t="s">
        <v>2334</v>
      </c>
      <c r="E802" s="16" t="s">
        <v>45</v>
      </c>
      <c r="F802" s="10" t="s">
        <v>2332</v>
      </c>
      <c r="G802" s="12" t="s">
        <v>2319</v>
      </c>
      <c r="H802" s="10" t="s">
        <v>222</v>
      </c>
      <c r="I802" s="16" t="s">
        <v>45</v>
      </c>
      <c r="J802" s="16" t="s">
        <v>45</v>
      </c>
      <c r="K802" s="16" t="s">
        <v>45</v>
      </c>
      <c r="L802" s="16" t="s">
        <v>45</v>
      </c>
      <c r="M802" s="10" t="s">
        <v>49</v>
      </c>
      <c r="N802" s="16" t="s">
        <v>45</v>
      </c>
      <c r="O802" s="16" t="s">
        <v>45</v>
      </c>
      <c r="P802" s="9" t="str">
        <f t="shared" si="28"/>
        <v>N/I</v>
      </c>
      <c r="Q802" s="9" t="str">
        <f t="shared" si="29"/>
        <v>N/I</v>
      </c>
      <c r="R802" s="9" t="str">
        <f t="shared" si="31"/>
        <v>N/I</v>
      </c>
    </row>
    <row r="803">
      <c r="A803" s="11" t="s">
        <v>2336</v>
      </c>
      <c r="B803" s="11" t="s">
        <v>2337</v>
      </c>
      <c r="C803" s="12" t="s">
        <v>94</v>
      </c>
      <c r="D803" s="41" t="s">
        <v>2338</v>
      </c>
      <c r="E803" s="10" t="s">
        <v>227</v>
      </c>
      <c r="F803" s="10" t="s">
        <v>2341</v>
      </c>
      <c r="G803" s="12" t="s">
        <v>463</v>
      </c>
      <c r="H803" s="10" t="s">
        <v>222</v>
      </c>
      <c r="I803" s="10" t="s">
        <v>290</v>
      </c>
      <c r="J803" s="12" t="s">
        <v>355</v>
      </c>
      <c r="K803" s="10" t="s">
        <v>226</v>
      </c>
      <c r="L803" s="16" t="s">
        <v>45</v>
      </c>
      <c r="M803" s="10" t="s">
        <v>2289</v>
      </c>
      <c r="N803" s="16" t="s">
        <v>45</v>
      </c>
      <c r="O803" s="10" t="s">
        <v>320</v>
      </c>
      <c r="P803" s="9" t="str">
        <f t="shared" si="28"/>
        <v>N/I</v>
      </c>
      <c r="Q803" s="9" t="str">
        <f t="shared" si="29"/>
        <v>N/I</v>
      </c>
      <c r="R803" s="9" t="str">
        <f t="shared" si="31"/>
        <v>N/I</v>
      </c>
    </row>
    <row r="804">
      <c r="A804" s="11" t="s">
        <v>2336</v>
      </c>
      <c r="B804" s="11"/>
      <c r="C804" s="12" t="s">
        <v>94</v>
      </c>
      <c r="D804" s="41" t="s">
        <v>2342</v>
      </c>
      <c r="E804" s="10" t="s">
        <v>227</v>
      </c>
      <c r="F804" s="10" t="s">
        <v>2341</v>
      </c>
      <c r="G804" s="12" t="s">
        <v>380</v>
      </c>
      <c r="H804" s="10" t="s">
        <v>197</v>
      </c>
      <c r="I804" s="10" t="s">
        <v>290</v>
      </c>
      <c r="J804" s="12" t="s">
        <v>355</v>
      </c>
      <c r="K804" s="10" t="s">
        <v>226</v>
      </c>
      <c r="L804" s="16" t="s">
        <v>45</v>
      </c>
      <c r="M804" s="10" t="s">
        <v>2289</v>
      </c>
      <c r="N804" s="16" t="s">
        <v>45</v>
      </c>
      <c r="O804" s="10" t="s">
        <v>320</v>
      </c>
      <c r="P804" s="9" t="str">
        <f t="shared" si="28"/>
        <v>N/I</v>
      </c>
      <c r="Q804" s="9" t="str">
        <f t="shared" si="29"/>
        <v>N/I</v>
      </c>
      <c r="R804" s="9" t="str">
        <f t="shared" si="31"/>
        <v>N/I</v>
      </c>
    </row>
    <row r="805">
      <c r="A805" s="11" t="s">
        <v>2336</v>
      </c>
      <c r="B805" s="11"/>
      <c r="C805" s="12" t="s">
        <v>94</v>
      </c>
      <c r="D805" s="41" t="s">
        <v>2345</v>
      </c>
      <c r="E805" s="10" t="s">
        <v>227</v>
      </c>
      <c r="F805" s="10" t="s">
        <v>2341</v>
      </c>
      <c r="G805" s="12" t="s">
        <v>380</v>
      </c>
      <c r="H805" s="10" t="s">
        <v>197</v>
      </c>
      <c r="I805" s="10" t="s">
        <v>290</v>
      </c>
      <c r="J805" s="12" t="s">
        <v>355</v>
      </c>
      <c r="K805" s="10" t="s">
        <v>226</v>
      </c>
      <c r="L805" s="16" t="s">
        <v>45</v>
      </c>
      <c r="M805" s="10" t="s">
        <v>2289</v>
      </c>
      <c r="N805" s="16" t="s">
        <v>45</v>
      </c>
      <c r="O805" s="10" t="s">
        <v>320</v>
      </c>
      <c r="P805" s="9" t="str">
        <f t="shared" si="28"/>
        <v>N/I</v>
      </c>
      <c r="Q805" s="9" t="str">
        <f t="shared" si="29"/>
        <v>N/I</v>
      </c>
      <c r="R805" s="9" t="str">
        <f t="shared" si="31"/>
        <v>N/I</v>
      </c>
    </row>
    <row r="806">
      <c r="A806" s="11" t="s">
        <v>2349</v>
      </c>
      <c r="B806" s="11" t="s">
        <v>2350</v>
      </c>
      <c r="C806" s="12" t="s">
        <v>94</v>
      </c>
      <c r="D806" s="34" t="s">
        <v>2351</v>
      </c>
      <c r="E806" s="10" t="s">
        <v>390</v>
      </c>
      <c r="F806" s="10" t="s">
        <v>2355</v>
      </c>
      <c r="G806" s="12" t="s">
        <v>2352</v>
      </c>
      <c r="H806" s="10" t="s">
        <v>895</v>
      </c>
      <c r="I806" s="16" t="s">
        <v>45</v>
      </c>
      <c r="J806" s="12" t="s">
        <v>46</v>
      </c>
      <c r="K806" s="10" t="s">
        <v>226</v>
      </c>
      <c r="L806" s="16" t="s">
        <v>45</v>
      </c>
      <c r="M806" s="10" t="s">
        <v>49</v>
      </c>
      <c r="N806" s="10" t="s">
        <v>664</v>
      </c>
      <c r="O806" s="10" t="s">
        <v>320</v>
      </c>
      <c r="P806" s="9" t="str">
        <f t="shared" si="28"/>
        <v>N/I</v>
      </c>
      <c r="Q806" s="9" t="str">
        <f t="shared" si="29"/>
        <v>N/I</v>
      </c>
      <c r="R806" s="9" t="str">
        <f t="shared" si="31"/>
        <v>N/I</v>
      </c>
    </row>
    <row r="807">
      <c r="A807" s="11" t="s">
        <v>2349</v>
      </c>
      <c r="B807" s="11" t="s">
        <v>2356</v>
      </c>
      <c r="C807" s="12" t="s">
        <v>94</v>
      </c>
      <c r="D807" s="34" t="s">
        <v>2357</v>
      </c>
      <c r="E807" s="10" t="s">
        <v>390</v>
      </c>
      <c r="F807" s="10" t="s">
        <v>2355</v>
      </c>
      <c r="G807" s="12" t="s">
        <v>2358</v>
      </c>
      <c r="H807" s="10" t="s">
        <v>895</v>
      </c>
      <c r="I807" s="16" t="s">
        <v>45</v>
      </c>
      <c r="J807" s="12" t="s">
        <v>46</v>
      </c>
      <c r="K807" s="10" t="s">
        <v>226</v>
      </c>
      <c r="L807" s="16" t="s">
        <v>45</v>
      </c>
      <c r="M807" s="10" t="s">
        <v>49</v>
      </c>
      <c r="N807" s="10" t="s">
        <v>664</v>
      </c>
      <c r="O807" s="10" t="s">
        <v>320</v>
      </c>
      <c r="P807" s="9" t="str">
        <f t="shared" si="28"/>
        <v>N/I</v>
      </c>
      <c r="Q807" s="9" t="str">
        <f t="shared" si="29"/>
        <v>N/I</v>
      </c>
      <c r="R807" s="9" t="str">
        <f t="shared" si="31"/>
        <v>N/I</v>
      </c>
    </row>
    <row r="808">
      <c r="A808" s="11" t="s">
        <v>2349</v>
      </c>
      <c r="B808" s="11" t="s">
        <v>2361</v>
      </c>
      <c r="C808" s="12" t="s">
        <v>94</v>
      </c>
      <c r="D808" s="34" t="s">
        <v>2362</v>
      </c>
      <c r="E808" s="10" t="s">
        <v>390</v>
      </c>
      <c r="F808" s="10" t="s">
        <v>2366</v>
      </c>
      <c r="G808" s="12" t="s">
        <v>2363</v>
      </c>
      <c r="H808" s="10" t="s">
        <v>895</v>
      </c>
      <c r="I808" s="16" t="s">
        <v>45</v>
      </c>
      <c r="J808" s="12" t="s">
        <v>46</v>
      </c>
      <c r="K808" s="10" t="s">
        <v>226</v>
      </c>
      <c r="L808" s="16" t="s">
        <v>45</v>
      </c>
      <c r="M808" s="10" t="s">
        <v>49</v>
      </c>
      <c r="N808" s="10" t="s">
        <v>664</v>
      </c>
      <c r="O808" s="10" t="s">
        <v>320</v>
      </c>
      <c r="P808" s="9" t="str">
        <f t="shared" si="28"/>
        <v>N/I</v>
      </c>
      <c r="Q808" s="9" t="str">
        <f t="shared" si="29"/>
        <v>N/I</v>
      </c>
      <c r="R808" s="9" t="str">
        <f t="shared" si="31"/>
        <v>N/I</v>
      </c>
    </row>
    <row r="809">
      <c r="A809" s="11" t="s">
        <v>2349</v>
      </c>
      <c r="B809" s="11" t="s">
        <v>2367</v>
      </c>
      <c r="C809" s="12" t="s">
        <v>94</v>
      </c>
      <c r="D809" s="34" t="s">
        <v>2368</v>
      </c>
      <c r="E809" s="10" t="s">
        <v>390</v>
      </c>
      <c r="F809" s="10" t="s">
        <v>2355</v>
      </c>
      <c r="G809" s="12" t="s">
        <v>1107</v>
      </c>
      <c r="H809" s="10" t="s">
        <v>895</v>
      </c>
      <c r="I809" s="16" t="s">
        <v>45</v>
      </c>
      <c r="J809" s="12" t="s">
        <v>46</v>
      </c>
      <c r="K809" s="10" t="s">
        <v>226</v>
      </c>
      <c r="L809" s="16" t="s">
        <v>45</v>
      </c>
      <c r="M809" s="10" t="s">
        <v>49</v>
      </c>
      <c r="N809" s="10" t="s">
        <v>664</v>
      </c>
      <c r="O809" s="10" t="s">
        <v>320</v>
      </c>
      <c r="P809" s="9" t="str">
        <f t="shared" si="28"/>
        <v>N/I</v>
      </c>
      <c r="Q809" s="9" t="str">
        <f t="shared" si="29"/>
        <v>N/I</v>
      </c>
      <c r="R809" s="9" t="str">
        <f t="shared" si="31"/>
        <v>N/I</v>
      </c>
    </row>
    <row r="810">
      <c r="A810" s="11" t="s">
        <v>2349</v>
      </c>
      <c r="B810" s="11" t="s">
        <v>2371</v>
      </c>
      <c r="C810" s="12" t="s">
        <v>94</v>
      </c>
      <c r="D810" s="34" t="s">
        <v>2372</v>
      </c>
      <c r="E810" s="10" t="s">
        <v>390</v>
      </c>
      <c r="F810" s="10" t="s">
        <v>2355</v>
      </c>
      <c r="G810" s="12" t="s">
        <v>2373</v>
      </c>
      <c r="H810" s="10" t="s">
        <v>895</v>
      </c>
      <c r="I810" s="16" t="s">
        <v>45</v>
      </c>
      <c r="J810" s="12" t="s">
        <v>46</v>
      </c>
      <c r="K810" s="10" t="s">
        <v>226</v>
      </c>
      <c r="L810" s="16" t="s">
        <v>45</v>
      </c>
      <c r="M810" s="10" t="s">
        <v>49</v>
      </c>
      <c r="N810" s="10" t="s">
        <v>664</v>
      </c>
      <c r="O810" s="10" t="s">
        <v>320</v>
      </c>
      <c r="P810" s="9" t="str">
        <f t="shared" si="28"/>
        <v>N/I</v>
      </c>
      <c r="Q810" s="9" t="str">
        <f t="shared" si="29"/>
        <v>N/I</v>
      </c>
      <c r="R810" s="9" t="str">
        <f t="shared" si="31"/>
        <v>N/I</v>
      </c>
    </row>
    <row r="811">
      <c r="A811" s="11" t="s">
        <v>2349</v>
      </c>
      <c r="B811" s="11" t="s">
        <v>2376</v>
      </c>
      <c r="C811" s="12" t="s">
        <v>94</v>
      </c>
      <c r="D811" s="34" t="s">
        <v>2377</v>
      </c>
      <c r="E811" s="10" t="s">
        <v>390</v>
      </c>
      <c r="F811" s="10" t="s">
        <v>2355</v>
      </c>
      <c r="G811" s="12" t="s">
        <v>2378</v>
      </c>
      <c r="H811" s="10" t="s">
        <v>895</v>
      </c>
      <c r="I811" s="16" t="s">
        <v>45</v>
      </c>
      <c r="J811" s="12" t="s">
        <v>46</v>
      </c>
      <c r="K811" s="10" t="s">
        <v>226</v>
      </c>
      <c r="L811" s="16" t="s">
        <v>45</v>
      </c>
      <c r="M811" s="10" t="s">
        <v>49</v>
      </c>
      <c r="N811" s="10" t="s">
        <v>664</v>
      </c>
      <c r="O811" s="10" t="s">
        <v>320</v>
      </c>
      <c r="P811" s="9" t="str">
        <f t="shared" si="28"/>
        <v>N/I</v>
      </c>
      <c r="Q811" s="9" t="str">
        <f t="shared" si="29"/>
        <v>N/I</v>
      </c>
      <c r="R811" s="9" t="str">
        <f t="shared" si="31"/>
        <v>N/I</v>
      </c>
    </row>
    <row r="812">
      <c r="A812" s="11" t="s">
        <v>2349</v>
      </c>
      <c r="B812" s="11" t="s">
        <v>2381</v>
      </c>
      <c r="C812" s="12" t="s">
        <v>94</v>
      </c>
      <c r="D812" s="34" t="s">
        <v>2382</v>
      </c>
      <c r="E812" s="10" t="s">
        <v>390</v>
      </c>
      <c r="F812" s="10" t="s">
        <v>2386</v>
      </c>
      <c r="G812" s="12" t="s">
        <v>2383</v>
      </c>
      <c r="H812" s="10" t="s">
        <v>895</v>
      </c>
      <c r="I812" s="16" t="s">
        <v>45</v>
      </c>
      <c r="J812" s="12" t="s">
        <v>46</v>
      </c>
      <c r="K812" s="10" t="s">
        <v>226</v>
      </c>
      <c r="L812" s="16" t="s">
        <v>45</v>
      </c>
      <c r="M812" s="10" t="s">
        <v>49</v>
      </c>
      <c r="N812" s="10" t="s">
        <v>664</v>
      </c>
      <c r="O812" s="10" t="s">
        <v>320</v>
      </c>
      <c r="P812" s="9" t="str">
        <f t="shared" si="28"/>
        <v>N/I</v>
      </c>
      <c r="Q812" s="9" t="str">
        <f t="shared" si="29"/>
        <v>N/I</v>
      </c>
      <c r="R812" s="9" t="str">
        <f t="shared" si="31"/>
        <v>N/I</v>
      </c>
    </row>
    <row r="813">
      <c r="A813" s="11" t="s">
        <v>2349</v>
      </c>
      <c r="B813" s="11" t="s">
        <v>2387</v>
      </c>
      <c r="C813" s="12" t="s">
        <v>94</v>
      </c>
      <c r="D813" s="34" t="s">
        <v>2388</v>
      </c>
      <c r="E813" s="10" t="s">
        <v>390</v>
      </c>
      <c r="F813" s="10" t="s">
        <v>2392</v>
      </c>
      <c r="G813" s="12" t="s">
        <v>2389</v>
      </c>
      <c r="H813" s="10" t="s">
        <v>895</v>
      </c>
      <c r="I813" s="16" t="s">
        <v>45</v>
      </c>
      <c r="J813" s="12" t="s">
        <v>46</v>
      </c>
      <c r="K813" s="10" t="s">
        <v>226</v>
      </c>
      <c r="L813" s="16" t="s">
        <v>45</v>
      </c>
      <c r="M813" s="10" t="s">
        <v>49</v>
      </c>
      <c r="N813" s="10" t="s">
        <v>664</v>
      </c>
      <c r="O813" s="10" t="s">
        <v>320</v>
      </c>
      <c r="P813" s="9" t="str">
        <f t="shared" si="28"/>
        <v>N/I</v>
      </c>
      <c r="Q813" s="9" t="str">
        <f t="shared" si="29"/>
        <v>N/I</v>
      </c>
      <c r="R813" s="9" t="str">
        <f t="shared" si="31"/>
        <v>N/I</v>
      </c>
    </row>
    <row r="814">
      <c r="A814" s="11" t="s">
        <v>2349</v>
      </c>
      <c r="B814" s="11" t="s">
        <v>2393</v>
      </c>
      <c r="C814" s="12" t="s">
        <v>94</v>
      </c>
      <c r="D814" s="34" t="s">
        <v>2394</v>
      </c>
      <c r="E814" s="10" t="s">
        <v>390</v>
      </c>
      <c r="F814" s="10" t="s">
        <v>2355</v>
      </c>
      <c r="G814" s="12" t="s">
        <v>2395</v>
      </c>
      <c r="H814" s="10" t="s">
        <v>895</v>
      </c>
      <c r="I814" s="16" t="s">
        <v>45</v>
      </c>
      <c r="J814" s="12" t="s">
        <v>46</v>
      </c>
      <c r="K814" s="10" t="s">
        <v>226</v>
      </c>
      <c r="L814" s="16" t="s">
        <v>45</v>
      </c>
      <c r="M814" s="10" t="s">
        <v>49</v>
      </c>
      <c r="N814" s="10" t="s">
        <v>664</v>
      </c>
      <c r="O814" s="10" t="s">
        <v>320</v>
      </c>
      <c r="P814" s="9" t="str">
        <f t="shared" si="28"/>
        <v>N/I</v>
      </c>
      <c r="Q814" s="9" t="str">
        <f t="shared" si="29"/>
        <v>N/I</v>
      </c>
      <c r="R814" s="9" t="str">
        <f t="shared" si="31"/>
        <v>N/I</v>
      </c>
    </row>
    <row r="815">
      <c r="A815" s="11" t="s">
        <v>2349</v>
      </c>
      <c r="B815" s="11" t="s">
        <v>2398</v>
      </c>
      <c r="C815" s="12" t="s">
        <v>94</v>
      </c>
      <c r="D815" s="34" t="s">
        <v>2399</v>
      </c>
      <c r="E815" s="10" t="s">
        <v>390</v>
      </c>
      <c r="F815" s="10" t="s">
        <v>2403</v>
      </c>
      <c r="G815" s="12" t="s">
        <v>2400</v>
      </c>
      <c r="H815" s="10" t="s">
        <v>895</v>
      </c>
      <c r="I815" s="16" t="s">
        <v>45</v>
      </c>
      <c r="J815" s="12" t="s">
        <v>46</v>
      </c>
      <c r="K815" s="10" t="s">
        <v>226</v>
      </c>
      <c r="L815" s="16" t="s">
        <v>45</v>
      </c>
      <c r="M815" s="10" t="s">
        <v>49</v>
      </c>
      <c r="N815" s="10" t="s">
        <v>664</v>
      </c>
      <c r="O815" s="10" t="s">
        <v>320</v>
      </c>
      <c r="P815" s="9" t="str">
        <f t="shared" si="28"/>
        <v>N/I</v>
      </c>
      <c r="Q815" s="9" t="str">
        <f t="shared" si="29"/>
        <v>N/I</v>
      </c>
      <c r="R815" s="9" t="str">
        <f t="shared" si="31"/>
        <v>N/I</v>
      </c>
    </row>
    <row r="816">
      <c r="A816" s="11" t="s">
        <v>2349</v>
      </c>
      <c r="B816" s="11" t="s">
        <v>2404</v>
      </c>
      <c r="C816" s="12" t="s">
        <v>94</v>
      </c>
      <c r="D816" s="34" t="s">
        <v>2405</v>
      </c>
      <c r="E816" s="10" t="s">
        <v>390</v>
      </c>
      <c r="F816" s="10" t="s">
        <v>2355</v>
      </c>
      <c r="G816" s="12" t="s">
        <v>1312</v>
      </c>
      <c r="H816" s="10" t="s">
        <v>895</v>
      </c>
      <c r="I816" s="16" t="s">
        <v>45</v>
      </c>
      <c r="J816" s="12" t="s">
        <v>46</v>
      </c>
      <c r="K816" s="10" t="s">
        <v>226</v>
      </c>
      <c r="L816" s="16" t="s">
        <v>45</v>
      </c>
      <c r="M816" s="10" t="s">
        <v>49</v>
      </c>
      <c r="N816" s="10" t="s">
        <v>664</v>
      </c>
      <c r="O816" s="10" t="s">
        <v>320</v>
      </c>
      <c r="P816" s="9" t="str">
        <f t="shared" si="28"/>
        <v>N/I</v>
      </c>
      <c r="Q816" s="9" t="str">
        <f t="shared" si="29"/>
        <v>N/I</v>
      </c>
      <c r="R816" s="9" t="str">
        <f t="shared" si="31"/>
        <v>N/I</v>
      </c>
    </row>
    <row r="817">
      <c r="A817" s="11" t="s">
        <v>2349</v>
      </c>
      <c r="B817" s="11" t="s">
        <v>2407</v>
      </c>
      <c r="C817" s="12" t="s">
        <v>94</v>
      </c>
      <c r="D817" s="34" t="s">
        <v>2408</v>
      </c>
      <c r="E817" s="10" t="s">
        <v>390</v>
      </c>
      <c r="F817" s="10" t="s">
        <v>2366</v>
      </c>
      <c r="G817" s="12" t="s">
        <v>894</v>
      </c>
      <c r="H817" s="10" t="s">
        <v>895</v>
      </c>
      <c r="I817" s="16" t="s">
        <v>45</v>
      </c>
      <c r="J817" s="12" t="s">
        <v>46</v>
      </c>
      <c r="K817" s="10" t="s">
        <v>226</v>
      </c>
      <c r="L817" s="16" t="s">
        <v>45</v>
      </c>
      <c r="M817" s="10" t="s">
        <v>49</v>
      </c>
      <c r="N817" s="10" t="s">
        <v>664</v>
      </c>
      <c r="O817" s="10" t="s">
        <v>320</v>
      </c>
      <c r="P817" s="9" t="str">
        <f t="shared" si="28"/>
        <v>N/I</v>
      </c>
      <c r="Q817" s="9" t="str">
        <f t="shared" si="29"/>
        <v>N/I</v>
      </c>
      <c r="R817" s="9" t="str">
        <f t="shared" si="31"/>
        <v>N/I</v>
      </c>
    </row>
    <row r="818">
      <c r="A818" s="11" t="s">
        <v>2349</v>
      </c>
      <c r="B818" s="11" t="s">
        <v>2411</v>
      </c>
      <c r="C818" s="12" t="s">
        <v>94</v>
      </c>
      <c r="D818" s="34" t="s">
        <v>2412</v>
      </c>
      <c r="E818" s="10" t="s">
        <v>390</v>
      </c>
      <c r="F818" s="10" t="s">
        <v>2392</v>
      </c>
      <c r="G818" s="12" t="s">
        <v>2413</v>
      </c>
      <c r="H818" s="10" t="s">
        <v>895</v>
      </c>
      <c r="I818" s="16" t="s">
        <v>45</v>
      </c>
      <c r="J818" s="12" t="s">
        <v>46</v>
      </c>
      <c r="K818" s="10" t="s">
        <v>226</v>
      </c>
      <c r="L818" s="16" t="s">
        <v>45</v>
      </c>
      <c r="M818" s="10" t="s">
        <v>49</v>
      </c>
      <c r="N818" s="10" t="s">
        <v>664</v>
      </c>
      <c r="O818" s="10" t="s">
        <v>320</v>
      </c>
      <c r="P818" s="9" t="str">
        <f t="shared" si="28"/>
        <v>N/I</v>
      </c>
      <c r="Q818" s="9" t="str">
        <f t="shared" si="29"/>
        <v>N/I</v>
      </c>
      <c r="R818" s="9" t="str">
        <f t="shared" si="31"/>
        <v>N/I</v>
      </c>
    </row>
    <row r="819">
      <c r="A819" s="11" t="s">
        <v>2417</v>
      </c>
      <c r="B819" s="11" t="s">
        <v>2418</v>
      </c>
      <c r="C819" s="12" t="s">
        <v>94</v>
      </c>
      <c r="D819" s="13" t="s">
        <v>2419</v>
      </c>
      <c r="E819" s="10" t="s">
        <v>2423</v>
      </c>
      <c r="F819" s="10" t="s">
        <v>2422</v>
      </c>
      <c r="G819" s="12" t="s">
        <v>990</v>
      </c>
      <c r="H819" s="10" t="s">
        <v>583</v>
      </c>
      <c r="I819" s="16" t="s">
        <v>45</v>
      </c>
      <c r="J819" s="10" t="s">
        <v>318</v>
      </c>
      <c r="K819" s="10" t="s">
        <v>319</v>
      </c>
      <c r="L819" s="16" t="s">
        <v>45</v>
      </c>
      <c r="M819" s="10" t="s">
        <v>49</v>
      </c>
      <c r="N819" s="10" t="s">
        <v>780</v>
      </c>
      <c r="O819" s="16" t="s">
        <v>45</v>
      </c>
      <c r="P819" s="9" t="str">
        <f t="shared" si="28"/>
        <v>N/I</v>
      </c>
      <c r="Q819" s="9" t="str">
        <f t="shared" si="29"/>
        <v>N/I</v>
      </c>
      <c r="R819" s="9" t="str">
        <f t="shared" si="31"/>
        <v>N/I</v>
      </c>
    </row>
    <row r="820">
      <c r="A820" s="11" t="s">
        <v>2417</v>
      </c>
      <c r="B820" s="11" t="s">
        <v>2424</v>
      </c>
      <c r="C820" s="12" t="s">
        <v>94</v>
      </c>
      <c r="D820" s="13" t="s">
        <v>2425</v>
      </c>
      <c r="E820" s="10" t="s">
        <v>2423</v>
      </c>
      <c r="F820" s="10" t="s">
        <v>2422</v>
      </c>
      <c r="G820" s="12" t="s">
        <v>2426</v>
      </c>
      <c r="H820" s="10" t="s">
        <v>583</v>
      </c>
      <c r="I820" s="16" t="s">
        <v>45</v>
      </c>
      <c r="J820" s="10" t="s">
        <v>318</v>
      </c>
      <c r="K820" s="10" t="s">
        <v>319</v>
      </c>
      <c r="L820" s="16" t="s">
        <v>45</v>
      </c>
      <c r="M820" s="10" t="s">
        <v>49</v>
      </c>
      <c r="N820" s="10" t="s">
        <v>780</v>
      </c>
      <c r="O820" s="16" t="s">
        <v>45</v>
      </c>
      <c r="P820" s="9" t="str">
        <f t="shared" si="28"/>
        <v>N/I</v>
      </c>
      <c r="Q820" s="9" t="str">
        <f t="shared" si="29"/>
        <v>N/I</v>
      </c>
      <c r="R820" s="9" t="str">
        <f t="shared" si="31"/>
        <v>N/I</v>
      </c>
    </row>
    <row r="821">
      <c r="A821" s="11" t="s">
        <v>2417</v>
      </c>
      <c r="B821" s="11" t="s">
        <v>2429</v>
      </c>
      <c r="C821" s="12" t="s">
        <v>94</v>
      </c>
      <c r="D821" s="13" t="s">
        <v>2430</v>
      </c>
      <c r="E821" s="10" t="s">
        <v>2423</v>
      </c>
      <c r="F821" s="10" t="s">
        <v>2422</v>
      </c>
      <c r="G821" s="12" t="s">
        <v>2431</v>
      </c>
      <c r="H821" s="10" t="s">
        <v>583</v>
      </c>
      <c r="I821" s="16" t="s">
        <v>45</v>
      </c>
      <c r="J821" s="10" t="s">
        <v>318</v>
      </c>
      <c r="K821" s="10" t="s">
        <v>319</v>
      </c>
      <c r="L821" s="16" t="s">
        <v>45</v>
      </c>
      <c r="M821" s="10" t="s">
        <v>49</v>
      </c>
      <c r="N821" s="10" t="s">
        <v>780</v>
      </c>
      <c r="O821" s="16" t="s">
        <v>45</v>
      </c>
      <c r="P821" s="9" t="str">
        <f t="shared" si="28"/>
        <v>N/I</v>
      </c>
      <c r="Q821" s="9" t="str">
        <f t="shared" si="29"/>
        <v>N/I</v>
      </c>
      <c r="R821" s="9" t="str">
        <f t="shared" si="31"/>
        <v>N/I</v>
      </c>
    </row>
    <row r="822">
      <c r="A822" s="11" t="s">
        <v>2417</v>
      </c>
      <c r="B822" s="11" t="s">
        <v>2434</v>
      </c>
      <c r="C822" s="12" t="s">
        <v>94</v>
      </c>
      <c r="D822" s="13" t="s">
        <v>2435</v>
      </c>
      <c r="E822" s="10" t="s">
        <v>2423</v>
      </c>
      <c r="F822" s="10" t="s">
        <v>2422</v>
      </c>
      <c r="G822" s="12" t="s">
        <v>582</v>
      </c>
      <c r="H822" s="10" t="s">
        <v>583</v>
      </c>
      <c r="I822" s="16" t="s">
        <v>45</v>
      </c>
      <c r="J822" s="10" t="s">
        <v>318</v>
      </c>
      <c r="K822" s="10" t="s">
        <v>319</v>
      </c>
      <c r="L822" s="16" t="s">
        <v>45</v>
      </c>
      <c r="M822" s="10" t="s">
        <v>49</v>
      </c>
      <c r="N822" s="10" t="s">
        <v>780</v>
      </c>
      <c r="O822" s="16" t="s">
        <v>45</v>
      </c>
      <c r="P822" s="9" t="str">
        <f t="shared" si="28"/>
        <v>N/I</v>
      </c>
      <c r="Q822" s="9" t="str">
        <f t="shared" si="29"/>
        <v>N/I</v>
      </c>
      <c r="R822" s="9" t="str">
        <f t="shared" si="31"/>
        <v>N/I</v>
      </c>
    </row>
    <row r="823">
      <c r="A823" s="11" t="s">
        <v>2417</v>
      </c>
      <c r="B823" s="11" t="s">
        <v>2438</v>
      </c>
      <c r="C823" s="12" t="s">
        <v>94</v>
      </c>
      <c r="D823" s="13" t="s">
        <v>2439</v>
      </c>
      <c r="E823" s="10" t="s">
        <v>2423</v>
      </c>
      <c r="F823" s="10" t="s">
        <v>2422</v>
      </c>
      <c r="G823" s="12" t="s">
        <v>643</v>
      </c>
      <c r="H823" s="10" t="s">
        <v>583</v>
      </c>
      <c r="I823" s="16" t="s">
        <v>45</v>
      </c>
      <c r="J823" s="10" t="s">
        <v>318</v>
      </c>
      <c r="K823" s="10" t="s">
        <v>319</v>
      </c>
      <c r="L823" s="16" t="s">
        <v>45</v>
      </c>
      <c r="M823" s="10" t="s">
        <v>49</v>
      </c>
      <c r="N823" s="10" t="s">
        <v>780</v>
      </c>
      <c r="O823" s="16" t="s">
        <v>45</v>
      </c>
      <c r="P823" s="9" t="str">
        <f t="shared" si="28"/>
        <v>N/I</v>
      </c>
      <c r="Q823" s="9" t="str">
        <f t="shared" si="29"/>
        <v>N/I</v>
      </c>
      <c r="R823" s="9" t="str">
        <f t="shared" si="31"/>
        <v>N/I</v>
      </c>
    </row>
    <row r="824">
      <c r="A824" s="11" t="s">
        <v>2417</v>
      </c>
      <c r="B824" s="11" t="s">
        <v>2438</v>
      </c>
      <c r="C824" s="12" t="s">
        <v>94</v>
      </c>
      <c r="D824" s="13" t="s">
        <v>2442</v>
      </c>
      <c r="E824" s="10" t="s">
        <v>2423</v>
      </c>
      <c r="F824" s="10" t="s">
        <v>2422</v>
      </c>
      <c r="G824" s="12" t="s">
        <v>643</v>
      </c>
      <c r="H824" s="10" t="s">
        <v>583</v>
      </c>
      <c r="I824" s="16" t="s">
        <v>45</v>
      </c>
      <c r="J824" s="10" t="s">
        <v>318</v>
      </c>
      <c r="K824" s="10" t="s">
        <v>319</v>
      </c>
      <c r="L824" s="16" t="s">
        <v>45</v>
      </c>
      <c r="M824" s="10" t="s">
        <v>49</v>
      </c>
      <c r="N824" s="10" t="s">
        <v>780</v>
      </c>
      <c r="O824" s="16" t="s">
        <v>45</v>
      </c>
      <c r="P824" s="9" t="str">
        <f t="shared" si="28"/>
        <v>N/I</v>
      </c>
      <c r="Q824" s="9" t="str">
        <f t="shared" si="29"/>
        <v>N/I</v>
      </c>
      <c r="R824" s="9" t="str">
        <f t="shared" si="31"/>
        <v>N/I</v>
      </c>
    </row>
    <row r="825">
      <c r="A825" s="11" t="s">
        <v>2417</v>
      </c>
      <c r="B825" s="11" t="s">
        <v>435</v>
      </c>
      <c r="C825" s="12" t="s">
        <v>94</v>
      </c>
      <c r="D825" s="13" t="s">
        <v>2443</v>
      </c>
      <c r="E825" s="10" t="s">
        <v>2423</v>
      </c>
      <c r="F825" s="10" t="s">
        <v>2422</v>
      </c>
      <c r="G825" s="12" t="s">
        <v>643</v>
      </c>
      <c r="H825" s="10" t="s">
        <v>583</v>
      </c>
      <c r="I825" s="16" t="s">
        <v>45</v>
      </c>
      <c r="J825" s="10" t="s">
        <v>318</v>
      </c>
      <c r="K825" s="10" t="s">
        <v>319</v>
      </c>
      <c r="L825" s="16" t="s">
        <v>45</v>
      </c>
      <c r="M825" s="10" t="s">
        <v>49</v>
      </c>
      <c r="N825" s="10" t="s">
        <v>780</v>
      </c>
      <c r="O825" s="16" t="s">
        <v>45</v>
      </c>
      <c r="P825" s="9" t="str">
        <f t="shared" si="28"/>
        <v>N/I</v>
      </c>
      <c r="Q825" s="9" t="str">
        <f t="shared" si="29"/>
        <v>N/I</v>
      </c>
      <c r="R825" s="9" t="str">
        <f t="shared" si="31"/>
        <v>N/I</v>
      </c>
    </row>
    <row r="826">
      <c r="A826" s="11" t="s">
        <v>2447</v>
      </c>
      <c r="B826" s="11" t="s">
        <v>2448</v>
      </c>
      <c r="C826" s="12" t="s">
        <v>448</v>
      </c>
      <c r="D826" s="13" t="s">
        <v>2449</v>
      </c>
      <c r="E826" s="10" t="s">
        <v>291</v>
      </c>
      <c r="F826" s="10" t="s">
        <v>2453</v>
      </c>
      <c r="G826" s="12" t="s">
        <v>2450</v>
      </c>
      <c r="H826" s="10" t="s">
        <v>216</v>
      </c>
      <c r="I826" s="16" t="s">
        <v>45</v>
      </c>
      <c r="J826" s="12" t="s">
        <v>355</v>
      </c>
      <c r="K826" s="10" t="s">
        <v>291</v>
      </c>
      <c r="L826" s="16" t="s">
        <v>45</v>
      </c>
      <c r="M826" s="10" t="s">
        <v>49</v>
      </c>
      <c r="N826" s="16" t="s">
        <v>45</v>
      </c>
      <c r="O826" s="16" t="s">
        <v>45</v>
      </c>
      <c r="P826" s="9" t="str">
        <f t="shared" si="28"/>
        <v>N/I</v>
      </c>
      <c r="Q826" s="9" t="str">
        <f t="shared" si="29"/>
        <v>N/I</v>
      </c>
      <c r="R826" s="9" t="str">
        <f t="shared" si="31"/>
        <v>N/I</v>
      </c>
    </row>
    <row r="827">
      <c r="A827" s="11" t="s">
        <v>2447</v>
      </c>
      <c r="B827" s="11" t="s">
        <v>2454</v>
      </c>
      <c r="C827" s="12" t="s">
        <v>448</v>
      </c>
      <c r="D827" s="13" t="s">
        <v>2455</v>
      </c>
      <c r="E827" s="10" t="s">
        <v>291</v>
      </c>
      <c r="F827" s="10" t="s">
        <v>2453</v>
      </c>
      <c r="G827" s="12" t="s">
        <v>2456</v>
      </c>
      <c r="H827" s="10" t="s">
        <v>216</v>
      </c>
      <c r="I827" s="16" t="s">
        <v>45</v>
      </c>
      <c r="J827" s="12" t="s">
        <v>355</v>
      </c>
      <c r="K827" s="10" t="s">
        <v>291</v>
      </c>
      <c r="L827" s="16" t="s">
        <v>45</v>
      </c>
      <c r="M827" s="10" t="s">
        <v>49</v>
      </c>
      <c r="N827" s="16" t="s">
        <v>45</v>
      </c>
      <c r="O827" s="16" t="s">
        <v>45</v>
      </c>
      <c r="P827" s="9" t="str">
        <f t="shared" si="28"/>
        <v>N/I</v>
      </c>
      <c r="Q827" s="9" t="str">
        <f t="shared" si="29"/>
        <v>N/I</v>
      </c>
      <c r="R827" s="9" t="str">
        <f t="shared" si="31"/>
        <v>N/I</v>
      </c>
    </row>
    <row r="828">
      <c r="A828" s="11" t="s">
        <v>2447</v>
      </c>
      <c r="B828" s="11" t="s">
        <v>2459</v>
      </c>
      <c r="C828" s="12" t="s">
        <v>448</v>
      </c>
      <c r="D828" s="13" t="s">
        <v>2460</v>
      </c>
      <c r="E828" s="10" t="s">
        <v>291</v>
      </c>
      <c r="F828" s="10" t="s">
        <v>2453</v>
      </c>
      <c r="G828" s="12" t="s">
        <v>2461</v>
      </c>
      <c r="H828" s="10" t="s">
        <v>216</v>
      </c>
      <c r="I828" s="16" t="s">
        <v>45</v>
      </c>
      <c r="J828" s="12" t="s">
        <v>355</v>
      </c>
      <c r="K828" s="10" t="s">
        <v>291</v>
      </c>
      <c r="L828" s="16" t="s">
        <v>45</v>
      </c>
      <c r="M828" s="10" t="s">
        <v>49</v>
      </c>
      <c r="N828" s="16" t="s">
        <v>45</v>
      </c>
      <c r="O828" s="16" t="s">
        <v>45</v>
      </c>
      <c r="P828" s="9" t="str">
        <f t="shared" si="28"/>
        <v>N/I</v>
      </c>
      <c r="Q828" s="9" t="str">
        <f t="shared" si="29"/>
        <v>N/I</v>
      </c>
      <c r="R828" s="9" t="str">
        <f t="shared" si="31"/>
        <v>N/I</v>
      </c>
    </row>
    <row r="829">
      <c r="A829" s="11" t="s">
        <v>2447</v>
      </c>
      <c r="B829" s="11" t="s">
        <v>2464</v>
      </c>
      <c r="C829" s="12" t="s">
        <v>448</v>
      </c>
      <c r="D829" s="13" t="s">
        <v>2465</v>
      </c>
      <c r="E829" s="10" t="s">
        <v>291</v>
      </c>
      <c r="F829" s="10" t="s">
        <v>2453</v>
      </c>
      <c r="G829" s="12" t="s">
        <v>512</v>
      </c>
      <c r="H829" s="10" t="s">
        <v>216</v>
      </c>
      <c r="I829" s="16" t="s">
        <v>45</v>
      </c>
      <c r="J829" s="12" t="s">
        <v>355</v>
      </c>
      <c r="K829" s="10" t="s">
        <v>291</v>
      </c>
      <c r="L829" s="16" t="s">
        <v>45</v>
      </c>
      <c r="M829" s="10" t="s">
        <v>49</v>
      </c>
      <c r="N829" s="16" t="s">
        <v>45</v>
      </c>
      <c r="O829" s="16" t="s">
        <v>45</v>
      </c>
      <c r="P829" s="9" t="str">
        <f t="shared" si="28"/>
        <v>N/I</v>
      </c>
      <c r="Q829" s="9" t="str">
        <f t="shared" si="29"/>
        <v>N/I</v>
      </c>
      <c r="R829" s="9" t="str">
        <f t="shared" si="31"/>
        <v>N/I</v>
      </c>
    </row>
    <row r="830">
      <c r="A830" s="11" t="s">
        <v>2447</v>
      </c>
      <c r="B830" s="11" t="s">
        <v>2468</v>
      </c>
      <c r="C830" s="12" t="s">
        <v>448</v>
      </c>
      <c r="D830" s="13" t="s">
        <v>2469</v>
      </c>
      <c r="E830" s="10" t="s">
        <v>291</v>
      </c>
      <c r="F830" s="10" t="s">
        <v>2453</v>
      </c>
      <c r="G830" s="12" t="s">
        <v>2470</v>
      </c>
      <c r="H830" s="10" t="s">
        <v>216</v>
      </c>
      <c r="I830" s="16" t="s">
        <v>45</v>
      </c>
      <c r="J830" s="12" t="s">
        <v>355</v>
      </c>
      <c r="K830" s="10" t="s">
        <v>291</v>
      </c>
      <c r="L830" s="16" t="s">
        <v>45</v>
      </c>
      <c r="M830" s="10" t="s">
        <v>49</v>
      </c>
      <c r="N830" s="16" t="s">
        <v>45</v>
      </c>
      <c r="O830" s="16" t="s">
        <v>45</v>
      </c>
      <c r="P830" s="9" t="str">
        <f t="shared" si="28"/>
        <v>N/I</v>
      </c>
      <c r="Q830" s="9" t="str">
        <f t="shared" si="29"/>
        <v>N/I</v>
      </c>
      <c r="R830" s="9" t="str">
        <f t="shared" si="31"/>
        <v>N/I</v>
      </c>
    </row>
    <row r="831">
      <c r="A831" s="11" t="s">
        <v>2447</v>
      </c>
      <c r="B831" s="11" t="s">
        <v>2473</v>
      </c>
      <c r="C831" s="12" t="s">
        <v>448</v>
      </c>
      <c r="D831" s="13" t="s">
        <v>2474</v>
      </c>
      <c r="E831" s="10" t="s">
        <v>291</v>
      </c>
      <c r="F831" s="10" t="s">
        <v>2453</v>
      </c>
      <c r="G831" s="12" t="s">
        <v>2475</v>
      </c>
      <c r="H831" s="10" t="s">
        <v>216</v>
      </c>
      <c r="I831" s="16" t="s">
        <v>45</v>
      </c>
      <c r="J831" s="12" t="s">
        <v>355</v>
      </c>
      <c r="K831" s="10" t="s">
        <v>291</v>
      </c>
      <c r="L831" s="16" t="s">
        <v>45</v>
      </c>
      <c r="M831" s="10" t="s">
        <v>49</v>
      </c>
      <c r="N831" s="16" t="s">
        <v>45</v>
      </c>
      <c r="O831" s="16" t="s">
        <v>45</v>
      </c>
      <c r="P831" s="9" t="str">
        <f t="shared" si="28"/>
        <v>N/I</v>
      </c>
      <c r="Q831" s="9" t="str">
        <f t="shared" si="29"/>
        <v>N/I</v>
      </c>
      <c r="R831" s="9" t="str">
        <f t="shared" si="31"/>
        <v>N/I</v>
      </c>
    </row>
    <row r="832">
      <c r="A832" s="11" t="s">
        <v>2479</v>
      </c>
      <c r="B832" s="32" t="s">
        <v>2480</v>
      </c>
      <c r="C832" s="12" t="s">
        <v>94</v>
      </c>
      <c r="D832" s="13" t="s">
        <v>2481</v>
      </c>
      <c r="E832" s="10" t="s">
        <v>664</v>
      </c>
      <c r="F832" s="10" t="s">
        <v>2484</v>
      </c>
      <c r="G832" s="12" t="s">
        <v>131</v>
      </c>
      <c r="H832" s="10" t="s">
        <v>132</v>
      </c>
      <c r="I832" s="16" t="s">
        <v>45</v>
      </c>
      <c r="J832" s="12" t="s">
        <v>46</v>
      </c>
      <c r="K832" s="10" t="s">
        <v>2485</v>
      </c>
      <c r="L832" s="16" t="s">
        <v>45</v>
      </c>
      <c r="M832" s="10" t="s">
        <v>49</v>
      </c>
      <c r="N832" s="16" t="s">
        <v>45</v>
      </c>
      <c r="O832" s="10" t="s">
        <v>320</v>
      </c>
      <c r="P832" s="9" t="str">
        <f t="shared" si="28"/>
        <v>N/I</v>
      </c>
      <c r="Q832" s="9" t="str">
        <f t="shared" si="29"/>
        <v>N/I</v>
      </c>
      <c r="R832" s="9" t="str">
        <f t="shared" si="31"/>
        <v>N/I</v>
      </c>
    </row>
    <row r="833">
      <c r="A833" s="11" t="s">
        <v>2479</v>
      </c>
      <c r="B833" s="32" t="s">
        <v>2486</v>
      </c>
      <c r="C833" s="12" t="s">
        <v>94</v>
      </c>
      <c r="D833" s="13" t="s">
        <v>2487</v>
      </c>
      <c r="E833" s="10" t="s">
        <v>664</v>
      </c>
      <c r="F833" s="10" t="s">
        <v>2484</v>
      </c>
      <c r="G833" s="12" t="s">
        <v>131</v>
      </c>
      <c r="H833" s="10" t="s">
        <v>132</v>
      </c>
      <c r="I833" s="16" t="s">
        <v>45</v>
      </c>
      <c r="J833" s="12" t="s">
        <v>46</v>
      </c>
      <c r="K833" s="10" t="s">
        <v>2485</v>
      </c>
      <c r="L833" s="16" t="s">
        <v>45</v>
      </c>
      <c r="M833" s="10" t="s">
        <v>49</v>
      </c>
      <c r="N833" s="16" t="s">
        <v>45</v>
      </c>
      <c r="O833" s="10" t="s">
        <v>320</v>
      </c>
      <c r="P833" s="9" t="str">
        <f t="shared" si="28"/>
        <v>N/I</v>
      </c>
      <c r="Q833" s="9" t="str">
        <f t="shared" si="29"/>
        <v>N/I</v>
      </c>
      <c r="R833" s="9" t="str">
        <f t="shared" si="31"/>
        <v>N/I</v>
      </c>
    </row>
    <row r="834">
      <c r="A834" s="11" t="s">
        <v>2479</v>
      </c>
      <c r="B834" s="32" t="s">
        <v>2486</v>
      </c>
      <c r="C834" s="12" t="s">
        <v>94</v>
      </c>
      <c r="D834" s="13" t="s">
        <v>2490</v>
      </c>
      <c r="E834" s="10" t="s">
        <v>664</v>
      </c>
      <c r="F834" s="10" t="s">
        <v>2484</v>
      </c>
      <c r="G834" s="12" t="s">
        <v>131</v>
      </c>
      <c r="H834" s="10" t="s">
        <v>132</v>
      </c>
      <c r="I834" s="16" t="s">
        <v>45</v>
      </c>
      <c r="J834" s="12" t="s">
        <v>46</v>
      </c>
      <c r="K834" s="10" t="s">
        <v>2485</v>
      </c>
      <c r="L834" s="16" t="s">
        <v>45</v>
      </c>
      <c r="M834" s="10" t="s">
        <v>49</v>
      </c>
      <c r="N834" s="16" t="s">
        <v>45</v>
      </c>
      <c r="O834" s="10" t="s">
        <v>320</v>
      </c>
      <c r="P834" s="9" t="str">
        <f t="shared" si="28"/>
        <v>N/I</v>
      </c>
      <c r="Q834" s="9" t="str">
        <f t="shared" si="29"/>
        <v>N/I</v>
      </c>
      <c r="R834" s="9" t="str">
        <f t="shared" si="31"/>
        <v>N/I</v>
      </c>
    </row>
    <row r="835">
      <c r="A835" s="11" t="s">
        <v>2492</v>
      </c>
      <c r="B835" s="32" t="s">
        <v>313</v>
      </c>
      <c r="C835" s="12" t="s">
        <v>94</v>
      </c>
      <c r="D835" s="20" t="s">
        <v>2493</v>
      </c>
      <c r="E835" s="10" t="s">
        <v>2423</v>
      </c>
      <c r="F835" s="10" t="s">
        <v>2496</v>
      </c>
      <c r="G835" s="12" t="s">
        <v>651</v>
      </c>
      <c r="H835" s="10" t="s">
        <v>652</v>
      </c>
      <c r="I835" s="10" t="s">
        <v>2497</v>
      </c>
      <c r="J835" s="12" t="s">
        <v>46</v>
      </c>
      <c r="K835" s="10" t="s">
        <v>48</v>
      </c>
      <c r="L835" s="10" t="s">
        <v>2498</v>
      </c>
      <c r="M835" s="10" t="s">
        <v>49</v>
      </c>
      <c r="N835" s="10" t="s">
        <v>508</v>
      </c>
      <c r="O835" s="10" t="s">
        <v>320</v>
      </c>
      <c r="P835" s="9" t="str">
        <f t="shared" si="28"/>
        <v>N/I</v>
      </c>
      <c r="Q835" s="9" t="str">
        <f t="shared" si="29"/>
        <v>N/I</v>
      </c>
      <c r="R835" s="9" t="str">
        <f t="shared" si="31"/>
        <v>N/I</v>
      </c>
    </row>
    <row r="836">
      <c r="A836" s="11" t="s">
        <v>2500</v>
      </c>
      <c r="B836" s="11" t="s">
        <v>2501</v>
      </c>
      <c r="C836" s="12" t="s">
        <v>448</v>
      </c>
      <c r="D836" s="13" t="s">
        <v>2502</v>
      </c>
      <c r="E836" s="10" t="s">
        <v>442</v>
      </c>
      <c r="F836" s="10" t="s">
        <v>2506</v>
      </c>
      <c r="G836" s="12" t="s">
        <v>2503</v>
      </c>
      <c r="H836" s="10" t="s">
        <v>222</v>
      </c>
      <c r="I836" s="10" t="s">
        <v>706</v>
      </c>
      <c r="J836" s="12" t="s">
        <v>46</v>
      </c>
      <c r="K836" s="10" t="s">
        <v>2485</v>
      </c>
      <c r="L836" s="10" t="s">
        <v>2507</v>
      </c>
      <c r="M836" s="10" t="s">
        <v>49</v>
      </c>
      <c r="N836" s="10" t="s">
        <v>442</v>
      </c>
      <c r="O836" s="10" t="s">
        <v>320</v>
      </c>
      <c r="P836" s="9" t="str">
        <f t="shared" si="28"/>
        <v>N/I</v>
      </c>
      <c r="Q836" s="9" t="str">
        <f t="shared" si="29"/>
        <v>N/I</v>
      </c>
      <c r="R836" s="9" t="str">
        <f t="shared" si="31"/>
        <v>N/I</v>
      </c>
    </row>
    <row r="837">
      <c r="A837" s="11" t="s">
        <v>2500</v>
      </c>
      <c r="B837" s="11" t="s">
        <v>2501</v>
      </c>
      <c r="C837" s="12" t="s">
        <v>448</v>
      </c>
      <c r="D837" s="13" t="s">
        <v>2508</v>
      </c>
      <c r="E837" s="10" t="s">
        <v>442</v>
      </c>
      <c r="F837" s="10" t="s">
        <v>2506</v>
      </c>
      <c r="G837" s="12" t="s">
        <v>2503</v>
      </c>
      <c r="H837" s="10" t="s">
        <v>222</v>
      </c>
      <c r="I837" s="10" t="s">
        <v>706</v>
      </c>
      <c r="J837" s="12" t="s">
        <v>46</v>
      </c>
      <c r="K837" s="10" t="s">
        <v>2485</v>
      </c>
      <c r="L837" s="10" t="s">
        <v>2507</v>
      </c>
      <c r="M837" s="10" t="s">
        <v>49</v>
      </c>
      <c r="N837" s="10" t="s">
        <v>442</v>
      </c>
      <c r="O837" s="10" t="s">
        <v>320</v>
      </c>
      <c r="P837" s="9" t="str">
        <f t="shared" si="28"/>
        <v>N/I</v>
      </c>
      <c r="Q837" s="9" t="str">
        <f t="shared" si="29"/>
        <v>N/I</v>
      </c>
      <c r="R837" s="9" t="str">
        <f t="shared" si="31"/>
        <v>N/I</v>
      </c>
    </row>
    <row r="838">
      <c r="A838" s="11" t="s">
        <v>2500</v>
      </c>
      <c r="B838" s="11" t="s">
        <v>2510</v>
      </c>
      <c r="C838" s="12" t="s">
        <v>448</v>
      </c>
      <c r="D838" s="13" t="s">
        <v>2511</v>
      </c>
      <c r="E838" s="10" t="s">
        <v>442</v>
      </c>
      <c r="F838" s="10" t="s">
        <v>2506</v>
      </c>
      <c r="G838" s="12" t="s">
        <v>463</v>
      </c>
      <c r="H838" s="10" t="s">
        <v>222</v>
      </c>
      <c r="I838" s="10" t="s">
        <v>706</v>
      </c>
      <c r="J838" s="12" t="s">
        <v>46</v>
      </c>
      <c r="K838" s="10" t="s">
        <v>2485</v>
      </c>
      <c r="L838" s="10" t="s">
        <v>2507</v>
      </c>
      <c r="M838" s="10" t="s">
        <v>49</v>
      </c>
      <c r="N838" s="10" t="s">
        <v>442</v>
      </c>
      <c r="O838" s="10" t="s">
        <v>320</v>
      </c>
      <c r="P838" s="9" t="str">
        <f t="shared" si="28"/>
        <v>N/I</v>
      </c>
      <c r="Q838" s="9" t="str">
        <f t="shared" si="29"/>
        <v>N/I</v>
      </c>
      <c r="R838" s="9" t="str">
        <f t="shared" si="31"/>
        <v>N/I</v>
      </c>
    </row>
    <row r="839">
      <c r="A839" s="11" t="s">
        <v>2500</v>
      </c>
      <c r="B839" s="11" t="s">
        <v>2514</v>
      </c>
      <c r="C839" s="12" t="s">
        <v>448</v>
      </c>
      <c r="D839" s="13" t="s">
        <v>2515</v>
      </c>
      <c r="E839" s="10" t="s">
        <v>442</v>
      </c>
      <c r="F839" s="10" t="s">
        <v>2506</v>
      </c>
      <c r="G839" s="12" t="s">
        <v>2516</v>
      </c>
      <c r="H839" s="10" t="s">
        <v>222</v>
      </c>
      <c r="I839" s="10" t="s">
        <v>706</v>
      </c>
      <c r="J839" s="12" t="s">
        <v>46</v>
      </c>
      <c r="K839" s="10" t="s">
        <v>2485</v>
      </c>
      <c r="L839" s="10" t="s">
        <v>2507</v>
      </c>
      <c r="M839" s="10" t="s">
        <v>49</v>
      </c>
      <c r="N839" s="10" t="s">
        <v>442</v>
      </c>
      <c r="O839" s="10" t="s">
        <v>320</v>
      </c>
      <c r="P839" s="9" t="str">
        <f t="shared" si="28"/>
        <v>N/I</v>
      </c>
      <c r="Q839" s="9" t="str">
        <f t="shared" si="29"/>
        <v>N/I</v>
      </c>
      <c r="R839" s="9" t="str">
        <f t="shared" si="31"/>
        <v>N/I</v>
      </c>
    </row>
    <row r="840">
      <c r="A840" s="11" t="s">
        <v>2520</v>
      </c>
      <c r="B840" s="32" t="s">
        <v>2521</v>
      </c>
      <c r="C840" s="12" t="s">
        <v>448</v>
      </c>
      <c r="D840" s="13" t="s">
        <v>2522</v>
      </c>
      <c r="E840" s="10" t="s">
        <v>664</v>
      </c>
      <c r="F840" s="10" t="s">
        <v>2525</v>
      </c>
      <c r="G840" s="12" t="s">
        <v>869</v>
      </c>
      <c r="H840" s="10" t="s">
        <v>870</v>
      </c>
      <c r="I840" s="16" t="s">
        <v>45</v>
      </c>
      <c r="J840" s="12" t="s">
        <v>46</v>
      </c>
      <c r="K840" s="10" t="s">
        <v>442</v>
      </c>
      <c r="L840" s="16" t="s">
        <v>45</v>
      </c>
      <c r="M840" s="10" t="s">
        <v>49</v>
      </c>
      <c r="N840" s="16" t="s">
        <v>45</v>
      </c>
      <c r="O840" s="10" t="s">
        <v>320</v>
      </c>
      <c r="P840" s="9" t="str">
        <f t="shared" si="28"/>
        <v>N/I</v>
      </c>
      <c r="Q840" s="9" t="str">
        <f t="shared" si="29"/>
        <v>N/I</v>
      </c>
      <c r="R840" s="9" t="str">
        <f t="shared" si="31"/>
        <v>N/I</v>
      </c>
    </row>
    <row r="841">
      <c r="A841" s="11" t="s">
        <v>2527</v>
      </c>
      <c r="B841" s="32" t="s">
        <v>2528</v>
      </c>
      <c r="C841" s="12" t="s">
        <v>52</v>
      </c>
      <c r="D841" s="27" t="s">
        <v>2529</v>
      </c>
      <c r="E841" s="10" t="s">
        <v>356</v>
      </c>
      <c r="F841" s="10" t="s">
        <v>2533</v>
      </c>
      <c r="G841" s="12" t="s">
        <v>2530</v>
      </c>
      <c r="H841" s="10" t="s">
        <v>197</v>
      </c>
      <c r="I841" s="16" t="s">
        <v>45</v>
      </c>
      <c r="J841" s="12" t="s">
        <v>355</v>
      </c>
      <c r="K841" s="16" t="s">
        <v>45</v>
      </c>
      <c r="L841" s="16" t="s">
        <v>45</v>
      </c>
      <c r="M841" s="10" t="s">
        <v>49</v>
      </c>
      <c r="N841" s="16" t="s">
        <v>45</v>
      </c>
      <c r="O841" s="10" t="s">
        <v>50</v>
      </c>
      <c r="P841" s="9" t="str">
        <f t="shared" si="28"/>
        <v>N/I</v>
      </c>
      <c r="Q841" s="9" t="str">
        <f t="shared" si="29"/>
        <v>N/I</v>
      </c>
      <c r="R841" s="9" t="str">
        <f t="shared" si="31"/>
        <v>N/I</v>
      </c>
    </row>
    <row r="842">
      <c r="A842" s="11" t="s">
        <v>2527</v>
      </c>
      <c r="B842" s="32" t="s">
        <v>2528</v>
      </c>
      <c r="C842" s="12" t="s">
        <v>52</v>
      </c>
      <c r="D842" s="27" t="s">
        <v>2534</v>
      </c>
      <c r="E842" s="10" t="s">
        <v>356</v>
      </c>
      <c r="F842" s="10" t="s">
        <v>2533</v>
      </c>
      <c r="G842" s="12" t="s">
        <v>2530</v>
      </c>
      <c r="H842" s="10" t="s">
        <v>197</v>
      </c>
      <c r="I842" s="16" t="s">
        <v>45</v>
      </c>
      <c r="J842" s="12" t="s">
        <v>355</v>
      </c>
      <c r="K842" s="16" t="s">
        <v>45</v>
      </c>
      <c r="L842" s="16" t="s">
        <v>45</v>
      </c>
      <c r="M842" s="10" t="s">
        <v>49</v>
      </c>
      <c r="N842" s="16" t="s">
        <v>45</v>
      </c>
      <c r="O842" s="10" t="s">
        <v>50</v>
      </c>
      <c r="P842" s="9" t="str">
        <f t="shared" si="28"/>
        <v>N/I</v>
      </c>
      <c r="Q842" s="9" t="str">
        <f t="shared" si="29"/>
        <v>N/I</v>
      </c>
      <c r="R842" s="9" t="str">
        <f t="shared" si="31"/>
        <v>N/I</v>
      </c>
    </row>
    <row r="843">
      <c r="A843" s="11" t="s">
        <v>2535</v>
      </c>
      <c r="B843" s="11" t="s">
        <v>2536</v>
      </c>
      <c r="C843" s="12" t="s">
        <v>55</v>
      </c>
      <c r="D843" s="13" t="s">
        <v>2537</v>
      </c>
      <c r="E843" s="16" t="s">
        <v>45</v>
      </c>
      <c r="F843" s="10" t="s">
        <v>2540</v>
      </c>
      <c r="G843" s="12" t="s">
        <v>790</v>
      </c>
      <c r="H843" s="10" t="s">
        <v>791</v>
      </c>
      <c r="I843" s="16" t="s">
        <v>45</v>
      </c>
      <c r="J843" s="16" t="s">
        <v>45</v>
      </c>
      <c r="K843" s="16" t="s">
        <v>45</v>
      </c>
      <c r="L843" s="16" t="s">
        <v>45</v>
      </c>
      <c r="M843" s="10" t="s">
        <v>49</v>
      </c>
      <c r="N843" s="16" t="s">
        <v>45</v>
      </c>
      <c r="O843" s="16" t="s">
        <v>45</v>
      </c>
      <c r="P843" s="9" t="str">
        <f t="shared" si="28"/>
        <v>N/I</v>
      </c>
      <c r="Q843" s="9" t="str">
        <f t="shared" si="29"/>
        <v>N/I</v>
      </c>
      <c r="R843" s="9" t="str">
        <f t="shared" si="31"/>
        <v>N/I</v>
      </c>
    </row>
    <row r="844">
      <c r="A844" s="11" t="s">
        <v>2535</v>
      </c>
      <c r="B844" s="11" t="s">
        <v>2541</v>
      </c>
      <c r="C844" s="12" t="s">
        <v>55</v>
      </c>
      <c r="D844" s="13" t="s">
        <v>2542</v>
      </c>
      <c r="E844" s="16" t="s">
        <v>45</v>
      </c>
      <c r="F844" s="10" t="s">
        <v>2540</v>
      </c>
      <c r="G844" s="12" t="s">
        <v>836</v>
      </c>
      <c r="H844" s="10" t="s">
        <v>837</v>
      </c>
      <c r="I844" s="16" t="s">
        <v>45</v>
      </c>
      <c r="J844" s="16" t="s">
        <v>45</v>
      </c>
      <c r="K844" s="16" t="s">
        <v>45</v>
      </c>
      <c r="L844" s="16" t="s">
        <v>45</v>
      </c>
      <c r="M844" s="10" t="s">
        <v>49</v>
      </c>
      <c r="N844" s="16" t="s">
        <v>45</v>
      </c>
      <c r="O844" s="16" t="s">
        <v>45</v>
      </c>
      <c r="P844" s="9" t="str">
        <f t="shared" si="28"/>
        <v>N/I</v>
      </c>
      <c r="Q844" s="9" t="str">
        <f t="shared" si="29"/>
        <v>N/I</v>
      </c>
      <c r="R844" s="9" t="str">
        <f t="shared" si="31"/>
        <v>N/I</v>
      </c>
    </row>
    <row r="845">
      <c r="A845" s="11" t="s">
        <v>2546</v>
      </c>
      <c r="B845" s="32" t="s">
        <v>2547</v>
      </c>
      <c r="C845" s="12" t="s">
        <v>94</v>
      </c>
      <c r="D845" s="13" t="s">
        <v>2548</v>
      </c>
      <c r="E845" s="16"/>
      <c r="F845" s="10" t="s">
        <v>2551</v>
      </c>
      <c r="G845" s="12" t="s">
        <v>720</v>
      </c>
      <c r="H845" s="10" t="s">
        <v>721</v>
      </c>
      <c r="I845" s="16"/>
      <c r="J845" s="16"/>
      <c r="K845" s="16"/>
      <c r="L845" s="16"/>
      <c r="M845" s="10"/>
      <c r="N845" s="16"/>
      <c r="O845" s="16"/>
      <c r="P845" s="9" t="str">
        <f t="shared" si="28"/>
        <v>N/I</v>
      </c>
      <c r="Q845" s="9" t="str">
        <f t="shared" si="29"/>
        <v>N/I</v>
      </c>
      <c r="R845" s="9" t="str">
        <f t="shared" si="31"/>
        <v>N/I</v>
      </c>
    </row>
    <row r="846">
      <c r="A846" s="11" t="s">
        <v>2546</v>
      </c>
      <c r="B846" s="32" t="s">
        <v>2547</v>
      </c>
      <c r="C846" s="12" t="s">
        <v>94</v>
      </c>
      <c r="D846" s="13" t="s">
        <v>2552</v>
      </c>
      <c r="E846" s="10" t="s">
        <v>227</v>
      </c>
      <c r="F846" s="10" t="s">
        <v>2554</v>
      </c>
      <c r="G846" s="12" t="s">
        <v>720</v>
      </c>
      <c r="H846" s="10" t="s">
        <v>721</v>
      </c>
      <c r="I846" s="10" t="s">
        <v>680</v>
      </c>
      <c r="J846" s="12" t="s">
        <v>355</v>
      </c>
      <c r="K846" s="10" t="s">
        <v>717</v>
      </c>
      <c r="L846" s="16" t="s">
        <v>45</v>
      </c>
      <c r="M846" s="10" t="s">
        <v>49</v>
      </c>
      <c r="N846" s="16" t="s">
        <v>45</v>
      </c>
      <c r="O846" s="10" t="s">
        <v>320</v>
      </c>
      <c r="P846" s="9" t="str">
        <f t="shared" si="28"/>
        <v>N/I</v>
      </c>
      <c r="Q846" s="9" t="str">
        <f t="shared" si="29"/>
        <v>N/I</v>
      </c>
      <c r="R846" s="9" t="str">
        <f t="shared" si="31"/>
        <v>N/I</v>
      </c>
    </row>
    <row r="847">
      <c r="A847" s="11" t="s">
        <v>2546</v>
      </c>
      <c r="B847" s="32" t="s">
        <v>2555</v>
      </c>
      <c r="C847" s="12" t="s">
        <v>94</v>
      </c>
      <c r="D847" s="27">
        <v>150311.0</v>
      </c>
      <c r="E847" s="10" t="s">
        <v>227</v>
      </c>
      <c r="F847" s="10" t="s">
        <v>2558</v>
      </c>
      <c r="G847" s="12" t="s">
        <v>1469</v>
      </c>
      <c r="H847" s="10" t="s">
        <v>208</v>
      </c>
      <c r="I847" s="10" t="s">
        <v>680</v>
      </c>
      <c r="J847" s="12" t="s">
        <v>355</v>
      </c>
      <c r="K847" s="10" t="s">
        <v>717</v>
      </c>
      <c r="L847" s="16" t="s">
        <v>45</v>
      </c>
      <c r="M847" s="10" t="s">
        <v>49</v>
      </c>
      <c r="N847" s="16" t="s">
        <v>45</v>
      </c>
      <c r="O847" s="10" t="s">
        <v>320</v>
      </c>
      <c r="P847" s="9" t="str">
        <f t="shared" si="28"/>
        <v>N/I</v>
      </c>
      <c r="Q847" s="9" t="str">
        <f t="shared" si="29"/>
        <v>N/I</v>
      </c>
      <c r="R847" s="9" t="str">
        <f t="shared" si="31"/>
        <v>N/I</v>
      </c>
    </row>
    <row r="848">
      <c r="A848" s="11" t="s">
        <v>2560</v>
      </c>
      <c r="B848" s="32" t="s">
        <v>2561</v>
      </c>
      <c r="C848" s="12" t="s">
        <v>55</v>
      </c>
      <c r="D848" s="13" t="s">
        <v>2562</v>
      </c>
      <c r="E848" s="12" t="s">
        <v>2567</v>
      </c>
      <c r="F848" s="10" t="s">
        <v>2565</v>
      </c>
      <c r="G848" s="12" t="s">
        <v>246</v>
      </c>
      <c r="H848" s="10" t="s">
        <v>247</v>
      </c>
      <c r="I848" s="10" t="s">
        <v>354</v>
      </c>
      <c r="J848" s="12" t="s">
        <v>2566</v>
      </c>
      <c r="K848" s="10" t="s">
        <v>226</v>
      </c>
      <c r="L848" s="16" t="s">
        <v>45</v>
      </c>
      <c r="M848" s="10" t="s">
        <v>49</v>
      </c>
      <c r="N848" s="10" t="s">
        <v>1179</v>
      </c>
      <c r="O848" s="10" t="s">
        <v>320</v>
      </c>
      <c r="P848" s="9" t="str">
        <f t="shared" si="28"/>
        <v>N/I</v>
      </c>
      <c r="Q848" s="9" t="str">
        <f t="shared" si="29"/>
        <v>N/I</v>
      </c>
      <c r="R848" s="9" t="str">
        <f t="shared" si="31"/>
        <v>N/I</v>
      </c>
    </row>
    <row r="849">
      <c r="A849" s="11" t="s">
        <v>2560</v>
      </c>
      <c r="B849" s="32" t="s">
        <v>2561</v>
      </c>
      <c r="C849" s="12" t="s">
        <v>55</v>
      </c>
      <c r="D849" s="13" t="s">
        <v>2568</v>
      </c>
      <c r="E849" s="12" t="s">
        <v>2567</v>
      </c>
      <c r="F849" s="10" t="s">
        <v>2565</v>
      </c>
      <c r="G849" s="12" t="s">
        <v>246</v>
      </c>
      <c r="H849" s="10" t="s">
        <v>247</v>
      </c>
      <c r="I849" s="10" t="s">
        <v>354</v>
      </c>
      <c r="J849" s="12" t="s">
        <v>2566</v>
      </c>
      <c r="K849" s="10" t="s">
        <v>226</v>
      </c>
      <c r="L849" s="16" t="s">
        <v>45</v>
      </c>
      <c r="M849" s="10" t="s">
        <v>49</v>
      </c>
      <c r="N849" s="10" t="s">
        <v>1179</v>
      </c>
      <c r="O849" s="10" t="s">
        <v>320</v>
      </c>
      <c r="P849" s="9" t="str">
        <f t="shared" si="28"/>
        <v>N/I</v>
      </c>
      <c r="Q849" s="9" t="str">
        <f t="shared" si="29"/>
        <v>N/I</v>
      </c>
      <c r="R849" s="9" t="str">
        <f t="shared" si="31"/>
        <v>N/I</v>
      </c>
    </row>
    <row r="850">
      <c r="A850" s="11" t="s">
        <v>2560</v>
      </c>
      <c r="B850" s="32" t="s">
        <v>2561</v>
      </c>
      <c r="C850" s="12" t="s">
        <v>55</v>
      </c>
      <c r="D850" s="13" t="s">
        <v>2569</v>
      </c>
      <c r="E850" s="12" t="s">
        <v>2567</v>
      </c>
      <c r="F850" s="10" t="s">
        <v>2565</v>
      </c>
      <c r="G850" s="12" t="s">
        <v>246</v>
      </c>
      <c r="H850" s="10" t="s">
        <v>247</v>
      </c>
      <c r="I850" s="10" t="s">
        <v>354</v>
      </c>
      <c r="J850" s="12" t="s">
        <v>2566</v>
      </c>
      <c r="K850" s="10" t="s">
        <v>226</v>
      </c>
      <c r="L850" s="16" t="s">
        <v>45</v>
      </c>
      <c r="M850" s="10" t="s">
        <v>49</v>
      </c>
      <c r="N850" s="10" t="s">
        <v>1179</v>
      </c>
      <c r="O850" s="10" t="s">
        <v>320</v>
      </c>
      <c r="P850" s="9" t="str">
        <f t="shared" si="28"/>
        <v>N/I</v>
      </c>
      <c r="Q850" s="9" t="str">
        <f t="shared" si="29"/>
        <v>N/I</v>
      </c>
      <c r="R850" s="9" t="str">
        <f t="shared" si="31"/>
        <v>N/I</v>
      </c>
    </row>
    <row r="851">
      <c r="A851" s="11" t="s">
        <v>2572</v>
      </c>
      <c r="B851" s="32" t="s">
        <v>2573</v>
      </c>
      <c r="C851" s="12" t="s">
        <v>52</v>
      </c>
      <c r="D851" s="34" t="s">
        <v>2574</v>
      </c>
      <c r="E851" s="16" t="s">
        <v>45</v>
      </c>
      <c r="F851" s="10" t="s">
        <v>2578</v>
      </c>
      <c r="G851" s="12" t="s">
        <v>2575</v>
      </c>
      <c r="H851" s="10" t="s">
        <v>197</v>
      </c>
      <c r="I851" s="16" t="s">
        <v>45</v>
      </c>
      <c r="J851" s="16" t="s">
        <v>45</v>
      </c>
      <c r="K851" s="16" t="s">
        <v>45</v>
      </c>
      <c r="L851" s="16" t="s">
        <v>45</v>
      </c>
      <c r="M851" s="16" t="s">
        <v>45</v>
      </c>
      <c r="N851" s="16" t="s">
        <v>45</v>
      </c>
      <c r="O851" s="16" t="s">
        <v>45</v>
      </c>
      <c r="P851" s="9" t="str">
        <f t="shared" si="28"/>
        <v>N/I</v>
      </c>
      <c r="Q851" s="9" t="str">
        <f t="shared" si="29"/>
        <v>N/I</v>
      </c>
      <c r="R851" s="9" t="str">
        <f t="shared" si="31"/>
        <v>N/I</v>
      </c>
    </row>
    <row r="852">
      <c r="A852" s="11" t="s">
        <v>2572</v>
      </c>
      <c r="B852" s="32" t="s">
        <v>2579</v>
      </c>
      <c r="C852" s="12" t="s">
        <v>52</v>
      </c>
      <c r="D852" s="34" t="s">
        <v>2580</v>
      </c>
      <c r="E852" s="10" t="s">
        <v>2583</v>
      </c>
      <c r="F852" s="10" t="s">
        <v>2582</v>
      </c>
      <c r="G852" s="12" t="s">
        <v>2575</v>
      </c>
      <c r="H852" s="10" t="s">
        <v>197</v>
      </c>
      <c r="I852" s="16" t="s">
        <v>45</v>
      </c>
      <c r="J852" s="12" t="s">
        <v>46</v>
      </c>
      <c r="K852" s="16" t="s">
        <v>45</v>
      </c>
      <c r="L852" s="16" t="s">
        <v>45</v>
      </c>
      <c r="M852" s="10" t="s">
        <v>49</v>
      </c>
      <c r="N852" s="16" t="s">
        <v>45</v>
      </c>
      <c r="O852" s="16" t="s">
        <v>45</v>
      </c>
      <c r="P852" s="9" t="str">
        <f t="shared" si="28"/>
        <v>N/I</v>
      </c>
      <c r="Q852" s="9" t="str">
        <f t="shared" si="29"/>
        <v>N/I</v>
      </c>
      <c r="R852" s="9" t="str">
        <f t="shared" si="31"/>
        <v>N/I</v>
      </c>
    </row>
    <row r="853">
      <c r="A853" s="11" t="s">
        <v>2572</v>
      </c>
      <c r="B853" s="32" t="s">
        <v>2579</v>
      </c>
      <c r="C853" s="12" t="s">
        <v>52</v>
      </c>
      <c r="D853" s="34" t="s">
        <v>2584</v>
      </c>
      <c r="E853" s="10" t="s">
        <v>2583</v>
      </c>
      <c r="F853" s="10" t="s">
        <v>2582</v>
      </c>
      <c r="G853" s="12" t="s">
        <v>2575</v>
      </c>
      <c r="H853" s="10" t="s">
        <v>197</v>
      </c>
      <c r="I853" s="16" t="s">
        <v>45</v>
      </c>
      <c r="J853" s="12" t="s">
        <v>46</v>
      </c>
      <c r="K853" s="16" t="s">
        <v>45</v>
      </c>
      <c r="L853" s="16" t="s">
        <v>45</v>
      </c>
      <c r="M853" s="10" t="s">
        <v>49</v>
      </c>
      <c r="N853" s="16" t="s">
        <v>45</v>
      </c>
      <c r="O853" s="16" t="s">
        <v>45</v>
      </c>
      <c r="P853" s="9" t="str">
        <f t="shared" si="28"/>
        <v>N/I</v>
      </c>
      <c r="Q853" s="9" t="str">
        <f t="shared" si="29"/>
        <v>N/I</v>
      </c>
      <c r="R853" s="9" t="str">
        <f t="shared" si="31"/>
        <v>N/I</v>
      </c>
    </row>
    <row r="854">
      <c r="A854" s="11" t="s">
        <v>2572</v>
      </c>
      <c r="B854" s="32" t="s">
        <v>2573</v>
      </c>
      <c r="C854" s="12" t="s">
        <v>52</v>
      </c>
      <c r="D854" s="13" t="s">
        <v>2585</v>
      </c>
      <c r="E854" s="10" t="s">
        <v>2583</v>
      </c>
      <c r="F854" s="10" t="s">
        <v>2587</v>
      </c>
      <c r="G854" s="12" t="s">
        <v>2575</v>
      </c>
      <c r="H854" s="10" t="s">
        <v>197</v>
      </c>
      <c r="I854" s="16" t="s">
        <v>45</v>
      </c>
      <c r="J854" s="12" t="s">
        <v>46</v>
      </c>
      <c r="K854" s="16" t="s">
        <v>45</v>
      </c>
      <c r="L854" s="16" t="s">
        <v>45</v>
      </c>
      <c r="M854" s="16" t="s">
        <v>45</v>
      </c>
      <c r="N854" s="16" t="s">
        <v>45</v>
      </c>
      <c r="O854" s="10" t="s">
        <v>50</v>
      </c>
      <c r="P854" s="9" t="str">
        <f t="shared" si="28"/>
        <v>N/I</v>
      </c>
      <c r="Q854" s="9" t="str">
        <f t="shared" si="29"/>
        <v>N/I</v>
      </c>
      <c r="R854" s="9" t="str">
        <f t="shared" si="31"/>
        <v>N/I</v>
      </c>
    </row>
    <row r="855">
      <c r="A855" s="11" t="s">
        <v>2572</v>
      </c>
      <c r="B855" s="11" t="s">
        <v>2588</v>
      </c>
      <c r="C855" s="12" t="s">
        <v>68</v>
      </c>
      <c r="D855" s="27" t="s">
        <v>2589</v>
      </c>
      <c r="E855" s="16" t="s">
        <v>45</v>
      </c>
      <c r="F855" s="10" t="s">
        <v>2593</v>
      </c>
      <c r="G855" s="12" t="s">
        <v>2590</v>
      </c>
      <c r="H855" s="10" t="s">
        <v>132</v>
      </c>
      <c r="I855" s="16" t="s">
        <v>45</v>
      </c>
      <c r="J855" s="16" t="s">
        <v>45</v>
      </c>
      <c r="K855" s="16" t="s">
        <v>45</v>
      </c>
      <c r="L855" s="16" t="s">
        <v>45</v>
      </c>
      <c r="M855" s="16" t="s">
        <v>45</v>
      </c>
      <c r="N855" s="16" t="s">
        <v>45</v>
      </c>
      <c r="O855" s="10" t="s">
        <v>50</v>
      </c>
      <c r="P855" s="9" t="str">
        <f t="shared" si="28"/>
        <v>N/I</v>
      </c>
      <c r="Q855" s="9" t="str">
        <f t="shared" si="29"/>
        <v>N/I</v>
      </c>
      <c r="R855" s="9" t="str">
        <f t="shared" si="31"/>
        <v>N/I</v>
      </c>
    </row>
    <row r="856">
      <c r="A856" s="11" t="s">
        <v>2572</v>
      </c>
      <c r="B856" s="32" t="s">
        <v>2594</v>
      </c>
      <c r="C856" s="12" t="s">
        <v>52</v>
      </c>
      <c r="D856" s="36" t="s">
        <v>2595</v>
      </c>
      <c r="E856" s="10" t="s">
        <v>2583</v>
      </c>
      <c r="F856" s="12" t="s">
        <v>2598</v>
      </c>
      <c r="G856" s="12" t="s">
        <v>799</v>
      </c>
      <c r="H856" s="10" t="s">
        <v>197</v>
      </c>
      <c r="I856" s="10" t="s">
        <v>680</v>
      </c>
      <c r="J856" s="12" t="s">
        <v>355</v>
      </c>
      <c r="K856" s="10" t="s">
        <v>717</v>
      </c>
      <c r="L856" s="16" t="s">
        <v>45</v>
      </c>
      <c r="M856" s="10" t="s">
        <v>49</v>
      </c>
      <c r="N856" s="16" t="s">
        <v>45</v>
      </c>
      <c r="O856" s="10" t="s">
        <v>50</v>
      </c>
      <c r="P856" s="9" t="str">
        <f t="shared" si="28"/>
        <v>N/I</v>
      </c>
      <c r="Q856" s="9" t="str">
        <f t="shared" si="29"/>
        <v>N/I</v>
      </c>
      <c r="R856" s="9" t="str">
        <f t="shared" si="31"/>
        <v>N/I</v>
      </c>
    </row>
    <row r="857">
      <c r="A857" s="11" t="s">
        <v>2572</v>
      </c>
      <c r="B857" s="32" t="s">
        <v>2594</v>
      </c>
      <c r="C857" s="12" t="s">
        <v>52</v>
      </c>
      <c r="D857" s="36" t="s">
        <v>2599</v>
      </c>
      <c r="E857" s="10" t="s">
        <v>2583</v>
      </c>
      <c r="F857" s="12" t="s">
        <v>2601</v>
      </c>
      <c r="G857" s="12" t="s">
        <v>799</v>
      </c>
      <c r="H857" s="10" t="s">
        <v>197</v>
      </c>
      <c r="I857" s="10" t="s">
        <v>680</v>
      </c>
      <c r="J857" s="12" t="s">
        <v>355</v>
      </c>
      <c r="K857" s="10" t="s">
        <v>717</v>
      </c>
      <c r="L857" s="16" t="s">
        <v>45</v>
      </c>
      <c r="M857" s="10" t="s">
        <v>49</v>
      </c>
      <c r="N857" s="16" t="s">
        <v>45</v>
      </c>
      <c r="O857" s="10" t="s">
        <v>50</v>
      </c>
      <c r="P857" s="9" t="str">
        <f t="shared" si="28"/>
        <v>N/I</v>
      </c>
      <c r="Q857" s="9" t="str">
        <f t="shared" si="29"/>
        <v>N/I</v>
      </c>
      <c r="R857" s="9" t="str">
        <f t="shared" si="31"/>
        <v>N/I</v>
      </c>
    </row>
    <row r="858">
      <c r="A858" s="11" t="s">
        <v>2572</v>
      </c>
      <c r="B858" s="32" t="s">
        <v>2594</v>
      </c>
      <c r="C858" s="12" t="s">
        <v>52</v>
      </c>
      <c r="D858" s="36" t="s">
        <v>2602</v>
      </c>
      <c r="E858" s="10" t="s">
        <v>2605</v>
      </c>
      <c r="F858" s="10" t="s">
        <v>2604</v>
      </c>
      <c r="G858" s="12" t="s">
        <v>799</v>
      </c>
      <c r="H858" s="10" t="s">
        <v>197</v>
      </c>
      <c r="I858" s="16" t="s">
        <v>45</v>
      </c>
      <c r="J858" s="12" t="s">
        <v>355</v>
      </c>
      <c r="K858" s="10" t="s">
        <v>227</v>
      </c>
      <c r="L858" s="16" t="s">
        <v>45</v>
      </c>
      <c r="M858" s="10" t="s">
        <v>49</v>
      </c>
      <c r="N858" s="16" t="s">
        <v>45</v>
      </c>
      <c r="O858" s="10" t="s">
        <v>50</v>
      </c>
      <c r="P858" s="9" t="str">
        <f t="shared" si="28"/>
        <v>N/I</v>
      </c>
      <c r="Q858" s="9" t="str">
        <f t="shared" si="29"/>
        <v>N/I</v>
      </c>
      <c r="R858" s="9" t="str">
        <f t="shared" si="31"/>
        <v>N/I</v>
      </c>
    </row>
    <row r="859">
      <c r="A859" s="11" t="s">
        <v>2572</v>
      </c>
      <c r="B859" s="32" t="s">
        <v>2573</v>
      </c>
      <c r="C859" s="12" t="s">
        <v>52</v>
      </c>
      <c r="D859" s="36" t="s">
        <v>2606</v>
      </c>
      <c r="E859" s="10" t="s">
        <v>2583</v>
      </c>
      <c r="F859" s="10" t="s">
        <v>2609</v>
      </c>
      <c r="G859" s="12" t="s">
        <v>2575</v>
      </c>
      <c r="H859" s="10" t="s">
        <v>197</v>
      </c>
      <c r="I859" s="10" t="s">
        <v>680</v>
      </c>
      <c r="J859" s="12" t="s">
        <v>355</v>
      </c>
      <c r="K859" s="10" t="s">
        <v>717</v>
      </c>
      <c r="L859" s="16" t="s">
        <v>45</v>
      </c>
      <c r="M859" s="10" t="s">
        <v>49</v>
      </c>
      <c r="N859" s="16" t="s">
        <v>45</v>
      </c>
      <c r="O859" s="10" t="s">
        <v>320</v>
      </c>
      <c r="P859" s="9" t="str">
        <f t="shared" si="28"/>
        <v>N/I</v>
      </c>
      <c r="Q859" s="9" t="str">
        <f t="shared" si="29"/>
        <v>N/I</v>
      </c>
      <c r="R859" s="9" t="str">
        <f t="shared" si="31"/>
        <v>N/I</v>
      </c>
    </row>
    <row r="860">
      <c r="A860" s="11" t="s">
        <v>2572</v>
      </c>
      <c r="B860" s="32" t="s">
        <v>2594</v>
      </c>
      <c r="C860" s="12" t="s">
        <v>52</v>
      </c>
      <c r="D860" s="36" t="s">
        <v>2610</v>
      </c>
      <c r="E860" s="10" t="s">
        <v>2605</v>
      </c>
      <c r="F860" s="10" t="s">
        <v>2611</v>
      </c>
      <c r="G860" s="12" t="s">
        <v>799</v>
      </c>
      <c r="H860" s="10" t="s">
        <v>197</v>
      </c>
      <c r="I860" s="16" t="s">
        <v>45</v>
      </c>
      <c r="J860" s="12" t="s">
        <v>355</v>
      </c>
      <c r="K860" s="10" t="s">
        <v>227</v>
      </c>
      <c r="L860" s="16" t="s">
        <v>45</v>
      </c>
      <c r="M860" s="10" t="s">
        <v>49</v>
      </c>
      <c r="N860" s="16" t="s">
        <v>45</v>
      </c>
      <c r="O860" s="10" t="s">
        <v>50</v>
      </c>
      <c r="P860" s="9" t="str">
        <f t="shared" si="28"/>
        <v>N/I</v>
      </c>
      <c r="Q860" s="9" t="str">
        <f t="shared" si="29"/>
        <v>N/I</v>
      </c>
      <c r="R860" s="9" t="str">
        <f t="shared" si="31"/>
        <v>N/I</v>
      </c>
    </row>
    <row r="861">
      <c r="A861" s="11" t="s">
        <v>2572</v>
      </c>
      <c r="B861" s="32" t="s">
        <v>2594</v>
      </c>
      <c r="C861" s="12" t="s">
        <v>52</v>
      </c>
      <c r="D861" s="36" t="s">
        <v>2612</v>
      </c>
      <c r="E861" s="10" t="s">
        <v>2605</v>
      </c>
      <c r="F861" s="12" t="s">
        <v>2614</v>
      </c>
      <c r="G861" s="12" t="s">
        <v>799</v>
      </c>
      <c r="H861" s="10" t="s">
        <v>197</v>
      </c>
      <c r="I861" s="10" t="s">
        <v>680</v>
      </c>
      <c r="J861" s="12" t="s">
        <v>355</v>
      </c>
      <c r="K861" s="10" t="s">
        <v>227</v>
      </c>
      <c r="L861" s="16" t="s">
        <v>45</v>
      </c>
      <c r="M861" s="10" t="s">
        <v>49</v>
      </c>
      <c r="N861" s="16" t="s">
        <v>45</v>
      </c>
      <c r="O861" s="10" t="s">
        <v>50</v>
      </c>
      <c r="P861" s="9" t="str">
        <f t="shared" si="28"/>
        <v>N/I</v>
      </c>
      <c r="Q861" s="9" t="str">
        <f t="shared" si="29"/>
        <v>N/I</v>
      </c>
      <c r="R861" s="9" t="str">
        <f t="shared" si="31"/>
        <v>N/I</v>
      </c>
    </row>
    <row r="862">
      <c r="A862" s="11" t="s">
        <v>2572</v>
      </c>
      <c r="B862" s="32" t="s">
        <v>2615</v>
      </c>
      <c r="C862" s="12" t="s">
        <v>52</v>
      </c>
      <c r="D862" s="20" t="s">
        <v>2616</v>
      </c>
      <c r="E862" s="10" t="s">
        <v>2583</v>
      </c>
      <c r="F862" s="12" t="s">
        <v>2620</v>
      </c>
      <c r="G862" s="12" t="s">
        <v>799</v>
      </c>
      <c r="H862" s="10" t="s">
        <v>197</v>
      </c>
      <c r="I862" s="10" t="s">
        <v>680</v>
      </c>
      <c r="J862" s="12" t="s">
        <v>355</v>
      </c>
      <c r="K862" s="10" t="s">
        <v>717</v>
      </c>
      <c r="L862" s="16" t="s">
        <v>45</v>
      </c>
      <c r="M862" s="10" t="s">
        <v>49</v>
      </c>
      <c r="N862" s="16" t="s">
        <v>45</v>
      </c>
      <c r="O862" s="10" t="s">
        <v>50</v>
      </c>
      <c r="P862" s="9" t="str">
        <f t="shared" si="28"/>
        <v>N/I</v>
      </c>
      <c r="Q862" s="9" t="str">
        <f t="shared" si="29"/>
        <v>N/I</v>
      </c>
      <c r="R862" s="9" t="str">
        <f t="shared" si="31"/>
        <v>N/I</v>
      </c>
    </row>
    <row r="863">
      <c r="A863" s="11" t="s">
        <v>2572</v>
      </c>
      <c r="B863" s="11" t="s">
        <v>2594</v>
      </c>
      <c r="C863" s="12" t="s">
        <v>68</v>
      </c>
      <c r="D863" s="27" t="s">
        <v>2621</v>
      </c>
      <c r="E863" s="16" t="s">
        <v>45</v>
      </c>
      <c r="F863" s="12" t="s">
        <v>2623</v>
      </c>
      <c r="G863" s="12" t="s">
        <v>799</v>
      </c>
      <c r="H863" s="10" t="s">
        <v>197</v>
      </c>
      <c r="I863" s="16" t="s">
        <v>45</v>
      </c>
      <c r="J863" s="16" t="s">
        <v>45</v>
      </c>
      <c r="K863" s="16" t="s">
        <v>45</v>
      </c>
      <c r="L863" s="16" t="s">
        <v>45</v>
      </c>
      <c r="M863" s="16" t="s">
        <v>45</v>
      </c>
      <c r="N863" s="16" t="s">
        <v>45</v>
      </c>
      <c r="O863" s="10" t="s">
        <v>50</v>
      </c>
      <c r="P863" s="9" t="str">
        <f t="shared" si="28"/>
        <v>N/I</v>
      </c>
      <c r="Q863" s="9" t="str">
        <f t="shared" si="29"/>
        <v>N/I</v>
      </c>
      <c r="R863" s="9" t="str">
        <f t="shared" si="31"/>
        <v>N/I</v>
      </c>
    </row>
    <row r="864">
      <c r="A864" s="11" t="s">
        <v>2572</v>
      </c>
      <c r="B864" s="11" t="s">
        <v>2594</v>
      </c>
      <c r="C864" s="12" t="s">
        <v>52</v>
      </c>
      <c r="D864" s="20" t="s">
        <v>2624</v>
      </c>
      <c r="E864" s="10" t="s">
        <v>227</v>
      </c>
      <c r="F864" s="10" t="s">
        <v>2626</v>
      </c>
      <c r="G864" s="12" t="s">
        <v>799</v>
      </c>
      <c r="H864" s="10" t="s">
        <v>197</v>
      </c>
      <c r="I864" s="10" t="s">
        <v>354</v>
      </c>
      <c r="J864" s="12" t="s">
        <v>355</v>
      </c>
      <c r="K864" s="10" t="s">
        <v>717</v>
      </c>
      <c r="L864" s="16" t="s">
        <v>45</v>
      </c>
      <c r="M864" s="10" t="s">
        <v>49</v>
      </c>
      <c r="N864" s="16" t="s">
        <v>45</v>
      </c>
      <c r="O864" s="10" t="s">
        <v>50</v>
      </c>
      <c r="P864" s="9" t="str">
        <f t="shared" si="28"/>
        <v>N/I</v>
      </c>
      <c r="Q864" s="9" t="str">
        <f t="shared" si="29"/>
        <v>N/I</v>
      </c>
      <c r="R864" s="9" t="str">
        <f t="shared" si="31"/>
        <v>N/I</v>
      </c>
    </row>
    <row r="865">
      <c r="A865" s="11" t="s">
        <v>2572</v>
      </c>
      <c r="B865" s="32" t="s">
        <v>2627</v>
      </c>
      <c r="C865" s="12" t="s">
        <v>52</v>
      </c>
      <c r="D865" s="36" t="s">
        <v>2628</v>
      </c>
      <c r="E865" s="10" t="s">
        <v>2583</v>
      </c>
      <c r="F865" s="10" t="s">
        <v>2609</v>
      </c>
      <c r="G865" s="12" t="s">
        <v>2629</v>
      </c>
      <c r="H865" s="10" t="s">
        <v>197</v>
      </c>
      <c r="I865" s="10" t="s">
        <v>680</v>
      </c>
      <c r="J865" s="12" t="s">
        <v>355</v>
      </c>
      <c r="K865" s="10" t="s">
        <v>717</v>
      </c>
      <c r="L865" s="16" t="s">
        <v>45</v>
      </c>
      <c r="M865" s="10" t="s">
        <v>49</v>
      </c>
      <c r="N865" s="16" t="s">
        <v>45</v>
      </c>
      <c r="O865" s="10" t="s">
        <v>320</v>
      </c>
      <c r="P865" s="9" t="str">
        <f t="shared" si="28"/>
        <v>N/I</v>
      </c>
      <c r="Q865" s="9" t="str">
        <f t="shared" si="29"/>
        <v>N/I</v>
      </c>
      <c r="R865" s="9" t="str">
        <f t="shared" si="31"/>
        <v>N/I</v>
      </c>
    </row>
    <row r="866">
      <c r="A866" s="11" t="s">
        <v>2572</v>
      </c>
      <c r="B866" s="32" t="s">
        <v>2632</v>
      </c>
      <c r="C866" s="12" t="s">
        <v>52</v>
      </c>
      <c r="D866" s="13" t="s">
        <v>2633</v>
      </c>
      <c r="E866" s="10" t="s">
        <v>2583</v>
      </c>
      <c r="F866" s="10" t="s">
        <v>2637</v>
      </c>
      <c r="G866" s="12" t="s">
        <v>2634</v>
      </c>
      <c r="H866" s="10" t="s">
        <v>216</v>
      </c>
      <c r="I866" s="16" t="s">
        <v>45</v>
      </c>
      <c r="J866" s="12" t="s">
        <v>46</v>
      </c>
      <c r="K866" s="16" t="s">
        <v>45</v>
      </c>
      <c r="L866" s="16" t="s">
        <v>45</v>
      </c>
      <c r="M866" s="16" t="s">
        <v>45</v>
      </c>
      <c r="N866" s="16" t="s">
        <v>45</v>
      </c>
      <c r="O866" s="10" t="s">
        <v>50</v>
      </c>
      <c r="P866" s="9" t="str">
        <f t="shared" si="28"/>
        <v>N/I</v>
      </c>
      <c r="Q866" s="9" t="str">
        <f t="shared" si="29"/>
        <v>N/I</v>
      </c>
      <c r="R866" s="9" t="str">
        <f t="shared" si="31"/>
        <v>N/I</v>
      </c>
    </row>
    <row r="867">
      <c r="A867" s="11" t="s">
        <v>2572</v>
      </c>
      <c r="B867" s="32" t="s">
        <v>2638</v>
      </c>
      <c r="C867" s="12" t="s">
        <v>52</v>
      </c>
      <c r="D867" s="36" t="s">
        <v>2639</v>
      </c>
      <c r="E867" s="10" t="s">
        <v>2583</v>
      </c>
      <c r="F867" s="12" t="s">
        <v>2598</v>
      </c>
      <c r="G867" s="12" t="s">
        <v>561</v>
      </c>
      <c r="H867" s="10" t="s">
        <v>562</v>
      </c>
      <c r="I867" s="10" t="s">
        <v>680</v>
      </c>
      <c r="J867" s="12" t="s">
        <v>355</v>
      </c>
      <c r="K867" s="10" t="s">
        <v>717</v>
      </c>
      <c r="L867" s="16" t="s">
        <v>45</v>
      </c>
      <c r="M867" s="10" t="s">
        <v>49</v>
      </c>
      <c r="N867" s="16" t="s">
        <v>45</v>
      </c>
      <c r="O867" s="10" t="s">
        <v>50</v>
      </c>
      <c r="P867" s="9" t="str">
        <f t="shared" si="28"/>
        <v>N/I</v>
      </c>
      <c r="Q867" s="9" t="str">
        <f t="shared" si="29"/>
        <v>N/I</v>
      </c>
      <c r="R867" s="9" t="str">
        <f t="shared" si="31"/>
        <v>N/I</v>
      </c>
    </row>
    <row r="868">
      <c r="A868" s="11" t="s">
        <v>2572</v>
      </c>
      <c r="B868" s="32" t="s">
        <v>2642</v>
      </c>
      <c r="C868" s="12" t="s">
        <v>52</v>
      </c>
      <c r="D868" s="36" t="s">
        <v>2643</v>
      </c>
      <c r="E868" s="10" t="s">
        <v>2583</v>
      </c>
      <c r="F868" s="10" t="s">
        <v>2609</v>
      </c>
      <c r="G868" s="12" t="s">
        <v>324</v>
      </c>
      <c r="H868" s="10" t="s">
        <v>197</v>
      </c>
      <c r="I868" s="10" t="s">
        <v>680</v>
      </c>
      <c r="J868" s="12" t="s">
        <v>355</v>
      </c>
      <c r="K868" s="10" t="s">
        <v>717</v>
      </c>
      <c r="L868" s="16" t="s">
        <v>45</v>
      </c>
      <c r="M868" s="10" t="s">
        <v>49</v>
      </c>
      <c r="N868" s="16" t="s">
        <v>45</v>
      </c>
      <c r="O868" s="10" t="s">
        <v>320</v>
      </c>
      <c r="P868" s="9" t="str">
        <f t="shared" si="28"/>
        <v>N/I</v>
      </c>
      <c r="Q868" s="9" t="str">
        <f t="shared" si="29"/>
        <v>N/I</v>
      </c>
      <c r="R868" s="9" t="str">
        <f t="shared" si="31"/>
        <v>N/I</v>
      </c>
    </row>
    <row r="869">
      <c r="A869" s="11" t="s">
        <v>2572</v>
      </c>
      <c r="B869" s="32" t="s">
        <v>2642</v>
      </c>
      <c r="C869" s="12" t="s">
        <v>52</v>
      </c>
      <c r="D869" s="36" t="s">
        <v>2646</v>
      </c>
      <c r="E869" s="10" t="s">
        <v>2583</v>
      </c>
      <c r="F869" s="12" t="s">
        <v>2601</v>
      </c>
      <c r="G869" s="12" t="s">
        <v>324</v>
      </c>
      <c r="H869" s="10" t="s">
        <v>197</v>
      </c>
      <c r="I869" s="10" t="s">
        <v>680</v>
      </c>
      <c r="J869" s="12" t="s">
        <v>355</v>
      </c>
      <c r="K869" s="10" t="s">
        <v>717</v>
      </c>
      <c r="L869" s="16" t="s">
        <v>45</v>
      </c>
      <c r="M869" s="10" t="s">
        <v>49</v>
      </c>
      <c r="N869" s="16" t="s">
        <v>45</v>
      </c>
      <c r="O869" s="10" t="s">
        <v>50</v>
      </c>
      <c r="P869" s="9" t="str">
        <f t="shared" si="28"/>
        <v>N/I</v>
      </c>
      <c r="Q869" s="9" t="str">
        <f t="shared" si="29"/>
        <v>N/I</v>
      </c>
      <c r="R869" s="9" t="str">
        <f t="shared" si="31"/>
        <v>N/I</v>
      </c>
    </row>
    <row r="870">
      <c r="A870" s="11" t="s">
        <v>2572</v>
      </c>
      <c r="B870" s="32" t="s">
        <v>2649</v>
      </c>
      <c r="C870" s="12" t="s">
        <v>52</v>
      </c>
      <c r="D870" s="36" t="s">
        <v>2650</v>
      </c>
      <c r="E870" s="10" t="s">
        <v>2605</v>
      </c>
      <c r="F870" s="12" t="s">
        <v>2651</v>
      </c>
      <c r="G870" s="12" t="s">
        <v>324</v>
      </c>
      <c r="H870" s="10" t="s">
        <v>197</v>
      </c>
      <c r="I870" s="16" t="s">
        <v>45</v>
      </c>
      <c r="J870" s="12" t="s">
        <v>355</v>
      </c>
      <c r="K870" s="10" t="s">
        <v>227</v>
      </c>
      <c r="L870" s="16" t="s">
        <v>45</v>
      </c>
      <c r="M870" s="10" t="s">
        <v>49</v>
      </c>
      <c r="N870" s="16" t="s">
        <v>45</v>
      </c>
      <c r="O870" s="10" t="s">
        <v>50</v>
      </c>
      <c r="P870" s="9" t="str">
        <f t="shared" si="28"/>
        <v>N/I</v>
      </c>
      <c r="Q870" s="9" t="str">
        <f t="shared" si="29"/>
        <v>N/I</v>
      </c>
      <c r="R870" s="9" t="str">
        <f t="shared" si="31"/>
        <v>N/I</v>
      </c>
    </row>
    <row r="871">
      <c r="A871" s="11" t="s">
        <v>2572</v>
      </c>
      <c r="B871" s="32" t="s">
        <v>2642</v>
      </c>
      <c r="C871" s="12" t="s">
        <v>52</v>
      </c>
      <c r="D871" s="36" t="s">
        <v>2652</v>
      </c>
      <c r="E871" s="10" t="s">
        <v>2605</v>
      </c>
      <c r="F871" s="12" t="s">
        <v>2614</v>
      </c>
      <c r="G871" s="12" t="s">
        <v>324</v>
      </c>
      <c r="H871" s="10" t="s">
        <v>197</v>
      </c>
      <c r="I871" s="10" t="s">
        <v>680</v>
      </c>
      <c r="J871" s="12" t="s">
        <v>355</v>
      </c>
      <c r="K871" s="10" t="s">
        <v>227</v>
      </c>
      <c r="L871" s="16" t="s">
        <v>45</v>
      </c>
      <c r="M871" s="10" t="s">
        <v>49</v>
      </c>
      <c r="N871" s="16" t="s">
        <v>45</v>
      </c>
      <c r="O871" s="10" t="s">
        <v>50</v>
      </c>
      <c r="P871" s="9" t="str">
        <f t="shared" si="28"/>
        <v>N/I</v>
      </c>
      <c r="Q871" s="9" t="str">
        <f t="shared" si="29"/>
        <v>N/I</v>
      </c>
      <c r="R871" s="9" t="str">
        <f t="shared" si="31"/>
        <v>N/I</v>
      </c>
    </row>
    <row r="872">
      <c r="A872" s="11" t="s">
        <v>2572</v>
      </c>
      <c r="B872" s="32" t="s">
        <v>2642</v>
      </c>
      <c r="C872" s="12" t="s">
        <v>52</v>
      </c>
      <c r="D872" s="36" t="s">
        <v>2654</v>
      </c>
      <c r="E872" s="10" t="s">
        <v>2605</v>
      </c>
      <c r="F872" s="12" t="s">
        <v>2614</v>
      </c>
      <c r="G872" s="12" t="s">
        <v>324</v>
      </c>
      <c r="H872" s="10" t="s">
        <v>197</v>
      </c>
      <c r="I872" s="10" t="s">
        <v>680</v>
      </c>
      <c r="J872" s="12" t="s">
        <v>355</v>
      </c>
      <c r="K872" s="10" t="s">
        <v>227</v>
      </c>
      <c r="L872" s="16" t="s">
        <v>45</v>
      </c>
      <c r="M872" s="10" t="s">
        <v>49</v>
      </c>
      <c r="N872" s="16" t="s">
        <v>45</v>
      </c>
      <c r="O872" s="10" t="s">
        <v>50</v>
      </c>
      <c r="P872" s="9" t="str">
        <f t="shared" si="28"/>
        <v>N/I</v>
      </c>
      <c r="Q872" s="9" t="str">
        <f t="shared" si="29"/>
        <v>N/I</v>
      </c>
      <c r="R872" s="9" t="str">
        <f t="shared" si="31"/>
        <v>N/I</v>
      </c>
    </row>
    <row r="873">
      <c r="A873" s="11" t="s">
        <v>2572</v>
      </c>
      <c r="B873" s="32" t="s">
        <v>2642</v>
      </c>
      <c r="C873" s="12" t="s">
        <v>52</v>
      </c>
      <c r="D873" s="20" t="s">
        <v>2655</v>
      </c>
      <c r="E873" s="10" t="s">
        <v>2583</v>
      </c>
      <c r="F873" s="12" t="s">
        <v>2620</v>
      </c>
      <c r="G873" s="12" t="s">
        <v>324</v>
      </c>
      <c r="H873" s="10" t="s">
        <v>197</v>
      </c>
      <c r="I873" s="10" t="s">
        <v>680</v>
      </c>
      <c r="J873" s="12" t="s">
        <v>355</v>
      </c>
      <c r="K873" s="10" t="s">
        <v>717</v>
      </c>
      <c r="L873" s="16" t="s">
        <v>45</v>
      </c>
      <c r="M873" s="10" t="s">
        <v>49</v>
      </c>
      <c r="N873" s="16" t="s">
        <v>45</v>
      </c>
      <c r="O873" s="10" t="s">
        <v>50</v>
      </c>
      <c r="P873" s="9" t="str">
        <f t="shared" si="28"/>
        <v>N/I</v>
      </c>
      <c r="Q873" s="9" t="str">
        <f t="shared" si="29"/>
        <v>N/I</v>
      </c>
      <c r="R873" s="9" t="str">
        <f t="shared" si="31"/>
        <v>N/I</v>
      </c>
    </row>
    <row r="874">
      <c r="A874" s="11" t="s">
        <v>2572</v>
      </c>
      <c r="B874" s="32" t="s">
        <v>2642</v>
      </c>
      <c r="C874" s="12" t="s">
        <v>52</v>
      </c>
      <c r="D874" s="34" t="s">
        <v>2657</v>
      </c>
      <c r="E874" s="16" t="s">
        <v>45</v>
      </c>
      <c r="F874" s="10" t="s">
        <v>2578</v>
      </c>
      <c r="G874" s="12" t="s">
        <v>324</v>
      </c>
      <c r="H874" s="10" t="s">
        <v>197</v>
      </c>
      <c r="I874" s="16" t="s">
        <v>45</v>
      </c>
      <c r="J874" s="16" t="s">
        <v>45</v>
      </c>
      <c r="K874" s="16" t="s">
        <v>45</v>
      </c>
      <c r="L874" s="16" t="s">
        <v>45</v>
      </c>
      <c r="M874" s="16" t="s">
        <v>45</v>
      </c>
      <c r="N874" s="16" t="s">
        <v>45</v>
      </c>
      <c r="O874" s="16" t="s">
        <v>45</v>
      </c>
      <c r="P874" s="9" t="str">
        <f t="shared" si="28"/>
        <v>N/I</v>
      </c>
      <c r="Q874" s="9" t="str">
        <f t="shared" si="29"/>
        <v>N/I</v>
      </c>
      <c r="R874" s="9" t="str">
        <f t="shared" si="31"/>
        <v>N/I</v>
      </c>
    </row>
    <row r="875">
      <c r="A875" s="11" t="s">
        <v>2572</v>
      </c>
      <c r="B875" s="11"/>
      <c r="C875" s="12" t="s">
        <v>52</v>
      </c>
      <c r="D875" s="13" t="s">
        <v>2658</v>
      </c>
      <c r="E875" s="10" t="s">
        <v>2583</v>
      </c>
      <c r="F875" s="10" t="s">
        <v>2659</v>
      </c>
      <c r="G875" s="12" t="s">
        <v>324</v>
      </c>
      <c r="H875" s="10" t="s">
        <v>197</v>
      </c>
      <c r="I875" s="10" t="s">
        <v>680</v>
      </c>
      <c r="J875" s="12" t="s">
        <v>46</v>
      </c>
      <c r="K875" s="16" t="s">
        <v>45</v>
      </c>
      <c r="L875" s="16" t="s">
        <v>45</v>
      </c>
      <c r="M875" s="10" t="s">
        <v>49</v>
      </c>
      <c r="N875" s="16" t="s">
        <v>45</v>
      </c>
      <c r="O875" s="10" t="s">
        <v>50</v>
      </c>
      <c r="P875" s="9" t="str">
        <f t="shared" si="28"/>
        <v>N/I</v>
      </c>
      <c r="Q875" s="9" t="str">
        <f t="shared" si="29"/>
        <v>N/I</v>
      </c>
      <c r="R875" s="9" t="str">
        <f t="shared" si="31"/>
        <v>N/I</v>
      </c>
    </row>
    <row r="876">
      <c r="A876" s="11" t="s">
        <v>2572</v>
      </c>
      <c r="B876" s="32" t="s">
        <v>2660</v>
      </c>
      <c r="C876" s="12" t="s">
        <v>52</v>
      </c>
      <c r="D876" s="13" t="s">
        <v>2661</v>
      </c>
      <c r="E876" s="10" t="s">
        <v>2583</v>
      </c>
      <c r="F876" s="12" t="s">
        <v>2662</v>
      </c>
      <c r="G876" s="12" t="s">
        <v>324</v>
      </c>
      <c r="H876" s="10" t="s">
        <v>197</v>
      </c>
      <c r="I876" s="16" t="s">
        <v>45</v>
      </c>
      <c r="J876" s="12" t="s">
        <v>46</v>
      </c>
      <c r="K876" s="16" t="s">
        <v>45</v>
      </c>
      <c r="L876" s="16" t="s">
        <v>45</v>
      </c>
      <c r="M876" s="16" t="s">
        <v>45</v>
      </c>
      <c r="N876" s="16" t="s">
        <v>45</v>
      </c>
      <c r="O876" s="10" t="s">
        <v>50</v>
      </c>
      <c r="P876" s="9" t="str">
        <f t="shared" si="28"/>
        <v>N/I</v>
      </c>
      <c r="Q876" s="9" t="str">
        <f t="shared" si="29"/>
        <v>N/I</v>
      </c>
      <c r="R876" s="9" t="str">
        <f t="shared" si="31"/>
        <v>N/I</v>
      </c>
    </row>
    <row r="877">
      <c r="A877" s="11" t="s">
        <v>2572</v>
      </c>
      <c r="B877" s="32" t="s">
        <v>2642</v>
      </c>
      <c r="C877" s="12" t="s">
        <v>68</v>
      </c>
      <c r="D877" s="20" t="s">
        <v>2663</v>
      </c>
      <c r="E877" s="10" t="s">
        <v>227</v>
      </c>
      <c r="F877" s="10" t="s">
        <v>2626</v>
      </c>
      <c r="G877" s="12" t="s">
        <v>324</v>
      </c>
      <c r="H877" s="10" t="s">
        <v>197</v>
      </c>
      <c r="I877" s="10" t="s">
        <v>354</v>
      </c>
      <c r="J877" s="12" t="s">
        <v>355</v>
      </c>
      <c r="K877" s="10" t="s">
        <v>717</v>
      </c>
      <c r="L877" s="16" t="s">
        <v>45</v>
      </c>
      <c r="M877" s="10" t="s">
        <v>49</v>
      </c>
      <c r="N877" s="16" t="s">
        <v>45</v>
      </c>
      <c r="O877" s="10" t="s">
        <v>50</v>
      </c>
      <c r="P877" s="9" t="str">
        <f t="shared" si="28"/>
        <v>N/I</v>
      </c>
      <c r="Q877" s="9" t="str">
        <f t="shared" si="29"/>
        <v>N/I</v>
      </c>
      <c r="R877" s="9" t="str">
        <f t="shared" si="31"/>
        <v>N/I</v>
      </c>
    </row>
    <row r="878">
      <c r="A878" s="11" t="s">
        <v>2572</v>
      </c>
      <c r="B878" s="32" t="s">
        <v>2642</v>
      </c>
      <c r="C878" s="12" t="s">
        <v>52</v>
      </c>
      <c r="D878" s="20" t="s">
        <v>2666</v>
      </c>
      <c r="E878" s="10" t="s">
        <v>2583</v>
      </c>
      <c r="F878" s="12" t="s">
        <v>2669</v>
      </c>
      <c r="G878" s="12" t="s">
        <v>324</v>
      </c>
      <c r="H878" s="10" t="s">
        <v>197</v>
      </c>
      <c r="I878" s="10" t="s">
        <v>680</v>
      </c>
      <c r="J878" s="12" t="s">
        <v>355</v>
      </c>
      <c r="K878" s="16" t="s">
        <v>45</v>
      </c>
      <c r="L878" s="16" t="s">
        <v>45</v>
      </c>
      <c r="M878" s="10" t="s">
        <v>49</v>
      </c>
      <c r="N878" s="16" t="s">
        <v>45</v>
      </c>
      <c r="O878" s="10" t="s">
        <v>50</v>
      </c>
      <c r="P878" s="9" t="str">
        <f t="shared" si="28"/>
        <v>N/I</v>
      </c>
      <c r="Q878" s="9" t="str">
        <f t="shared" si="29"/>
        <v>N/I</v>
      </c>
      <c r="R878" s="9" t="str">
        <f t="shared" si="31"/>
        <v>N/I</v>
      </c>
    </row>
    <row r="879">
      <c r="A879" s="11" t="s">
        <v>2572</v>
      </c>
      <c r="B879" s="32" t="s">
        <v>2642</v>
      </c>
      <c r="C879" s="12" t="s">
        <v>52</v>
      </c>
      <c r="D879" s="20" t="s">
        <v>2670</v>
      </c>
      <c r="E879" s="10" t="s">
        <v>2583</v>
      </c>
      <c r="F879" s="12" t="s">
        <v>2669</v>
      </c>
      <c r="G879" s="12" t="s">
        <v>324</v>
      </c>
      <c r="H879" s="10" t="s">
        <v>197</v>
      </c>
      <c r="I879" s="10" t="s">
        <v>680</v>
      </c>
      <c r="J879" s="12" t="s">
        <v>355</v>
      </c>
      <c r="K879" s="16" t="s">
        <v>45</v>
      </c>
      <c r="L879" s="16" t="s">
        <v>45</v>
      </c>
      <c r="M879" s="10" t="s">
        <v>49</v>
      </c>
      <c r="N879" s="16" t="s">
        <v>45</v>
      </c>
      <c r="O879" s="10" t="s">
        <v>50</v>
      </c>
      <c r="P879" s="9" t="str">
        <f t="shared" si="28"/>
        <v>N/I</v>
      </c>
      <c r="Q879" s="9" t="str">
        <f t="shared" si="29"/>
        <v>N/I</v>
      </c>
      <c r="R879" s="9" t="str">
        <f t="shared" si="31"/>
        <v>N/I</v>
      </c>
    </row>
    <row r="880">
      <c r="A880" s="11" t="s">
        <v>2572</v>
      </c>
      <c r="B880" s="32" t="s">
        <v>2671</v>
      </c>
      <c r="C880" s="12" t="s">
        <v>52</v>
      </c>
      <c r="D880" s="36" t="s">
        <v>2672</v>
      </c>
      <c r="E880" s="10" t="s">
        <v>2605</v>
      </c>
      <c r="F880" s="10" t="s">
        <v>2611</v>
      </c>
      <c r="G880" s="12" t="s">
        <v>1164</v>
      </c>
      <c r="H880" s="10" t="s">
        <v>89</v>
      </c>
      <c r="I880" s="16" t="s">
        <v>45</v>
      </c>
      <c r="J880" s="12" t="s">
        <v>355</v>
      </c>
      <c r="K880" s="10" t="s">
        <v>227</v>
      </c>
      <c r="L880" s="16" t="s">
        <v>45</v>
      </c>
      <c r="M880" s="10" t="s">
        <v>49</v>
      </c>
      <c r="N880" s="16" t="s">
        <v>45</v>
      </c>
      <c r="O880" s="10" t="s">
        <v>50</v>
      </c>
      <c r="P880" s="9" t="str">
        <f t="shared" si="28"/>
        <v>N/I</v>
      </c>
      <c r="Q880" s="9" t="str">
        <f t="shared" si="29"/>
        <v>N/I</v>
      </c>
      <c r="R880" s="9" t="str">
        <f t="shared" si="31"/>
        <v>N/I</v>
      </c>
    </row>
    <row r="881">
      <c r="A881" s="11" t="s">
        <v>2572</v>
      </c>
      <c r="B881" s="32" t="s">
        <v>2588</v>
      </c>
      <c r="C881" s="12" t="s">
        <v>52</v>
      </c>
      <c r="D881" s="36" t="s">
        <v>2675</v>
      </c>
      <c r="E881" s="10" t="s">
        <v>2583</v>
      </c>
      <c r="F881" s="12" t="s">
        <v>2598</v>
      </c>
      <c r="G881" s="12" t="s">
        <v>2676</v>
      </c>
      <c r="H881" s="10" t="s">
        <v>132</v>
      </c>
      <c r="I881" s="10" t="s">
        <v>680</v>
      </c>
      <c r="J881" s="12" t="s">
        <v>355</v>
      </c>
      <c r="K881" s="10" t="s">
        <v>717</v>
      </c>
      <c r="L881" s="16" t="s">
        <v>45</v>
      </c>
      <c r="M881" s="10" t="s">
        <v>49</v>
      </c>
      <c r="N881" s="16" t="s">
        <v>45</v>
      </c>
      <c r="O881" s="10" t="s">
        <v>50</v>
      </c>
      <c r="P881" s="9" t="str">
        <f t="shared" si="28"/>
        <v>N/I</v>
      </c>
      <c r="Q881" s="9" t="str">
        <f t="shared" si="29"/>
        <v>N/I</v>
      </c>
      <c r="R881" s="9" t="str">
        <f t="shared" si="31"/>
        <v>N/I</v>
      </c>
    </row>
    <row r="882">
      <c r="A882" s="11" t="s">
        <v>2572</v>
      </c>
      <c r="B882" s="32" t="s">
        <v>2679</v>
      </c>
      <c r="C882" s="12" t="s">
        <v>52</v>
      </c>
      <c r="D882" s="36" t="s">
        <v>2680</v>
      </c>
      <c r="E882" s="10" t="s">
        <v>2583</v>
      </c>
      <c r="F882" s="12" t="s">
        <v>2598</v>
      </c>
      <c r="G882" s="12" t="s">
        <v>2681</v>
      </c>
      <c r="H882" s="10" t="s">
        <v>895</v>
      </c>
      <c r="I882" s="10" t="s">
        <v>680</v>
      </c>
      <c r="J882" s="12" t="s">
        <v>355</v>
      </c>
      <c r="K882" s="10" t="s">
        <v>717</v>
      </c>
      <c r="L882" s="16" t="s">
        <v>45</v>
      </c>
      <c r="M882" s="10" t="s">
        <v>49</v>
      </c>
      <c r="N882" s="16" t="s">
        <v>45</v>
      </c>
      <c r="O882" s="10" t="s">
        <v>50</v>
      </c>
      <c r="P882" s="9" t="str">
        <f t="shared" si="28"/>
        <v>N/I</v>
      </c>
      <c r="Q882" s="9" t="str">
        <f t="shared" si="29"/>
        <v>N/I</v>
      </c>
      <c r="R882" s="9" t="str">
        <f t="shared" si="31"/>
        <v>N/I</v>
      </c>
    </row>
    <row r="883">
      <c r="A883" s="11" t="s">
        <v>2572</v>
      </c>
      <c r="B883" s="32" t="s">
        <v>2679</v>
      </c>
      <c r="C883" s="12" t="s">
        <v>52</v>
      </c>
      <c r="D883" s="13" t="s">
        <v>2684</v>
      </c>
      <c r="E883" s="10" t="s">
        <v>2583</v>
      </c>
      <c r="F883" s="10" t="s">
        <v>2637</v>
      </c>
      <c r="G883" s="12" t="s">
        <v>2681</v>
      </c>
      <c r="H883" s="10" t="s">
        <v>895</v>
      </c>
      <c r="I883" s="16" t="s">
        <v>45</v>
      </c>
      <c r="J883" s="12" t="s">
        <v>46</v>
      </c>
      <c r="K883" s="16" t="s">
        <v>45</v>
      </c>
      <c r="L883" s="16" t="s">
        <v>45</v>
      </c>
      <c r="M883" s="16" t="s">
        <v>45</v>
      </c>
      <c r="N883" s="16" t="s">
        <v>45</v>
      </c>
      <c r="O883" s="10" t="s">
        <v>50</v>
      </c>
      <c r="P883" s="9" t="str">
        <f t="shared" si="28"/>
        <v>N/I</v>
      </c>
      <c r="Q883" s="9" t="str">
        <f t="shared" si="29"/>
        <v>N/I</v>
      </c>
      <c r="R883" s="9" t="str">
        <f t="shared" si="31"/>
        <v>N/I</v>
      </c>
    </row>
    <row r="884">
      <c r="A884" s="11" t="s">
        <v>2572</v>
      </c>
      <c r="B884" s="32" t="s">
        <v>2686</v>
      </c>
      <c r="C884" s="12" t="s">
        <v>68</v>
      </c>
      <c r="D884" s="20" t="s">
        <v>2687</v>
      </c>
      <c r="E884" s="10" t="s">
        <v>2583</v>
      </c>
      <c r="F884" s="12" t="s">
        <v>2669</v>
      </c>
      <c r="G884" s="12" t="s">
        <v>2085</v>
      </c>
      <c r="H884" s="10" t="s">
        <v>197</v>
      </c>
      <c r="I884" s="10" t="s">
        <v>680</v>
      </c>
      <c r="J884" s="12" t="s">
        <v>355</v>
      </c>
      <c r="K884" s="16" t="s">
        <v>45</v>
      </c>
      <c r="L884" s="16" t="s">
        <v>45</v>
      </c>
      <c r="M884" s="10" t="s">
        <v>49</v>
      </c>
      <c r="N884" s="16" t="s">
        <v>45</v>
      </c>
      <c r="O884" s="10" t="s">
        <v>50</v>
      </c>
      <c r="P884" s="9" t="str">
        <f t="shared" si="28"/>
        <v>N/I</v>
      </c>
      <c r="Q884" s="9" t="str">
        <f t="shared" si="29"/>
        <v>N/I</v>
      </c>
      <c r="R884" s="9" t="str">
        <f t="shared" si="31"/>
        <v>N/I</v>
      </c>
    </row>
    <row r="885">
      <c r="A885" s="11" t="s">
        <v>2572</v>
      </c>
      <c r="B885" s="11" t="s">
        <v>2690</v>
      </c>
      <c r="C885" s="12" t="s">
        <v>68</v>
      </c>
      <c r="D885" s="34" t="s">
        <v>2691</v>
      </c>
      <c r="E885" s="10" t="s">
        <v>2583</v>
      </c>
      <c r="F885" s="10" t="s">
        <v>2659</v>
      </c>
      <c r="G885" s="12" t="s">
        <v>799</v>
      </c>
      <c r="H885" s="10" t="s">
        <v>197</v>
      </c>
      <c r="I885" s="10" t="s">
        <v>680</v>
      </c>
      <c r="J885" s="12" t="s">
        <v>46</v>
      </c>
      <c r="K885" s="16" t="s">
        <v>45</v>
      </c>
      <c r="L885" s="16" t="s">
        <v>45</v>
      </c>
      <c r="M885" s="10" t="s">
        <v>49</v>
      </c>
      <c r="N885" s="16" t="s">
        <v>45</v>
      </c>
      <c r="O885" s="10" t="s">
        <v>50</v>
      </c>
      <c r="P885" s="9" t="str">
        <f t="shared" si="28"/>
        <v>N/I</v>
      </c>
      <c r="Q885" s="9" t="str">
        <f t="shared" si="29"/>
        <v>N/I</v>
      </c>
      <c r="R885" s="9" t="str">
        <f t="shared" si="31"/>
        <v>N/I</v>
      </c>
    </row>
    <row r="886">
      <c r="A886" s="11" t="s">
        <v>2572</v>
      </c>
      <c r="B886" s="32" t="s">
        <v>2694</v>
      </c>
      <c r="C886" s="12" t="s">
        <v>52</v>
      </c>
      <c r="D886" s="36" t="s">
        <v>2695</v>
      </c>
      <c r="E886" s="10" t="s">
        <v>2583</v>
      </c>
      <c r="F886" s="12" t="s">
        <v>2699</v>
      </c>
      <c r="G886" s="12" t="s">
        <v>2696</v>
      </c>
      <c r="H886" s="10" t="s">
        <v>197</v>
      </c>
      <c r="I886" s="10" t="s">
        <v>680</v>
      </c>
      <c r="J886" s="12" t="s">
        <v>355</v>
      </c>
      <c r="K886" s="10" t="s">
        <v>717</v>
      </c>
      <c r="L886" s="16" t="s">
        <v>45</v>
      </c>
      <c r="M886" s="10" t="s">
        <v>49</v>
      </c>
      <c r="N886" s="16" t="s">
        <v>45</v>
      </c>
      <c r="O886" s="10" t="s">
        <v>320</v>
      </c>
      <c r="P886" s="9" t="str">
        <f t="shared" si="28"/>
        <v>N/I</v>
      </c>
      <c r="Q886" s="9" t="str">
        <f t="shared" si="29"/>
        <v>N/I</v>
      </c>
      <c r="R886" s="9" t="str">
        <f t="shared" si="31"/>
        <v>N/I</v>
      </c>
    </row>
    <row r="887">
      <c r="A887" s="11" t="s">
        <v>2572</v>
      </c>
      <c r="B887" s="32" t="s">
        <v>2694</v>
      </c>
      <c r="C887" s="12" t="s">
        <v>52</v>
      </c>
      <c r="D887" s="36" t="s">
        <v>2700</v>
      </c>
      <c r="E887" s="10" t="s">
        <v>2605</v>
      </c>
      <c r="F887" s="12" t="s">
        <v>2614</v>
      </c>
      <c r="G887" s="12" t="s">
        <v>2696</v>
      </c>
      <c r="H887" s="10" t="s">
        <v>197</v>
      </c>
      <c r="I887" s="10" t="s">
        <v>680</v>
      </c>
      <c r="J887" s="12" t="s">
        <v>355</v>
      </c>
      <c r="K887" s="10" t="s">
        <v>227</v>
      </c>
      <c r="L887" s="16" t="s">
        <v>45</v>
      </c>
      <c r="M887" s="10" t="s">
        <v>49</v>
      </c>
      <c r="N887" s="16" t="s">
        <v>45</v>
      </c>
      <c r="O887" s="10" t="s">
        <v>50</v>
      </c>
      <c r="P887" s="9" t="str">
        <f t="shared" si="28"/>
        <v>N/I</v>
      </c>
      <c r="Q887" s="9" t="str">
        <f t="shared" si="29"/>
        <v>N/I</v>
      </c>
      <c r="R887" s="9" t="str">
        <f t="shared" si="31"/>
        <v>N/I</v>
      </c>
    </row>
    <row r="888">
      <c r="A888" s="11" t="s">
        <v>2572</v>
      </c>
      <c r="B888" s="32" t="s">
        <v>2694</v>
      </c>
      <c r="C888" s="12" t="s">
        <v>52</v>
      </c>
      <c r="D888" s="36" t="s">
        <v>2702</v>
      </c>
      <c r="E888" s="10" t="s">
        <v>2605</v>
      </c>
      <c r="F888" s="12" t="s">
        <v>2614</v>
      </c>
      <c r="G888" s="12" t="s">
        <v>2696</v>
      </c>
      <c r="H888" s="10" t="s">
        <v>197</v>
      </c>
      <c r="I888" s="10" t="s">
        <v>680</v>
      </c>
      <c r="J888" s="12" t="s">
        <v>355</v>
      </c>
      <c r="K888" s="10" t="s">
        <v>227</v>
      </c>
      <c r="L888" s="16" t="s">
        <v>45</v>
      </c>
      <c r="M888" s="10" t="s">
        <v>49</v>
      </c>
      <c r="N888" s="16" t="s">
        <v>45</v>
      </c>
      <c r="O888" s="10" t="s">
        <v>50</v>
      </c>
      <c r="P888" s="9" t="str">
        <f t="shared" si="28"/>
        <v>N/I</v>
      </c>
      <c r="Q888" s="9" t="str">
        <f t="shared" si="29"/>
        <v>N/I</v>
      </c>
      <c r="R888" s="9" t="str">
        <f t="shared" si="31"/>
        <v>N/I</v>
      </c>
    </row>
    <row r="889">
      <c r="A889" s="11" t="s">
        <v>2572</v>
      </c>
      <c r="B889" s="32" t="s">
        <v>2694</v>
      </c>
      <c r="C889" s="12" t="s">
        <v>52</v>
      </c>
      <c r="D889" s="36" t="s">
        <v>2703</v>
      </c>
      <c r="E889" s="10" t="s">
        <v>2605</v>
      </c>
      <c r="F889" s="12" t="s">
        <v>2614</v>
      </c>
      <c r="G889" s="12" t="s">
        <v>2696</v>
      </c>
      <c r="H889" s="10" t="s">
        <v>197</v>
      </c>
      <c r="I889" s="10" t="s">
        <v>680</v>
      </c>
      <c r="J889" s="12" t="s">
        <v>355</v>
      </c>
      <c r="K889" s="10" t="s">
        <v>227</v>
      </c>
      <c r="L889" s="16" t="s">
        <v>45</v>
      </c>
      <c r="M889" s="10" t="s">
        <v>49</v>
      </c>
      <c r="N889" s="16" t="s">
        <v>45</v>
      </c>
      <c r="O889" s="10" t="s">
        <v>50</v>
      </c>
      <c r="P889" s="9" t="str">
        <f t="shared" si="28"/>
        <v>N/I</v>
      </c>
      <c r="Q889" s="9" t="str">
        <f t="shared" si="29"/>
        <v>N/I</v>
      </c>
      <c r="R889" s="9" t="str">
        <f t="shared" si="31"/>
        <v>N/I</v>
      </c>
    </row>
    <row r="890">
      <c r="A890" s="11" t="s">
        <v>2572</v>
      </c>
      <c r="B890" s="32" t="s">
        <v>2704</v>
      </c>
      <c r="C890" s="12" t="s">
        <v>68</v>
      </c>
      <c r="D890" s="20" t="s">
        <v>2705</v>
      </c>
      <c r="E890" s="10" t="s">
        <v>2583</v>
      </c>
      <c r="F890" s="12" t="s">
        <v>2669</v>
      </c>
      <c r="G890" s="12" t="s">
        <v>380</v>
      </c>
      <c r="H890" s="10" t="s">
        <v>197</v>
      </c>
      <c r="I890" s="10" t="s">
        <v>680</v>
      </c>
      <c r="J890" s="12" t="s">
        <v>355</v>
      </c>
      <c r="K890" s="16" t="s">
        <v>45</v>
      </c>
      <c r="L890" s="16" t="s">
        <v>45</v>
      </c>
      <c r="M890" s="10" t="s">
        <v>49</v>
      </c>
      <c r="N890" s="16" t="s">
        <v>45</v>
      </c>
      <c r="O890" s="10" t="s">
        <v>50</v>
      </c>
      <c r="P890" s="9" t="str">
        <f t="shared" si="28"/>
        <v>N/I</v>
      </c>
      <c r="Q890" s="9" t="str">
        <f t="shared" si="29"/>
        <v>N/I</v>
      </c>
      <c r="R890" s="9" t="str">
        <f t="shared" si="31"/>
        <v>N/I</v>
      </c>
    </row>
    <row r="891">
      <c r="A891" s="11" t="s">
        <v>2572</v>
      </c>
      <c r="B891" s="32" t="s">
        <v>2704</v>
      </c>
      <c r="C891" s="12" t="s">
        <v>52</v>
      </c>
      <c r="D891" s="20" t="s">
        <v>2708</v>
      </c>
      <c r="E891" s="10" t="s">
        <v>2583</v>
      </c>
      <c r="F891" s="12" t="s">
        <v>2669</v>
      </c>
      <c r="G891" s="12" t="s">
        <v>380</v>
      </c>
      <c r="H891" s="10" t="s">
        <v>197</v>
      </c>
      <c r="I891" s="10" t="s">
        <v>680</v>
      </c>
      <c r="J891" s="12" t="s">
        <v>355</v>
      </c>
      <c r="K891" s="16" t="s">
        <v>45</v>
      </c>
      <c r="L891" s="16" t="s">
        <v>45</v>
      </c>
      <c r="M891" s="10" t="s">
        <v>49</v>
      </c>
      <c r="N891" s="16" t="s">
        <v>45</v>
      </c>
      <c r="O891" s="10" t="s">
        <v>50</v>
      </c>
      <c r="P891" s="9" t="str">
        <f t="shared" si="28"/>
        <v>N/I</v>
      </c>
      <c r="Q891" s="9" t="str">
        <f t="shared" si="29"/>
        <v>N/I</v>
      </c>
      <c r="R891" s="9" t="str">
        <f t="shared" si="31"/>
        <v>N/I</v>
      </c>
    </row>
    <row r="892">
      <c r="A892" s="11" t="s">
        <v>2572</v>
      </c>
      <c r="B892" s="32" t="s">
        <v>2704</v>
      </c>
      <c r="C892" s="12" t="s">
        <v>52</v>
      </c>
      <c r="D892" s="20" t="s">
        <v>2709</v>
      </c>
      <c r="E892" s="10" t="s">
        <v>2583</v>
      </c>
      <c r="F892" s="12" t="s">
        <v>2669</v>
      </c>
      <c r="G892" s="12" t="s">
        <v>380</v>
      </c>
      <c r="H892" s="10" t="s">
        <v>197</v>
      </c>
      <c r="I892" s="10" t="s">
        <v>680</v>
      </c>
      <c r="J892" s="12" t="s">
        <v>355</v>
      </c>
      <c r="K892" s="16" t="s">
        <v>45</v>
      </c>
      <c r="L892" s="16" t="s">
        <v>45</v>
      </c>
      <c r="M892" s="10" t="s">
        <v>49</v>
      </c>
      <c r="N892" s="16" t="s">
        <v>45</v>
      </c>
      <c r="O892" s="10" t="s">
        <v>50</v>
      </c>
      <c r="P892" s="9" t="str">
        <f t="shared" si="28"/>
        <v>N/I</v>
      </c>
      <c r="Q892" s="9" t="str">
        <f t="shared" si="29"/>
        <v>N/I</v>
      </c>
      <c r="R892" s="9" t="str">
        <f t="shared" si="31"/>
        <v>N/I</v>
      </c>
    </row>
    <row r="893">
      <c r="A893" s="11" t="s">
        <v>2572</v>
      </c>
      <c r="B893" s="32" t="s">
        <v>2711</v>
      </c>
      <c r="C893" s="12" t="s">
        <v>52</v>
      </c>
      <c r="D893" s="36" t="s">
        <v>2712</v>
      </c>
      <c r="E893" s="10" t="s">
        <v>2605</v>
      </c>
      <c r="F893" s="10" t="s">
        <v>2716</v>
      </c>
      <c r="G893" s="12" t="s">
        <v>2713</v>
      </c>
      <c r="H893" s="10" t="s">
        <v>521</v>
      </c>
      <c r="I893" s="16" t="s">
        <v>45</v>
      </c>
      <c r="J893" s="12" t="s">
        <v>355</v>
      </c>
      <c r="K893" s="10" t="s">
        <v>227</v>
      </c>
      <c r="L893" s="16" t="s">
        <v>45</v>
      </c>
      <c r="M893" s="10" t="s">
        <v>49</v>
      </c>
      <c r="N893" s="16" t="s">
        <v>45</v>
      </c>
      <c r="O893" s="10" t="s">
        <v>50</v>
      </c>
      <c r="P893" s="9" t="str">
        <f t="shared" si="28"/>
        <v>N/I</v>
      </c>
      <c r="Q893" s="9" t="str">
        <f t="shared" si="29"/>
        <v>N/I</v>
      </c>
      <c r="R893" s="9" t="str">
        <f t="shared" si="31"/>
        <v>N/I</v>
      </c>
    </row>
    <row r="894">
      <c r="A894" s="11" t="s">
        <v>2572</v>
      </c>
      <c r="B894" s="11" t="s">
        <v>2717</v>
      </c>
      <c r="C894" s="12" t="s">
        <v>68</v>
      </c>
      <c r="D894" s="34" t="s">
        <v>2718</v>
      </c>
      <c r="E894" s="10" t="s">
        <v>2583</v>
      </c>
      <c r="F894" s="10" t="s">
        <v>2659</v>
      </c>
      <c r="G894" s="12" t="s">
        <v>2713</v>
      </c>
      <c r="H894" s="10" t="s">
        <v>521</v>
      </c>
      <c r="I894" s="10" t="s">
        <v>680</v>
      </c>
      <c r="J894" s="12" t="s">
        <v>46</v>
      </c>
      <c r="K894" s="16" t="s">
        <v>45</v>
      </c>
      <c r="L894" s="16" t="s">
        <v>45</v>
      </c>
      <c r="M894" s="10" t="s">
        <v>49</v>
      </c>
      <c r="N894" s="16" t="s">
        <v>45</v>
      </c>
      <c r="O894" s="10" t="s">
        <v>50</v>
      </c>
      <c r="P894" s="9" t="str">
        <f t="shared" si="28"/>
        <v>N/I</v>
      </c>
      <c r="Q894" s="9" t="str">
        <f t="shared" si="29"/>
        <v>N/I</v>
      </c>
      <c r="R894" s="9" t="str">
        <f t="shared" si="31"/>
        <v>N/I</v>
      </c>
    </row>
    <row r="895">
      <c r="A895" s="11" t="s">
        <v>2572</v>
      </c>
      <c r="B895" s="32" t="s">
        <v>2638</v>
      </c>
      <c r="C895" s="12" t="s">
        <v>52</v>
      </c>
      <c r="D895" s="36" t="s">
        <v>2720</v>
      </c>
      <c r="E895" s="10" t="s">
        <v>2605</v>
      </c>
      <c r="F895" s="10" t="s">
        <v>2716</v>
      </c>
      <c r="G895" s="12" t="s">
        <v>561</v>
      </c>
      <c r="H895" s="10" t="s">
        <v>562</v>
      </c>
      <c r="I895" s="16" t="s">
        <v>45</v>
      </c>
      <c r="J895" s="12" t="s">
        <v>355</v>
      </c>
      <c r="K895" s="10" t="s">
        <v>227</v>
      </c>
      <c r="L895" s="16" t="s">
        <v>45</v>
      </c>
      <c r="M895" s="10" t="s">
        <v>49</v>
      </c>
      <c r="N895" s="16" t="s">
        <v>45</v>
      </c>
      <c r="O895" s="10" t="s">
        <v>50</v>
      </c>
      <c r="P895" s="9" t="str">
        <f t="shared" si="28"/>
        <v>N/I</v>
      </c>
      <c r="Q895" s="9" t="str">
        <f t="shared" si="29"/>
        <v>N/I</v>
      </c>
      <c r="R895" s="9" t="str">
        <f t="shared" si="31"/>
        <v>N/I</v>
      </c>
    </row>
    <row r="896">
      <c r="A896" s="11" t="s">
        <v>2572</v>
      </c>
      <c r="B896" s="32" t="s">
        <v>2722</v>
      </c>
      <c r="C896" s="12" t="s">
        <v>52</v>
      </c>
      <c r="D896" s="36" t="s">
        <v>2723</v>
      </c>
      <c r="E896" s="10" t="s">
        <v>2583</v>
      </c>
      <c r="F896" s="12" t="s">
        <v>2598</v>
      </c>
      <c r="G896" s="12" t="s">
        <v>2724</v>
      </c>
      <c r="H896" s="10" t="s">
        <v>895</v>
      </c>
      <c r="I896" s="10" t="s">
        <v>680</v>
      </c>
      <c r="J896" s="12" t="s">
        <v>355</v>
      </c>
      <c r="K896" s="10" t="s">
        <v>717</v>
      </c>
      <c r="L896" s="16" t="s">
        <v>45</v>
      </c>
      <c r="M896" s="10" t="s">
        <v>49</v>
      </c>
      <c r="N896" s="16" t="s">
        <v>45</v>
      </c>
      <c r="O896" s="10" t="s">
        <v>50</v>
      </c>
      <c r="P896" s="9" t="str">
        <f t="shared" si="28"/>
        <v>N/I</v>
      </c>
      <c r="Q896" s="9" t="str">
        <f t="shared" si="29"/>
        <v>N/I</v>
      </c>
      <c r="R896" s="9" t="str">
        <f t="shared" si="31"/>
        <v>N/I</v>
      </c>
    </row>
    <row r="897">
      <c r="A897" s="11" t="s">
        <v>2572</v>
      </c>
      <c r="B897" s="32" t="s">
        <v>2727</v>
      </c>
      <c r="C897" s="12" t="s">
        <v>52</v>
      </c>
      <c r="D897" s="36" t="s">
        <v>2728</v>
      </c>
      <c r="E897" s="10" t="s">
        <v>2605</v>
      </c>
      <c r="F897" s="12" t="s">
        <v>2731</v>
      </c>
      <c r="G897" s="12" t="s">
        <v>2729</v>
      </c>
      <c r="H897" s="10" t="s">
        <v>197</v>
      </c>
      <c r="I897" s="16" t="s">
        <v>45</v>
      </c>
      <c r="J897" s="12" t="s">
        <v>355</v>
      </c>
      <c r="K897" s="10" t="s">
        <v>227</v>
      </c>
      <c r="L897" s="16" t="s">
        <v>45</v>
      </c>
      <c r="M897" s="10" t="s">
        <v>49</v>
      </c>
      <c r="N897" s="16" t="s">
        <v>45</v>
      </c>
      <c r="O897" s="10" t="s">
        <v>50</v>
      </c>
      <c r="P897" s="9" t="str">
        <f t="shared" si="28"/>
        <v>N/I</v>
      </c>
      <c r="Q897" s="9" t="str">
        <f t="shared" si="29"/>
        <v>N/I</v>
      </c>
      <c r="R897" s="9" t="str">
        <f t="shared" si="31"/>
        <v>N/I</v>
      </c>
    </row>
    <row r="898">
      <c r="A898" s="11" t="s">
        <v>2572</v>
      </c>
      <c r="B898" s="11" t="s">
        <v>2732</v>
      </c>
      <c r="C898" s="12" t="s">
        <v>68</v>
      </c>
      <c r="D898" s="27" t="s">
        <v>2733</v>
      </c>
      <c r="E898" s="16" t="s">
        <v>45</v>
      </c>
      <c r="F898" s="10" t="s">
        <v>2593</v>
      </c>
      <c r="G898" s="12" t="s">
        <v>2729</v>
      </c>
      <c r="H898" s="10" t="s">
        <v>197</v>
      </c>
      <c r="I898" s="16" t="s">
        <v>45</v>
      </c>
      <c r="J898" s="16" t="s">
        <v>45</v>
      </c>
      <c r="K898" s="16" t="s">
        <v>45</v>
      </c>
      <c r="L898" s="16" t="s">
        <v>45</v>
      </c>
      <c r="M898" s="16" t="s">
        <v>45</v>
      </c>
      <c r="N898" s="16" t="s">
        <v>45</v>
      </c>
      <c r="O898" s="10" t="s">
        <v>50</v>
      </c>
      <c r="P898" s="9" t="str">
        <f t="shared" si="28"/>
        <v>N/I</v>
      </c>
      <c r="Q898" s="9" t="str">
        <f t="shared" si="29"/>
        <v>N/I</v>
      </c>
      <c r="R898" s="9" t="str">
        <f t="shared" si="31"/>
        <v>N/I</v>
      </c>
    </row>
    <row r="899">
      <c r="A899" s="11" t="s">
        <v>2736</v>
      </c>
      <c r="B899" s="32"/>
      <c r="C899" s="12" t="s">
        <v>94</v>
      </c>
      <c r="D899" s="13" t="s">
        <v>2737</v>
      </c>
      <c r="E899" s="10" t="s">
        <v>291</v>
      </c>
      <c r="F899" s="10" t="s">
        <v>2740</v>
      </c>
      <c r="G899" s="12" t="s">
        <v>370</v>
      </c>
      <c r="H899" s="10" t="s">
        <v>89</v>
      </c>
      <c r="I899" s="16" t="s">
        <v>45</v>
      </c>
      <c r="J899" s="12" t="s">
        <v>46</v>
      </c>
      <c r="K899" s="10" t="s">
        <v>226</v>
      </c>
      <c r="L899" s="16" t="s">
        <v>45</v>
      </c>
      <c r="M899" s="10" t="s">
        <v>49</v>
      </c>
      <c r="N899" s="16" t="s">
        <v>45</v>
      </c>
      <c r="O899" s="10" t="s">
        <v>320</v>
      </c>
      <c r="P899" s="9" t="str">
        <f t="shared" si="28"/>
        <v>N/I</v>
      </c>
      <c r="Q899" s="9" t="str">
        <f t="shared" si="29"/>
        <v>N/I</v>
      </c>
      <c r="R899" s="9" t="str">
        <f t="shared" si="31"/>
        <v>N/I</v>
      </c>
    </row>
    <row r="900">
      <c r="A900" s="11" t="s">
        <v>2736</v>
      </c>
      <c r="B900" s="32"/>
      <c r="C900" s="12" t="s">
        <v>94</v>
      </c>
      <c r="D900" s="13" t="s">
        <v>2741</v>
      </c>
      <c r="E900" s="10" t="s">
        <v>291</v>
      </c>
      <c r="F900" s="10" t="s">
        <v>2740</v>
      </c>
      <c r="G900" s="12" t="s">
        <v>2742</v>
      </c>
      <c r="H900" s="10" t="s">
        <v>89</v>
      </c>
      <c r="I900" s="16" t="s">
        <v>45</v>
      </c>
      <c r="J900" s="12" t="s">
        <v>46</v>
      </c>
      <c r="K900" s="10" t="s">
        <v>226</v>
      </c>
      <c r="L900" s="16" t="s">
        <v>45</v>
      </c>
      <c r="M900" s="10" t="s">
        <v>49</v>
      </c>
      <c r="N900" s="16" t="s">
        <v>45</v>
      </c>
      <c r="O900" s="10" t="s">
        <v>320</v>
      </c>
      <c r="P900" s="9" t="str">
        <f t="shared" si="28"/>
        <v>N/I</v>
      </c>
      <c r="Q900" s="9" t="str">
        <f t="shared" si="29"/>
        <v>N/I</v>
      </c>
      <c r="R900" s="9" t="str">
        <f t="shared" si="31"/>
        <v>N/I</v>
      </c>
    </row>
    <row r="901">
      <c r="A901" s="11" t="s">
        <v>2736</v>
      </c>
      <c r="B901" s="32"/>
      <c r="C901" s="12" t="s">
        <v>94</v>
      </c>
      <c r="D901" s="13" t="s">
        <v>2745</v>
      </c>
      <c r="E901" s="10" t="s">
        <v>291</v>
      </c>
      <c r="F901" s="10" t="s">
        <v>2740</v>
      </c>
      <c r="G901" s="12" t="s">
        <v>2742</v>
      </c>
      <c r="H901" s="10" t="s">
        <v>89</v>
      </c>
      <c r="I901" s="16" t="s">
        <v>45</v>
      </c>
      <c r="J901" s="12" t="s">
        <v>46</v>
      </c>
      <c r="K901" s="10" t="s">
        <v>226</v>
      </c>
      <c r="L901" s="16" t="s">
        <v>45</v>
      </c>
      <c r="M901" s="10" t="s">
        <v>49</v>
      </c>
      <c r="N901" s="16" t="s">
        <v>45</v>
      </c>
      <c r="O901" s="10" t="s">
        <v>320</v>
      </c>
      <c r="P901" s="9" t="str">
        <f t="shared" si="28"/>
        <v>N/I</v>
      </c>
      <c r="Q901" s="9" t="str">
        <f t="shared" si="29"/>
        <v>N/I</v>
      </c>
      <c r="R901" s="9" t="str">
        <f t="shared" si="31"/>
        <v>N/I</v>
      </c>
    </row>
    <row r="902">
      <c r="A902" s="11" t="s">
        <v>2749</v>
      </c>
      <c r="B902" s="32" t="s">
        <v>2750</v>
      </c>
      <c r="C902" s="12" t="s">
        <v>94</v>
      </c>
      <c r="D902" s="13" t="s">
        <v>2751</v>
      </c>
      <c r="E902" s="10" t="s">
        <v>291</v>
      </c>
      <c r="F902" s="10" t="s">
        <v>2754</v>
      </c>
      <c r="G902" s="12" t="s">
        <v>246</v>
      </c>
      <c r="H902" s="10" t="s">
        <v>247</v>
      </c>
      <c r="I902" s="16" t="s">
        <v>45</v>
      </c>
      <c r="J902" s="10" t="s">
        <v>318</v>
      </c>
      <c r="K902" s="10" t="s">
        <v>319</v>
      </c>
      <c r="L902" s="16" t="s">
        <v>45</v>
      </c>
      <c r="M902" s="10" t="s">
        <v>49</v>
      </c>
      <c r="N902" s="10" t="s">
        <v>664</v>
      </c>
      <c r="O902" s="10" t="s">
        <v>320</v>
      </c>
      <c r="P902" s="9" t="str">
        <f t="shared" si="28"/>
        <v>N/I</v>
      </c>
      <c r="Q902" s="9" t="str">
        <f t="shared" si="29"/>
        <v>N/I</v>
      </c>
      <c r="R902" s="9" t="str">
        <f t="shared" si="31"/>
        <v>N/I</v>
      </c>
    </row>
    <row r="903">
      <c r="A903" s="11" t="s">
        <v>2756</v>
      </c>
      <c r="B903" s="32"/>
      <c r="C903" s="12" t="s">
        <v>68</v>
      </c>
      <c r="D903" s="13" t="s">
        <v>2757</v>
      </c>
      <c r="E903" s="10" t="s">
        <v>291</v>
      </c>
      <c r="F903" s="10" t="s">
        <v>2760</v>
      </c>
      <c r="G903" s="12" t="s">
        <v>1474</v>
      </c>
      <c r="H903" s="10" t="s">
        <v>1097</v>
      </c>
      <c r="I903" s="16" t="s">
        <v>45</v>
      </c>
      <c r="J903" s="12" t="s">
        <v>355</v>
      </c>
      <c r="K903" s="16" t="s">
        <v>45</v>
      </c>
      <c r="L903" s="16" t="s">
        <v>45</v>
      </c>
      <c r="M903" s="10" t="s">
        <v>49</v>
      </c>
      <c r="N903" s="10" t="s">
        <v>292</v>
      </c>
      <c r="O903" s="10" t="s">
        <v>320</v>
      </c>
      <c r="P903" s="9" t="str">
        <f t="shared" si="28"/>
        <v>N/I</v>
      </c>
      <c r="Q903" s="9" t="str">
        <f t="shared" si="29"/>
        <v>N/I</v>
      </c>
      <c r="R903" s="9" t="str">
        <f t="shared" si="31"/>
        <v>N/I</v>
      </c>
    </row>
    <row r="904">
      <c r="A904" s="11" t="s">
        <v>2762</v>
      </c>
      <c r="B904" s="32" t="s">
        <v>2763</v>
      </c>
      <c r="C904" s="12" t="s">
        <v>94</v>
      </c>
      <c r="D904" s="20" t="s">
        <v>2764</v>
      </c>
      <c r="E904" s="10" t="s">
        <v>508</v>
      </c>
      <c r="F904" s="10" t="s">
        <v>2767</v>
      </c>
      <c r="G904" s="12" t="s">
        <v>246</v>
      </c>
      <c r="H904" s="10" t="s">
        <v>247</v>
      </c>
      <c r="I904" s="16" t="s">
        <v>45</v>
      </c>
      <c r="J904" s="16" t="s">
        <v>45</v>
      </c>
      <c r="K904" s="16" t="s">
        <v>45</v>
      </c>
      <c r="L904" s="16" t="s">
        <v>45</v>
      </c>
      <c r="M904" s="10" t="s">
        <v>49</v>
      </c>
      <c r="N904" s="16" t="s">
        <v>45</v>
      </c>
      <c r="O904" s="10" t="s">
        <v>50</v>
      </c>
      <c r="P904" s="9" t="str">
        <f t="shared" si="28"/>
        <v>N/I</v>
      </c>
      <c r="Q904" s="9" t="str">
        <f t="shared" si="29"/>
        <v>N/I</v>
      </c>
      <c r="R904" s="9" t="str">
        <f t="shared" si="31"/>
        <v>N/I</v>
      </c>
    </row>
    <row r="905">
      <c r="A905" s="11" t="s">
        <v>2769</v>
      </c>
      <c r="B905" s="32" t="s">
        <v>2770</v>
      </c>
      <c r="C905" s="12" t="s">
        <v>94</v>
      </c>
      <c r="D905" s="13" t="s">
        <v>2771</v>
      </c>
      <c r="E905" s="10" t="s">
        <v>227</v>
      </c>
      <c r="F905" s="10" t="s">
        <v>2775</v>
      </c>
      <c r="G905" s="12" t="s">
        <v>2772</v>
      </c>
      <c r="H905" s="10" t="s">
        <v>197</v>
      </c>
      <c r="I905" s="16" t="s">
        <v>45</v>
      </c>
      <c r="J905" s="12" t="s">
        <v>46</v>
      </c>
      <c r="K905" s="10" t="s">
        <v>226</v>
      </c>
      <c r="L905" s="16" t="s">
        <v>45</v>
      </c>
      <c r="M905" s="10" t="s">
        <v>49</v>
      </c>
      <c r="N905" s="16" t="s">
        <v>45</v>
      </c>
      <c r="O905" s="10" t="s">
        <v>320</v>
      </c>
      <c r="P905" s="9" t="str">
        <f t="shared" si="28"/>
        <v>N/I</v>
      </c>
      <c r="Q905" s="9" t="str">
        <f t="shared" si="29"/>
        <v>N/I</v>
      </c>
      <c r="R905" s="9" t="str">
        <f t="shared" si="31"/>
        <v>N/I</v>
      </c>
    </row>
    <row r="906">
      <c r="A906" s="11" t="s">
        <v>2777</v>
      </c>
      <c r="B906" s="32" t="s">
        <v>2778</v>
      </c>
      <c r="C906" s="12" t="s">
        <v>94</v>
      </c>
      <c r="D906" s="42" t="s">
        <v>2779</v>
      </c>
      <c r="E906" s="16" t="s">
        <v>45</v>
      </c>
      <c r="F906" s="10" t="s">
        <v>2782</v>
      </c>
      <c r="G906" s="12" t="s">
        <v>627</v>
      </c>
      <c r="H906" s="10" t="s">
        <v>283</v>
      </c>
      <c r="I906" s="16" t="s">
        <v>45</v>
      </c>
      <c r="J906" s="16" t="s">
        <v>45</v>
      </c>
      <c r="K906" s="16" t="s">
        <v>45</v>
      </c>
      <c r="L906" s="16" t="s">
        <v>45</v>
      </c>
      <c r="M906" s="10" t="s">
        <v>49</v>
      </c>
      <c r="N906" s="16" t="s">
        <v>45</v>
      </c>
      <c r="O906" s="16" t="s">
        <v>45</v>
      </c>
      <c r="P906" s="9" t="str">
        <f t="shared" si="28"/>
        <v>N/I</v>
      </c>
      <c r="Q906" s="9" t="str">
        <f t="shared" si="29"/>
        <v>N/I</v>
      </c>
      <c r="R906" s="9" t="str">
        <f t="shared" si="31"/>
        <v>N/I</v>
      </c>
    </row>
    <row r="907">
      <c r="A907" s="11" t="s">
        <v>2777</v>
      </c>
      <c r="B907" s="32" t="s">
        <v>2778</v>
      </c>
      <c r="C907" s="12" t="s">
        <v>94</v>
      </c>
      <c r="D907" s="42" t="s">
        <v>2783</v>
      </c>
      <c r="E907" s="10" t="s">
        <v>319</v>
      </c>
      <c r="F907" s="10" t="s">
        <v>2785</v>
      </c>
      <c r="G907" s="12" t="s">
        <v>627</v>
      </c>
      <c r="H907" s="10" t="s">
        <v>283</v>
      </c>
      <c r="I907" s="10" t="s">
        <v>354</v>
      </c>
      <c r="J907" s="10" t="s">
        <v>319</v>
      </c>
      <c r="K907" s="10" t="s">
        <v>319</v>
      </c>
      <c r="L907" s="10" t="s">
        <v>319</v>
      </c>
      <c r="M907" s="10" t="s">
        <v>2289</v>
      </c>
      <c r="N907" s="10" t="s">
        <v>319</v>
      </c>
      <c r="O907" s="16" t="s">
        <v>45</v>
      </c>
      <c r="P907" s="9" t="str">
        <f t="shared" si="28"/>
        <v>N/I</v>
      </c>
      <c r="Q907" s="9" t="str">
        <f t="shared" si="29"/>
        <v>N/I</v>
      </c>
      <c r="R907" s="9" t="str">
        <f t="shared" si="31"/>
        <v>N/I</v>
      </c>
    </row>
    <row r="908">
      <c r="A908" s="11" t="s">
        <v>2788</v>
      </c>
      <c r="B908" s="32" t="s">
        <v>2789</v>
      </c>
      <c r="C908" s="12" t="s">
        <v>79</v>
      </c>
      <c r="D908" s="13" t="s">
        <v>2790</v>
      </c>
      <c r="E908" s="10" t="s">
        <v>227</v>
      </c>
      <c r="F908" s="10" t="s">
        <v>2791</v>
      </c>
      <c r="G908" s="12" t="s">
        <v>131</v>
      </c>
      <c r="H908" s="10" t="s">
        <v>132</v>
      </c>
      <c r="I908" s="16" t="s">
        <v>45</v>
      </c>
      <c r="J908" s="12" t="s">
        <v>46</v>
      </c>
      <c r="K908" s="10" t="s">
        <v>226</v>
      </c>
      <c r="L908" s="16" t="s">
        <v>45</v>
      </c>
      <c r="M908" s="10" t="s">
        <v>49</v>
      </c>
      <c r="N908" s="16" t="s">
        <v>45</v>
      </c>
      <c r="O908" s="10" t="s">
        <v>50</v>
      </c>
      <c r="P908" s="9" t="str">
        <f t="shared" si="28"/>
        <v>N/I</v>
      </c>
      <c r="Q908" s="9" t="str">
        <f t="shared" si="29"/>
        <v>N/I</v>
      </c>
      <c r="R908" s="9" t="str">
        <f t="shared" si="31"/>
        <v>N/I</v>
      </c>
    </row>
    <row r="909">
      <c r="A909" s="11" t="s">
        <v>2793</v>
      </c>
      <c r="B909" s="32"/>
      <c r="C909" s="12" t="s">
        <v>52</v>
      </c>
      <c r="D909" s="27" t="s">
        <v>2794</v>
      </c>
      <c r="E909" s="10" t="s">
        <v>356</v>
      </c>
      <c r="F909" s="10" t="s">
        <v>2797</v>
      </c>
      <c r="G909" s="12" t="s">
        <v>332</v>
      </c>
      <c r="H909" s="10" t="s">
        <v>197</v>
      </c>
      <c r="I909" s="16" t="s">
        <v>45</v>
      </c>
      <c r="J909" s="12" t="s">
        <v>355</v>
      </c>
      <c r="K909" s="16" t="s">
        <v>45</v>
      </c>
      <c r="L909" s="16" t="s">
        <v>45</v>
      </c>
      <c r="M909" s="10" t="s">
        <v>49</v>
      </c>
      <c r="N909" s="16" t="s">
        <v>45</v>
      </c>
      <c r="O909" s="16" t="s">
        <v>45</v>
      </c>
      <c r="P909" s="9" t="str">
        <f t="shared" si="28"/>
        <v>N/I</v>
      </c>
      <c r="Q909" s="9" t="str">
        <f t="shared" si="29"/>
        <v>N/I</v>
      </c>
      <c r="R909" s="9" t="str">
        <f t="shared" si="31"/>
        <v>N/I</v>
      </c>
    </row>
    <row r="910">
      <c r="A910" s="11" t="s">
        <v>2793</v>
      </c>
      <c r="B910" s="32"/>
      <c r="C910" s="12" t="s">
        <v>52</v>
      </c>
      <c r="D910" s="27" t="s">
        <v>2798</v>
      </c>
      <c r="E910" s="10" t="s">
        <v>356</v>
      </c>
      <c r="F910" s="10" t="s">
        <v>2797</v>
      </c>
      <c r="G910" s="12" t="s">
        <v>332</v>
      </c>
      <c r="H910" s="10" t="s">
        <v>197</v>
      </c>
      <c r="I910" s="16" t="s">
        <v>45</v>
      </c>
      <c r="J910" s="12" t="s">
        <v>355</v>
      </c>
      <c r="K910" s="16" t="s">
        <v>45</v>
      </c>
      <c r="L910" s="16" t="s">
        <v>45</v>
      </c>
      <c r="M910" s="10" t="s">
        <v>49</v>
      </c>
      <c r="N910" s="16" t="s">
        <v>45</v>
      </c>
      <c r="O910" s="16" t="s">
        <v>45</v>
      </c>
      <c r="P910" s="9" t="str">
        <f t="shared" si="28"/>
        <v>N/I</v>
      </c>
      <c r="Q910" s="9" t="str">
        <f t="shared" si="29"/>
        <v>N/I</v>
      </c>
      <c r="R910" s="9" t="str">
        <f t="shared" si="31"/>
        <v>N/I</v>
      </c>
    </row>
    <row r="911">
      <c r="A911" s="11" t="s">
        <v>2800</v>
      </c>
      <c r="B911" s="32" t="s">
        <v>2801</v>
      </c>
      <c r="C911" s="12" t="s">
        <v>94</v>
      </c>
      <c r="D911" s="42" t="s">
        <v>2802</v>
      </c>
      <c r="E911" s="10" t="s">
        <v>390</v>
      </c>
      <c r="F911" s="10" t="s">
        <v>2805</v>
      </c>
      <c r="G911" s="12" t="s">
        <v>463</v>
      </c>
      <c r="H911" s="10" t="s">
        <v>222</v>
      </c>
      <c r="I911" s="10" t="s">
        <v>290</v>
      </c>
      <c r="J911" s="12" t="s">
        <v>355</v>
      </c>
      <c r="K911" s="10" t="s">
        <v>227</v>
      </c>
      <c r="L911" s="16" t="s">
        <v>45</v>
      </c>
      <c r="M911" s="10" t="s">
        <v>49</v>
      </c>
      <c r="N911" s="16" t="s">
        <v>45</v>
      </c>
      <c r="O911" s="10" t="s">
        <v>320</v>
      </c>
      <c r="P911" s="9" t="str">
        <f t="shared" si="28"/>
        <v>N/I</v>
      </c>
      <c r="Q911" s="9" t="str">
        <f t="shared" si="29"/>
        <v>N/I</v>
      </c>
      <c r="R911" s="9" t="str">
        <f t="shared" si="31"/>
        <v>N/I</v>
      </c>
    </row>
    <row r="912">
      <c r="A912" s="11" t="s">
        <v>2800</v>
      </c>
      <c r="B912" s="32" t="s">
        <v>2801</v>
      </c>
      <c r="C912" s="12" t="s">
        <v>94</v>
      </c>
      <c r="D912" s="42" t="s">
        <v>2806</v>
      </c>
      <c r="E912" s="10" t="s">
        <v>390</v>
      </c>
      <c r="F912" s="10" t="s">
        <v>2805</v>
      </c>
      <c r="G912" s="12" t="s">
        <v>463</v>
      </c>
      <c r="H912" s="10" t="s">
        <v>222</v>
      </c>
      <c r="I912" s="10" t="s">
        <v>290</v>
      </c>
      <c r="J912" s="12" t="s">
        <v>355</v>
      </c>
      <c r="K912" s="10" t="s">
        <v>227</v>
      </c>
      <c r="L912" s="16" t="s">
        <v>45</v>
      </c>
      <c r="M912" s="10" t="s">
        <v>49</v>
      </c>
      <c r="N912" s="16" t="s">
        <v>45</v>
      </c>
      <c r="O912" s="10" t="s">
        <v>320</v>
      </c>
      <c r="P912" s="9" t="str">
        <f t="shared" si="28"/>
        <v>N/I</v>
      </c>
      <c r="Q912" s="9" t="str">
        <f t="shared" si="29"/>
        <v>N/I</v>
      </c>
      <c r="R912" s="9" t="str">
        <f t="shared" si="31"/>
        <v>N/I</v>
      </c>
    </row>
    <row r="913">
      <c r="A913" s="11" t="s">
        <v>2808</v>
      </c>
      <c r="B913" s="32"/>
      <c r="C913" s="12" t="s">
        <v>55</v>
      </c>
      <c r="D913" s="13" t="s">
        <v>2809</v>
      </c>
      <c r="E913" s="16" t="s">
        <v>45</v>
      </c>
      <c r="F913" s="10" t="s">
        <v>2812</v>
      </c>
      <c r="G913" s="12" t="s">
        <v>246</v>
      </c>
      <c r="H913" s="10" t="s">
        <v>247</v>
      </c>
      <c r="I913" s="16" t="s">
        <v>45</v>
      </c>
      <c r="J913" s="16" t="s">
        <v>45</v>
      </c>
      <c r="K913" s="16" t="s">
        <v>45</v>
      </c>
      <c r="L913" s="16" t="s">
        <v>45</v>
      </c>
      <c r="M913" s="10" t="s">
        <v>49</v>
      </c>
      <c r="N913" s="16" t="s">
        <v>45</v>
      </c>
      <c r="O913" s="16" t="s">
        <v>45</v>
      </c>
      <c r="P913" s="9" t="str">
        <f t="shared" si="28"/>
        <v>N/I</v>
      </c>
      <c r="Q913" s="9" t="str">
        <f t="shared" si="29"/>
        <v>N/I</v>
      </c>
      <c r="R913" s="9" t="str">
        <f t="shared" si="31"/>
        <v>N/I</v>
      </c>
    </row>
    <row r="914">
      <c r="A914" s="11" t="s">
        <v>2808</v>
      </c>
      <c r="B914" s="32"/>
      <c r="C914" s="12" t="s">
        <v>55</v>
      </c>
      <c r="D914" s="13" t="s">
        <v>2813</v>
      </c>
      <c r="E914" s="16" t="s">
        <v>45</v>
      </c>
      <c r="F914" s="10" t="s">
        <v>2812</v>
      </c>
      <c r="G914" s="12" t="s">
        <v>246</v>
      </c>
      <c r="H914" s="10" t="s">
        <v>247</v>
      </c>
      <c r="I914" s="16" t="s">
        <v>45</v>
      </c>
      <c r="J914" s="16" t="s">
        <v>45</v>
      </c>
      <c r="K914" s="16" t="s">
        <v>45</v>
      </c>
      <c r="L914" s="16" t="s">
        <v>45</v>
      </c>
      <c r="M914" s="10" t="s">
        <v>49</v>
      </c>
      <c r="N914" s="16" t="s">
        <v>45</v>
      </c>
      <c r="O914" s="16" t="s">
        <v>45</v>
      </c>
      <c r="P914" s="9" t="str">
        <f t="shared" si="28"/>
        <v>N/I</v>
      </c>
      <c r="Q914" s="9" t="str">
        <f t="shared" si="29"/>
        <v>N/I</v>
      </c>
      <c r="R914" s="9" t="str">
        <f t="shared" si="31"/>
        <v>N/I</v>
      </c>
    </row>
    <row r="915">
      <c r="A915" s="11" t="s">
        <v>2815</v>
      </c>
      <c r="B915" s="32"/>
      <c r="C915" s="12" t="s">
        <v>448</v>
      </c>
      <c r="D915" s="36" t="s">
        <v>2816</v>
      </c>
      <c r="E915" s="16" t="s">
        <v>45</v>
      </c>
      <c r="F915" s="10" t="s">
        <v>2819</v>
      </c>
      <c r="G915" s="12" t="s">
        <v>380</v>
      </c>
      <c r="H915" s="10" t="s">
        <v>197</v>
      </c>
      <c r="I915" s="16" t="s">
        <v>45</v>
      </c>
      <c r="J915" s="12" t="s">
        <v>46</v>
      </c>
      <c r="K915" s="10" t="s">
        <v>227</v>
      </c>
      <c r="L915" s="16" t="s">
        <v>45</v>
      </c>
      <c r="M915" s="10" t="s">
        <v>49</v>
      </c>
      <c r="N915" s="10" t="s">
        <v>227</v>
      </c>
      <c r="O915" s="10" t="s">
        <v>50</v>
      </c>
      <c r="P915" s="9" t="str">
        <f t="shared" si="28"/>
        <v>N/I</v>
      </c>
      <c r="Q915" s="9" t="str">
        <f t="shared" si="29"/>
        <v>N/I</v>
      </c>
      <c r="R915" s="9" t="s">
        <v>1967</v>
      </c>
    </row>
    <row r="916">
      <c r="A916" s="11" t="s">
        <v>2815</v>
      </c>
      <c r="B916" s="32"/>
      <c r="C916" s="12" t="s">
        <v>448</v>
      </c>
      <c r="D916" s="41" t="s">
        <v>2820</v>
      </c>
      <c r="E916" s="16" t="s">
        <v>45</v>
      </c>
      <c r="F916" s="10" t="s">
        <v>2819</v>
      </c>
      <c r="G916" s="12" t="s">
        <v>380</v>
      </c>
      <c r="H916" s="10" t="s">
        <v>197</v>
      </c>
      <c r="I916" s="16" t="s">
        <v>45</v>
      </c>
      <c r="J916" s="12" t="s">
        <v>46</v>
      </c>
      <c r="K916" s="10" t="s">
        <v>227</v>
      </c>
      <c r="L916" s="16" t="s">
        <v>45</v>
      </c>
      <c r="M916" s="10" t="s">
        <v>49</v>
      </c>
      <c r="N916" s="10" t="s">
        <v>227</v>
      </c>
      <c r="O916" s="10" t="s">
        <v>50</v>
      </c>
      <c r="P916" s="9" t="str">
        <f t="shared" si="28"/>
        <v>N/I</v>
      </c>
      <c r="Q916" s="9" t="str">
        <f t="shared" si="29"/>
        <v>N/I</v>
      </c>
      <c r="R916" s="9" t="str">
        <f t="shared" ref="R916:R1670" si="32">IF(AT916&lt;0,"Inativo",IF(AT916&gt;0,"Ativo","N/I"))</f>
        <v>N/I</v>
      </c>
    </row>
    <row r="917">
      <c r="A917" s="11" t="s">
        <v>2822</v>
      </c>
      <c r="B917" s="32"/>
      <c r="C917" s="12" t="s">
        <v>94</v>
      </c>
      <c r="D917" s="20" t="s">
        <v>2823</v>
      </c>
      <c r="E917" s="10" t="s">
        <v>442</v>
      </c>
      <c r="F917" s="10" t="s">
        <v>2826</v>
      </c>
      <c r="G917" s="12" t="s">
        <v>246</v>
      </c>
      <c r="H917" s="10" t="s">
        <v>247</v>
      </c>
      <c r="I917" s="10" t="s">
        <v>290</v>
      </c>
      <c r="J917" s="12" t="s">
        <v>46</v>
      </c>
      <c r="K917" s="10" t="s">
        <v>441</v>
      </c>
      <c r="L917" s="16" t="s">
        <v>45</v>
      </c>
      <c r="M917" s="10" t="s">
        <v>2289</v>
      </c>
      <c r="N917" s="10" t="s">
        <v>319</v>
      </c>
      <c r="O917" s="10" t="s">
        <v>50</v>
      </c>
      <c r="P917" s="9" t="str">
        <f t="shared" si="28"/>
        <v>N/I</v>
      </c>
      <c r="Q917" s="9" t="str">
        <f t="shared" si="29"/>
        <v>N/I</v>
      </c>
      <c r="R917" s="9" t="str">
        <f t="shared" si="32"/>
        <v>N/I</v>
      </c>
    </row>
    <row r="918">
      <c r="A918" s="11" t="s">
        <v>2828</v>
      </c>
      <c r="B918" s="32" t="s">
        <v>2829</v>
      </c>
      <c r="C918" s="12" t="s">
        <v>68</v>
      </c>
      <c r="D918" s="13" t="s">
        <v>2830</v>
      </c>
      <c r="E918" s="10" t="s">
        <v>390</v>
      </c>
      <c r="F918" s="10" t="s">
        <v>2833</v>
      </c>
      <c r="G918" s="12" t="s">
        <v>246</v>
      </c>
      <c r="H918" s="10" t="s">
        <v>247</v>
      </c>
      <c r="I918" s="16" t="s">
        <v>45</v>
      </c>
      <c r="J918" s="12" t="s">
        <v>46</v>
      </c>
      <c r="K918" s="10" t="s">
        <v>291</v>
      </c>
      <c r="L918" s="10" t="s">
        <v>292</v>
      </c>
      <c r="M918" s="10" t="s">
        <v>49</v>
      </c>
      <c r="N918" s="16" t="s">
        <v>45</v>
      </c>
      <c r="O918" s="16" t="s">
        <v>45</v>
      </c>
      <c r="P918" s="9" t="str">
        <f t="shared" si="28"/>
        <v>N/I</v>
      </c>
      <c r="Q918" s="9" t="str">
        <f t="shared" si="29"/>
        <v>N/I</v>
      </c>
      <c r="R918" s="9" t="str">
        <f t="shared" si="32"/>
        <v>N/I</v>
      </c>
    </row>
    <row r="919">
      <c r="A919" s="11" t="s">
        <v>2828</v>
      </c>
      <c r="B919" s="32" t="s">
        <v>2829</v>
      </c>
      <c r="C919" s="12" t="s">
        <v>68</v>
      </c>
      <c r="D919" s="13" t="s">
        <v>2834</v>
      </c>
      <c r="E919" s="10" t="s">
        <v>390</v>
      </c>
      <c r="F919" s="10" t="s">
        <v>2833</v>
      </c>
      <c r="G919" s="12" t="s">
        <v>246</v>
      </c>
      <c r="H919" s="10" t="s">
        <v>247</v>
      </c>
      <c r="I919" s="16" t="s">
        <v>45</v>
      </c>
      <c r="J919" s="12" t="s">
        <v>46</v>
      </c>
      <c r="K919" s="10" t="s">
        <v>291</v>
      </c>
      <c r="L919" s="10" t="s">
        <v>292</v>
      </c>
      <c r="M919" s="10" t="s">
        <v>49</v>
      </c>
      <c r="N919" s="16" t="s">
        <v>45</v>
      </c>
      <c r="O919" s="16" t="s">
        <v>45</v>
      </c>
      <c r="P919" s="9" t="str">
        <f t="shared" si="28"/>
        <v>N/I</v>
      </c>
      <c r="Q919" s="9" t="str">
        <f t="shared" si="29"/>
        <v>N/I</v>
      </c>
      <c r="R919" s="9" t="str">
        <f t="shared" si="32"/>
        <v>N/I</v>
      </c>
    </row>
    <row r="920">
      <c r="A920" s="11" t="s">
        <v>2828</v>
      </c>
      <c r="B920" s="32" t="s">
        <v>2829</v>
      </c>
      <c r="C920" s="12" t="s">
        <v>68</v>
      </c>
      <c r="D920" s="13" t="s">
        <v>2835</v>
      </c>
      <c r="E920" s="10" t="s">
        <v>390</v>
      </c>
      <c r="F920" s="10" t="s">
        <v>2833</v>
      </c>
      <c r="G920" s="12" t="s">
        <v>246</v>
      </c>
      <c r="H920" s="10" t="s">
        <v>247</v>
      </c>
      <c r="I920" s="16" t="s">
        <v>45</v>
      </c>
      <c r="J920" s="12" t="s">
        <v>46</v>
      </c>
      <c r="K920" s="10" t="s">
        <v>291</v>
      </c>
      <c r="L920" s="10" t="s">
        <v>292</v>
      </c>
      <c r="M920" s="10" t="s">
        <v>49</v>
      </c>
      <c r="N920" s="16" t="s">
        <v>45</v>
      </c>
      <c r="O920" s="16" t="s">
        <v>45</v>
      </c>
      <c r="P920" s="9" t="str">
        <f t="shared" si="28"/>
        <v>N/I</v>
      </c>
      <c r="Q920" s="9" t="str">
        <f t="shared" si="29"/>
        <v>N/I</v>
      </c>
      <c r="R920" s="9" t="str">
        <f t="shared" si="32"/>
        <v>N/I</v>
      </c>
    </row>
    <row r="921">
      <c r="A921" s="11" t="s">
        <v>2828</v>
      </c>
      <c r="B921" s="32" t="s">
        <v>2829</v>
      </c>
      <c r="C921" s="12" t="s">
        <v>68</v>
      </c>
      <c r="D921" s="13" t="s">
        <v>2836</v>
      </c>
      <c r="E921" s="10" t="s">
        <v>390</v>
      </c>
      <c r="F921" s="10" t="s">
        <v>2833</v>
      </c>
      <c r="G921" s="12" t="s">
        <v>246</v>
      </c>
      <c r="H921" s="10" t="s">
        <v>247</v>
      </c>
      <c r="I921" s="16" t="s">
        <v>45</v>
      </c>
      <c r="J921" s="12" t="s">
        <v>46</v>
      </c>
      <c r="K921" s="10" t="s">
        <v>291</v>
      </c>
      <c r="L921" s="10" t="s">
        <v>292</v>
      </c>
      <c r="M921" s="10" t="s">
        <v>49</v>
      </c>
      <c r="N921" s="16" t="s">
        <v>45</v>
      </c>
      <c r="O921" s="16" t="s">
        <v>45</v>
      </c>
      <c r="P921" s="9" t="str">
        <f t="shared" si="28"/>
        <v>N/I</v>
      </c>
      <c r="Q921" s="9" t="str">
        <f t="shared" si="29"/>
        <v>N/I</v>
      </c>
      <c r="R921" s="9" t="str">
        <f t="shared" si="32"/>
        <v>N/I</v>
      </c>
    </row>
    <row r="922">
      <c r="A922" s="11" t="s">
        <v>2828</v>
      </c>
      <c r="B922" s="32" t="s">
        <v>2829</v>
      </c>
      <c r="C922" s="12" t="s">
        <v>68</v>
      </c>
      <c r="D922" s="13" t="s">
        <v>2837</v>
      </c>
      <c r="E922" s="10" t="s">
        <v>390</v>
      </c>
      <c r="F922" s="10" t="s">
        <v>2833</v>
      </c>
      <c r="G922" s="12" t="s">
        <v>246</v>
      </c>
      <c r="H922" s="10" t="s">
        <v>247</v>
      </c>
      <c r="I922" s="16" t="s">
        <v>45</v>
      </c>
      <c r="J922" s="12" t="s">
        <v>46</v>
      </c>
      <c r="K922" s="10" t="s">
        <v>291</v>
      </c>
      <c r="L922" s="10" t="s">
        <v>292</v>
      </c>
      <c r="M922" s="10" t="s">
        <v>49</v>
      </c>
      <c r="N922" s="16" t="s">
        <v>45</v>
      </c>
      <c r="O922" s="16" t="s">
        <v>45</v>
      </c>
      <c r="P922" s="9" t="str">
        <f t="shared" si="28"/>
        <v>N/I</v>
      </c>
      <c r="Q922" s="9" t="str">
        <f t="shared" si="29"/>
        <v>N/I</v>
      </c>
      <c r="R922" s="9" t="str">
        <f t="shared" si="32"/>
        <v>N/I</v>
      </c>
    </row>
    <row r="923">
      <c r="A923" s="11" t="s">
        <v>2828</v>
      </c>
      <c r="B923" s="32" t="s">
        <v>2829</v>
      </c>
      <c r="C923" s="12" t="s">
        <v>68</v>
      </c>
      <c r="D923" s="13" t="s">
        <v>2838</v>
      </c>
      <c r="E923" s="10" t="s">
        <v>390</v>
      </c>
      <c r="F923" s="10" t="s">
        <v>2833</v>
      </c>
      <c r="G923" s="12" t="s">
        <v>246</v>
      </c>
      <c r="H923" s="10" t="s">
        <v>247</v>
      </c>
      <c r="I923" s="16" t="s">
        <v>45</v>
      </c>
      <c r="J923" s="12" t="s">
        <v>46</v>
      </c>
      <c r="K923" s="10" t="s">
        <v>291</v>
      </c>
      <c r="L923" s="10" t="s">
        <v>292</v>
      </c>
      <c r="M923" s="10" t="s">
        <v>49</v>
      </c>
      <c r="N923" s="16" t="s">
        <v>45</v>
      </c>
      <c r="O923" s="16" t="s">
        <v>45</v>
      </c>
      <c r="P923" s="9" t="str">
        <f t="shared" si="28"/>
        <v>N/I</v>
      </c>
      <c r="Q923" s="9" t="str">
        <f t="shared" si="29"/>
        <v>N/I</v>
      </c>
      <c r="R923" s="9" t="str">
        <f t="shared" si="32"/>
        <v>N/I</v>
      </c>
    </row>
    <row r="924">
      <c r="A924" s="11" t="s">
        <v>2828</v>
      </c>
      <c r="B924" s="32" t="s">
        <v>2829</v>
      </c>
      <c r="C924" s="12" t="s">
        <v>68</v>
      </c>
      <c r="D924" s="13" t="s">
        <v>2839</v>
      </c>
      <c r="E924" s="10" t="s">
        <v>390</v>
      </c>
      <c r="F924" s="10" t="s">
        <v>2833</v>
      </c>
      <c r="G924" s="12" t="s">
        <v>246</v>
      </c>
      <c r="H924" s="10" t="s">
        <v>247</v>
      </c>
      <c r="I924" s="16" t="s">
        <v>45</v>
      </c>
      <c r="J924" s="12" t="s">
        <v>46</v>
      </c>
      <c r="K924" s="10" t="s">
        <v>291</v>
      </c>
      <c r="L924" s="10" t="s">
        <v>292</v>
      </c>
      <c r="M924" s="10" t="s">
        <v>49</v>
      </c>
      <c r="N924" s="16" t="s">
        <v>45</v>
      </c>
      <c r="O924" s="16" t="s">
        <v>45</v>
      </c>
      <c r="P924" s="9" t="str">
        <f t="shared" si="28"/>
        <v>N/I</v>
      </c>
      <c r="Q924" s="9" t="str">
        <f t="shared" si="29"/>
        <v>N/I</v>
      </c>
      <c r="R924" s="9" t="str">
        <f t="shared" si="32"/>
        <v>N/I</v>
      </c>
    </row>
    <row r="925">
      <c r="A925" s="11" t="s">
        <v>2828</v>
      </c>
      <c r="B925" s="32" t="s">
        <v>2829</v>
      </c>
      <c r="C925" s="12" t="s">
        <v>68</v>
      </c>
      <c r="D925" s="13" t="s">
        <v>2840</v>
      </c>
      <c r="E925" s="10" t="s">
        <v>390</v>
      </c>
      <c r="F925" s="10" t="s">
        <v>2833</v>
      </c>
      <c r="G925" s="12" t="s">
        <v>246</v>
      </c>
      <c r="H925" s="10" t="s">
        <v>247</v>
      </c>
      <c r="I925" s="16" t="s">
        <v>45</v>
      </c>
      <c r="J925" s="12" t="s">
        <v>46</v>
      </c>
      <c r="K925" s="10" t="s">
        <v>291</v>
      </c>
      <c r="L925" s="10" t="s">
        <v>292</v>
      </c>
      <c r="M925" s="10" t="s">
        <v>49</v>
      </c>
      <c r="N925" s="16" t="s">
        <v>45</v>
      </c>
      <c r="O925" s="16" t="s">
        <v>45</v>
      </c>
      <c r="P925" s="9" t="str">
        <f t="shared" si="28"/>
        <v>N/I</v>
      </c>
      <c r="Q925" s="9" t="str">
        <f t="shared" si="29"/>
        <v>N/I</v>
      </c>
      <c r="R925" s="9" t="str">
        <f t="shared" si="32"/>
        <v>N/I</v>
      </c>
    </row>
    <row r="926">
      <c r="A926" s="11" t="s">
        <v>2828</v>
      </c>
      <c r="B926" s="32" t="s">
        <v>2829</v>
      </c>
      <c r="C926" s="12" t="s">
        <v>68</v>
      </c>
      <c r="D926" s="13" t="s">
        <v>2841</v>
      </c>
      <c r="E926" s="10" t="s">
        <v>390</v>
      </c>
      <c r="F926" s="10" t="s">
        <v>2833</v>
      </c>
      <c r="G926" s="12" t="s">
        <v>246</v>
      </c>
      <c r="H926" s="10" t="s">
        <v>247</v>
      </c>
      <c r="I926" s="16" t="s">
        <v>45</v>
      </c>
      <c r="J926" s="12" t="s">
        <v>46</v>
      </c>
      <c r="K926" s="10" t="s">
        <v>291</v>
      </c>
      <c r="L926" s="10" t="s">
        <v>292</v>
      </c>
      <c r="M926" s="10" t="s">
        <v>49</v>
      </c>
      <c r="N926" s="16" t="s">
        <v>45</v>
      </c>
      <c r="O926" s="16" t="s">
        <v>45</v>
      </c>
      <c r="P926" s="9" t="str">
        <f t="shared" si="28"/>
        <v>N/I</v>
      </c>
      <c r="Q926" s="9" t="str">
        <f t="shared" si="29"/>
        <v>N/I</v>
      </c>
      <c r="R926" s="9" t="str">
        <f t="shared" si="32"/>
        <v>N/I</v>
      </c>
    </row>
    <row r="927">
      <c r="A927" s="11" t="s">
        <v>2828</v>
      </c>
      <c r="B927" s="32" t="s">
        <v>2829</v>
      </c>
      <c r="C927" s="12" t="s">
        <v>68</v>
      </c>
      <c r="D927" s="13" t="s">
        <v>2842</v>
      </c>
      <c r="E927" s="10" t="s">
        <v>390</v>
      </c>
      <c r="F927" s="10" t="s">
        <v>2833</v>
      </c>
      <c r="G927" s="12" t="s">
        <v>246</v>
      </c>
      <c r="H927" s="10" t="s">
        <v>247</v>
      </c>
      <c r="I927" s="16" t="s">
        <v>45</v>
      </c>
      <c r="J927" s="12" t="s">
        <v>46</v>
      </c>
      <c r="K927" s="10" t="s">
        <v>291</v>
      </c>
      <c r="L927" s="10" t="s">
        <v>292</v>
      </c>
      <c r="M927" s="10" t="s">
        <v>49</v>
      </c>
      <c r="N927" s="16" t="s">
        <v>45</v>
      </c>
      <c r="O927" s="16" t="s">
        <v>45</v>
      </c>
      <c r="P927" s="9" t="str">
        <f t="shared" si="28"/>
        <v>N/I</v>
      </c>
      <c r="Q927" s="9" t="str">
        <f t="shared" si="29"/>
        <v>N/I</v>
      </c>
      <c r="R927" s="9" t="str">
        <f t="shared" si="32"/>
        <v>N/I</v>
      </c>
    </row>
    <row r="928">
      <c r="A928" s="11" t="s">
        <v>2844</v>
      </c>
      <c r="B928" s="32" t="s">
        <v>2845</v>
      </c>
      <c r="C928" s="12" t="s">
        <v>502</v>
      </c>
      <c r="D928" s="20" t="s">
        <v>2846</v>
      </c>
      <c r="E928" s="10" t="s">
        <v>227</v>
      </c>
      <c r="F928" s="10" t="s">
        <v>2849</v>
      </c>
      <c r="G928" s="12" t="s">
        <v>39</v>
      </c>
      <c r="H928" s="10" t="s">
        <v>40</v>
      </c>
      <c r="I928" s="16" t="s">
        <v>45</v>
      </c>
      <c r="J928" s="12" t="s">
        <v>46</v>
      </c>
      <c r="K928" s="10" t="s">
        <v>441</v>
      </c>
      <c r="L928" s="16" t="s">
        <v>45</v>
      </c>
      <c r="M928" s="10" t="s">
        <v>49</v>
      </c>
      <c r="N928" s="16" t="s">
        <v>45</v>
      </c>
      <c r="O928" s="10" t="s">
        <v>320</v>
      </c>
      <c r="P928" s="9" t="str">
        <f t="shared" si="28"/>
        <v>N/I</v>
      </c>
      <c r="Q928" s="9" t="str">
        <f t="shared" si="29"/>
        <v>N/I</v>
      </c>
      <c r="R928" s="9" t="str">
        <f t="shared" si="32"/>
        <v>N/I</v>
      </c>
    </row>
    <row r="929">
      <c r="A929" s="11" t="s">
        <v>2844</v>
      </c>
      <c r="B929" s="11" t="s">
        <v>2850</v>
      </c>
      <c r="C929" s="12" t="s">
        <v>502</v>
      </c>
      <c r="D929" s="20" t="s">
        <v>2851</v>
      </c>
      <c r="E929" s="10" t="s">
        <v>227</v>
      </c>
      <c r="F929" s="10" t="s">
        <v>2853</v>
      </c>
      <c r="G929" s="12" t="s">
        <v>980</v>
      </c>
      <c r="H929" s="10" t="s">
        <v>40</v>
      </c>
      <c r="I929" s="16" t="s">
        <v>45</v>
      </c>
      <c r="J929" s="12" t="s">
        <v>46</v>
      </c>
      <c r="K929" s="10" t="s">
        <v>441</v>
      </c>
      <c r="L929" s="16" t="s">
        <v>45</v>
      </c>
      <c r="M929" s="10" t="s">
        <v>49</v>
      </c>
      <c r="N929" s="16" t="s">
        <v>45</v>
      </c>
      <c r="O929" s="10" t="s">
        <v>320</v>
      </c>
      <c r="P929" s="9" t="str">
        <f t="shared" si="28"/>
        <v>N/I</v>
      </c>
      <c r="Q929" s="9" t="str">
        <f t="shared" si="29"/>
        <v>N/I</v>
      </c>
      <c r="R929" s="9" t="str">
        <f t="shared" si="32"/>
        <v>N/I</v>
      </c>
    </row>
    <row r="930">
      <c r="A930" s="11" t="s">
        <v>2844</v>
      </c>
      <c r="B930" s="11" t="s">
        <v>2854</v>
      </c>
      <c r="C930" s="12" t="s">
        <v>502</v>
      </c>
      <c r="D930" s="20" t="s">
        <v>2855</v>
      </c>
      <c r="E930" s="10" t="s">
        <v>227</v>
      </c>
      <c r="F930" s="10" t="s">
        <v>2849</v>
      </c>
      <c r="G930" s="12" t="s">
        <v>2856</v>
      </c>
      <c r="H930" s="10" t="s">
        <v>40</v>
      </c>
      <c r="I930" s="16" t="s">
        <v>45</v>
      </c>
      <c r="J930" s="12" t="s">
        <v>46</v>
      </c>
      <c r="K930" s="10" t="s">
        <v>441</v>
      </c>
      <c r="L930" s="16" t="s">
        <v>45</v>
      </c>
      <c r="M930" s="10" t="s">
        <v>49</v>
      </c>
      <c r="N930" s="16" t="s">
        <v>45</v>
      </c>
      <c r="O930" s="10" t="s">
        <v>320</v>
      </c>
      <c r="P930" s="9" t="str">
        <f t="shared" si="28"/>
        <v>N/I</v>
      </c>
      <c r="Q930" s="9" t="str">
        <f t="shared" si="29"/>
        <v>N/I</v>
      </c>
      <c r="R930" s="9" t="str">
        <f t="shared" si="32"/>
        <v>N/I</v>
      </c>
    </row>
    <row r="931">
      <c r="A931" s="11" t="s">
        <v>2844</v>
      </c>
      <c r="B931" s="11" t="s">
        <v>2859</v>
      </c>
      <c r="C931" s="12" t="s">
        <v>94</v>
      </c>
      <c r="D931" s="13" t="s">
        <v>2860</v>
      </c>
      <c r="E931" s="10" t="s">
        <v>227</v>
      </c>
      <c r="F931" s="10" t="s">
        <v>2862</v>
      </c>
      <c r="G931" s="12" t="s">
        <v>100</v>
      </c>
      <c r="H931" s="10" t="s">
        <v>101</v>
      </c>
      <c r="I931" s="16" t="s">
        <v>45</v>
      </c>
      <c r="J931" s="12" t="s">
        <v>46</v>
      </c>
      <c r="K931" s="10" t="s">
        <v>441</v>
      </c>
      <c r="L931" s="16" t="s">
        <v>45</v>
      </c>
      <c r="M931" s="10" t="s">
        <v>49</v>
      </c>
      <c r="N931" s="16" t="s">
        <v>45</v>
      </c>
      <c r="O931" s="10" t="s">
        <v>320</v>
      </c>
      <c r="P931" s="9" t="str">
        <f t="shared" si="28"/>
        <v>N/I</v>
      </c>
      <c r="Q931" s="9" t="str">
        <f t="shared" si="29"/>
        <v>N/I</v>
      </c>
      <c r="R931" s="9" t="str">
        <f t="shared" si="32"/>
        <v>N/I</v>
      </c>
    </row>
    <row r="932">
      <c r="A932" s="11" t="s">
        <v>2844</v>
      </c>
      <c r="B932" s="11" t="s">
        <v>2859</v>
      </c>
      <c r="C932" s="12" t="s">
        <v>502</v>
      </c>
      <c r="D932" s="13" t="s">
        <v>2863</v>
      </c>
      <c r="E932" s="10" t="s">
        <v>227</v>
      </c>
      <c r="F932" s="10" t="s">
        <v>2862</v>
      </c>
      <c r="G932" s="12" t="s">
        <v>100</v>
      </c>
      <c r="H932" s="10" t="s">
        <v>101</v>
      </c>
      <c r="I932" s="16" t="s">
        <v>45</v>
      </c>
      <c r="J932" s="12" t="s">
        <v>46</v>
      </c>
      <c r="K932" s="10" t="s">
        <v>441</v>
      </c>
      <c r="L932" s="16" t="s">
        <v>45</v>
      </c>
      <c r="M932" s="10" t="s">
        <v>49</v>
      </c>
      <c r="N932" s="16" t="s">
        <v>45</v>
      </c>
      <c r="O932" s="10" t="s">
        <v>320</v>
      </c>
      <c r="P932" s="9" t="str">
        <f t="shared" si="28"/>
        <v>N/I</v>
      </c>
      <c r="Q932" s="9" t="str">
        <f t="shared" si="29"/>
        <v>N/I</v>
      </c>
      <c r="R932" s="9" t="str">
        <f t="shared" si="32"/>
        <v>N/I</v>
      </c>
    </row>
    <row r="933">
      <c r="A933" s="11" t="s">
        <v>2865</v>
      </c>
      <c r="B933" s="32"/>
      <c r="C933" s="12" t="s">
        <v>94</v>
      </c>
      <c r="D933" s="13" t="s">
        <v>2866</v>
      </c>
      <c r="E933" s="12" t="s">
        <v>2871</v>
      </c>
      <c r="F933" s="10" t="s">
        <v>2870</v>
      </c>
      <c r="G933" s="12" t="s">
        <v>2867</v>
      </c>
      <c r="H933" s="10" t="s">
        <v>197</v>
      </c>
      <c r="I933" s="10" t="s">
        <v>290</v>
      </c>
      <c r="J933" s="12" t="s">
        <v>46</v>
      </c>
      <c r="K933" s="10" t="s">
        <v>441</v>
      </c>
      <c r="L933" s="16" t="s">
        <v>45</v>
      </c>
      <c r="M933" s="10" t="s">
        <v>2289</v>
      </c>
      <c r="N933" s="10" t="s">
        <v>319</v>
      </c>
      <c r="O933" s="10" t="s">
        <v>50</v>
      </c>
      <c r="P933" s="9" t="str">
        <f t="shared" si="28"/>
        <v>N/I</v>
      </c>
      <c r="Q933" s="9" t="str">
        <f t="shared" si="29"/>
        <v>N/I</v>
      </c>
      <c r="R933" s="9" t="str">
        <f t="shared" si="32"/>
        <v>N/I</v>
      </c>
    </row>
    <row r="934">
      <c r="A934" s="11" t="s">
        <v>2873</v>
      </c>
      <c r="B934" s="32" t="s">
        <v>2874</v>
      </c>
      <c r="C934" s="12" t="s">
        <v>254</v>
      </c>
      <c r="D934" s="20" t="s">
        <v>2875</v>
      </c>
      <c r="E934" s="16" t="s">
        <v>45</v>
      </c>
      <c r="F934" s="10" t="s">
        <v>2879</v>
      </c>
      <c r="G934" s="12" t="s">
        <v>2876</v>
      </c>
      <c r="H934" s="10" t="s">
        <v>262</v>
      </c>
      <c r="I934" s="16" t="s">
        <v>45</v>
      </c>
      <c r="J934" s="16" t="s">
        <v>45</v>
      </c>
      <c r="K934" s="16" t="s">
        <v>45</v>
      </c>
      <c r="L934" s="16" t="s">
        <v>45</v>
      </c>
      <c r="M934" s="16" t="s">
        <v>45</v>
      </c>
      <c r="N934" s="16" t="s">
        <v>45</v>
      </c>
      <c r="O934" s="16" t="s">
        <v>45</v>
      </c>
      <c r="P934" s="9" t="str">
        <f t="shared" si="28"/>
        <v>N/I</v>
      </c>
      <c r="Q934" s="9" t="str">
        <f t="shared" si="29"/>
        <v>N/I</v>
      </c>
      <c r="R934" s="9" t="str">
        <f t="shared" si="32"/>
        <v>N/I</v>
      </c>
    </row>
    <row r="935">
      <c r="A935" s="11" t="s">
        <v>2873</v>
      </c>
      <c r="B935" s="32" t="s">
        <v>2880</v>
      </c>
      <c r="C935" s="12" t="s">
        <v>254</v>
      </c>
      <c r="D935" s="20" t="s">
        <v>2881</v>
      </c>
      <c r="E935" s="10" t="s">
        <v>227</v>
      </c>
      <c r="F935" s="10" t="s">
        <v>2885</v>
      </c>
      <c r="G935" s="12" t="s">
        <v>2882</v>
      </c>
      <c r="H935" s="10" t="s">
        <v>197</v>
      </c>
      <c r="I935" s="10" t="s">
        <v>680</v>
      </c>
      <c r="J935" s="12" t="s">
        <v>46</v>
      </c>
      <c r="K935" s="10" t="s">
        <v>226</v>
      </c>
      <c r="L935" s="16" t="s">
        <v>45</v>
      </c>
      <c r="M935" s="10" t="s">
        <v>49</v>
      </c>
      <c r="N935" s="16" t="s">
        <v>45</v>
      </c>
      <c r="O935" s="10" t="s">
        <v>50</v>
      </c>
      <c r="P935" s="9" t="str">
        <f t="shared" si="28"/>
        <v>N/I</v>
      </c>
      <c r="Q935" s="9" t="str">
        <f t="shared" si="29"/>
        <v>N/I</v>
      </c>
      <c r="R935" s="9" t="str">
        <f t="shared" si="32"/>
        <v>N/I</v>
      </c>
    </row>
    <row r="936">
      <c r="A936" s="11" t="s">
        <v>2887</v>
      </c>
      <c r="B936" s="11" t="s">
        <v>2888</v>
      </c>
      <c r="C936" s="12" t="s">
        <v>55</v>
      </c>
      <c r="D936" s="27">
        <v>170155.0</v>
      </c>
      <c r="E936" s="10" t="s">
        <v>508</v>
      </c>
      <c r="F936" s="10" t="s">
        <v>2892</v>
      </c>
      <c r="G936" s="12" t="s">
        <v>2889</v>
      </c>
      <c r="H936" s="10" t="s">
        <v>197</v>
      </c>
      <c r="I936" s="10" t="s">
        <v>354</v>
      </c>
      <c r="J936" s="10" t="s">
        <v>318</v>
      </c>
      <c r="K936" s="10" t="s">
        <v>319</v>
      </c>
      <c r="L936" s="10" t="s">
        <v>2893</v>
      </c>
      <c r="M936" s="16" t="s">
        <v>45</v>
      </c>
      <c r="N936" s="16" t="s">
        <v>45</v>
      </c>
      <c r="O936" s="10" t="s">
        <v>50</v>
      </c>
      <c r="P936" s="9" t="str">
        <f t="shared" si="28"/>
        <v>N/I</v>
      </c>
      <c r="Q936" s="9" t="str">
        <f t="shared" si="29"/>
        <v>N/I</v>
      </c>
      <c r="R936" s="9" t="str">
        <f t="shared" si="32"/>
        <v>N/I</v>
      </c>
    </row>
    <row r="937">
      <c r="A937" s="11" t="s">
        <v>2887</v>
      </c>
      <c r="B937" s="11" t="s">
        <v>2894</v>
      </c>
      <c r="C937" s="12" t="s">
        <v>94</v>
      </c>
      <c r="D937" s="27">
        <v>170276.0</v>
      </c>
      <c r="E937" s="10" t="s">
        <v>508</v>
      </c>
      <c r="F937" s="10" t="s">
        <v>2892</v>
      </c>
      <c r="G937" s="12" t="s">
        <v>2895</v>
      </c>
      <c r="H937" s="10" t="s">
        <v>197</v>
      </c>
      <c r="I937" s="10" t="s">
        <v>354</v>
      </c>
      <c r="J937" s="10" t="s">
        <v>318</v>
      </c>
      <c r="K937" s="10" t="s">
        <v>319</v>
      </c>
      <c r="L937" s="10" t="s">
        <v>2893</v>
      </c>
      <c r="M937" s="16" t="s">
        <v>45</v>
      </c>
      <c r="N937" s="16" t="s">
        <v>45</v>
      </c>
      <c r="O937" s="10" t="s">
        <v>50</v>
      </c>
      <c r="P937" s="9" t="str">
        <f t="shared" si="28"/>
        <v>N/I</v>
      </c>
      <c r="Q937" s="9" t="str">
        <f t="shared" si="29"/>
        <v>N/I</v>
      </c>
      <c r="R937" s="9" t="str">
        <f t="shared" si="32"/>
        <v>N/I</v>
      </c>
    </row>
    <row r="938">
      <c r="A938" s="11" t="s">
        <v>2887</v>
      </c>
      <c r="B938" s="11" t="s">
        <v>2898</v>
      </c>
      <c r="C938" s="12" t="s">
        <v>94</v>
      </c>
      <c r="D938" s="27">
        <v>170247.0</v>
      </c>
      <c r="E938" s="10" t="s">
        <v>508</v>
      </c>
      <c r="F938" s="10" t="s">
        <v>2892</v>
      </c>
      <c r="G938" s="12" t="s">
        <v>2899</v>
      </c>
      <c r="H938" s="10" t="s">
        <v>197</v>
      </c>
      <c r="I938" s="10" t="s">
        <v>354</v>
      </c>
      <c r="J938" s="10" t="s">
        <v>318</v>
      </c>
      <c r="K938" s="10" t="s">
        <v>319</v>
      </c>
      <c r="L938" s="10" t="s">
        <v>2893</v>
      </c>
      <c r="M938" s="16" t="s">
        <v>45</v>
      </c>
      <c r="N938" s="16" t="s">
        <v>45</v>
      </c>
      <c r="O938" s="10" t="s">
        <v>50</v>
      </c>
      <c r="P938" s="9" t="str">
        <f t="shared" si="28"/>
        <v>N/I</v>
      </c>
      <c r="Q938" s="9" t="str">
        <f t="shared" si="29"/>
        <v>N/I</v>
      </c>
      <c r="R938" s="9" t="str">
        <f t="shared" si="32"/>
        <v>N/I</v>
      </c>
    </row>
    <row r="939">
      <c r="A939" s="11" t="s">
        <v>2887</v>
      </c>
      <c r="B939" s="11" t="s">
        <v>2902</v>
      </c>
      <c r="C939" s="12" t="s">
        <v>94</v>
      </c>
      <c r="D939" s="27">
        <v>170231.0</v>
      </c>
      <c r="E939" s="10" t="s">
        <v>508</v>
      </c>
      <c r="F939" s="10" t="s">
        <v>2892</v>
      </c>
      <c r="G939" s="12" t="s">
        <v>2903</v>
      </c>
      <c r="H939" s="10" t="s">
        <v>197</v>
      </c>
      <c r="I939" s="10" t="s">
        <v>354</v>
      </c>
      <c r="J939" s="10" t="s">
        <v>318</v>
      </c>
      <c r="K939" s="10" t="s">
        <v>319</v>
      </c>
      <c r="L939" s="10" t="s">
        <v>2893</v>
      </c>
      <c r="M939" s="16" t="s">
        <v>45</v>
      </c>
      <c r="N939" s="16" t="s">
        <v>45</v>
      </c>
      <c r="O939" s="10" t="s">
        <v>50</v>
      </c>
      <c r="P939" s="9" t="str">
        <f t="shared" si="28"/>
        <v>N/I</v>
      </c>
      <c r="Q939" s="9" t="str">
        <f t="shared" si="29"/>
        <v>N/I</v>
      </c>
      <c r="R939" s="9" t="str">
        <f t="shared" si="32"/>
        <v>N/I</v>
      </c>
    </row>
    <row r="940">
      <c r="A940" s="11" t="s">
        <v>2887</v>
      </c>
      <c r="B940" s="11" t="s">
        <v>2906</v>
      </c>
      <c r="C940" s="12" t="s">
        <v>94</v>
      </c>
      <c r="D940" s="27">
        <v>170248.0</v>
      </c>
      <c r="E940" s="10" t="s">
        <v>508</v>
      </c>
      <c r="F940" s="10" t="s">
        <v>2892</v>
      </c>
      <c r="G940" s="12" t="s">
        <v>2907</v>
      </c>
      <c r="H940" s="10" t="s">
        <v>197</v>
      </c>
      <c r="I940" s="10" t="s">
        <v>354</v>
      </c>
      <c r="J940" s="10" t="s">
        <v>318</v>
      </c>
      <c r="K940" s="10" t="s">
        <v>319</v>
      </c>
      <c r="L940" s="10" t="s">
        <v>2893</v>
      </c>
      <c r="M940" s="16" t="s">
        <v>45</v>
      </c>
      <c r="N940" s="16" t="s">
        <v>45</v>
      </c>
      <c r="O940" s="10" t="s">
        <v>50</v>
      </c>
      <c r="P940" s="9" t="str">
        <f t="shared" si="28"/>
        <v>N/I</v>
      </c>
      <c r="Q940" s="9" t="str">
        <f t="shared" si="29"/>
        <v>N/I</v>
      </c>
      <c r="R940" s="9" t="str">
        <f t="shared" si="32"/>
        <v>N/I</v>
      </c>
    </row>
    <row r="941">
      <c r="A941" s="11" t="s">
        <v>2887</v>
      </c>
      <c r="B941" s="11" t="s">
        <v>2906</v>
      </c>
      <c r="C941" s="12" t="s">
        <v>55</v>
      </c>
      <c r="D941" s="27">
        <v>170154.0</v>
      </c>
      <c r="E941" s="10" t="s">
        <v>508</v>
      </c>
      <c r="F941" s="10" t="s">
        <v>2892</v>
      </c>
      <c r="G941" s="12" t="s">
        <v>2907</v>
      </c>
      <c r="H941" s="10" t="s">
        <v>197</v>
      </c>
      <c r="I941" s="10" t="s">
        <v>354</v>
      </c>
      <c r="J941" s="10" t="s">
        <v>318</v>
      </c>
      <c r="K941" s="10" t="s">
        <v>319</v>
      </c>
      <c r="L941" s="10" t="s">
        <v>2893</v>
      </c>
      <c r="M941" s="16" t="s">
        <v>45</v>
      </c>
      <c r="N941" s="16" t="s">
        <v>45</v>
      </c>
      <c r="O941" s="10" t="s">
        <v>50</v>
      </c>
      <c r="P941" s="9" t="str">
        <f t="shared" si="28"/>
        <v>N/I</v>
      </c>
      <c r="Q941" s="9" t="str">
        <f t="shared" si="29"/>
        <v>N/I</v>
      </c>
      <c r="R941" s="9" t="str">
        <f t="shared" si="32"/>
        <v>N/I</v>
      </c>
    </row>
    <row r="942">
      <c r="A942" s="11" t="s">
        <v>2887</v>
      </c>
      <c r="B942" s="11" t="s">
        <v>2910</v>
      </c>
      <c r="C942" s="12" t="s">
        <v>94</v>
      </c>
      <c r="D942" s="27">
        <v>170235.0</v>
      </c>
      <c r="E942" s="10" t="s">
        <v>508</v>
      </c>
      <c r="F942" s="10" t="s">
        <v>2892</v>
      </c>
      <c r="G942" s="12" t="s">
        <v>1948</v>
      </c>
      <c r="H942" s="10" t="s">
        <v>197</v>
      </c>
      <c r="I942" s="10" t="s">
        <v>354</v>
      </c>
      <c r="J942" s="10" t="s">
        <v>318</v>
      </c>
      <c r="K942" s="10" t="s">
        <v>319</v>
      </c>
      <c r="L942" s="10" t="s">
        <v>2893</v>
      </c>
      <c r="M942" s="16" t="s">
        <v>45</v>
      </c>
      <c r="N942" s="16" t="s">
        <v>45</v>
      </c>
      <c r="O942" s="10" t="s">
        <v>50</v>
      </c>
      <c r="P942" s="9" t="str">
        <f t="shared" si="28"/>
        <v>N/I</v>
      </c>
      <c r="Q942" s="9" t="str">
        <f t="shared" si="29"/>
        <v>N/I</v>
      </c>
      <c r="R942" s="9" t="str">
        <f t="shared" si="32"/>
        <v>N/I</v>
      </c>
    </row>
    <row r="943">
      <c r="A943" s="11" t="s">
        <v>2887</v>
      </c>
      <c r="B943" s="11" t="s">
        <v>2913</v>
      </c>
      <c r="C943" s="12" t="s">
        <v>94</v>
      </c>
      <c r="D943" s="27">
        <v>170234.0</v>
      </c>
      <c r="E943" s="10" t="s">
        <v>508</v>
      </c>
      <c r="F943" s="10" t="s">
        <v>2892</v>
      </c>
      <c r="G943" s="12" t="s">
        <v>1948</v>
      </c>
      <c r="H943" s="10" t="s">
        <v>197</v>
      </c>
      <c r="I943" s="10" t="s">
        <v>354</v>
      </c>
      <c r="J943" s="10" t="s">
        <v>318</v>
      </c>
      <c r="K943" s="10" t="s">
        <v>319</v>
      </c>
      <c r="L943" s="10" t="s">
        <v>2893</v>
      </c>
      <c r="M943" s="16" t="s">
        <v>45</v>
      </c>
      <c r="N943" s="16" t="s">
        <v>45</v>
      </c>
      <c r="O943" s="10" t="s">
        <v>50</v>
      </c>
      <c r="P943" s="9" t="str">
        <f t="shared" si="28"/>
        <v>N/I</v>
      </c>
      <c r="Q943" s="9" t="str">
        <f t="shared" si="29"/>
        <v>N/I</v>
      </c>
      <c r="R943" s="9" t="str">
        <f t="shared" si="32"/>
        <v>N/I</v>
      </c>
    </row>
    <row r="944">
      <c r="A944" s="11" t="s">
        <v>2887</v>
      </c>
      <c r="B944" s="11" t="s">
        <v>2916</v>
      </c>
      <c r="C944" s="12" t="s">
        <v>94</v>
      </c>
      <c r="D944" s="27">
        <v>170266.0</v>
      </c>
      <c r="E944" s="10" t="s">
        <v>508</v>
      </c>
      <c r="F944" s="10" t="s">
        <v>2892</v>
      </c>
      <c r="G944" s="12" t="s">
        <v>2917</v>
      </c>
      <c r="H944" s="10" t="s">
        <v>197</v>
      </c>
      <c r="I944" s="10" t="s">
        <v>354</v>
      </c>
      <c r="J944" s="10" t="s">
        <v>318</v>
      </c>
      <c r="K944" s="10" t="s">
        <v>319</v>
      </c>
      <c r="L944" s="10" t="s">
        <v>2893</v>
      </c>
      <c r="M944" s="16" t="s">
        <v>45</v>
      </c>
      <c r="N944" s="16" t="s">
        <v>45</v>
      </c>
      <c r="O944" s="10" t="s">
        <v>50</v>
      </c>
      <c r="P944" s="9" t="str">
        <f t="shared" si="28"/>
        <v>N/I</v>
      </c>
      <c r="Q944" s="9" t="str">
        <f t="shared" si="29"/>
        <v>N/I</v>
      </c>
      <c r="R944" s="9" t="str">
        <f t="shared" si="32"/>
        <v>N/I</v>
      </c>
    </row>
    <row r="945">
      <c r="A945" s="11" t="s">
        <v>2887</v>
      </c>
      <c r="B945" s="11" t="s">
        <v>2916</v>
      </c>
      <c r="C945" s="12" t="s">
        <v>55</v>
      </c>
      <c r="D945" s="42" t="s">
        <v>2920</v>
      </c>
      <c r="E945" s="10" t="s">
        <v>508</v>
      </c>
      <c r="F945" s="10" t="s">
        <v>2892</v>
      </c>
      <c r="G945" s="12" t="s">
        <v>2917</v>
      </c>
      <c r="H945" s="10" t="s">
        <v>197</v>
      </c>
      <c r="I945" s="10" t="s">
        <v>354</v>
      </c>
      <c r="J945" s="10" t="s">
        <v>318</v>
      </c>
      <c r="K945" s="10" t="s">
        <v>319</v>
      </c>
      <c r="L945" s="10" t="s">
        <v>2893</v>
      </c>
      <c r="M945" s="16" t="s">
        <v>45</v>
      </c>
      <c r="N945" s="16" t="s">
        <v>45</v>
      </c>
      <c r="O945" s="10" t="s">
        <v>50</v>
      </c>
      <c r="P945" s="9" t="str">
        <f t="shared" si="28"/>
        <v>N/I</v>
      </c>
      <c r="Q945" s="9" t="str">
        <f t="shared" si="29"/>
        <v>N/I</v>
      </c>
      <c r="R945" s="9" t="str">
        <f t="shared" si="32"/>
        <v>N/I</v>
      </c>
    </row>
    <row r="946">
      <c r="A946" s="11" t="s">
        <v>2887</v>
      </c>
      <c r="B946" s="11" t="s">
        <v>2921</v>
      </c>
      <c r="C946" s="12" t="s">
        <v>94</v>
      </c>
      <c r="D946" s="27">
        <v>170237.0</v>
      </c>
      <c r="E946" s="10" t="s">
        <v>508</v>
      </c>
      <c r="F946" s="10" t="s">
        <v>2892</v>
      </c>
      <c r="G946" s="12" t="s">
        <v>2922</v>
      </c>
      <c r="H946" s="10" t="s">
        <v>197</v>
      </c>
      <c r="I946" s="10" t="s">
        <v>354</v>
      </c>
      <c r="J946" s="10" t="s">
        <v>318</v>
      </c>
      <c r="K946" s="10" t="s">
        <v>319</v>
      </c>
      <c r="L946" s="10" t="s">
        <v>2893</v>
      </c>
      <c r="M946" s="16" t="s">
        <v>45</v>
      </c>
      <c r="N946" s="16" t="s">
        <v>45</v>
      </c>
      <c r="O946" s="10" t="s">
        <v>50</v>
      </c>
      <c r="P946" s="9" t="str">
        <f t="shared" si="28"/>
        <v>N/I</v>
      </c>
      <c r="Q946" s="9" t="str">
        <f t="shared" si="29"/>
        <v>N/I</v>
      </c>
      <c r="R946" s="9" t="str">
        <f t="shared" si="32"/>
        <v>N/I</v>
      </c>
    </row>
    <row r="947">
      <c r="A947" s="11" t="s">
        <v>2887</v>
      </c>
      <c r="B947" s="32" t="s">
        <v>2925</v>
      </c>
      <c r="C947" s="12" t="s">
        <v>55</v>
      </c>
      <c r="D947" s="34" t="s">
        <v>2926</v>
      </c>
      <c r="E947" s="16" t="s">
        <v>45</v>
      </c>
      <c r="F947" s="10" t="s">
        <v>2929</v>
      </c>
      <c r="G947" s="12" t="s">
        <v>2927</v>
      </c>
      <c r="H947" s="10" t="s">
        <v>197</v>
      </c>
      <c r="I947" s="16" t="s">
        <v>45</v>
      </c>
      <c r="J947" s="16" t="s">
        <v>45</v>
      </c>
      <c r="K947" s="16" t="s">
        <v>45</v>
      </c>
      <c r="L947" s="16" t="s">
        <v>45</v>
      </c>
      <c r="M947" s="16" t="s">
        <v>45</v>
      </c>
      <c r="N947" s="16" t="s">
        <v>45</v>
      </c>
      <c r="O947" s="10" t="s">
        <v>320</v>
      </c>
      <c r="P947" s="9" t="str">
        <f t="shared" si="28"/>
        <v>N/I</v>
      </c>
      <c r="Q947" s="9" t="str">
        <f t="shared" si="29"/>
        <v>N/I</v>
      </c>
      <c r="R947" s="9" t="str">
        <f t="shared" si="32"/>
        <v>N/I</v>
      </c>
    </row>
    <row r="948">
      <c r="A948" s="11" t="s">
        <v>2887</v>
      </c>
      <c r="B948" s="11" t="s">
        <v>2930</v>
      </c>
      <c r="C948" s="12" t="s">
        <v>55</v>
      </c>
      <c r="D948" s="27">
        <v>170153.0</v>
      </c>
      <c r="E948" s="10" t="s">
        <v>508</v>
      </c>
      <c r="F948" s="10" t="s">
        <v>2892</v>
      </c>
      <c r="G948" s="12" t="s">
        <v>332</v>
      </c>
      <c r="H948" s="10" t="s">
        <v>197</v>
      </c>
      <c r="I948" s="10" t="s">
        <v>354</v>
      </c>
      <c r="J948" s="10" t="s">
        <v>318</v>
      </c>
      <c r="K948" s="10" t="s">
        <v>319</v>
      </c>
      <c r="L948" s="10" t="s">
        <v>2893</v>
      </c>
      <c r="M948" s="16" t="s">
        <v>45</v>
      </c>
      <c r="N948" s="16" t="s">
        <v>45</v>
      </c>
      <c r="O948" s="10" t="s">
        <v>50</v>
      </c>
      <c r="P948" s="9" t="str">
        <f t="shared" si="28"/>
        <v>N/I</v>
      </c>
      <c r="Q948" s="9" t="str">
        <f t="shared" si="29"/>
        <v>N/I</v>
      </c>
      <c r="R948" s="9" t="str">
        <f t="shared" si="32"/>
        <v>N/I</v>
      </c>
    </row>
    <row r="949">
      <c r="A949" s="11" t="s">
        <v>2887</v>
      </c>
      <c r="B949" s="11" t="s">
        <v>2933</v>
      </c>
      <c r="C949" s="12" t="s">
        <v>94</v>
      </c>
      <c r="D949" s="27">
        <v>170385.0</v>
      </c>
      <c r="E949" s="10" t="s">
        <v>508</v>
      </c>
      <c r="F949" s="10" t="s">
        <v>2892</v>
      </c>
      <c r="G949" s="12" t="s">
        <v>2934</v>
      </c>
      <c r="H949" s="10" t="s">
        <v>197</v>
      </c>
      <c r="I949" s="10" t="s">
        <v>354</v>
      </c>
      <c r="J949" s="10" t="s">
        <v>318</v>
      </c>
      <c r="K949" s="10" t="s">
        <v>319</v>
      </c>
      <c r="L949" s="10" t="s">
        <v>2893</v>
      </c>
      <c r="M949" s="16" t="s">
        <v>45</v>
      </c>
      <c r="N949" s="16" t="s">
        <v>45</v>
      </c>
      <c r="O949" s="10" t="s">
        <v>50</v>
      </c>
      <c r="P949" s="9" t="str">
        <f t="shared" si="28"/>
        <v>N/I</v>
      </c>
      <c r="Q949" s="9" t="str">
        <f t="shared" si="29"/>
        <v>N/I</v>
      </c>
      <c r="R949" s="9" t="str">
        <f t="shared" si="32"/>
        <v>N/I</v>
      </c>
    </row>
    <row r="950">
      <c r="A950" s="11" t="s">
        <v>2887</v>
      </c>
      <c r="B950" s="11" t="s">
        <v>2933</v>
      </c>
      <c r="C950" s="12" t="s">
        <v>55</v>
      </c>
      <c r="D950" s="27" t="s">
        <v>2937</v>
      </c>
      <c r="E950" s="10" t="s">
        <v>508</v>
      </c>
      <c r="F950" s="10" t="s">
        <v>2892</v>
      </c>
      <c r="G950" s="12" t="s">
        <v>2934</v>
      </c>
      <c r="H950" s="10" t="s">
        <v>197</v>
      </c>
      <c r="I950" s="10" t="s">
        <v>354</v>
      </c>
      <c r="J950" s="10" t="s">
        <v>318</v>
      </c>
      <c r="K950" s="10" t="s">
        <v>319</v>
      </c>
      <c r="L950" s="10" t="s">
        <v>2893</v>
      </c>
      <c r="M950" s="16" t="s">
        <v>45</v>
      </c>
      <c r="N950" s="16" t="s">
        <v>45</v>
      </c>
      <c r="O950" s="10" t="s">
        <v>50</v>
      </c>
      <c r="P950" s="9" t="str">
        <f t="shared" si="28"/>
        <v>N/I</v>
      </c>
      <c r="Q950" s="9" t="str">
        <f t="shared" si="29"/>
        <v>N/I</v>
      </c>
      <c r="R950" s="9" t="str">
        <f t="shared" si="32"/>
        <v>N/I</v>
      </c>
    </row>
    <row r="951">
      <c r="A951" s="11" t="s">
        <v>2887</v>
      </c>
      <c r="B951" s="11" t="s">
        <v>2938</v>
      </c>
      <c r="C951" s="12" t="s">
        <v>94</v>
      </c>
      <c r="D951" s="27">
        <v>170384.0</v>
      </c>
      <c r="E951" s="10" t="s">
        <v>508</v>
      </c>
      <c r="F951" s="10" t="s">
        <v>2892</v>
      </c>
      <c r="G951" s="12" t="s">
        <v>2934</v>
      </c>
      <c r="H951" s="10" t="s">
        <v>197</v>
      </c>
      <c r="I951" s="10" t="s">
        <v>354</v>
      </c>
      <c r="J951" s="10" t="s">
        <v>318</v>
      </c>
      <c r="K951" s="10" t="s">
        <v>319</v>
      </c>
      <c r="L951" s="10" t="s">
        <v>2893</v>
      </c>
      <c r="M951" s="16" t="s">
        <v>45</v>
      </c>
      <c r="N951" s="16" t="s">
        <v>45</v>
      </c>
      <c r="O951" s="10" t="s">
        <v>50</v>
      </c>
      <c r="P951" s="9" t="str">
        <f t="shared" si="28"/>
        <v>N/I</v>
      </c>
      <c r="Q951" s="9" t="str">
        <f t="shared" si="29"/>
        <v>N/I</v>
      </c>
      <c r="R951" s="9" t="str">
        <f t="shared" si="32"/>
        <v>N/I</v>
      </c>
    </row>
    <row r="952">
      <c r="A952" s="11" t="s">
        <v>2887</v>
      </c>
      <c r="B952" s="11" t="s">
        <v>2939</v>
      </c>
      <c r="C952" s="12" t="s">
        <v>94</v>
      </c>
      <c r="D952" s="27">
        <v>180118.0</v>
      </c>
      <c r="E952" s="10" t="s">
        <v>508</v>
      </c>
      <c r="F952" s="10" t="s">
        <v>2892</v>
      </c>
      <c r="G952" s="12" t="s">
        <v>2940</v>
      </c>
      <c r="H952" s="10" t="s">
        <v>197</v>
      </c>
      <c r="I952" s="10" t="s">
        <v>354</v>
      </c>
      <c r="J952" s="10" t="s">
        <v>318</v>
      </c>
      <c r="K952" s="10" t="s">
        <v>319</v>
      </c>
      <c r="L952" s="10" t="s">
        <v>2893</v>
      </c>
      <c r="M952" s="16" t="s">
        <v>45</v>
      </c>
      <c r="N952" s="16" t="s">
        <v>45</v>
      </c>
      <c r="O952" s="10" t="s">
        <v>50</v>
      </c>
      <c r="P952" s="9" t="str">
        <f t="shared" si="28"/>
        <v>N/I</v>
      </c>
      <c r="Q952" s="9" t="str">
        <f t="shared" si="29"/>
        <v>N/I</v>
      </c>
      <c r="R952" s="9" t="str">
        <f t="shared" si="32"/>
        <v>N/I</v>
      </c>
    </row>
    <row r="953">
      <c r="A953" s="11" t="s">
        <v>2887</v>
      </c>
      <c r="B953" s="11" t="s">
        <v>2943</v>
      </c>
      <c r="C953" s="12" t="s">
        <v>94</v>
      </c>
      <c r="D953" s="27">
        <v>170263.0</v>
      </c>
      <c r="E953" s="10" t="s">
        <v>508</v>
      </c>
      <c r="F953" s="10" t="s">
        <v>2892</v>
      </c>
      <c r="G953" s="12" t="s">
        <v>1987</v>
      </c>
      <c r="H953" s="10" t="s">
        <v>197</v>
      </c>
      <c r="I953" s="10" t="s">
        <v>354</v>
      </c>
      <c r="J953" s="10" t="s">
        <v>318</v>
      </c>
      <c r="K953" s="10" t="s">
        <v>319</v>
      </c>
      <c r="L953" s="10" t="s">
        <v>2893</v>
      </c>
      <c r="M953" s="16" t="s">
        <v>45</v>
      </c>
      <c r="N953" s="16" t="s">
        <v>45</v>
      </c>
      <c r="O953" s="10" t="s">
        <v>50</v>
      </c>
      <c r="P953" s="9" t="str">
        <f t="shared" si="28"/>
        <v>N/I</v>
      </c>
      <c r="Q953" s="9" t="str">
        <f t="shared" si="29"/>
        <v>N/I</v>
      </c>
      <c r="R953" s="9" t="str">
        <f t="shared" si="32"/>
        <v>N/I</v>
      </c>
    </row>
    <row r="954">
      <c r="A954" s="11" t="s">
        <v>2887</v>
      </c>
      <c r="B954" s="11" t="s">
        <v>2945</v>
      </c>
      <c r="C954" s="12" t="s">
        <v>94</v>
      </c>
      <c r="D954" s="27">
        <v>170270.0</v>
      </c>
      <c r="E954" s="10" t="s">
        <v>508</v>
      </c>
      <c r="F954" s="10" t="s">
        <v>2892</v>
      </c>
      <c r="G954" s="12" t="s">
        <v>1987</v>
      </c>
      <c r="H954" s="10" t="s">
        <v>197</v>
      </c>
      <c r="I954" s="10" t="s">
        <v>354</v>
      </c>
      <c r="J954" s="10" t="s">
        <v>318</v>
      </c>
      <c r="K954" s="10" t="s">
        <v>319</v>
      </c>
      <c r="L954" s="10" t="s">
        <v>2893</v>
      </c>
      <c r="M954" s="16" t="s">
        <v>45</v>
      </c>
      <c r="N954" s="16" t="s">
        <v>45</v>
      </c>
      <c r="O954" s="10" t="s">
        <v>50</v>
      </c>
      <c r="P954" s="9" t="str">
        <f t="shared" si="28"/>
        <v>N/I</v>
      </c>
      <c r="Q954" s="9" t="str">
        <f t="shared" si="29"/>
        <v>N/I</v>
      </c>
      <c r="R954" s="9" t="str">
        <f t="shared" si="32"/>
        <v>N/I</v>
      </c>
    </row>
    <row r="955">
      <c r="A955" s="11" t="s">
        <v>2887</v>
      </c>
      <c r="B955" s="11" t="s">
        <v>2946</v>
      </c>
      <c r="C955" s="12" t="s">
        <v>94</v>
      </c>
      <c r="D955" s="27">
        <v>170230.0</v>
      </c>
      <c r="E955" s="10" t="s">
        <v>508</v>
      </c>
      <c r="F955" s="10" t="s">
        <v>2892</v>
      </c>
      <c r="G955" s="12" t="s">
        <v>2947</v>
      </c>
      <c r="H955" s="10" t="s">
        <v>197</v>
      </c>
      <c r="I955" s="10" t="s">
        <v>354</v>
      </c>
      <c r="J955" s="10" t="s">
        <v>318</v>
      </c>
      <c r="K955" s="10" t="s">
        <v>319</v>
      </c>
      <c r="L955" s="10" t="s">
        <v>2893</v>
      </c>
      <c r="M955" s="16" t="s">
        <v>45</v>
      </c>
      <c r="N955" s="16" t="s">
        <v>45</v>
      </c>
      <c r="O955" s="10" t="s">
        <v>50</v>
      </c>
      <c r="P955" s="9" t="str">
        <f t="shared" si="28"/>
        <v>N/I</v>
      </c>
      <c r="Q955" s="9" t="str">
        <f t="shared" si="29"/>
        <v>N/I</v>
      </c>
      <c r="R955" s="9" t="str">
        <f t="shared" si="32"/>
        <v>N/I</v>
      </c>
    </row>
    <row r="956">
      <c r="A956" s="11" t="s">
        <v>2887</v>
      </c>
      <c r="B956" s="11" t="s">
        <v>2950</v>
      </c>
      <c r="C956" s="12" t="s">
        <v>94</v>
      </c>
      <c r="D956" s="27">
        <v>170273.0</v>
      </c>
      <c r="E956" s="10" t="s">
        <v>508</v>
      </c>
      <c r="F956" s="10" t="s">
        <v>2892</v>
      </c>
      <c r="G956" s="12" t="s">
        <v>2951</v>
      </c>
      <c r="H956" s="10" t="s">
        <v>197</v>
      </c>
      <c r="I956" s="10" t="s">
        <v>354</v>
      </c>
      <c r="J956" s="10" t="s">
        <v>318</v>
      </c>
      <c r="K956" s="10" t="s">
        <v>319</v>
      </c>
      <c r="L956" s="10" t="s">
        <v>2893</v>
      </c>
      <c r="M956" s="16" t="s">
        <v>45</v>
      </c>
      <c r="N956" s="16" t="s">
        <v>45</v>
      </c>
      <c r="O956" s="10" t="s">
        <v>50</v>
      </c>
      <c r="P956" s="9" t="str">
        <f t="shared" si="28"/>
        <v>N/I</v>
      </c>
      <c r="Q956" s="9" t="str">
        <f t="shared" si="29"/>
        <v>N/I</v>
      </c>
      <c r="R956" s="9" t="str">
        <f t="shared" si="32"/>
        <v>N/I</v>
      </c>
    </row>
    <row r="957">
      <c r="A957" s="11" t="s">
        <v>2887</v>
      </c>
      <c r="B957" s="11" t="s">
        <v>2954</v>
      </c>
      <c r="C957" s="12" t="s">
        <v>94</v>
      </c>
      <c r="D957" s="27">
        <v>150716.0</v>
      </c>
      <c r="E957" s="10" t="s">
        <v>508</v>
      </c>
      <c r="F957" s="10" t="s">
        <v>2892</v>
      </c>
      <c r="G957" s="12" t="s">
        <v>2955</v>
      </c>
      <c r="H957" s="10" t="s">
        <v>197</v>
      </c>
      <c r="I957" s="10" t="s">
        <v>354</v>
      </c>
      <c r="J957" s="10" t="s">
        <v>318</v>
      </c>
      <c r="K957" s="10" t="s">
        <v>319</v>
      </c>
      <c r="L957" s="10" t="s">
        <v>2893</v>
      </c>
      <c r="M957" s="16" t="s">
        <v>45</v>
      </c>
      <c r="N957" s="16" t="s">
        <v>45</v>
      </c>
      <c r="O957" s="10" t="s">
        <v>50</v>
      </c>
      <c r="P957" s="9" t="str">
        <f t="shared" si="28"/>
        <v>N/I</v>
      </c>
      <c r="Q957" s="9" t="str">
        <f t="shared" si="29"/>
        <v>N/I</v>
      </c>
      <c r="R957" s="9" t="str">
        <f t="shared" si="32"/>
        <v>N/I</v>
      </c>
    </row>
    <row r="958">
      <c r="A958" s="11" t="s">
        <v>2887</v>
      </c>
      <c r="B958" s="11" t="s">
        <v>2958</v>
      </c>
      <c r="C958" s="12" t="s">
        <v>94</v>
      </c>
      <c r="D958" s="27">
        <v>170242.0</v>
      </c>
      <c r="E958" s="10" t="s">
        <v>508</v>
      </c>
      <c r="F958" s="10" t="s">
        <v>2892</v>
      </c>
      <c r="G958" s="12" t="s">
        <v>2007</v>
      </c>
      <c r="H958" s="10" t="s">
        <v>197</v>
      </c>
      <c r="I958" s="10" t="s">
        <v>354</v>
      </c>
      <c r="J958" s="10" t="s">
        <v>318</v>
      </c>
      <c r="K958" s="10" t="s">
        <v>319</v>
      </c>
      <c r="L958" s="10" t="s">
        <v>2893</v>
      </c>
      <c r="M958" s="16" t="s">
        <v>45</v>
      </c>
      <c r="N958" s="16" t="s">
        <v>45</v>
      </c>
      <c r="O958" s="10" t="s">
        <v>50</v>
      </c>
      <c r="P958" s="9" t="str">
        <f t="shared" si="28"/>
        <v>N/I</v>
      </c>
      <c r="Q958" s="9" t="str">
        <f t="shared" si="29"/>
        <v>N/I</v>
      </c>
      <c r="R958" s="9" t="str">
        <f t="shared" si="32"/>
        <v>N/I</v>
      </c>
    </row>
    <row r="959">
      <c r="A959" s="11" t="s">
        <v>2887</v>
      </c>
      <c r="B959" s="11" t="s">
        <v>2961</v>
      </c>
      <c r="C959" s="12" t="s">
        <v>94</v>
      </c>
      <c r="D959" s="27">
        <v>170261.0</v>
      </c>
      <c r="E959" s="10" t="s">
        <v>508</v>
      </c>
      <c r="F959" s="10" t="s">
        <v>2892</v>
      </c>
      <c r="G959" s="12" t="s">
        <v>2007</v>
      </c>
      <c r="H959" s="10" t="s">
        <v>197</v>
      </c>
      <c r="I959" s="10" t="s">
        <v>354</v>
      </c>
      <c r="J959" s="10" t="s">
        <v>318</v>
      </c>
      <c r="K959" s="10" t="s">
        <v>319</v>
      </c>
      <c r="L959" s="10" t="s">
        <v>2893</v>
      </c>
      <c r="M959" s="16" t="s">
        <v>45</v>
      </c>
      <c r="N959" s="16" t="s">
        <v>45</v>
      </c>
      <c r="O959" s="10" t="s">
        <v>50</v>
      </c>
      <c r="P959" s="9" t="str">
        <f t="shared" si="28"/>
        <v>N/I</v>
      </c>
      <c r="Q959" s="9" t="str">
        <f t="shared" si="29"/>
        <v>N/I</v>
      </c>
      <c r="R959" s="9" t="str">
        <f t="shared" si="32"/>
        <v>N/I</v>
      </c>
    </row>
    <row r="960">
      <c r="A960" s="11" t="s">
        <v>2887</v>
      </c>
      <c r="B960" s="11" t="s">
        <v>2964</v>
      </c>
      <c r="C960" s="12" t="s">
        <v>94</v>
      </c>
      <c r="D960" s="27">
        <v>170238.0</v>
      </c>
      <c r="E960" s="10" t="s">
        <v>508</v>
      </c>
      <c r="F960" s="10" t="s">
        <v>2892</v>
      </c>
      <c r="G960" s="12" t="s">
        <v>324</v>
      </c>
      <c r="H960" s="10" t="s">
        <v>197</v>
      </c>
      <c r="I960" s="10" t="s">
        <v>354</v>
      </c>
      <c r="J960" s="10" t="s">
        <v>318</v>
      </c>
      <c r="K960" s="10" t="s">
        <v>319</v>
      </c>
      <c r="L960" s="10" t="s">
        <v>2893</v>
      </c>
      <c r="M960" s="16" t="s">
        <v>45</v>
      </c>
      <c r="N960" s="16" t="s">
        <v>45</v>
      </c>
      <c r="O960" s="10" t="s">
        <v>50</v>
      </c>
      <c r="P960" s="9" t="str">
        <f t="shared" si="28"/>
        <v>N/I</v>
      </c>
      <c r="Q960" s="9" t="str">
        <f t="shared" si="29"/>
        <v>N/I</v>
      </c>
      <c r="R960" s="9" t="str">
        <f t="shared" si="32"/>
        <v>N/I</v>
      </c>
    </row>
    <row r="961">
      <c r="A961" s="11" t="s">
        <v>2887</v>
      </c>
      <c r="B961" s="11" t="s">
        <v>2967</v>
      </c>
      <c r="C961" s="12" t="s">
        <v>55</v>
      </c>
      <c r="D961" s="27">
        <v>170157.0</v>
      </c>
      <c r="E961" s="10" t="s">
        <v>508</v>
      </c>
      <c r="F961" s="10" t="s">
        <v>2892</v>
      </c>
      <c r="G961" s="12" t="s">
        <v>2968</v>
      </c>
      <c r="H961" s="10" t="s">
        <v>197</v>
      </c>
      <c r="I961" s="10" t="s">
        <v>354</v>
      </c>
      <c r="J961" s="10" t="s">
        <v>318</v>
      </c>
      <c r="K961" s="10" t="s">
        <v>319</v>
      </c>
      <c r="L961" s="10" t="s">
        <v>2893</v>
      </c>
      <c r="M961" s="16" t="s">
        <v>45</v>
      </c>
      <c r="N961" s="16" t="s">
        <v>45</v>
      </c>
      <c r="O961" s="10" t="s">
        <v>50</v>
      </c>
      <c r="P961" s="9" t="str">
        <f t="shared" si="28"/>
        <v>N/I</v>
      </c>
      <c r="Q961" s="9" t="str">
        <f t="shared" si="29"/>
        <v>N/I</v>
      </c>
      <c r="R961" s="9" t="str">
        <f t="shared" si="32"/>
        <v>N/I</v>
      </c>
    </row>
    <row r="962">
      <c r="A962" s="11" t="s">
        <v>2887</v>
      </c>
      <c r="B962" s="11" t="s">
        <v>2971</v>
      </c>
      <c r="C962" s="12" t="s">
        <v>55</v>
      </c>
      <c r="D962" s="13" t="s">
        <v>2972</v>
      </c>
      <c r="E962" s="16" t="s">
        <v>45</v>
      </c>
      <c r="F962" s="10" t="s">
        <v>2976</v>
      </c>
      <c r="G962" s="12" t="s">
        <v>2973</v>
      </c>
      <c r="H962" s="10" t="s">
        <v>197</v>
      </c>
      <c r="I962" s="16" t="s">
        <v>45</v>
      </c>
      <c r="J962" s="16" t="s">
        <v>45</v>
      </c>
      <c r="K962" s="16" t="s">
        <v>45</v>
      </c>
      <c r="L962" s="16" t="s">
        <v>45</v>
      </c>
      <c r="M962" s="16" t="s">
        <v>45</v>
      </c>
      <c r="N962" s="16" t="s">
        <v>45</v>
      </c>
      <c r="O962" s="10" t="s">
        <v>320</v>
      </c>
      <c r="P962" s="9" t="str">
        <f t="shared" si="28"/>
        <v>N/I</v>
      </c>
      <c r="Q962" s="9" t="str">
        <f t="shared" si="29"/>
        <v>N/I</v>
      </c>
      <c r="R962" s="9" t="str">
        <f t="shared" si="32"/>
        <v>N/I</v>
      </c>
    </row>
    <row r="963">
      <c r="A963" s="11" t="s">
        <v>2887</v>
      </c>
      <c r="B963" s="11" t="s">
        <v>2977</v>
      </c>
      <c r="C963" s="12" t="s">
        <v>55</v>
      </c>
      <c r="D963" s="27">
        <v>170149.0</v>
      </c>
      <c r="E963" s="10" t="s">
        <v>508</v>
      </c>
      <c r="F963" s="10" t="s">
        <v>2892</v>
      </c>
      <c r="G963" s="12" t="s">
        <v>2978</v>
      </c>
      <c r="H963" s="10" t="s">
        <v>197</v>
      </c>
      <c r="I963" s="10" t="s">
        <v>354</v>
      </c>
      <c r="J963" s="10" t="s">
        <v>318</v>
      </c>
      <c r="K963" s="10" t="s">
        <v>319</v>
      </c>
      <c r="L963" s="10" t="s">
        <v>2893</v>
      </c>
      <c r="M963" s="16" t="s">
        <v>45</v>
      </c>
      <c r="N963" s="16" t="s">
        <v>45</v>
      </c>
      <c r="O963" s="10" t="s">
        <v>50</v>
      </c>
      <c r="P963" s="9" t="str">
        <f t="shared" si="28"/>
        <v>N/I</v>
      </c>
      <c r="Q963" s="9" t="str">
        <f t="shared" si="29"/>
        <v>N/I</v>
      </c>
      <c r="R963" s="9" t="str">
        <f t="shared" si="32"/>
        <v>N/I</v>
      </c>
    </row>
    <row r="964">
      <c r="A964" s="11" t="s">
        <v>2887</v>
      </c>
      <c r="B964" s="11" t="s">
        <v>2971</v>
      </c>
      <c r="C964" s="12" t="s">
        <v>55</v>
      </c>
      <c r="D964" s="27" t="s">
        <v>2979</v>
      </c>
      <c r="E964" s="16" t="s">
        <v>45</v>
      </c>
      <c r="F964" s="10" t="s">
        <v>2976</v>
      </c>
      <c r="G964" s="12" t="s">
        <v>2978</v>
      </c>
      <c r="H964" s="10" t="s">
        <v>197</v>
      </c>
      <c r="I964" s="16" t="s">
        <v>45</v>
      </c>
      <c r="J964" s="16" t="s">
        <v>45</v>
      </c>
      <c r="K964" s="16" t="s">
        <v>45</v>
      </c>
      <c r="L964" s="16" t="s">
        <v>45</v>
      </c>
      <c r="M964" s="16" t="s">
        <v>45</v>
      </c>
      <c r="N964" s="16" t="s">
        <v>45</v>
      </c>
      <c r="O964" s="10" t="s">
        <v>320</v>
      </c>
      <c r="P964" s="9" t="str">
        <f t="shared" si="28"/>
        <v>N/I</v>
      </c>
      <c r="Q964" s="9" t="str">
        <f t="shared" si="29"/>
        <v>N/I</v>
      </c>
      <c r="R964" s="9" t="str">
        <f t="shared" si="32"/>
        <v>N/I</v>
      </c>
    </row>
    <row r="965">
      <c r="A965" s="11" t="s">
        <v>2887</v>
      </c>
      <c r="B965" s="11" t="s">
        <v>2980</v>
      </c>
      <c r="C965" s="12" t="s">
        <v>94</v>
      </c>
      <c r="D965" s="27">
        <v>170268.0</v>
      </c>
      <c r="E965" s="10" t="s">
        <v>508</v>
      </c>
      <c r="F965" s="10" t="s">
        <v>2892</v>
      </c>
      <c r="G965" s="12" t="s">
        <v>2981</v>
      </c>
      <c r="H965" s="10" t="s">
        <v>197</v>
      </c>
      <c r="I965" s="10" t="s">
        <v>354</v>
      </c>
      <c r="J965" s="10" t="s">
        <v>318</v>
      </c>
      <c r="K965" s="10" t="s">
        <v>319</v>
      </c>
      <c r="L965" s="10" t="s">
        <v>2893</v>
      </c>
      <c r="M965" s="16" t="s">
        <v>45</v>
      </c>
      <c r="N965" s="16" t="s">
        <v>45</v>
      </c>
      <c r="O965" s="10" t="s">
        <v>50</v>
      </c>
      <c r="P965" s="9" t="str">
        <f t="shared" si="28"/>
        <v>N/I</v>
      </c>
      <c r="Q965" s="9" t="str">
        <f t="shared" si="29"/>
        <v>N/I</v>
      </c>
      <c r="R965" s="9" t="str">
        <f t="shared" si="32"/>
        <v>N/I</v>
      </c>
    </row>
    <row r="966">
      <c r="A966" s="11" t="s">
        <v>2887</v>
      </c>
      <c r="B966" s="11" t="s">
        <v>2984</v>
      </c>
      <c r="C966" s="12" t="s">
        <v>94</v>
      </c>
      <c r="D966" s="27">
        <v>180124.0</v>
      </c>
      <c r="E966" s="10" t="s">
        <v>508</v>
      </c>
      <c r="F966" s="10" t="s">
        <v>2892</v>
      </c>
      <c r="G966" s="12" t="s">
        <v>2985</v>
      </c>
      <c r="H966" s="10" t="s">
        <v>197</v>
      </c>
      <c r="I966" s="10" t="s">
        <v>354</v>
      </c>
      <c r="J966" s="10" t="s">
        <v>318</v>
      </c>
      <c r="K966" s="10" t="s">
        <v>319</v>
      </c>
      <c r="L966" s="10" t="s">
        <v>2893</v>
      </c>
      <c r="M966" s="16" t="s">
        <v>45</v>
      </c>
      <c r="N966" s="16" t="s">
        <v>45</v>
      </c>
      <c r="O966" s="10" t="s">
        <v>50</v>
      </c>
      <c r="P966" s="9" t="str">
        <f t="shared" si="28"/>
        <v>N/I</v>
      </c>
      <c r="Q966" s="9" t="str">
        <f t="shared" si="29"/>
        <v>N/I</v>
      </c>
      <c r="R966" s="9" t="str">
        <f t="shared" si="32"/>
        <v>N/I</v>
      </c>
    </row>
    <row r="967">
      <c r="A967" s="11" t="s">
        <v>2887</v>
      </c>
      <c r="B967" s="11" t="s">
        <v>2988</v>
      </c>
      <c r="C967" s="12" t="s">
        <v>52</v>
      </c>
      <c r="D967" s="34" t="s">
        <v>2989</v>
      </c>
      <c r="E967" s="10" t="s">
        <v>227</v>
      </c>
      <c r="F967" s="10" t="s">
        <v>2993</v>
      </c>
      <c r="G967" s="12" t="s">
        <v>2990</v>
      </c>
      <c r="H967" s="10" t="s">
        <v>197</v>
      </c>
      <c r="I967" s="10" t="s">
        <v>354</v>
      </c>
      <c r="J967" s="12" t="s">
        <v>46</v>
      </c>
      <c r="K967" s="16" t="s">
        <v>45</v>
      </c>
      <c r="L967" s="16" t="s">
        <v>45</v>
      </c>
      <c r="M967" s="10" t="s">
        <v>49</v>
      </c>
      <c r="N967" s="10" t="s">
        <v>2994</v>
      </c>
      <c r="O967" s="10" t="s">
        <v>50</v>
      </c>
      <c r="P967" s="9" t="str">
        <f t="shared" si="28"/>
        <v>N/I</v>
      </c>
      <c r="Q967" s="9" t="str">
        <f t="shared" si="29"/>
        <v>N/I</v>
      </c>
      <c r="R967" s="9" t="str">
        <f t="shared" si="32"/>
        <v>N/I</v>
      </c>
    </row>
    <row r="968">
      <c r="A968" s="11" t="s">
        <v>2887</v>
      </c>
      <c r="B968" s="11" t="s">
        <v>2988</v>
      </c>
      <c r="C968" s="12" t="s">
        <v>94</v>
      </c>
      <c r="D968" s="34" t="s">
        <v>2995</v>
      </c>
      <c r="E968" s="10" t="s">
        <v>227</v>
      </c>
      <c r="F968" s="10" t="s">
        <v>2993</v>
      </c>
      <c r="G968" s="12" t="s">
        <v>2990</v>
      </c>
      <c r="H968" s="10" t="s">
        <v>197</v>
      </c>
      <c r="I968" s="10" t="s">
        <v>354</v>
      </c>
      <c r="J968" s="12" t="s">
        <v>46</v>
      </c>
      <c r="K968" s="16" t="s">
        <v>45</v>
      </c>
      <c r="L968" s="16" t="s">
        <v>45</v>
      </c>
      <c r="M968" s="10" t="s">
        <v>49</v>
      </c>
      <c r="N968" s="10" t="s">
        <v>2994</v>
      </c>
      <c r="O968" s="10" t="s">
        <v>50</v>
      </c>
      <c r="P968" s="9" t="str">
        <f t="shared" si="28"/>
        <v>N/I</v>
      </c>
      <c r="Q968" s="9" t="str">
        <f t="shared" si="29"/>
        <v>N/I</v>
      </c>
      <c r="R968" s="9" t="str">
        <f t="shared" si="32"/>
        <v>N/I</v>
      </c>
    </row>
    <row r="969">
      <c r="A969" s="11" t="s">
        <v>2887</v>
      </c>
      <c r="B969" s="11" t="s">
        <v>2996</v>
      </c>
      <c r="C969" s="12" t="s">
        <v>94</v>
      </c>
      <c r="D969" s="27">
        <v>170387.0</v>
      </c>
      <c r="E969" s="10" t="s">
        <v>508</v>
      </c>
      <c r="F969" s="10" t="s">
        <v>2892</v>
      </c>
      <c r="G969" s="12" t="s">
        <v>2997</v>
      </c>
      <c r="H969" s="10" t="s">
        <v>197</v>
      </c>
      <c r="I969" s="10" t="s">
        <v>354</v>
      </c>
      <c r="J969" s="10" t="s">
        <v>318</v>
      </c>
      <c r="K969" s="10" t="s">
        <v>319</v>
      </c>
      <c r="L969" s="10" t="s">
        <v>2893</v>
      </c>
      <c r="M969" s="16" t="s">
        <v>45</v>
      </c>
      <c r="N969" s="16" t="s">
        <v>45</v>
      </c>
      <c r="O969" s="10" t="s">
        <v>50</v>
      </c>
      <c r="P969" s="9" t="str">
        <f t="shared" si="28"/>
        <v>N/I</v>
      </c>
      <c r="Q969" s="9" t="str">
        <f t="shared" si="29"/>
        <v>N/I</v>
      </c>
      <c r="R969" s="9" t="str">
        <f t="shared" si="32"/>
        <v>N/I</v>
      </c>
    </row>
    <row r="970">
      <c r="A970" s="11" t="s">
        <v>2887</v>
      </c>
      <c r="B970" s="11" t="s">
        <v>3000</v>
      </c>
      <c r="C970" s="12" t="s">
        <v>94</v>
      </c>
      <c r="D970" s="27">
        <v>150592.0</v>
      </c>
      <c r="E970" s="10" t="s">
        <v>508</v>
      </c>
      <c r="F970" s="10" t="s">
        <v>2892</v>
      </c>
      <c r="G970" s="12" t="s">
        <v>2997</v>
      </c>
      <c r="H970" s="10" t="s">
        <v>197</v>
      </c>
      <c r="I970" s="10" t="s">
        <v>354</v>
      </c>
      <c r="J970" s="10" t="s">
        <v>318</v>
      </c>
      <c r="K970" s="10" t="s">
        <v>319</v>
      </c>
      <c r="L970" s="10" t="s">
        <v>2893</v>
      </c>
      <c r="M970" s="16" t="s">
        <v>45</v>
      </c>
      <c r="N970" s="16" t="s">
        <v>45</v>
      </c>
      <c r="O970" s="10" t="s">
        <v>50</v>
      </c>
      <c r="P970" s="9" t="str">
        <f t="shared" si="28"/>
        <v>N/I</v>
      </c>
      <c r="Q970" s="9" t="str">
        <f t="shared" si="29"/>
        <v>N/I</v>
      </c>
      <c r="R970" s="9" t="str">
        <f t="shared" si="32"/>
        <v>N/I</v>
      </c>
    </row>
    <row r="971">
      <c r="A971" s="11" t="s">
        <v>2887</v>
      </c>
      <c r="B971" s="11" t="s">
        <v>3001</v>
      </c>
      <c r="C971" s="12" t="s">
        <v>55</v>
      </c>
      <c r="D971" s="27">
        <v>170159.0</v>
      </c>
      <c r="E971" s="10" t="s">
        <v>508</v>
      </c>
      <c r="F971" s="10" t="s">
        <v>2892</v>
      </c>
      <c r="G971" s="12" t="s">
        <v>2997</v>
      </c>
      <c r="H971" s="10" t="s">
        <v>197</v>
      </c>
      <c r="I971" s="10" t="s">
        <v>354</v>
      </c>
      <c r="J971" s="10" t="s">
        <v>318</v>
      </c>
      <c r="K971" s="10" t="s">
        <v>319</v>
      </c>
      <c r="L971" s="10" t="s">
        <v>2893</v>
      </c>
      <c r="M971" s="16" t="s">
        <v>45</v>
      </c>
      <c r="N971" s="16" t="s">
        <v>45</v>
      </c>
      <c r="O971" s="10" t="s">
        <v>50</v>
      </c>
      <c r="P971" s="9" t="str">
        <f t="shared" si="28"/>
        <v>N/I</v>
      </c>
      <c r="Q971" s="9" t="str">
        <f t="shared" si="29"/>
        <v>N/I</v>
      </c>
      <c r="R971" s="9" t="str">
        <f t="shared" si="32"/>
        <v>N/I</v>
      </c>
    </row>
    <row r="972">
      <c r="A972" s="11" t="s">
        <v>2887</v>
      </c>
      <c r="B972" s="11" t="s">
        <v>3000</v>
      </c>
      <c r="C972" s="12" t="s">
        <v>55</v>
      </c>
      <c r="D972" s="27">
        <v>170160.0</v>
      </c>
      <c r="E972" s="10" t="s">
        <v>508</v>
      </c>
      <c r="F972" s="10" t="s">
        <v>2892</v>
      </c>
      <c r="G972" s="12" t="s">
        <v>2997</v>
      </c>
      <c r="H972" s="10" t="s">
        <v>197</v>
      </c>
      <c r="I972" s="10" t="s">
        <v>354</v>
      </c>
      <c r="J972" s="10" t="s">
        <v>318</v>
      </c>
      <c r="K972" s="10" t="s">
        <v>319</v>
      </c>
      <c r="L972" s="10" t="s">
        <v>2893</v>
      </c>
      <c r="M972" s="16" t="s">
        <v>45</v>
      </c>
      <c r="N972" s="16" t="s">
        <v>45</v>
      </c>
      <c r="O972" s="10" t="s">
        <v>50</v>
      </c>
      <c r="P972" s="9" t="str">
        <f t="shared" si="28"/>
        <v>N/I</v>
      </c>
      <c r="Q972" s="9" t="str">
        <f t="shared" si="29"/>
        <v>N/I</v>
      </c>
      <c r="R972" s="9" t="str">
        <f t="shared" si="32"/>
        <v>N/I</v>
      </c>
    </row>
    <row r="973">
      <c r="A973" s="11" t="s">
        <v>2887</v>
      </c>
      <c r="B973" s="11" t="s">
        <v>3002</v>
      </c>
      <c r="C973" s="12" t="s">
        <v>94</v>
      </c>
      <c r="D973" s="27">
        <v>170274.0</v>
      </c>
      <c r="E973" s="10" t="s">
        <v>508</v>
      </c>
      <c r="F973" s="10" t="s">
        <v>2892</v>
      </c>
      <c r="G973" s="12" t="s">
        <v>2071</v>
      </c>
      <c r="H973" s="10" t="s">
        <v>197</v>
      </c>
      <c r="I973" s="10" t="s">
        <v>354</v>
      </c>
      <c r="J973" s="10" t="s">
        <v>318</v>
      </c>
      <c r="K973" s="10" t="s">
        <v>319</v>
      </c>
      <c r="L973" s="10" t="s">
        <v>2893</v>
      </c>
      <c r="M973" s="16" t="s">
        <v>45</v>
      </c>
      <c r="N973" s="16" t="s">
        <v>45</v>
      </c>
      <c r="O973" s="10" t="s">
        <v>50</v>
      </c>
      <c r="P973" s="9" t="str">
        <f t="shared" si="28"/>
        <v>N/I</v>
      </c>
      <c r="Q973" s="9" t="str">
        <f t="shared" si="29"/>
        <v>N/I</v>
      </c>
      <c r="R973" s="9" t="str">
        <f t="shared" si="32"/>
        <v>N/I</v>
      </c>
    </row>
    <row r="974">
      <c r="A974" s="11" t="s">
        <v>2887</v>
      </c>
      <c r="B974" s="11" t="s">
        <v>3005</v>
      </c>
      <c r="C974" s="12" t="s">
        <v>94</v>
      </c>
      <c r="D974" s="27">
        <v>150682.0</v>
      </c>
      <c r="E974" s="10" t="s">
        <v>508</v>
      </c>
      <c r="F974" s="10" t="s">
        <v>2892</v>
      </c>
      <c r="G974" s="12" t="s">
        <v>3006</v>
      </c>
      <c r="H974" s="10" t="s">
        <v>197</v>
      </c>
      <c r="I974" s="10" t="s">
        <v>354</v>
      </c>
      <c r="J974" s="10" t="s">
        <v>318</v>
      </c>
      <c r="K974" s="10" t="s">
        <v>319</v>
      </c>
      <c r="L974" s="10" t="s">
        <v>2893</v>
      </c>
      <c r="M974" s="16" t="s">
        <v>45</v>
      </c>
      <c r="N974" s="16" t="s">
        <v>45</v>
      </c>
      <c r="O974" s="10" t="s">
        <v>50</v>
      </c>
      <c r="P974" s="9" t="str">
        <f t="shared" si="28"/>
        <v>N/I</v>
      </c>
      <c r="Q974" s="9" t="str">
        <f t="shared" si="29"/>
        <v>N/I</v>
      </c>
      <c r="R974" s="9" t="str">
        <f t="shared" si="32"/>
        <v>N/I</v>
      </c>
    </row>
    <row r="975">
      <c r="A975" s="11" t="s">
        <v>2887</v>
      </c>
      <c r="B975" s="11" t="s">
        <v>3009</v>
      </c>
      <c r="C975" s="12" t="s">
        <v>94</v>
      </c>
      <c r="D975" s="27">
        <v>170232.0</v>
      </c>
      <c r="E975" s="10" t="s">
        <v>508</v>
      </c>
      <c r="F975" s="10" t="s">
        <v>2892</v>
      </c>
      <c r="G975" s="12" t="s">
        <v>2085</v>
      </c>
      <c r="H975" s="10" t="s">
        <v>197</v>
      </c>
      <c r="I975" s="10" t="s">
        <v>354</v>
      </c>
      <c r="J975" s="10" t="s">
        <v>318</v>
      </c>
      <c r="K975" s="10" t="s">
        <v>319</v>
      </c>
      <c r="L975" s="10" t="s">
        <v>2893</v>
      </c>
      <c r="M975" s="16" t="s">
        <v>45</v>
      </c>
      <c r="N975" s="16" t="s">
        <v>45</v>
      </c>
      <c r="O975" s="10" t="s">
        <v>50</v>
      </c>
      <c r="P975" s="9" t="str">
        <f t="shared" si="28"/>
        <v>N/I</v>
      </c>
      <c r="Q975" s="9" t="str">
        <f t="shared" si="29"/>
        <v>N/I</v>
      </c>
      <c r="R975" s="9" t="str">
        <f t="shared" si="32"/>
        <v>N/I</v>
      </c>
    </row>
    <row r="976">
      <c r="A976" s="11" t="s">
        <v>2887</v>
      </c>
      <c r="B976" s="11" t="s">
        <v>3009</v>
      </c>
      <c r="C976" s="12" t="s">
        <v>94</v>
      </c>
      <c r="D976" s="27">
        <v>170233.0</v>
      </c>
      <c r="E976" s="10" t="s">
        <v>508</v>
      </c>
      <c r="F976" s="10" t="s">
        <v>2892</v>
      </c>
      <c r="G976" s="12" t="s">
        <v>2085</v>
      </c>
      <c r="H976" s="10" t="s">
        <v>197</v>
      </c>
      <c r="I976" s="10" t="s">
        <v>354</v>
      </c>
      <c r="J976" s="10" t="s">
        <v>318</v>
      </c>
      <c r="K976" s="10" t="s">
        <v>319</v>
      </c>
      <c r="L976" s="10" t="s">
        <v>2893</v>
      </c>
      <c r="M976" s="16" t="s">
        <v>45</v>
      </c>
      <c r="N976" s="16" t="s">
        <v>45</v>
      </c>
      <c r="O976" s="10" t="s">
        <v>50</v>
      </c>
      <c r="P976" s="9" t="str">
        <f t="shared" si="28"/>
        <v>N/I</v>
      </c>
      <c r="Q976" s="9" t="str">
        <f t="shared" si="29"/>
        <v>N/I</v>
      </c>
      <c r="R976" s="9" t="str">
        <f t="shared" si="32"/>
        <v>N/I</v>
      </c>
    </row>
    <row r="977">
      <c r="A977" s="11" t="s">
        <v>2887</v>
      </c>
      <c r="B977" s="11" t="s">
        <v>3012</v>
      </c>
      <c r="C977" s="12" t="s">
        <v>94</v>
      </c>
      <c r="D977" s="27">
        <v>170264.0</v>
      </c>
      <c r="E977" s="10" t="s">
        <v>508</v>
      </c>
      <c r="F977" s="10" t="s">
        <v>2892</v>
      </c>
      <c r="G977" s="12" t="s">
        <v>2090</v>
      </c>
      <c r="H977" s="10" t="s">
        <v>197</v>
      </c>
      <c r="I977" s="10" t="s">
        <v>354</v>
      </c>
      <c r="J977" s="10" t="s">
        <v>318</v>
      </c>
      <c r="K977" s="10" t="s">
        <v>319</v>
      </c>
      <c r="L977" s="10" t="s">
        <v>2893</v>
      </c>
      <c r="M977" s="16" t="s">
        <v>45</v>
      </c>
      <c r="N977" s="16" t="s">
        <v>45</v>
      </c>
      <c r="O977" s="10" t="s">
        <v>50</v>
      </c>
      <c r="P977" s="9" t="str">
        <f t="shared" si="28"/>
        <v>N/I</v>
      </c>
      <c r="Q977" s="9" t="str">
        <f t="shared" si="29"/>
        <v>N/I</v>
      </c>
      <c r="R977" s="9" t="str">
        <f t="shared" si="32"/>
        <v>N/I</v>
      </c>
    </row>
    <row r="978">
      <c r="A978" s="11" t="s">
        <v>2887</v>
      </c>
      <c r="B978" s="11" t="s">
        <v>3014</v>
      </c>
      <c r="C978" s="12" t="s">
        <v>94</v>
      </c>
      <c r="D978" s="27">
        <v>150504.0</v>
      </c>
      <c r="E978" s="10" t="s">
        <v>508</v>
      </c>
      <c r="F978" s="10" t="s">
        <v>2892</v>
      </c>
      <c r="G978" s="12" t="s">
        <v>3015</v>
      </c>
      <c r="H978" s="10" t="s">
        <v>197</v>
      </c>
      <c r="I978" s="10" t="s">
        <v>354</v>
      </c>
      <c r="J978" s="10" t="s">
        <v>318</v>
      </c>
      <c r="K978" s="10" t="s">
        <v>319</v>
      </c>
      <c r="L978" s="10" t="s">
        <v>2893</v>
      </c>
      <c r="M978" s="16" t="s">
        <v>45</v>
      </c>
      <c r="N978" s="16" t="s">
        <v>45</v>
      </c>
      <c r="O978" s="10" t="s">
        <v>50</v>
      </c>
      <c r="P978" s="9" t="str">
        <f t="shared" si="28"/>
        <v>N/I</v>
      </c>
      <c r="Q978" s="9" t="str">
        <f t="shared" si="29"/>
        <v>N/I</v>
      </c>
      <c r="R978" s="9" t="str">
        <f t="shared" si="32"/>
        <v>N/I</v>
      </c>
    </row>
    <row r="979">
      <c r="A979" s="11" t="s">
        <v>2887</v>
      </c>
      <c r="B979" s="11" t="s">
        <v>3018</v>
      </c>
      <c r="C979" s="12" t="s">
        <v>94</v>
      </c>
      <c r="D979" s="27">
        <v>150595.0</v>
      </c>
      <c r="E979" s="10" t="s">
        <v>508</v>
      </c>
      <c r="F979" s="10" t="s">
        <v>2892</v>
      </c>
      <c r="G979" s="12" t="s">
        <v>3015</v>
      </c>
      <c r="H979" s="10" t="s">
        <v>197</v>
      </c>
      <c r="I979" s="10" t="s">
        <v>354</v>
      </c>
      <c r="J979" s="10" t="s">
        <v>318</v>
      </c>
      <c r="K979" s="10" t="s">
        <v>319</v>
      </c>
      <c r="L979" s="10" t="s">
        <v>2893</v>
      </c>
      <c r="M979" s="16" t="s">
        <v>45</v>
      </c>
      <c r="N979" s="16" t="s">
        <v>45</v>
      </c>
      <c r="O979" s="10" t="s">
        <v>50</v>
      </c>
      <c r="P979" s="9" t="str">
        <f t="shared" si="28"/>
        <v>N/I</v>
      </c>
      <c r="Q979" s="9" t="str">
        <f t="shared" si="29"/>
        <v>N/I</v>
      </c>
      <c r="R979" s="9" t="str">
        <f t="shared" si="32"/>
        <v>N/I</v>
      </c>
    </row>
    <row r="980">
      <c r="A980" s="11" t="s">
        <v>2887</v>
      </c>
      <c r="B980" s="11" t="s">
        <v>3018</v>
      </c>
      <c r="C980" s="12" t="s">
        <v>55</v>
      </c>
      <c r="D980" s="27">
        <v>170161.0</v>
      </c>
      <c r="E980" s="10" t="s">
        <v>508</v>
      </c>
      <c r="F980" s="10" t="s">
        <v>2892</v>
      </c>
      <c r="G980" s="12" t="s">
        <v>3015</v>
      </c>
      <c r="H980" s="10" t="s">
        <v>197</v>
      </c>
      <c r="I980" s="10" t="s">
        <v>354</v>
      </c>
      <c r="J980" s="10" t="s">
        <v>318</v>
      </c>
      <c r="K980" s="10" t="s">
        <v>319</v>
      </c>
      <c r="L980" s="10" t="s">
        <v>2893</v>
      </c>
      <c r="M980" s="16" t="s">
        <v>45</v>
      </c>
      <c r="N980" s="16" t="s">
        <v>45</v>
      </c>
      <c r="O980" s="10" t="s">
        <v>50</v>
      </c>
      <c r="P980" s="9" t="str">
        <f t="shared" si="28"/>
        <v>N/I</v>
      </c>
      <c r="Q980" s="9" t="str">
        <f t="shared" si="29"/>
        <v>N/I</v>
      </c>
      <c r="R980" s="9" t="str">
        <f t="shared" si="32"/>
        <v>N/I</v>
      </c>
    </row>
    <row r="981">
      <c r="A981" s="11" t="s">
        <v>2887</v>
      </c>
      <c r="B981" s="11" t="s">
        <v>3014</v>
      </c>
      <c r="C981" s="12" t="s">
        <v>55</v>
      </c>
      <c r="D981" s="27">
        <v>170163.0</v>
      </c>
      <c r="E981" s="10" t="s">
        <v>508</v>
      </c>
      <c r="F981" s="10" t="s">
        <v>2892</v>
      </c>
      <c r="G981" s="12" t="s">
        <v>3015</v>
      </c>
      <c r="H981" s="10" t="s">
        <v>197</v>
      </c>
      <c r="I981" s="10" t="s">
        <v>354</v>
      </c>
      <c r="J981" s="10" t="s">
        <v>318</v>
      </c>
      <c r="K981" s="10" t="s">
        <v>319</v>
      </c>
      <c r="L981" s="10" t="s">
        <v>2893</v>
      </c>
      <c r="M981" s="16" t="s">
        <v>45</v>
      </c>
      <c r="N981" s="16" t="s">
        <v>45</v>
      </c>
      <c r="O981" s="10" t="s">
        <v>50</v>
      </c>
      <c r="P981" s="9" t="str">
        <f t="shared" si="28"/>
        <v>N/I</v>
      </c>
      <c r="Q981" s="9" t="str">
        <f t="shared" si="29"/>
        <v>N/I</v>
      </c>
      <c r="R981" s="9" t="str">
        <f t="shared" si="32"/>
        <v>N/I</v>
      </c>
    </row>
    <row r="982">
      <c r="A982" s="11" t="s">
        <v>2887</v>
      </c>
      <c r="B982" s="11" t="s">
        <v>3019</v>
      </c>
      <c r="C982" s="12" t="s">
        <v>94</v>
      </c>
      <c r="D982" s="27">
        <v>170371.0</v>
      </c>
      <c r="E982" s="10" t="s">
        <v>508</v>
      </c>
      <c r="F982" s="10" t="s">
        <v>2892</v>
      </c>
      <c r="G982" s="12" t="s">
        <v>3020</v>
      </c>
      <c r="H982" s="10" t="s">
        <v>197</v>
      </c>
      <c r="I982" s="10" t="s">
        <v>354</v>
      </c>
      <c r="J982" s="10" t="s">
        <v>318</v>
      </c>
      <c r="K982" s="10" t="s">
        <v>319</v>
      </c>
      <c r="L982" s="10" t="s">
        <v>2893</v>
      </c>
      <c r="M982" s="16" t="s">
        <v>45</v>
      </c>
      <c r="N982" s="16" t="s">
        <v>45</v>
      </c>
      <c r="O982" s="10" t="s">
        <v>50</v>
      </c>
      <c r="P982" s="9" t="str">
        <f t="shared" si="28"/>
        <v>N/I</v>
      </c>
      <c r="Q982" s="9" t="str">
        <f t="shared" si="29"/>
        <v>N/I</v>
      </c>
      <c r="R982" s="9" t="str">
        <f t="shared" si="32"/>
        <v>N/I</v>
      </c>
    </row>
    <row r="983">
      <c r="A983" s="11" t="s">
        <v>2887</v>
      </c>
      <c r="B983" s="11" t="s">
        <v>3019</v>
      </c>
      <c r="C983" s="12" t="s">
        <v>55</v>
      </c>
      <c r="D983" s="27">
        <v>170152.0</v>
      </c>
      <c r="E983" s="10" t="s">
        <v>508</v>
      </c>
      <c r="F983" s="10" t="s">
        <v>2892</v>
      </c>
      <c r="G983" s="12" t="s">
        <v>3020</v>
      </c>
      <c r="H983" s="10" t="s">
        <v>197</v>
      </c>
      <c r="I983" s="10" t="s">
        <v>354</v>
      </c>
      <c r="J983" s="10" t="s">
        <v>318</v>
      </c>
      <c r="K983" s="10" t="s">
        <v>319</v>
      </c>
      <c r="L983" s="10" t="s">
        <v>2893</v>
      </c>
      <c r="M983" s="16" t="s">
        <v>45</v>
      </c>
      <c r="N983" s="16" t="s">
        <v>45</v>
      </c>
      <c r="O983" s="10" t="s">
        <v>50</v>
      </c>
      <c r="P983" s="9" t="str">
        <f t="shared" si="28"/>
        <v>N/I</v>
      </c>
      <c r="Q983" s="9" t="str">
        <f t="shared" si="29"/>
        <v>N/I</v>
      </c>
      <c r="R983" s="9" t="str">
        <f t="shared" si="32"/>
        <v>N/I</v>
      </c>
    </row>
    <row r="984">
      <c r="A984" s="11" t="s">
        <v>2887</v>
      </c>
      <c r="B984" s="11" t="s">
        <v>3023</v>
      </c>
      <c r="C984" s="12" t="s">
        <v>55</v>
      </c>
      <c r="D984" s="27">
        <v>170148.0</v>
      </c>
      <c r="E984" s="10" t="s">
        <v>508</v>
      </c>
      <c r="F984" s="10" t="s">
        <v>2892</v>
      </c>
      <c r="G984" s="12" t="s">
        <v>2113</v>
      </c>
      <c r="H984" s="10" t="s">
        <v>197</v>
      </c>
      <c r="I984" s="10" t="s">
        <v>354</v>
      </c>
      <c r="J984" s="10" t="s">
        <v>318</v>
      </c>
      <c r="K984" s="10" t="s">
        <v>319</v>
      </c>
      <c r="L984" s="10" t="s">
        <v>2893</v>
      </c>
      <c r="M984" s="16" t="s">
        <v>45</v>
      </c>
      <c r="N984" s="16" t="s">
        <v>45</v>
      </c>
      <c r="O984" s="10" t="s">
        <v>50</v>
      </c>
      <c r="P984" s="9" t="str">
        <f t="shared" si="28"/>
        <v>N/I</v>
      </c>
      <c r="Q984" s="9" t="str">
        <f t="shared" si="29"/>
        <v>N/I</v>
      </c>
      <c r="R984" s="9" t="str">
        <f t="shared" si="32"/>
        <v>N/I</v>
      </c>
    </row>
    <row r="985">
      <c r="A985" s="11" t="s">
        <v>2887</v>
      </c>
      <c r="B985" s="11" t="s">
        <v>3026</v>
      </c>
      <c r="C985" s="12" t="s">
        <v>55</v>
      </c>
      <c r="D985" s="27">
        <v>170150.0</v>
      </c>
      <c r="E985" s="10" t="s">
        <v>508</v>
      </c>
      <c r="F985" s="10" t="s">
        <v>2892</v>
      </c>
      <c r="G985" s="12" t="s">
        <v>3027</v>
      </c>
      <c r="H985" s="10" t="s">
        <v>197</v>
      </c>
      <c r="I985" s="10" t="s">
        <v>354</v>
      </c>
      <c r="J985" s="10" t="s">
        <v>318</v>
      </c>
      <c r="K985" s="10" t="s">
        <v>319</v>
      </c>
      <c r="L985" s="10" t="s">
        <v>2893</v>
      </c>
      <c r="M985" s="16" t="s">
        <v>45</v>
      </c>
      <c r="N985" s="16" t="s">
        <v>45</v>
      </c>
      <c r="O985" s="10" t="s">
        <v>50</v>
      </c>
      <c r="P985" s="9" t="str">
        <f t="shared" si="28"/>
        <v>N/I</v>
      </c>
      <c r="Q985" s="9" t="str">
        <f t="shared" si="29"/>
        <v>N/I</v>
      </c>
      <c r="R985" s="9" t="str">
        <f t="shared" si="32"/>
        <v>N/I</v>
      </c>
    </row>
    <row r="986">
      <c r="A986" s="11" t="s">
        <v>2887</v>
      </c>
      <c r="B986" s="11" t="s">
        <v>3029</v>
      </c>
      <c r="C986" s="12" t="s">
        <v>94</v>
      </c>
      <c r="D986" s="27">
        <v>180119.0</v>
      </c>
      <c r="E986" s="10" t="s">
        <v>508</v>
      </c>
      <c r="F986" s="10" t="s">
        <v>2892</v>
      </c>
      <c r="G986" s="12" t="s">
        <v>2124</v>
      </c>
      <c r="H986" s="10" t="s">
        <v>197</v>
      </c>
      <c r="I986" s="10" t="s">
        <v>354</v>
      </c>
      <c r="J986" s="10" t="s">
        <v>318</v>
      </c>
      <c r="K986" s="10" t="s">
        <v>319</v>
      </c>
      <c r="L986" s="10" t="s">
        <v>2893</v>
      </c>
      <c r="M986" s="16" t="s">
        <v>45</v>
      </c>
      <c r="N986" s="16" t="s">
        <v>45</v>
      </c>
      <c r="O986" s="10" t="s">
        <v>50</v>
      </c>
      <c r="P986" s="9" t="str">
        <f t="shared" si="28"/>
        <v>N/I</v>
      </c>
      <c r="Q986" s="9" t="str">
        <f t="shared" si="29"/>
        <v>N/I</v>
      </c>
      <c r="R986" s="9" t="str">
        <f t="shared" si="32"/>
        <v>N/I</v>
      </c>
    </row>
    <row r="987">
      <c r="A987" s="11" t="s">
        <v>2887</v>
      </c>
      <c r="B987" s="11" t="s">
        <v>3031</v>
      </c>
      <c r="C987" s="12" t="s">
        <v>94</v>
      </c>
      <c r="D987" s="27">
        <v>170262.0</v>
      </c>
      <c r="E987" s="10" t="s">
        <v>508</v>
      </c>
      <c r="F987" s="10" t="s">
        <v>2892</v>
      </c>
      <c r="G987" s="12" t="s">
        <v>3032</v>
      </c>
      <c r="H987" s="10" t="s">
        <v>197</v>
      </c>
      <c r="I987" s="10" t="s">
        <v>354</v>
      </c>
      <c r="J987" s="10" t="s">
        <v>318</v>
      </c>
      <c r="K987" s="10" t="s">
        <v>319</v>
      </c>
      <c r="L987" s="10" t="s">
        <v>2893</v>
      </c>
      <c r="M987" s="16" t="s">
        <v>45</v>
      </c>
      <c r="N987" s="16" t="s">
        <v>45</v>
      </c>
      <c r="O987" s="10" t="s">
        <v>50</v>
      </c>
      <c r="P987" s="9" t="str">
        <f t="shared" si="28"/>
        <v>N/I</v>
      </c>
      <c r="Q987" s="9" t="str">
        <f t="shared" si="29"/>
        <v>N/I</v>
      </c>
      <c r="R987" s="9" t="str">
        <f t="shared" si="32"/>
        <v>N/I</v>
      </c>
    </row>
    <row r="988">
      <c r="A988" s="11" t="s">
        <v>2887</v>
      </c>
      <c r="B988" s="11" t="s">
        <v>3035</v>
      </c>
      <c r="C988" s="12" t="s">
        <v>94</v>
      </c>
      <c r="D988" s="27">
        <v>170236.0</v>
      </c>
      <c r="E988" s="10" t="s">
        <v>508</v>
      </c>
      <c r="F988" s="10" t="s">
        <v>2892</v>
      </c>
      <c r="G988" s="12" t="s">
        <v>3032</v>
      </c>
      <c r="H988" s="10" t="s">
        <v>197</v>
      </c>
      <c r="I988" s="10" t="s">
        <v>354</v>
      </c>
      <c r="J988" s="10" t="s">
        <v>318</v>
      </c>
      <c r="K988" s="10" t="s">
        <v>319</v>
      </c>
      <c r="L988" s="10" t="s">
        <v>2893</v>
      </c>
      <c r="M988" s="16" t="s">
        <v>45</v>
      </c>
      <c r="N988" s="16" t="s">
        <v>45</v>
      </c>
      <c r="O988" s="10" t="s">
        <v>50</v>
      </c>
      <c r="P988" s="9" t="str">
        <f t="shared" si="28"/>
        <v>N/I</v>
      </c>
      <c r="Q988" s="9" t="str">
        <f t="shared" si="29"/>
        <v>N/I</v>
      </c>
      <c r="R988" s="9" t="str">
        <f t="shared" si="32"/>
        <v>N/I</v>
      </c>
    </row>
    <row r="989">
      <c r="A989" s="11" t="s">
        <v>2887</v>
      </c>
      <c r="B989" s="11" t="s">
        <v>3037</v>
      </c>
      <c r="C989" s="12" t="s">
        <v>94</v>
      </c>
      <c r="D989" s="34" t="s">
        <v>3038</v>
      </c>
      <c r="E989" s="16" t="s">
        <v>45</v>
      </c>
      <c r="F989" s="10" t="s">
        <v>3040</v>
      </c>
      <c r="G989" s="12" t="s">
        <v>3032</v>
      </c>
      <c r="H989" s="10" t="s">
        <v>197</v>
      </c>
      <c r="I989" s="16" t="s">
        <v>45</v>
      </c>
      <c r="J989" s="16" t="s">
        <v>45</v>
      </c>
      <c r="K989" s="16" t="s">
        <v>45</v>
      </c>
      <c r="L989" s="16" t="s">
        <v>45</v>
      </c>
      <c r="M989" s="16" t="s">
        <v>45</v>
      </c>
      <c r="N989" s="16" t="s">
        <v>45</v>
      </c>
      <c r="O989" s="16" t="s">
        <v>45</v>
      </c>
      <c r="P989" s="9" t="str">
        <f t="shared" si="28"/>
        <v>N/I</v>
      </c>
      <c r="Q989" s="9" t="str">
        <f t="shared" si="29"/>
        <v>N/I</v>
      </c>
      <c r="R989" s="9" t="str">
        <f t="shared" si="32"/>
        <v>N/I</v>
      </c>
    </row>
    <row r="990">
      <c r="A990" s="11" t="s">
        <v>2887</v>
      </c>
      <c r="B990" s="11" t="s">
        <v>3041</v>
      </c>
      <c r="C990" s="12" t="s">
        <v>94</v>
      </c>
      <c r="D990" s="27">
        <v>170265.0</v>
      </c>
      <c r="E990" s="10" t="s">
        <v>508</v>
      </c>
      <c r="F990" s="10" t="s">
        <v>2892</v>
      </c>
      <c r="G990" s="12" t="s">
        <v>3042</v>
      </c>
      <c r="H990" s="10" t="s">
        <v>197</v>
      </c>
      <c r="I990" s="10" t="s">
        <v>354</v>
      </c>
      <c r="J990" s="10" t="s">
        <v>318</v>
      </c>
      <c r="K990" s="10" t="s">
        <v>319</v>
      </c>
      <c r="L990" s="10" t="s">
        <v>2893</v>
      </c>
      <c r="M990" s="16" t="s">
        <v>45</v>
      </c>
      <c r="N990" s="16" t="s">
        <v>45</v>
      </c>
      <c r="O990" s="10" t="s">
        <v>50</v>
      </c>
      <c r="P990" s="9" t="str">
        <f t="shared" si="28"/>
        <v>N/I</v>
      </c>
      <c r="Q990" s="9" t="str">
        <f t="shared" si="29"/>
        <v>N/I</v>
      </c>
      <c r="R990" s="9" t="str">
        <f t="shared" si="32"/>
        <v>N/I</v>
      </c>
    </row>
    <row r="991">
      <c r="A991" s="11" t="s">
        <v>2887</v>
      </c>
      <c r="B991" s="11" t="s">
        <v>3045</v>
      </c>
      <c r="C991" s="12" t="s">
        <v>94</v>
      </c>
      <c r="D991" s="27">
        <v>150649.0</v>
      </c>
      <c r="E991" s="10" t="s">
        <v>508</v>
      </c>
      <c r="F991" s="10" t="s">
        <v>2892</v>
      </c>
      <c r="G991" s="12" t="s">
        <v>3046</v>
      </c>
      <c r="H991" s="10" t="s">
        <v>197</v>
      </c>
      <c r="I991" s="10" t="s">
        <v>354</v>
      </c>
      <c r="J991" s="10" t="s">
        <v>318</v>
      </c>
      <c r="K991" s="10" t="s">
        <v>319</v>
      </c>
      <c r="L991" s="10" t="s">
        <v>2893</v>
      </c>
      <c r="M991" s="16" t="s">
        <v>45</v>
      </c>
      <c r="N991" s="16" t="s">
        <v>45</v>
      </c>
      <c r="O991" s="10" t="s">
        <v>50</v>
      </c>
      <c r="P991" s="9" t="str">
        <f t="shared" si="28"/>
        <v>N/I</v>
      </c>
      <c r="Q991" s="9" t="str">
        <f t="shared" si="29"/>
        <v>N/I</v>
      </c>
      <c r="R991" s="9" t="str">
        <f t="shared" si="32"/>
        <v>N/I</v>
      </c>
    </row>
    <row r="992">
      <c r="A992" s="11" t="s">
        <v>2887</v>
      </c>
      <c r="B992" s="11" t="s">
        <v>3049</v>
      </c>
      <c r="C992" s="12" t="s">
        <v>55</v>
      </c>
      <c r="D992" s="27">
        <v>170162.0</v>
      </c>
      <c r="E992" s="10" t="s">
        <v>508</v>
      </c>
      <c r="F992" s="10" t="s">
        <v>2892</v>
      </c>
      <c r="G992" s="12" t="s">
        <v>3050</v>
      </c>
      <c r="H992" s="10" t="s">
        <v>197</v>
      </c>
      <c r="I992" s="10" t="s">
        <v>354</v>
      </c>
      <c r="J992" s="10" t="s">
        <v>318</v>
      </c>
      <c r="K992" s="10" t="s">
        <v>319</v>
      </c>
      <c r="L992" s="10" t="s">
        <v>2893</v>
      </c>
      <c r="M992" s="16" t="s">
        <v>45</v>
      </c>
      <c r="N992" s="16" t="s">
        <v>45</v>
      </c>
      <c r="O992" s="10" t="s">
        <v>50</v>
      </c>
      <c r="P992" s="9" t="str">
        <f t="shared" si="28"/>
        <v>N/I</v>
      </c>
      <c r="Q992" s="9" t="str">
        <f t="shared" si="29"/>
        <v>N/I</v>
      </c>
      <c r="R992" s="9" t="str">
        <f t="shared" si="32"/>
        <v>N/I</v>
      </c>
    </row>
    <row r="993">
      <c r="A993" s="11" t="s">
        <v>2887</v>
      </c>
      <c r="B993" s="11" t="s">
        <v>3053</v>
      </c>
      <c r="C993" s="12" t="s">
        <v>55</v>
      </c>
      <c r="D993" s="27" t="s">
        <v>3054</v>
      </c>
      <c r="E993" s="10" t="s">
        <v>508</v>
      </c>
      <c r="F993" s="10" t="s">
        <v>2892</v>
      </c>
      <c r="G993" s="12" t="s">
        <v>3055</v>
      </c>
      <c r="H993" s="10" t="s">
        <v>197</v>
      </c>
      <c r="I993" s="10" t="s">
        <v>354</v>
      </c>
      <c r="J993" s="10" t="s">
        <v>318</v>
      </c>
      <c r="K993" s="10" t="s">
        <v>319</v>
      </c>
      <c r="L993" s="10" t="s">
        <v>2893</v>
      </c>
      <c r="M993" s="16" t="s">
        <v>45</v>
      </c>
      <c r="N993" s="16" t="s">
        <v>45</v>
      </c>
      <c r="O993" s="10" t="s">
        <v>50</v>
      </c>
      <c r="P993" s="9" t="str">
        <f t="shared" si="28"/>
        <v>N/I</v>
      </c>
      <c r="Q993" s="9" t="str">
        <f t="shared" si="29"/>
        <v>N/I</v>
      </c>
      <c r="R993" s="9" t="str">
        <f t="shared" si="32"/>
        <v>N/I</v>
      </c>
    </row>
    <row r="994">
      <c r="A994" s="11" t="s">
        <v>2887</v>
      </c>
      <c r="B994" s="11" t="s">
        <v>3058</v>
      </c>
      <c r="C994" s="12" t="s">
        <v>94</v>
      </c>
      <c r="D994" s="27">
        <v>170272.0</v>
      </c>
      <c r="E994" s="10" t="s">
        <v>508</v>
      </c>
      <c r="F994" s="10" t="s">
        <v>2892</v>
      </c>
      <c r="G994" s="12" t="s">
        <v>883</v>
      </c>
      <c r="H994" s="10" t="s">
        <v>197</v>
      </c>
      <c r="I994" s="10" t="s">
        <v>354</v>
      </c>
      <c r="J994" s="10" t="s">
        <v>318</v>
      </c>
      <c r="K994" s="10" t="s">
        <v>319</v>
      </c>
      <c r="L994" s="10" t="s">
        <v>2893</v>
      </c>
      <c r="M994" s="16" t="s">
        <v>45</v>
      </c>
      <c r="N994" s="16" t="s">
        <v>45</v>
      </c>
      <c r="O994" s="10" t="s">
        <v>50</v>
      </c>
      <c r="P994" s="9" t="str">
        <f t="shared" si="28"/>
        <v>N/I</v>
      </c>
      <c r="Q994" s="9" t="str">
        <f t="shared" si="29"/>
        <v>N/I</v>
      </c>
      <c r="R994" s="9" t="str">
        <f t="shared" si="32"/>
        <v>N/I</v>
      </c>
    </row>
    <row r="995">
      <c r="A995" s="11" t="s">
        <v>2887</v>
      </c>
      <c r="B995" s="11" t="s">
        <v>3061</v>
      </c>
      <c r="C995" s="12" t="s">
        <v>94</v>
      </c>
      <c r="D995" s="27">
        <v>150386.0</v>
      </c>
      <c r="E995" s="10" t="s">
        <v>508</v>
      </c>
      <c r="F995" s="10" t="s">
        <v>2892</v>
      </c>
      <c r="G995" s="12" t="s">
        <v>3062</v>
      </c>
      <c r="H995" s="10" t="s">
        <v>197</v>
      </c>
      <c r="I995" s="10" t="s">
        <v>354</v>
      </c>
      <c r="J995" s="10" t="s">
        <v>318</v>
      </c>
      <c r="K995" s="10" t="s">
        <v>319</v>
      </c>
      <c r="L995" s="10" t="s">
        <v>2893</v>
      </c>
      <c r="M995" s="16" t="s">
        <v>45</v>
      </c>
      <c r="N995" s="16" t="s">
        <v>45</v>
      </c>
      <c r="O995" s="10" t="s">
        <v>50</v>
      </c>
      <c r="P995" s="9" t="str">
        <f t="shared" si="28"/>
        <v>N/I</v>
      </c>
      <c r="Q995" s="9" t="str">
        <f t="shared" si="29"/>
        <v>N/I</v>
      </c>
      <c r="R995" s="9" t="str">
        <f t="shared" si="32"/>
        <v>N/I</v>
      </c>
    </row>
    <row r="996">
      <c r="A996" s="11" t="s">
        <v>2887</v>
      </c>
      <c r="B996" s="11" t="s">
        <v>3061</v>
      </c>
      <c r="C996" s="12" t="s">
        <v>55</v>
      </c>
      <c r="D996" s="27">
        <v>170164.0</v>
      </c>
      <c r="E996" s="10" t="s">
        <v>508</v>
      </c>
      <c r="F996" s="10" t="s">
        <v>2892</v>
      </c>
      <c r="G996" s="12" t="s">
        <v>3062</v>
      </c>
      <c r="H996" s="10" t="s">
        <v>197</v>
      </c>
      <c r="I996" s="10" t="s">
        <v>354</v>
      </c>
      <c r="J996" s="10" t="s">
        <v>318</v>
      </c>
      <c r="K996" s="10" t="s">
        <v>319</v>
      </c>
      <c r="L996" s="10" t="s">
        <v>2893</v>
      </c>
      <c r="M996" s="16" t="s">
        <v>45</v>
      </c>
      <c r="N996" s="16" t="s">
        <v>45</v>
      </c>
      <c r="O996" s="10" t="s">
        <v>50</v>
      </c>
      <c r="P996" s="9" t="str">
        <f t="shared" si="28"/>
        <v>N/I</v>
      </c>
      <c r="Q996" s="9" t="str">
        <f t="shared" si="29"/>
        <v>N/I</v>
      </c>
      <c r="R996" s="9" t="str">
        <f t="shared" si="32"/>
        <v>N/I</v>
      </c>
    </row>
    <row r="997">
      <c r="A997" s="11" t="s">
        <v>2887</v>
      </c>
      <c r="B997" s="11" t="s">
        <v>3065</v>
      </c>
      <c r="C997" s="12" t="s">
        <v>94</v>
      </c>
      <c r="D997" s="27">
        <v>170258.0</v>
      </c>
      <c r="E997" s="10" t="s">
        <v>508</v>
      </c>
      <c r="F997" s="10" t="s">
        <v>2892</v>
      </c>
      <c r="G997" s="12" t="s">
        <v>2152</v>
      </c>
      <c r="H997" s="10" t="s">
        <v>197</v>
      </c>
      <c r="I997" s="10" t="s">
        <v>354</v>
      </c>
      <c r="J997" s="10" t="s">
        <v>318</v>
      </c>
      <c r="K997" s="10" t="s">
        <v>319</v>
      </c>
      <c r="L997" s="10" t="s">
        <v>2893</v>
      </c>
      <c r="M997" s="16" t="s">
        <v>45</v>
      </c>
      <c r="N997" s="16" t="s">
        <v>45</v>
      </c>
      <c r="O997" s="10" t="s">
        <v>50</v>
      </c>
      <c r="P997" s="9" t="str">
        <f t="shared" si="28"/>
        <v>N/I</v>
      </c>
      <c r="Q997" s="9" t="str">
        <f t="shared" si="29"/>
        <v>N/I</v>
      </c>
      <c r="R997" s="9" t="str">
        <f t="shared" si="32"/>
        <v>N/I</v>
      </c>
    </row>
    <row r="998">
      <c r="A998" s="11" t="s">
        <v>2887</v>
      </c>
      <c r="B998" s="11" t="s">
        <v>3067</v>
      </c>
      <c r="C998" s="12" t="s">
        <v>94</v>
      </c>
      <c r="D998" s="27">
        <v>170254.0</v>
      </c>
      <c r="E998" s="10" t="s">
        <v>508</v>
      </c>
      <c r="F998" s="10" t="s">
        <v>2892</v>
      </c>
      <c r="G998" s="12" t="s">
        <v>2696</v>
      </c>
      <c r="H998" s="10" t="s">
        <v>197</v>
      </c>
      <c r="I998" s="10" t="s">
        <v>354</v>
      </c>
      <c r="J998" s="10" t="s">
        <v>318</v>
      </c>
      <c r="K998" s="10" t="s">
        <v>319</v>
      </c>
      <c r="L998" s="10" t="s">
        <v>2893</v>
      </c>
      <c r="M998" s="16" t="s">
        <v>45</v>
      </c>
      <c r="N998" s="16" t="s">
        <v>45</v>
      </c>
      <c r="O998" s="10" t="s">
        <v>50</v>
      </c>
      <c r="P998" s="9" t="str">
        <f t="shared" si="28"/>
        <v>N/I</v>
      </c>
      <c r="Q998" s="9" t="str">
        <f t="shared" si="29"/>
        <v>N/I</v>
      </c>
      <c r="R998" s="9" t="str">
        <f t="shared" si="32"/>
        <v>N/I</v>
      </c>
    </row>
    <row r="999">
      <c r="A999" s="11" t="s">
        <v>2887</v>
      </c>
      <c r="B999" s="11" t="s">
        <v>3067</v>
      </c>
      <c r="C999" s="12" t="s">
        <v>94</v>
      </c>
      <c r="D999" s="27">
        <v>170260.0</v>
      </c>
      <c r="E999" s="10" t="s">
        <v>508</v>
      </c>
      <c r="F999" s="10" t="s">
        <v>2892</v>
      </c>
      <c r="G999" s="12" t="s">
        <v>2696</v>
      </c>
      <c r="H999" s="10" t="s">
        <v>197</v>
      </c>
      <c r="I999" s="10" t="s">
        <v>354</v>
      </c>
      <c r="J999" s="10" t="s">
        <v>318</v>
      </c>
      <c r="K999" s="10" t="s">
        <v>319</v>
      </c>
      <c r="L999" s="10" t="s">
        <v>2893</v>
      </c>
      <c r="M999" s="16" t="s">
        <v>45</v>
      </c>
      <c r="N999" s="16" t="s">
        <v>45</v>
      </c>
      <c r="O999" s="10" t="s">
        <v>50</v>
      </c>
      <c r="P999" s="9" t="str">
        <f t="shared" si="28"/>
        <v>N/I</v>
      </c>
      <c r="Q999" s="9" t="str">
        <f t="shared" si="29"/>
        <v>N/I</v>
      </c>
      <c r="R999" s="9" t="str">
        <f t="shared" si="32"/>
        <v>N/I</v>
      </c>
    </row>
    <row r="1000">
      <c r="A1000" s="11" t="s">
        <v>2887</v>
      </c>
      <c r="B1000" s="11" t="s">
        <v>3070</v>
      </c>
      <c r="C1000" s="12" t="s">
        <v>55</v>
      </c>
      <c r="D1000" s="27" t="s">
        <v>3071</v>
      </c>
      <c r="E1000" s="16" t="s">
        <v>45</v>
      </c>
      <c r="F1000" s="10" t="s">
        <v>3073</v>
      </c>
      <c r="G1000" s="12" t="s">
        <v>2696</v>
      </c>
      <c r="H1000" s="10" t="s">
        <v>197</v>
      </c>
      <c r="I1000" s="16" t="s">
        <v>45</v>
      </c>
      <c r="J1000" s="16" t="s">
        <v>45</v>
      </c>
      <c r="K1000" s="16" t="s">
        <v>45</v>
      </c>
      <c r="L1000" s="16" t="s">
        <v>45</v>
      </c>
      <c r="M1000" s="16" t="s">
        <v>45</v>
      </c>
      <c r="N1000" s="16" t="s">
        <v>45</v>
      </c>
      <c r="O1000" s="16" t="s">
        <v>45</v>
      </c>
      <c r="P1000" s="9" t="str">
        <f t="shared" si="28"/>
        <v>N/I</v>
      </c>
      <c r="Q1000" s="9" t="str">
        <f t="shared" si="29"/>
        <v>N/I</v>
      </c>
      <c r="R1000" s="9" t="str">
        <f t="shared" si="32"/>
        <v>N/I</v>
      </c>
    </row>
    <row r="1001">
      <c r="A1001" s="11" t="s">
        <v>2887</v>
      </c>
      <c r="B1001" s="11" t="s">
        <v>3070</v>
      </c>
      <c r="C1001" s="12" t="s">
        <v>55</v>
      </c>
      <c r="D1001" s="27" t="s">
        <v>3074</v>
      </c>
      <c r="E1001" s="16" t="s">
        <v>45</v>
      </c>
      <c r="F1001" s="10" t="s">
        <v>3073</v>
      </c>
      <c r="G1001" s="12" t="s">
        <v>2696</v>
      </c>
      <c r="H1001" s="10" t="s">
        <v>197</v>
      </c>
      <c r="I1001" s="16" t="s">
        <v>45</v>
      </c>
      <c r="J1001" s="16" t="s">
        <v>45</v>
      </c>
      <c r="K1001" s="16" t="s">
        <v>45</v>
      </c>
      <c r="L1001" s="16" t="s">
        <v>45</v>
      </c>
      <c r="M1001" s="16" t="s">
        <v>45</v>
      </c>
      <c r="N1001" s="16" t="s">
        <v>45</v>
      </c>
      <c r="O1001" s="16" t="s">
        <v>45</v>
      </c>
      <c r="P1001" s="9" t="str">
        <f t="shared" si="28"/>
        <v>N/I</v>
      </c>
      <c r="Q1001" s="9" t="str">
        <f t="shared" si="29"/>
        <v>N/I</v>
      </c>
      <c r="R1001" s="9" t="str">
        <f t="shared" si="32"/>
        <v>N/I</v>
      </c>
    </row>
    <row r="1002">
      <c r="A1002" s="11" t="s">
        <v>2887</v>
      </c>
      <c r="B1002" s="11" t="s">
        <v>3075</v>
      </c>
      <c r="C1002" s="12" t="s">
        <v>55</v>
      </c>
      <c r="D1002" s="27">
        <v>170156.0</v>
      </c>
      <c r="E1002" s="10" t="s">
        <v>508</v>
      </c>
      <c r="F1002" s="10" t="s">
        <v>2892</v>
      </c>
      <c r="G1002" s="12" t="s">
        <v>2170</v>
      </c>
      <c r="H1002" s="10" t="s">
        <v>197</v>
      </c>
      <c r="I1002" s="10" t="s">
        <v>354</v>
      </c>
      <c r="J1002" s="10" t="s">
        <v>318</v>
      </c>
      <c r="K1002" s="10" t="s">
        <v>319</v>
      </c>
      <c r="L1002" s="10" t="s">
        <v>2893</v>
      </c>
      <c r="M1002" s="16" t="s">
        <v>45</v>
      </c>
      <c r="N1002" s="16" t="s">
        <v>45</v>
      </c>
      <c r="O1002" s="10" t="s">
        <v>50</v>
      </c>
      <c r="P1002" s="9" t="str">
        <f t="shared" si="28"/>
        <v>N/I</v>
      </c>
      <c r="Q1002" s="9" t="str">
        <f t="shared" si="29"/>
        <v>N/I</v>
      </c>
      <c r="R1002" s="9" t="str">
        <f t="shared" si="32"/>
        <v>N/I</v>
      </c>
    </row>
    <row r="1003">
      <c r="A1003" s="11" t="s">
        <v>2887</v>
      </c>
      <c r="B1003" s="11" t="s">
        <v>3078</v>
      </c>
      <c r="C1003" s="12" t="s">
        <v>94</v>
      </c>
      <c r="D1003" s="27">
        <v>170380.0</v>
      </c>
      <c r="E1003" s="10" t="s">
        <v>508</v>
      </c>
      <c r="F1003" s="10" t="s">
        <v>2892</v>
      </c>
      <c r="G1003" s="12" t="s">
        <v>380</v>
      </c>
      <c r="H1003" s="10" t="s">
        <v>197</v>
      </c>
      <c r="I1003" s="10" t="s">
        <v>354</v>
      </c>
      <c r="J1003" s="10" t="s">
        <v>318</v>
      </c>
      <c r="K1003" s="10" t="s">
        <v>319</v>
      </c>
      <c r="L1003" s="10" t="s">
        <v>2893</v>
      </c>
      <c r="M1003" s="16" t="s">
        <v>45</v>
      </c>
      <c r="N1003" s="16" t="s">
        <v>45</v>
      </c>
      <c r="O1003" s="10" t="s">
        <v>50</v>
      </c>
      <c r="P1003" s="9" t="str">
        <f t="shared" si="28"/>
        <v>N/I</v>
      </c>
      <c r="Q1003" s="9" t="str">
        <f t="shared" si="29"/>
        <v>N/I</v>
      </c>
      <c r="R1003" s="9" t="str">
        <f t="shared" si="32"/>
        <v>N/I</v>
      </c>
    </row>
    <row r="1004">
      <c r="A1004" s="11" t="s">
        <v>2887</v>
      </c>
      <c r="B1004" s="11" t="s">
        <v>3078</v>
      </c>
      <c r="C1004" s="12" t="s">
        <v>94</v>
      </c>
      <c r="D1004" s="27">
        <v>180126.0</v>
      </c>
      <c r="E1004" s="10" t="s">
        <v>508</v>
      </c>
      <c r="F1004" s="10" t="s">
        <v>2892</v>
      </c>
      <c r="G1004" s="12" t="s">
        <v>380</v>
      </c>
      <c r="H1004" s="10" t="s">
        <v>197</v>
      </c>
      <c r="I1004" s="10" t="s">
        <v>354</v>
      </c>
      <c r="J1004" s="10" t="s">
        <v>318</v>
      </c>
      <c r="K1004" s="10" t="s">
        <v>319</v>
      </c>
      <c r="L1004" s="10" t="s">
        <v>2893</v>
      </c>
      <c r="M1004" s="16" t="s">
        <v>45</v>
      </c>
      <c r="N1004" s="16" t="s">
        <v>45</v>
      </c>
      <c r="O1004" s="10" t="s">
        <v>50</v>
      </c>
      <c r="P1004" s="9" t="str">
        <f t="shared" si="28"/>
        <v>N/I</v>
      </c>
      <c r="Q1004" s="9" t="str">
        <f t="shared" si="29"/>
        <v>N/I</v>
      </c>
      <c r="R1004" s="9" t="str">
        <f t="shared" si="32"/>
        <v>N/I</v>
      </c>
    </row>
    <row r="1005">
      <c r="A1005" s="11" t="s">
        <v>2887</v>
      </c>
      <c r="B1005" s="11" t="s">
        <v>3078</v>
      </c>
      <c r="C1005" s="12" t="s">
        <v>55</v>
      </c>
      <c r="D1005" s="27">
        <v>170151.0</v>
      </c>
      <c r="E1005" s="10" t="s">
        <v>508</v>
      </c>
      <c r="F1005" s="10" t="s">
        <v>2892</v>
      </c>
      <c r="G1005" s="12" t="s">
        <v>380</v>
      </c>
      <c r="H1005" s="10" t="s">
        <v>197</v>
      </c>
      <c r="I1005" s="10" t="s">
        <v>354</v>
      </c>
      <c r="J1005" s="10" t="s">
        <v>318</v>
      </c>
      <c r="K1005" s="10" t="s">
        <v>319</v>
      </c>
      <c r="L1005" s="10" t="s">
        <v>2893</v>
      </c>
      <c r="M1005" s="16" t="s">
        <v>45</v>
      </c>
      <c r="N1005" s="16" t="s">
        <v>45</v>
      </c>
      <c r="O1005" s="10" t="s">
        <v>50</v>
      </c>
      <c r="P1005" s="9" t="str">
        <f t="shared" si="28"/>
        <v>N/I</v>
      </c>
      <c r="Q1005" s="9" t="str">
        <f t="shared" si="29"/>
        <v>N/I</v>
      </c>
      <c r="R1005" s="9" t="str">
        <f t="shared" si="32"/>
        <v>N/I</v>
      </c>
    </row>
    <row r="1006">
      <c r="A1006" s="11" t="s">
        <v>2887</v>
      </c>
      <c r="B1006" s="11" t="s">
        <v>3081</v>
      </c>
      <c r="C1006" s="12" t="s">
        <v>94</v>
      </c>
      <c r="D1006" s="27">
        <v>170277.0</v>
      </c>
      <c r="E1006" s="10" t="s">
        <v>508</v>
      </c>
      <c r="F1006" s="10" t="s">
        <v>2892</v>
      </c>
      <c r="G1006" s="12" t="s">
        <v>3082</v>
      </c>
      <c r="H1006" s="10" t="s">
        <v>197</v>
      </c>
      <c r="I1006" s="10" t="s">
        <v>354</v>
      </c>
      <c r="J1006" s="10" t="s">
        <v>318</v>
      </c>
      <c r="K1006" s="10" t="s">
        <v>319</v>
      </c>
      <c r="L1006" s="10" t="s">
        <v>2893</v>
      </c>
      <c r="M1006" s="16" t="s">
        <v>45</v>
      </c>
      <c r="N1006" s="16" t="s">
        <v>45</v>
      </c>
      <c r="O1006" s="10" t="s">
        <v>50</v>
      </c>
      <c r="P1006" s="9" t="str">
        <f t="shared" si="28"/>
        <v>N/I</v>
      </c>
      <c r="Q1006" s="9" t="str">
        <f t="shared" si="29"/>
        <v>N/I</v>
      </c>
      <c r="R1006" s="9" t="str">
        <f t="shared" si="32"/>
        <v>N/I</v>
      </c>
    </row>
    <row r="1007">
      <c r="A1007" s="11" t="s">
        <v>2887</v>
      </c>
      <c r="B1007" s="11" t="s">
        <v>3085</v>
      </c>
      <c r="C1007" s="12" t="s">
        <v>94</v>
      </c>
      <c r="D1007" s="27">
        <v>170275.0</v>
      </c>
      <c r="E1007" s="10" t="s">
        <v>508</v>
      </c>
      <c r="F1007" s="10" t="s">
        <v>2892</v>
      </c>
      <c r="G1007" s="12" t="s">
        <v>3082</v>
      </c>
      <c r="H1007" s="10" t="s">
        <v>197</v>
      </c>
      <c r="I1007" s="10" t="s">
        <v>354</v>
      </c>
      <c r="J1007" s="10" t="s">
        <v>318</v>
      </c>
      <c r="K1007" s="10" t="s">
        <v>319</v>
      </c>
      <c r="L1007" s="10" t="s">
        <v>2893</v>
      </c>
      <c r="M1007" s="16" t="s">
        <v>45</v>
      </c>
      <c r="N1007" s="16" t="s">
        <v>45</v>
      </c>
      <c r="O1007" s="10" t="s">
        <v>50</v>
      </c>
      <c r="P1007" s="9" t="str">
        <f t="shared" si="28"/>
        <v>N/I</v>
      </c>
      <c r="Q1007" s="9" t="str">
        <f t="shared" si="29"/>
        <v>N/I</v>
      </c>
      <c r="R1007" s="9" t="str">
        <f t="shared" si="32"/>
        <v>N/I</v>
      </c>
    </row>
    <row r="1008">
      <c r="A1008" s="11" t="s">
        <v>2887</v>
      </c>
      <c r="B1008" s="11" t="s">
        <v>3087</v>
      </c>
      <c r="C1008" s="12" t="s">
        <v>94</v>
      </c>
      <c r="D1008" s="27">
        <v>170269.0</v>
      </c>
      <c r="E1008" s="10" t="s">
        <v>508</v>
      </c>
      <c r="F1008" s="10" t="s">
        <v>2892</v>
      </c>
      <c r="G1008" s="12" t="s">
        <v>3088</v>
      </c>
      <c r="H1008" s="10" t="s">
        <v>197</v>
      </c>
      <c r="I1008" s="10" t="s">
        <v>354</v>
      </c>
      <c r="J1008" s="10" t="s">
        <v>318</v>
      </c>
      <c r="K1008" s="10" t="s">
        <v>319</v>
      </c>
      <c r="L1008" s="10" t="s">
        <v>2893</v>
      </c>
      <c r="M1008" s="16" t="s">
        <v>45</v>
      </c>
      <c r="N1008" s="16" t="s">
        <v>45</v>
      </c>
      <c r="O1008" s="10" t="s">
        <v>50</v>
      </c>
      <c r="P1008" s="9" t="str">
        <f t="shared" si="28"/>
        <v>N/I</v>
      </c>
      <c r="Q1008" s="9" t="str">
        <f t="shared" si="29"/>
        <v>N/I</v>
      </c>
      <c r="R1008" s="9" t="str">
        <f t="shared" si="32"/>
        <v>N/I</v>
      </c>
    </row>
    <row r="1009">
      <c r="A1009" s="11" t="s">
        <v>2887</v>
      </c>
      <c r="B1009" s="11" t="s">
        <v>3091</v>
      </c>
      <c r="C1009" s="12" t="s">
        <v>94</v>
      </c>
      <c r="D1009" s="27">
        <v>170271.0</v>
      </c>
      <c r="E1009" s="10" t="s">
        <v>508</v>
      </c>
      <c r="F1009" s="10" t="s">
        <v>2892</v>
      </c>
      <c r="G1009" s="12" t="s">
        <v>3092</v>
      </c>
      <c r="H1009" s="10" t="s">
        <v>197</v>
      </c>
      <c r="I1009" s="10" t="s">
        <v>354</v>
      </c>
      <c r="J1009" s="10" t="s">
        <v>318</v>
      </c>
      <c r="K1009" s="10" t="s">
        <v>319</v>
      </c>
      <c r="L1009" s="10" t="s">
        <v>2893</v>
      </c>
      <c r="M1009" s="16" t="s">
        <v>45</v>
      </c>
      <c r="N1009" s="16" t="s">
        <v>45</v>
      </c>
      <c r="O1009" s="10" t="s">
        <v>50</v>
      </c>
      <c r="P1009" s="9" t="str">
        <f t="shared" si="28"/>
        <v>N/I</v>
      </c>
      <c r="Q1009" s="9" t="str">
        <f t="shared" si="29"/>
        <v>N/I</v>
      </c>
      <c r="R1009" s="9" t="str">
        <f t="shared" si="32"/>
        <v>N/I</v>
      </c>
    </row>
    <row r="1010">
      <c r="A1010" s="11" t="s">
        <v>2887</v>
      </c>
      <c r="B1010" s="11" t="s">
        <v>3095</v>
      </c>
      <c r="C1010" s="12" t="s">
        <v>94</v>
      </c>
      <c r="D1010" s="27">
        <v>170372.0</v>
      </c>
      <c r="E1010" s="10" t="s">
        <v>508</v>
      </c>
      <c r="F1010" s="10" t="s">
        <v>2892</v>
      </c>
      <c r="G1010" s="12" t="s">
        <v>3096</v>
      </c>
      <c r="H1010" s="10" t="s">
        <v>197</v>
      </c>
      <c r="I1010" s="10" t="s">
        <v>354</v>
      </c>
      <c r="J1010" s="10" t="s">
        <v>318</v>
      </c>
      <c r="K1010" s="10" t="s">
        <v>319</v>
      </c>
      <c r="L1010" s="10" t="s">
        <v>2893</v>
      </c>
      <c r="M1010" s="16" t="s">
        <v>45</v>
      </c>
      <c r="N1010" s="16" t="s">
        <v>45</v>
      </c>
      <c r="O1010" s="10" t="s">
        <v>50</v>
      </c>
      <c r="P1010" s="9" t="str">
        <f t="shared" si="28"/>
        <v>N/I</v>
      </c>
      <c r="Q1010" s="9" t="str">
        <f t="shared" si="29"/>
        <v>N/I</v>
      </c>
      <c r="R1010" s="9" t="str">
        <f t="shared" si="32"/>
        <v>N/I</v>
      </c>
    </row>
    <row r="1011">
      <c r="A1011" s="11" t="s">
        <v>2887</v>
      </c>
      <c r="B1011" s="11" t="s">
        <v>3099</v>
      </c>
      <c r="C1011" s="12" t="s">
        <v>94</v>
      </c>
      <c r="D1011" s="27">
        <v>150594.0</v>
      </c>
      <c r="E1011" s="10" t="s">
        <v>508</v>
      </c>
      <c r="F1011" s="10" t="s">
        <v>2892</v>
      </c>
      <c r="G1011" s="12" t="s">
        <v>3100</v>
      </c>
      <c r="H1011" s="10" t="s">
        <v>197</v>
      </c>
      <c r="I1011" s="10" t="s">
        <v>354</v>
      </c>
      <c r="J1011" s="10" t="s">
        <v>318</v>
      </c>
      <c r="K1011" s="10" t="s">
        <v>319</v>
      </c>
      <c r="L1011" s="10" t="s">
        <v>2893</v>
      </c>
      <c r="M1011" s="16" t="s">
        <v>45</v>
      </c>
      <c r="N1011" s="16" t="s">
        <v>45</v>
      </c>
      <c r="O1011" s="10" t="s">
        <v>50</v>
      </c>
      <c r="P1011" s="9" t="str">
        <f t="shared" si="28"/>
        <v>N/I</v>
      </c>
      <c r="Q1011" s="9" t="str">
        <f t="shared" si="29"/>
        <v>N/I</v>
      </c>
      <c r="R1011" s="9" t="str">
        <f t="shared" si="32"/>
        <v>N/I</v>
      </c>
    </row>
    <row r="1012">
      <c r="A1012" s="11" t="s">
        <v>2887</v>
      </c>
      <c r="B1012" s="11" t="s">
        <v>3099</v>
      </c>
      <c r="C1012" s="12" t="s">
        <v>55</v>
      </c>
      <c r="D1012" s="27">
        <v>170083.0</v>
      </c>
      <c r="E1012" s="10" t="s">
        <v>508</v>
      </c>
      <c r="F1012" s="10" t="s">
        <v>2892</v>
      </c>
      <c r="G1012" s="12" t="s">
        <v>3100</v>
      </c>
      <c r="H1012" s="10" t="s">
        <v>197</v>
      </c>
      <c r="I1012" s="10" t="s">
        <v>354</v>
      </c>
      <c r="J1012" s="10" t="s">
        <v>318</v>
      </c>
      <c r="K1012" s="10" t="s">
        <v>319</v>
      </c>
      <c r="L1012" s="10" t="s">
        <v>2893</v>
      </c>
      <c r="M1012" s="16" t="s">
        <v>45</v>
      </c>
      <c r="N1012" s="16" t="s">
        <v>45</v>
      </c>
      <c r="O1012" s="10" t="s">
        <v>50</v>
      </c>
      <c r="P1012" s="9" t="str">
        <f t="shared" si="28"/>
        <v>N/I</v>
      </c>
      <c r="Q1012" s="9" t="str">
        <f t="shared" si="29"/>
        <v>N/I</v>
      </c>
      <c r="R1012" s="9" t="str">
        <f t="shared" si="32"/>
        <v>N/I</v>
      </c>
    </row>
    <row r="1013">
      <c r="A1013" s="11" t="s">
        <v>2887</v>
      </c>
      <c r="B1013" s="11" t="s">
        <v>3103</v>
      </c>
      <c r="C1013" s="12" t="s">
        <v>55</v>
      </c>
      <c r="D1013" s="27">
        <v>170158.0</v>
      </c>
      <c r="E1013" s="10" t="s">
        <v>508</v>
      </c>
      <c r="F1013" s="10" t="s">
        <v>2892</v>
      </c>
      <c r="G1013" s="12" t="s">
        <v>3104</v>
      </c>
      <c r="H1013" s="10" t="s">
        <v>197</v>
      </c>
      <c r="I1013" s="10" t="s">
        <v>354</v>
      </c>
      <c r="J1013" s="10" t="s">
        <v>318</v>
      </c>
      <c r="K1013" s="10" t="s">
        <v>319</v>
      </c>
      <c r="L1013" s="10" t="s">
        <v>2893</v>
      </c>
      <c r="M1013" s="16" t="s">
        <v>45</v>
      </c>
      <c r="N1013" s="16" t="s">
        <v>45</v>
      </c>
      <c r="O1013" s="10" t="s">
        <v>50</v>
      </c>
      <c r="P1013" s="9" t="str">
        <f t="shared" si="28"/>
        <v>N/I</v>
      </c>
      <c r="Q1013" s="9" t="str">
        <f t="shared" si="29"/>
        <v>N/I</v>
      </c>
      <c r="R1013" s="9" t="str">
        <f t="shared" si="32"/>
        <v>N/I</v>
      </c>
    </row>
    <row r="1014">
      <c r="A1014" s="11" t="s">
        <v>3108</v>
      </c>
      <c r="B1014" s="32" t="s">
        <v>3109</v>
      </c>
      <c r="C1014" s="12" t="s">
        <v>94</v>
      </c>
      <c r="D1014" s="36">
        <v>110071.0</v>
      </c>
      <c r="E1014" s="10" t="s">
        <v>941</v>
      </c>
      <c r="F1014" s="10" t="s">
        <v>3112</v>
      </c>
      <c r="G1014" s="12" t="s">
        <v>1597</v>
      </c>
      <c r="H1014" s="10" t="s">
        <v>283</v>
      </c>
      <c r="I1014" s="10" t="s">
        <v>290</v>
      </c>
      <c r="J1014" s="12" t="s">
        <v>46</v>
      </c>
      <c r="K1014" s="10" t="s">
        <v>226</v>
      </c>
      <c r="L1014" s="16" t="s">
        <v>45</v>
      </c>
      <c r="M1014" s="10" t="s">
        <v>2289</v>
      </c>
      <c r="N1014" s="10" t="s">
        <v>319</v>
      </c>
      <c r="O1014" s="10" t="s">
        <v>50</v>
      </c>
      <c r="P1014" s="9" t="str">
        <f t="shared" si="28"/>
        <v>N/I</v>
      </c>
      <c r="Q1014" s="9" t="str">
        <f t="shared" si="29"/>
        <v>N/I</v>
      </c>
      <c r="R1014" s="9" t="str">
        <f t="shared" si="32"/>
        <v>N/I</v>
      </c>
    </row>
    <row r="1015">
      <c r="A1015" s="11" t="s">
        <v>3108</v>
      </c>
      <c r="B1015" s="32" t="s">
        <v>3109</v>
      </c>
      <c r="C1015" s="12" t="s">
        <v>94</v>
      </c>
      <c r="D1015" s="36">
        <v>110073.0</v>
      </c>
      <c r="E1015" s="10" t="s">
        <v>941</v>
      </c>
      <c r="F1015" s="10" t="s">
        <v>3112</v>
      </c>
      <c r="G1015" s="12" t="s">
        <v>1597</v>
      </c>
      <c r="H1015" s="10" t="s">
        <v>283</v>
      </c>
      <c r="I1015" s="10" t="s">
        <v>290</v>
      </c>
      <c r="J1015" s="12" t="s">
        <v>46</v>
      </c>
      <c r="K1015" s="10" t="s">
        <v>226</v>
      </c>
      <c r="L1015" s="16" t="s">
        <v>45</v>
      </c>
      <c r="M1015" s="10" t="s">
        <v>2289</v>
      </c>
      <c r="N1015" s="10" t="s">
        <v>319</v>
      </c>
      <c r="O1015" s="10" t="s">
        <v>50</v>
      </c>
      <c r="P1015" s="9" t="str">
        <f t="shared" si="28"/>
        <v>N/I</v>
      </c>
      <c r="Q1015" s="9" t="str">
        <f t="shared" si="29"/>
        <v>N/I</v>
      </c>
      <c r="R1015" s="9" t="str">
        <f t="shared" si="32"/>
        <v>N/I</v>
      </c>
    </row>
    <row r="1016">
      <c r="A1016" s="11" t="s">
        <v>3108</v>
      </c>
      <c r="B1016" s="32" t="s">
        <v>3109</v>
      </c>
      <c r="C1016" s="12" t="s">
        <v>94</v>
      </c>
      <c r="D1016" s="36">
        <v>170352.0</v>
      </c>
      <c r="E1016" s="10" t="s">
        <v>941</v>
      </c>
      <c r="F1016" s="10" t="s">
        <v>3112</v>
      </c>
      <c r="G1016" s="12" t="s">
        <v>1597</v>
      </c>
      <c r="H1016" s="10" t="s">
        <v>283</v>
      </c>
      <c r="I1016" s="10" t="s">
        <v>290</v>
      </c>
      <c r="J1016" s="12" t="s">
        <v>46</v>
      </c>
      <c r="K1016" s="10" t="s">
        <v>226</v>
      </c>
      <c r="L1016" s="16" t="s">
        <v>45</v>
      </c>
      <c r="M1016" s="10" t="s">
        <v>2289</v>
      </c>
      <c r="N1016" s="10" t="s">
        <v>319</v>
      </c>
      <c r="O1016" s="10" t="s">
        <v>50</v>
      </c>
      <c r="P1016" s="9" t="str">
        <f t="shared" si="28"/>
        <v>N/I</v>
      </c>
      <c r="Q1016" s="9" t="str">
        <f t="shared" si="29"/>
        <v>N/I</v>
      </c>
      <c r="R1016" s="9" t="str">
        <f t="shared" si="32"/>
        <v>N/I</v>
      </c>
    </row>
    <row r="1017">
      <c r="A1017" s="11" t="s">
        <v>3114</v>
      </c>
      <c r="B1017" s="32" t="s">
        <v>2789</v>
      </c>
      <c r="C1017" s="12" t="s">
        <v>55</v>
      </c>
      <c r="D1017" s="13" t="s">
        <v>3115</v>
      </c>
      <c r="E1017" s="10" t="s">
        <v>442</v>
      </c>
      <c r="F1017" s="10" t="s">
        <v>3118</v>
      </c>
      <c r="G1017" s="12" t="s">
        <v>894</v>
      </c>
      <c r="H1017" s="10" t="s">
        <v>895</v>
      </c>
      <c r="I1017" s="10" t="s">
        <v>290</v>
      </c>
      <c r="J1017" s="12" t="s">
        <v>46</v>
      </c>
      <c r="K1017" s="10" t="s">
        <v>441</v>
      </c>
      <c r="L1017" s="16" t="s">
        <v>45</v>
      </c>
      <c r="M1017" s="10" t="s">
        <v>49</v>
      </c>
      <c r="N1017" s="16" t="s">
        <v>45</v>
      </c>
      <c r="O1017" s="10" t="s">
        <v>50</v>
      </c>
      <c r="P1017" s="9" t="str">
        <f t="shared" si="28"/>
        <v>N/I</v>
      </c>
      <c r="Q1017" s="9" t="str">
        <f t="shared" si="29"/>
        <v>N/I</v>
      </c>
      <c r="R1017" s="9" t="str">
        <f t="shared" si="32"/>
        <v>N/I</v>
      </c>
    </row>
    <row r="1018">
      <c r="A1018" s="11" t="s">
        <v>3114</v>
      </c>
      <c r="B1018" s="32" t="s">
        <v>2789</v>
      </c>
      <c r="C1018" s="12" t="s">
        <v>55</v>
      </c>
      <c r="D1018" s="13" t="s">
        <v>3119</v>
      </c>
      <c r="E1018" s="10" t="s">
        <v>442</v>
      </c>
      <c r="F1018" s="10" t="s">
        <v>3118</v>
      </c>
      <c r="G1018" s="12" t="s">
        <v>894</v>
      </c>
      <c r="H1018" s="10" t="s">
        <v>895</v>
      </c>
      <c r="I1018" s="10" t="s">
        <v>290</v>
      </c>
      <c r="J1018" s="12" t="s">
        <v>46</v>
      </c>
      <c r="K1018" s="10" t="s">
        <v>441</v>
      </c>
      <c r="L1018" s="16" t="s">
        <v>45</v>
      </c>
      <c r="M1018" s="10" t="s">
        <v>49</v>
      </c>
      <c r="N1018" s="16" t="s">
        <v>45</v>
      </c>
      <c r="O1018" s="10" t="s">
        <v>50</v>
      </c>
      <c r="P1018" s="9" t="str">
        <f t="shared" si="28"/>
        <v>N/I</v>
      </c>
      <c r="Q1018" s="9" t="str">
        <f t="shared" si="29"/>
        <v>N/I</v>
      </c>
      <c r="R1018" s="9" t="str">
        <f t="shared" si="32"/>
        <v>N/I</v>
      </c>
    </row>
    <row r="1019">
      <c r="A1019" s="11" t="s">
        <v>3114</v>
      </c>
      <c r="B1019" s="32" t="s">
        <v>2789</v>
      </c>
      <c r="C1019" s="12" t="s">
        <v>55</v>
      </c>
      <c r="D1019" s="13" t="s">
        <v>3120</v>
      </c>
      <c r="E1019" s="10" t="s">
        <v>442</v>
      </c>
      <c r="F1019" s="10" t="s">
        <v>3118</v>
      </c>
      <c r="G1019" s="12" t="s">
        <v>894</v>
      </c>
      <c r="H1019" s="10" t="s">
        <v>895</v>
      </c>
      <c r="I1019" s="10" t="s">
        <v>290</v>
      </c>
      <c r="J1019" s="12" t="s">
        <v>46</v>
      </c>
      <c r="K1019" s="10" t="s">
        <v>441</v>
      </c>
      <c r="L1019" s="16" t="s">
        <v>45</v>
      </c>
      <c r="M1019" s="10" t="s">
        <v>49</v>
      </c>
      <c r="N1019" s="16" t="s">
        <v>45</v>
      </c>
      <c r="O1019" s="10" t="s">
        <v>50</v>
      </c>
      <c r="P1019" s="9" t="str">
        <f t="shared" si="28"/>
        <v>N/I</v>
      </c>
      <c r="Q1019" s="9" t="str">
        <f t="shared" si="29"/>
        <v>N/I</v>
      </c>
      <c r="R1019" s="9" t="str">
        <f t="shared" si="32"/>
        <v>N/I</v>
      </c>
    </row>
    <row r="1020">
      <c r="A1020" s="11" t="s">
        <v>3114</v>
      </c>
      <c r="B1020" s="32" t="s">
        <v>2789</v>
      </c>
      <c r="C1020" s="12" t="s">
        <v>55</v>
      </c>
      <c r="D1020" s="13" t="s">
        <v>3121</v>
      </c>
      <c r="E1020" s="10" t="s">
        <v>442</v>
      </c>
      <c r="F1020" s="10" t="s">
        <v>3118</v>
      </c>
      <c r="G1020" s="12" t="s">
        <v>894</v>
      </c>
      <c r="H1020" s="10" t="s">
        <v>895</v>
      </c>
      <c r="I1020" s="10" t="s">
        <v>290</v>
      </c>
      <c r="J1020" s="12" t="s">
        <v>46</v>
      </c>
      <c r="K1020" s="10" t="s">
        <v>441</v>
      </c>
      <c r="L1020" s="16" t="s">
        <v>45</v>
      </c>
      <c r="M1020" s="10" t="s">
        <v>49</v>
      </c>
      <c r="N1020" s="16" t="s">
        <v>45</v>
      </c>
      <c r="O1020" s="10" t="s">
        <v>50</v>
      </c>
      <c r="P1020" s="9" t="str">
        <f t="shared" si="28"/>
        <v>N/I</v>
      </c>
      <c r="Q1020" s="9" t="str">
        <f t="shared" si="29"/>
        <v>N/I</v>
      </c>
      <c r="R1020" s="9" t="str">
        <f t="shared" si="32"/>
        <v>N/I</v>
      </c>
    </row>
    <row r="1021">
      <c r="A1021" s="11" t="s">
        <v>3123</v>
      </c>
      <c r="B1021" s="32"/>
      <c r="C1021" s="12" t="s">
        <v>94</v>
      </c>
      <c r="D1021" s="20" t="s">
        <v>3124</v>
      </c>
      <c r="E1021" s="10" t="s">
        <v>291</v>
      </c>
      <c r="F1021" s="10" t="s">
        <v>3128</v>
      </c>
      <c r="G1021" s="12" t="s">
        <v>3125</v>
      </c>
      <c r="H1021" s="10" t="s">
        <v>262</v>
      </c>
      <c r="I1021" s="10" t="s">
        <v>354</v>
      </c>
      <c r="J1021" s="10" t="s">
        <v>318</v>
      </c>
      <c r="K1021" s="10" t="s">
        <v>319</v>
      </c>
      <c r="L1021" s="16" t="s">
        <v>45</v>
      </c>
      <c r="M1021" s="10" t="s">
        <v>49</v>
      </c>
      <c r="N1021" s="16" t="s">
        <v>45</v>
      </c>
      <c r="O1021" s="10" t="s">
        <v>50</v>
      </c>
      <c r="P1021" s="9" t="str">
        <f t="shared" si="28"/>
        <v>N/I</v>
      </c>
      <c r="Q1021" s="9" t="str">
        <f t="shared" si="29"/>
        <v>N/I</v>
      </c>
      <c r="R1021" s="9" t="str">
        <f t="shared" si="32"/>
        <v>N/I</v>
      </c>
    </row>
    <row r="1022">
      <c r="A1022" s="11" t="s">
        <v>3130</v>
      </c>
      <c r="B1022" s="11" t="s">
        <v>3131</v>
      </c>
      <c r="C1022" s="12" t="s">
        <v>94</v>
      </c>
      <c r="D1022" s="23" t="s">
        <v>3132</v>
      </c>
      <c r="E1022" s="10" t="s">
        <v>442</v>
      </c>
      <c r="F1022" s="10" t="s">
        <v>3136</v>
      </c>
      <c r="G1022" s="12" t="s">
        <v>3133</v>
      </c>
      <c r="H1022" s="10" t="s">
        <v>189</v>
      </c>
      <c r="I1022" s="10" t="s">
        <v>290</v>
      </c>
      <c r="J1022" s="12" t="s">
        <v>46</v>
      </c>
      <c r="K1022" s="10" t="s">
        <v>441</v>
      </c>
      <c r="L1022" s="16" t="s">
        <v>45</v>
      </c>
      <c r="M1022" s="10" t="s">
        <v>49</v>
      </c>
      <c r="N1022" s="16" t="s">
        <v>45</v>
      </c>
      <c r="O1022" s="10" t="s">
        <v>50</v>
      </c>
      <c r="P1022" s="9" t="str">
        <f t="shared" si="28"/>
        <v>N/I</v>
      </c>
      <c r="Q1022" s="9" t="str">
        <f t="shared" si="29"/>
        <v>N/I</v>
      </c>
      <c r="R1022" s="9" t="str">
        <f t="shared" si="32"/>
        <v>N/I</v>
      </c>
    </row>
    <row r="1023">
      <c r="A1023" s="11" t="s">
        <v>3138</v>
      </c>
      <c r="B1023" s="11" t="s">
        <v>3139</v>
      </c>
      <c r="C1023" s="12" t="s">
        <v>94</v>
      </c>
      <c r="D1023" s="27">
        <v>150645.0</v>
      </c>
      <c r="E1023" s="16" t="s">
        <v>45</v>
      </c>
      <c r="F1023" s="10" t="s">
        <v>3141</v>
      </c>
      <c r="G1023" s="12" t="s">
        <v>720</v>
      </c>
      <c r="H1023" s="10" t="s">
        <v>721</v>
      </c>
      <c r="I1023" s="16" t="s">
        <v>45</v>
      </c>
      <c r="J1023" s="16" t="s">
        <v>45</v>
      </c>
      <c r="K1023" s="16" t="s">
        <v>45</v>
      </c>
      <c r="L1023" s="16" t="s">
        <v>45</v>
      </c>
      <c r="M1023" s="16" t="s">
        <v>45</v>
      </c>
      <c r="N1023" s="16" t="s">
        <v>45</v>
      </c>
      <c r="O1023" s="16" t="s">
        <v>45</v>
      </c>
      <c r="P1023" s="9" t="str">
        <f t="shared" si="28"/>
        <v>N/I</v>
      </c>
      <c r="Q1023" s="9" t="str">
        <f t="shared" si="29"/>
        <v>N/I</v>
      </c>
      <c r="R1023" s="9" t="str">
        <f t="shared" si="32"/>
        <v>N/I</v>
      </c>
    </row>
    <row r="1024">
      <c r="A1024" s="11" t="s">
        <v>3138</v>
      </c>
      <c r="B1024" s="11" t="s">
        <v>3142</v>
      </c>
      <c r="C1024" s="12" t="s">
        <v>94</v>
      </c>
      <c r="D1024" s="27">
        <v>150652.0</v>
      </c>
      <c r="E1024" s="16" t="s">
        <v>45</v>
      </c>
      <c r="F1024" s="10" t="s">
        <v>3141</v>
      </c>
      <c r="G1024" s="12" t="s">
        <v>720</v>
      </c>
      <c r="H1024" s="10" t="s">
        <v>721</v>
      </c>
      <c r="I1024" s="16" t="s">
        <v>45</v>
      </c>
      <c r="J1024" s="16" t="s">
        <v>45</v>
      </c>
      <c r="K1024" s="16" t="s">
        <v>45</v>
      </c>
      <c r="L1024" s="16" t="s">
        <v>45</v>
      </c>
      <c r="M1024" s="16" t="s">
        <v>45</v>
      </c>
      <c r="N1024" s="16" t="s">
        <v>45</v>
      </c>
      <c r="O1024" s="16" t="s">
        <v>45</v>
      </c>
      <c r="P1024" s="9" t="str">
        <f t="shared" si="28"/>
        <v>N/I</v>
      </c>
      <c r="Q1024" s="9" t="str">
        <f t="shared" si="29"/>
        <v>N/I</v>
      </c>
      <c r="R1024" s="9" t="str">
        <f t="shared" si="32"/>
        <v>N/I</v>
      </c>
    </row>
    <row r="1025">
      <c r="A1025" s="11" t="s">
        <v>3138</v>
      </c>
      <c r="B1025" s="11" t="s">
        <v>3142</v>
      </c>
      <c r="C1025" s="12" t="s">
        <v>94</v>
      </c>
      <c r="D1025" s="27">
        <v>150656.0</v>
      </c>
      <c r="E1025" s="16" t="s">
        <v>45</v>
      </c>
      <c r="F1025" s="10" t="s">
        <v>3141</v>
      </c>
      <c r="G1025" s="12" t="s">
        <v>720</v>
      </c>
      <c r="H1025" s="10" t="s">
        <v>721</v>
      </c>
      <c r="I1025" s="16" t="s">
        <v>45</v>
      </c>
      <c r="J1025" s="16" t="s">
        <v>45</v>
      </c>
      <c r="K1025" s="16" t="s">
        <v>45</v>
      </c>
      <c r="L1025" s="16" t="s">
        <v>45</v>
      </c>
      <c r="M1025" s="16" t="s">
        <v>45</v>
      </c>
      <c r="N1025" s="16" t="s">
        <v>45</v>
      </c>
      <c r="O1025" s="16" t="s">
        <v>45</v>
      </c>
      <c r="P1025" s="9" t="str">
        <f t="shared" si="28"/>
        <v>N/I</v>
      </c>
      <c r="Q1025" s="9" t="str">
        <f t="shared" si="29"/>
        <v>N/I</v>
      </c>
      <c r="R1025" s="9" t="str">
        <f t="shared" si="32"/>
        <v>N/I</v>
      </c>
    </row>
    <row r="1026">
      <c r="A1026" s="11" t="s">
        <v>3138</v>
      </c>
      <c r="B1026" s="11" t="s">
        <v>3143</v>
      </c>
      <c r="C1026" s="12" t="s">
        <v>94</v>
      </c>
      <c r="D1026" s="27">
        <v>150685.0</v>
      </c>
      <c r="E1026" s="16" t="s">
        <v>45</v>
      </c>
      <c r="F1026" s="10" t="s">
        <v>3141</v>
      </c>
      <c r="G1026" s="12" t="s">
        <v>720</v>
      </c>
      <c r="H1026" s="10" t="s">
        <v>721</v>
      </c>
      <c r="I1026" s="16" t="s">
        <v>45</v>
      </c>
      <c r="J1026" s="16" t="s">
        <v>45</v>
      </c>
      <c r="K1026" s="16" t="s">
        <v>45</v>
      </c>
      <c r="L1026" s="16" t="s">
        <v>45</v>
      </c>
      <c r="M1026" s="16" t="s">
        <v>45</v>
      </c>
      <c r="N1026" s="16" t="s">
        <v>45</v>
      </c>
      <c r="O1026" s="16" t="s">
        <v>45</v>
      </c>
      <c r="P1026" s="9" t="str">
        <f t="shared" si="28"/>
        <v>N/I</v>
      </c>
      <c r="Q1026" s="9" t="str">
        <f t="shared" si="29"/>
        <v>N/I</v>
      </c>
      <c r="R1026" s="9" t="str">
        <f t="shared" si="32"/>
        <v>N/I</v>
      </c>
    </row>
    <row r="1027">
      <c r="A1027" s="11" t="s">
        <v>3138</v>
      </c>
      <c r="B1027" s="11" t="s">
        <v>3143</v>
      </c>
      <c r="C1027" s="12" t="s">
        <v>94</v>
      </c>
      <c r="D1027" s="27">
        <v>150657.0</v>
      </c>
      <c r="E1027" s="16" t="s">
        <v>45</v>
      </c>
      <c r="F1027" s="10" t="s">
        <v>3141</v>
      </c>
      <c r="G1027" s="12" t="s">
        <v>720</v>
      </c>
      <c r="H1027" s="10" t="s">
        <v>721</v>
      </c>
      <c r="I1027" s="16" t="s">
        <v>45</v>
      </c>
      <c r="J1027" s="16" t="s">
        <v>45</v>
      </c>
      <c r="K1027" s="16" t="s">
        <v>45</v>
      </c>
      <c r="L1027" s="16" t="s">
        <v>45</v>
      </c>
      <c r="M1027" s="16" t="s">
        <v>45</v>
      </c>
      <c r="N1027" s="16" t="s">
        <v>45</v>
      </c>
      <c r="O1027" s="16" t="s">
        <v>45</v>
      </c>
      <c r="P1027" s="9" t="str">
        <f t="shared" si="28"/>
        <v>N/I</v>
      </c>
      <c r="Q1027" s="9" t="str">
        <f t="shared" si="29"/>
        <v>N/I</v>
      </c>
      <c r="R1027" s="9" t="str">
        <f t="shared" si="32"/>
        <v>N/I</v>
      </c>
    </row>
    <row r="1028">
      <c r="A1028" s="11" t="s">
        <v>3138</v>
      </c>
      <c r="B1028" s="11" t="s">
        <v>3142</v>
      </c>
      <c r="C1028" s="12" t="s">
        <v>94</v>
      </c>
      <c r="D1028" s="27">
        <v>150662.0</v>
      </c>
      <c r="E1028" s="16" t="s">
        <v>45</v>
      </c>
      <c r="F1028" s="10" t="s">
        <v>3141</v>
      </c>
      <c r="G1028" s="12" t="s">
        <v>720</v>
      </c>
      <c r="H1028" s="10" t="s">
        <v>721</v>
      </c>
      <c r="I1028" s="16" t="s">
        <v>45</v>
      </c>
      <c r="J1028" s="16" t="s">
        <v>45</v>
      </c>
      <c r="K1028" s="16" t="s">
        <v>45</v>
      </c>
      <c r="L1028" s="16" t="s">
        <v>45</v>
      </c>
      <c r="M1028" s="16" t="s">
        <v>45</v>
      </c>
      <c r="N1028" s="16" t="s">
        <v>45</v>
      </c>
      <c r="O1028" s="16" t="s">
        <v>45</v>
      </c>
      <c r="P1028" s="9" t="str">
        <f t="shared" si="28"/>
        <v>N/I</v>
      </c>
      <c r="Q1028" s="9" t="str">
        <f t="shared" si="29"/>
        <v>N/I</v>
      </c>
      <c r="R1028" s="9" t="str">
        <f t="shared" si="32"/>
        <v>N/I</v>
      </c>
    </row>
    <row r="1029">
      <c r="A1029" s="11" t="s">
        <v>3138</v>
      </c>
      <c r="B1029" s="11" t="s">
        <v>3144</v>
      </c>
      <c r="C1029" s="12" t="s">
        <v>94</v>
      </c>
      <c r="D1029" s="27">
        <v>150675.0</v>
      </c>
      <c r="E1029" s="16" t="s">
        <v>45</v>
      </c>
      <c r="F1029" s="10" t="s">
        <v>3141</v>
      </c>
      <c r="G1029" s="12" t="s">
        <v>720</v>
      </c>
      <c r="H1029" s="10" t="s">
        <v>721</v>
      </c>
      <c r="I1029" s="16" t="s">
        <v>45</v>
      </c>
      <c r="J1029" s="16" t="s">
        <v>45</v>
      </c>
      <c r="K1029" s="16" t="s">
        <v>45</v>
      </c>
      <c r="L1029" s="16" t="s">
        <v>45</v>
      </c>
      <c r="M1029" s="16" t="s">
        <v>45</v>
      </c>
      <c r="N1029" s="16" t="s">
        <v>45</v>
      </c>
      <c r="O1029" s="16" t="s">
        <v>45</v>
      </c>
      <c r="P1029" s="9" t="str">
        <f t="shared" si="28"/>
        <v>N/I</v>
      </c>
      <c r="Q1029" s="9" t="str">
        <f t="shared" si="29"/>
        <v>N/I</v>
      </c>
      <c r="R1029" s="9" t="str">
        <f t="shared" si="32"/>
        <v>N/I</v>
      </c>
    </row>
    <row r="1030">
      <c r="A1030" s="11" t="s">
        <v>3138</v>
      </c>
      <c r="B1030" s="11" t="s">
        <v>3142</v>
      </c>
      <c r="C1030" s="12" t="s">
        <v>94</v>
      </c>
      <c r="D1030" s="27">
        <v>150672.0</v>
      </c>
      <c r="E1030" s="16" t="s">
        <v>45</v>
      </c>
      <c r="F1030" s="10" t="s">
        <v>3141</v>
      </c>
      <c r="G1030" s="12" t="s">
        <v>720</v>
      </c>
      <c r="H1030" s="10" t="s">
        <v>721</v>
      </c>
      <c r="I1030" s="16" t="s">
        <v>45</v>
      </c>
      <c r="J1030" s="16" t="s">
        <v>45</v>
      </c>
      <c r="K1030" s="16" t="s">
        <v>45</v>
      </c>
      <c r="L1030" s="16" t="s">
        <v>45</v>
      </c>
      <c r="M1030" s="16" t="s">
        <v>45</v>
      </c>
      <c r="N1030" s="16" t="s">
        <v>45</v>
      </c>
      <c r="O1030" s="16" t="s">
        <v>45</v>
      </c>
      <c r="P1030" s="9" t="str">
        <f t="shared" si="28"/>
        <v>N/I</v>
      </c>
      <c r="Q1030" s="9" t="str">
        <f t="shared" si="29"/>
        <v>N/I</v>
      </c>
      <c r="R1030" s="9" t="str">
        <f t="shared" si="32"/>
        <v>N/I</v>
      </c>
    </row>
    <row r="1031">
      <c r="A1031" s="11" t="s">
        <v>3138</v>
      </c>
      <c r="B1031" s="11" t="s">
        <v>3145</v>
      </c>
      <c r="C1031" s="12" t="s">
        <v>94</v>
      </c>
      <c r="D1031" s="27">
        <v>150715.0</v>
      </c>
      <c r="E1031" s="16" t="s">
        <v>45</v>
      </c>
      <c r="F1031" s="10" t="s">
        <v>3141</v>
      </c>
      <c r="G1031" s="12" t="s">
        <v>720</v>
      </c>
      <c r="H1031" s="10" t="s">
        <v>721</v>
      </c>
      <c r="I1031" s="16" t="s">
        <v>45</v>
      </c>
      <c r="J1031" s="16" t="s">
        <v>45</v>
      </c>
      <c r="K1031" s="16" t="s">
        <v>45</v>
      </c>
      <c r="L1031" s="16" t="s">
        <v>45</v>
      </c>
      <c r="M1031" s="16" t="s">
        <v>45</v>
      </c>
      <c r="N1031" s="16" t="s">
        <v>45</v>
      </c>
      <c r="O1031" s="16" t="s">
        <v>45</v>
      </c>
      <c r="P1031" s="9" t="str">
        <f t="shared" si="28"/>
        <v>N/I</v>
      </c>
      <c r="Q1031" s="9" t="str">
        <f t="shared" si="29"/>
        <v>N/I</v>
      </c>
      <c r="R1031" s="9" t="str">
        <f t="shared" si="32"/>
        <v>N/I</v>
      </c>
    </row>
    <row r="1032">
      <c r="A1032" s="11" t="s">
        <v>3138</v>
      </c>
      <c r="B1032" s="11" t="s">
        <v>3145</v>
      </c>
      <c r="C1032" s="12" t="s">
        <v>94</v>
      </c>
      <c r="D1032" s="27">
        <v>150687.0</v>
      </c>
      <c r="E1032" s="16" t="s">
        <v>45</v>
      </c>
      <c r="F1032" s="10" t="s">
        <v>3141</v>
      </c>
      <c r="G1032" s="12" t="s">
        <v>720</v>
      </c>
      <c r="H1032" s="10" t="s">
        <v>721</v>
      </c>
      <c r="I1032" s="16" t="s">
        <v>45</v>
      </c>
      <c r="J1032" s="16" t="s">
        <v>45</v>
      </c>
      <c r="K1032" s="16" t="s">
        <v>45</v>
      </c>
      <c r="L1032" s="16" t="s">
        <v>45</v>
      </c>
      <c r="M1032" s="16" t="s">
        <v>45</v>
      </c>
      <c r="N1032" s="16" t="s">
        <v>45</v>
      </c>
      <c r="O1032" s="16" t="s">
        <v>45</v>
      </c>
      <c r="P1032" s="9" t="str">
        <f t="shared" si="28"/>
        <v>N/I</v>
      </c>
      <c r="Q1032" s="9" t="str">
        <f t="shared" si="29"/>
        <v>N/I</v>
      </c>
      <c r="R1032" s="9" t="str">
        <f t="shared" si="32"/>
        <v>N/I</v>
      </c>
    </row>
    <row r="1033">
      <c r="A1033" s="11" t="s">
        <v>3138</v>
      </c>
      <c r="B1033" s="11" t="s">
        <v>3148</v>
      </c>
      <c r="C1033" s="12" t="s">
        <v>94</v>
      </c>
      <c r="D1033" s="27">
        <v>150717.0</v>
      </c>
      <c r="E1033" s="16" t="s">
        <v>45</v>
      </c>
      <c r="F1033" s="10" t="s">
        <v>3141</v>
      </c>
      <c r="G1033" s="12" t="s">
        <v>720</v>
      </c>
      <c r="H1033" s="10" t="s">
        <v>721</v>
      </c>
      <c r="I1033" s="16" t="s">
        <v>45</v>
      </c>
      <c r="J1033" s="16" t="s">
        <v>45</v>
      </c>
      <c r="K1033" s="16" t="s">
        <v>45</v>
      </c>
      <c r="L1033" s="16" t="s">
        <v>45</v>
      </c>
      <c r="M1033" s="16" t="s">
        <v>45</v>
      </c>
      <c r="N1033" s="16" t="s">
        <v>45</v>
      </c>
      <c r="O1033" s="16" t="s">
        <v>45</v>
      </c>
      <c r="P1033" s="9" t="str">
        <f t="shared" si="28"/>
        <v>N/I</v>
      </c>
      <c r="Q1033" s="9" t="str">
        <f t="shared" si="29"/>
        <v>N/I</v>
      </c>
      <c r="R1033" s="9" t="str">
        <f t="shared" si="32"/>
        <v>N/I</v>
      </c>
    </row>
    <row r="1034">
      <c r="A1034" s="11" t="s">
        <v>3138</v>
      </c>
      <c r="B1034" s="11" t="s">
        <v>3149</v>
      </c>
      <c r="C1034" s="12" t="s">
        <v>94</v>
      </c>
      <c r="D1034" s="27">
        <v>150694.0</v>
      </c>
      <c r="E1034" s="16" t="s">
        <v>45</v>
      </c>
      <c r="F1034" s="10" t="s">
        <v>3141</v>
      </c>
      <c r="G1034" s="12" t="s">
        <v>720</v>
      </c>
      <c r="H1034" s="10" t="s">
        <v>721</v>
      </c>
      <c r="I1034" s="16" t="s">
        <v>45</v>
      </c>
      <c r="J1034" s="16" t="s">
        <v>45</v>
      </c>
      <c r="K1034" s="16" t="s">
        <v>45</v>
      </c>
      <c r="L1034" s="16" t="s">
        <v>45</v>
      </c>
      <c r="M1034" s="16" t="s">
        <v>45</v>
      </c>
      <c r="N1034" s="16" t="s">
        <v>45</v>
      </c>
      <c r="O1034" s="16" t="s">
        <v>45</v>
      </c>
      <c r="P1034" s="9" t="str">
        <f t="shared" si="28"/>
        <v>N/I</v>
      </c>
      <c r="Q1034" s="9" t="str">
        <f t="shared" si="29"/>
        <v>N/I</v>
      </c>
      <c r="R1034" s="9" t="str">
        <f t="shared" si="32"/>
        <v>N/I</v>
      </c>
    </row>
    <row r="1035">
      <c r="A1035" s="11" t="s">
        <v>3138</v>
      </c>
      <c r="B1035" s="11" t="s">
        <v>3139</v>
      </c>
      <c r="C1035" s="12" t="s">
        <v>94</v>
      </c>
      <c r="D1035" s="27">
        <v>150660.0</v>
      </c>
      <c r="E1035" s="16" t="s">
        <v>45</v>
      </c>
      <c r="F1035" s="10" t="s">
        <v>3141</v>
      </c>
      <c r="G1035" s="12" t="s">
        <v>720</v>
      </c>
      <c r="H1035" s="10" t="s">
        <v>721</v>
      </c>
      <c r="I1035" s="16" t="s">
        <v>45</v>
      </c>
      <c r="J1035" s="16" t="s">
        <v>45</v>
      </c>
      <c r="K1035" s="16" t="s">
        <v>45</v>
      </c>
      <c r="L1035" s="16" t="s">
        <v>45</v>
      </c>
      <c r="M1035" s="16" t="s">
        <v>45</v>
      </c>
      <c r="N1035" s="16" t="s">
        <v>45</v>
      </c>
      <c r="O1035" s="16" t="s">
        <v>45</v>
      </c>
      <c r="P1035" s="9" t="str">
        <f t="shared" si="28"/>
        <v>N/I</v>
      </c>
      <c r="Q1035" s="9" t="str">
        <f t="shared" si="29"/>
        <v>N/I</v>
      </c>
      <c r="R1035" s="9" t="str">
        <f t="shared" si="32"/>
        <v>N/I</v>
      </c>
    </row>
    <row r="1036">
      <c r="A1036" s="11" t="s">
        <v>3138</v>
      </c>
      <c r="B1036" s="11" t="s">
        <v>3139</v>
      </c>
      <c r="C1036" s="12" t="s">
        <v>94</v>
      </c>
      <c r="D1036" s="27">
        <v>150646.0</v>
      </c>
      <c r="E1036" s="16" t="s">
        <v>45</v>
      </c>
      <c r="F1036" s="10" t="s">
        <v>3141</v>
      </c>
      <c r="G1036" s="12" t="s">
        <v>720</v>
      </c>
      <c r="H1036" s="10" t="s">
        <v>721</v>
      </c>
      <c r="I1036" s="16" t="s">
        <v>45</v>
      </c>
      <c r="J1036" s="16" t="s">
        <v>45</v>
      </c>
      <c r="K1036" s="16" t="s">
        <v>45</v>
      </c>
      <c r="L1036" s="16" t="s">
        <v>45</v>
      </c>
      <c r="M1036" s="16" t="s">
        <v>45</v>
      </c>
      <c r="N1036" s="16" t="s">
        <v>45</v>
      </c>
      <c r="O1036" s="16" t="s">
        <v>45</v>
      </c>
      <c r="P1036" s="9" t="str">
        <f t="shared" si="28"/>
        <v>N/I</v>
      </c>
      <c r="Q1036" s="9" t="str">
        <f t="shared" si="29"/>
        <v>N/I</v>
      </c>
      <c r="R1036" s="9" t="str">
        <f t="shared" si="32"/>
        <v>N/I</v>
      </c>
    </row>
    <row r="1037">
      <c r="A1037" s="11" t="s">
        <v>3138</v>
      </c>
      <c r="B1037" s="11" t="s">
        <v>3150</v>
      </c>
      <c r="C1037" s="12" t="s">
        <v>94</v>
      </c>
      <c r="D1037" s="27">
        <v>150711.0</v>
      </c>
      <c r="E1037" s="16" t="s">
        <v>45</v>
      </c>
      <c r="F1037" s="10" t="s">
        <v>3141</v>
      </c>
      <c r="G1037" s="12" t="s">
        <v>720</v>
      </c>
      <c r="H1037" s="10" t="s">
        <v>721</v>
      </c>
      <c r="I1037" s="16" t="s">
        <v>45</v>
      </c>
      <c r="J1037" s="16" t="s">
        <v>45</v>
      </c>
      <c r="K1037" s="16" t="s">
        <v>45</v>
      </c>
      <c r="L1037" s="16" t="s">
        <v>45</v>
      </c>
      <c r="M1037" s="16" t="s">
        <v>45</v>
      </c>
      <c r="N1037" s="16" t="s">
        <v>45</v>
      </c>
      <c r="O1037" s="16" t="s">
        <v>45</v>
      </c>
      <c r="P1037" s="9" t="str">
        <f t="shared" si="28"/>
        <v>N/I</v>
      </c>
      <c r="Q1037" s="9" t="str">
        <f t="shared" si="29"/>
        <v>N/I</v>
      </c>
      <c r="R1037" s="9" t="str">
        <f t="shared" si="32"/>
        <v>N/I</v>
      </c>
    </row>
    <row r="1038">
      <c r="A1038" s="11" t="s">
        <v>3138</v>
      </c>
      <c r="B1038" s="11" t="s">
        <v>3153</v>
      </c>
      <c r="C1038" s="12" t="s">
        <v>94</v>
      </c>
      <c r="D1038" s="27">
        <v>150643.0</v>
      </c>
      <c r="E1038" s="16" t="s">
        <v>45</v>
      </c>
      <c r="F1038" s="10" t="s">
        <v>3141</v>
      </c>
      <c r="G1038" s="12" t="s">
        <v>720</v>
      </c>
      <c r="H1038" s="10" t="s">
        <v>721</v>
      </c>
      <c r="I1038" s="16" t="s">
        <v>45</v>
      </c>
      <c r="J1038" s="16" t="s">
        <v>45</v>
      </c>
      <c r="K1038" s="16" t="s">
        <v>45</v>
      </c>
      <c r="L1038" s="16" t="s">
        <v>45</v>
      </c>
      <c r="M1038" s="16" t="s">
        <v>45</v>
      </c>
      <c r="N1038" s="16" t="s">
        <v>45</v>
      </c>
      <c r="O1038" s="16" t="s">
        <v>45</v>
      </c>
      <c r="P1038" s="9" t="str">
        <f t="shared" si="28"/>
        <v>N/I</v>
      </c>
      <c r="Q1038" s="9" t="str">
        <f t="shared" si="29"/>
        <v>N/I</v>
      </c>
      <c r="R1038" s="9" t="str">
        <f t="shared" si="32"/>
        <v>N/I</v>
      </c>
    </row>
    <row r="1039">
      <c r="A1039" s="11" t="s">
        <v>3138</v>
      </c>
      <c r="B1039" s="11" t="s">
        <v>3156</v>
      </c>
      <c r="C1039" s="12" t="s">
        <v>94</v>
      </c>
      <c r="D1039" s="27">
        <v>150683.0</v>
      </c>
      <c r="E1039" s="16" t="s">
        <v>45</v>
      </c>
      <c r="F1039" s="10" t="s">
        <v>3141</v>
      </c>
      <c r="G1039" s="12" t="s">
        <v>720</v>
      </c>
      <c r="H1039" s="10" t="s">
        <v>721</v>
      </c>
      <c r="I1039" s="16" t="s">
        <v>45</v>
      </c>
      <c r="J1039" s="16" t="s">
        <v>45</v>
      </c>
      <c r="K1039" s="16" t="s">
        <v>45</v>
      </c>
      <c r="L1039" s="16" t="s">
        <v>45</v>
      </c>
      <c r="M1039" s="16" t="s">
        <v>45</v>
      </c>
      <c r="N1039" s="16" t="s">
        <v>45</v>
      </c>
      <c r="O1039" s="16" t="s">
        <v>45</v>
      </c>
      <c r="P1039" s="9" t="str">
        <f t="shared" si="28"/>
        <v>N/I</v>
      </c>
      <c r="Q1039" s="9" t="str">
        <f t="shared" si="29"/>
        <v>N/I</v>
      </c>
      <c r="R1039" s="9" t="str">
        <f t="shared" si="32"/>
        <v>N/I</v>
      </c>
    </row>
    <row r="1040">
      <c r="A1040" s="11" t="s">
        <v>3138</v>
      </c>
      <c r="B1040" s="11" t="s">
        <v>3159</v>
      </c>
      <c r="C1040" s="12" t="s">
        <v>94</v>
      </c>
      <c r="D1040" s="27">
        <v>150679.0</v>
      </c>
      <c r="E1040" s="16" t="s">
        <v>45</v>
      </c>
      <c r="F1040" s="10" t="s">
        <v>3141</v>
      </c>
      <c r="G1040" s="12" t="s">
        <v>720</v>
      </c>
      <c r="H1040" s="10" t="s">
        <v>721</v>
      </c>
      <c r="I1040" s="16" t="s">
        <v>45</v>
      </c>
      <c r="J1040" s="16" t="s">
        <v>45</v>
      </c>
      <c r="K1040" s="16" t="s">
        <v>45</v>
      </c>
      <c r="L1040" s="16" t="s">
        <v>45</v>
      </c>
      <c r="M1040" s="16" t="s">
        <v>45</v>
      </c>
      <c r="N1040" s="16" t="s">
        <v>45</v>
      </c>
      <c r="O1040" s="16" t="s">
        <v>45</v>
      </c>
      <c r="P1040" s="9" t="str">
        <f t="shared" si="28"/>
        <v>N/I</v>
      </c>
      <c r="Q1040" s="9" t="str">
        <f t="shared" si="29"/>
        <v>N/I</v>
      </c>
      <c r="R1040" s="9" t="str">
        <f t="shared" si="32"/>
        <v>N/I</v>
      </c>
    </row>
    <row r="1041">
      <c r="A1041" s="11" t="s">
        <v>3138</v>
      </c>
      <c r="B1041" s="11" t="s">
        <v>3159</v>
      </c>
      <c r="C1041" s="12" t="s">
        <v>94</v>
      </c>
      <c r="D1041" s="27">
        <v>150644.0</v>
      </c>
      <c r="E1041" s="16" t="s">
        <v>45</v>
      </c>
      <c r="F1041" s="10" t="s">
        <v>3141</v>
      </c>
      <c r="G1041" s="12" t="s">
        <v>720</v>
      </c>
      <c r="H1041" s="10" t="s">
        <v>721</v>
      </c>
      <c r="I1041" s="16" t="s">
        <v>45</v>
      </c>
      <c r="J1041" s="16" t="s">
        <v>45</v>
      </c>
      <c r="K1041" s="16" t="s">
        <v>45</v>
      </c>
      <c r="L1041" s="16" t="s">
        <v>45</v>
      </c>
      <c r="M1041" s="16" t="s">
        <v>45</v>
      </c>
      <c r="N1041" s="16" t="s">
        <v>45</v>
      </c>
      <c r="O1041" s="16" t="s">
        <v>45</v>
      </c>
      <c r="P1041" s="9" t="str">
        <f t="shared" si="28"/>
        <v>N/I</v>
      </c>
      <c r="Q1041" s="9" t="str">
        <f t="shared" si="29"/>
        <v>N/I</v>
      </c>
      <c r="R1041" s="9" t="str">
        <f t="shared" si="32"/>
        <v>N/I</v>
      </c>
    </row>
    <row r="1042">
      <c r="A1042" s="11" t="s">
        <v>3138</v>
      </c>
      <c r="B1042" s="11" t="s">
        <v>3161</v>
      </c>
      <c r="C1042" s="12" t="s">
        <v>94</v>
      </c>
      <c r="D1042" s="27">
        <v>150659.0</v>
      </c>
      <c r="E1042" s="16" t="s">
        <v>45</v>
      </c>
      <c r="F1042" s="10" t="s">
        <v>3141</v>
      </c>
      <c r="G1042" s="12" t="s">
        <v>720</v>
      </c>
      <c r="H1042" s="10" t="s">
        <v>721</v>
      </c>
      <c r="I1042" s="16" t="s">
        <v>45</v>
      </c>
      <c r="J1042" s="16" t="s">
        <v>45</v>
      </c>
      <c r="K1042" s="16" t="s">
        <v>45</v>
      </c>
      <c r="L1042" s="16" t="s">
        <v>45</v>
      </c>
      <c r="M1042" s="16" t="s">
        <v>45</v>
      </c>
      <c r="N1042" s="16" t="s">
        <v>45</v>
      </c>
      <c r="O1042" s="16" t="s">
        <v>45</v>
      </c>
      <c r="P1042" s="9" t="str">
        <f t="shared" si="28"/>
        <v>N/I</v>
      </c>
      <c r="Q1042" s="9" t="str">
        <f t="shared" si="29"/>
        <v>N/I</v>
      </c>
      <c r="R1042" s="9" t="str">
        <f t="shared" si="32"/>
        <v>N/I</v>
      </c>
    </row>
    <row r="1043">
      <c r="A1043" s="11" t="s">
        <v>3138</v>
      </c>
      <c r="B1043" s="11" t="s">
        <v>3161</v>
      </c>
      <c r="C1043" s="12" t="s">
        <v>94</v>
      </c>
      <c r="D1043" s="27">
        <v>150674.0</v>
      </c>
      <c r="E1043" s="16" t="s">
        <v>45</v>
      </c>
      <c r="F1043" s="10" t="s">
        <v>3141</v>
      </c>
      <c r="G1043" s="12" t="s">
        <v>720</v>
      </c>
      <c r="H1043" s="10" t="s">
        <v>721</v>
      </c>
      <c r="I1043" s="16" t="s">
        <v>45</v>
      </c>
      <c r="J1043" s="16" t="s">
        <v>45</v>
      </c>
      <c r="K1043" s="16" t="s">
        <v>45</v>
      </c>
      <c r="L1043" s="16" t="s">
        <v>45</v>
      </c>
      <c r="M1043" s="16" t="s">
        <v>45</v>
      </c>
      <c r="N1043" s="16" t="s">
        <v>45</v>
      </c>
      <c r="O1043" s="16" t="s">
        <v>45</v>
      </c>
      <c r="P1043" s="9" t="str">
        <f t="shared" si="28"/>
        <v>N/I</v>
      </c>
      <c r="Q1043" s="9" t="str">
        <f t="shared" si="29"/>
        <v>N/I</v>
      </c>
      <c r="R1043" s="9" t="str">
        <f t="shared" si="32"/>
        <v>N/I</v>
      </c>
    </row>
    <row r="1044">
      <c r="A1044" s="11" t="s">
        <v>3138</v>
      </c>
      <c r="B1044" s="11" t="s">
        <v>3164</v>
      </c>
      <c r="C1044" s="12" t="s">
        <v>94</v>
      </c>
      <c r="D1044" s="27">
        <v>150677.0</v>
      </c>
      <c r="E1044" s="16" t="s">
        <v>45</v>
      </c>
      <c r="F1044" s="10" t="s">
        <v>3141</v>
      </c>
      <c r="G1044" s="12" t="s">
        <v>720</v>
      </c>
      <c r="H1044" s="10" t="s">
        <v>721</v>
      </c>
      <c r="I1044" s="16" t="s">
        <v>45</v>
      </c>
      <c r="J1044" s="16" t="s">
        <v>45</v>
      </c>
      <c r="K1044" s="16" t="s">
        <v>45</v>
      </c>
      <c r="L1044" s="16" t="s">
        <v>45</v>
      </c>
      <c r="M1044" s="16" t="s">
        <v>45</v>
      </c>
      <c r="N1044" s="16" t="s">
        <v>45</v>
      </c>
      <c r="O1044" s="16" t="s">
        <v>45</v>
      </c>
      <c r="P1044" s="9" t="str">
        <f t="shared" si="28"/>
        <v>N/I</v>
      </c>
      <c r="Q1044" s="9" t="str">
        <f t="shared" si="29"/>
        <v>N/I</v>
      </c>
      <c r="R1044" s="9" t="str">
        <f t="shared" si="32"/>
        <v>N/I</v>
      </c>
    </row>
    <row r="1045">
      <c r="A1045" s="11" t="s">
        <v>3138</v>
      </c>
      <c r="B1045" s="11" t="s">
        <v>3167</v>
      </c>
      <c r="C1045" s="12" t="s">
        <v>94</v>
      </c>
      <c r="D1045" s="27">
        <v>150641.0</v>
      </c>
      <c r="E1045" s="16" t="s">
        <v>45</v>
      </c>
      <c r="F1045" s="10" t="s">
        <v>3141</v>
      </c>
      <c r="G1045" s="12" t="s">
        <v>720</v>
      </c>
      <c r="H1045" s="10" t="s">
        <v>721</v>
      </c>
      <c r="I1045" s="16" t="s">
        <v>45</v>
      </c>
      <c r="J1045" s="16" t="s">
        <v>45</v>
      </c>
      <c r="K1045" s="16" t="s">
        <v>45</v>
      </c>
      <c r="L1045" s="16" t="s">
        <v>45</v>
      </c>
      <c r="M1045" s="16" t="s">
        <v>45</v>
      </c>
      <c r="N1045" s="16" t="s">
        <v>45</v>
      </c>
      <c r="O1045" s="16" t="s">
        <v>45</v>
      </c>
      <c r="P1045" s="9" t="str">
        <f t="shared" si="28"/>
        <v>N/I</v>
      </c>
      <c r="Q1045" s="9" t="str">
        <f t="shared" si="29"/>
        <v>N/I</v>
      </c>
      <c r="R1045" s="9" t="str">
        <f t="shared" si="32"/>
        <v>N/I</v>
      </c>
    </row>
    <row r="1046">
      <c r="A1046" s="11" t="s">
        <v>3138</v>
      </c>
      <c r="B1046" s="11" t="s">
        <v>3170</v>
      </c>
      <c r="C1046" s="12" t="s">
        <v>94</v>
      </c>
      <c r="D1046" s="27">
        <v>150686.0</v>
      </c>
      <c r="E1046" s="16" t="s">
        <v>45</v>
      </c>
      <c r="F1046" s="10" t="s">
        <v>3141</v>
      </c>
      <c r="G1046" s="12" t="s">
        <v>720</v>
      </c>
      <c r="H1046" s="10" t="s">
        <v>721</v>
      </c>
      <c r="I1046" s="16" t="s">
        <v>45</v>
      </c>
      <c r="J1046" s="16" t="s">
        <v>45</v>
      </c>
      <c r="K1046" s="16" t="s">
        <v>45</v>
      </c>
      <c r="L1046" s="16" t="s">
        <v>45</v>
      </c>
      <c r="M1046" s="16" t="s">
        <v>45</v>
      </c>
      <c r="N1046" s="16" t="s">
        <v>45</v>
      </c>
      <c r="O1046" s="16" t="s">
        <v>45</v>
      </c>
      <c r="P1046" s="9" t="str">
        <f t="shared" si="28"/>
        <v>N/I</v>
      </c>
      <c r="Q1046" s="9" t="str">
        <f t="shared" si="29"/>
        <v>N/I</v>
      </c>
      <c r="R1046" s="9" t="str">
        <f t="shared" si="32"/>
        <v>N/I</v>
      </c>
    </row>
    <row r="1047">
      <c r="A1047" s="11" t="s">
        <v>3138</v>
      </c>
      <c r="B1047" s="11" t="s">
        <v>3174</v>
      </c>
      <c r="C1047" s="12" t="s">
        <v>94</v>
      </c>
      <c r="D1047" s="36" t="s">
        <v>3175</v>
      </c>
      <c r="E1047" s="10" t="s">
        <v>291</v>
      </c>
      <c r="F1047" s="10" t="s">
        <v>3179</v>
      </c>
      <c r="G1047" s="12" t="s">
        <v>3176</v>
      </c>
      <c r="H1047" s="10" t="s">
        <v>583</v>
      </c>
      <c r="I1047" s="10" t="s">
        <v>290</v>
      </c>
      <c r="J1047" s="12" t="s">
        <v>46</v>
      </c>
      <c r="K1047" s="10" t="s">
        <v>227</v>
      </c>
      <c r="L1047" s="16" t="s">
        <v>45</v>
      </c>
      <c r="M1047" s="10" t="s">
        <v>49</v>
      </c>
      <c r="N1047" s="16" t="s">
        <v>45</v>
      </c>
      <c r="O1047" s="10" t="s">
        <v>50</v>
      </c>
      <c r="P1047" s="9" t="str">
        <f t="shared" si="28"/>
        <v>N/I</v>
      </c>
      <c r="Q1047" s="9" t="str">
        <f t="shared" si="29"/>
        <v>N/I</v>
      </c>
      <c r="R1047" s="9" t="str">
        <f t="shared" si="32"/>
        <v>N/I</v>
      </c>
    </row>
    <row r="1048">
      <c r="A1048" s="11" t="s">
        <v>3138</v>
      </c>
      <c r="B1048" s="32" t="s">
        <v>3180</v>
      </c>
      <c r="C1048" s="12" t="s">
        <v>94</v>
      </c>
      <c r="D1048" s="16">
        <v>180232.0</v>
      </c>
      <c r="E1048" s="10" t="s">
        <v>291</v>
      </c>
      <c r="F1048" s="10" t="s">
        <v>3182</v>
      </c>
      <c r="G1048" s="12" t="s">
        <v>990</v>
      </c>
      <c r="H1048" s="10" t="s">
        <v>583</v>
      </c>
      <c r="I1048" s="10" t="s">
        <v>290</v>
      </c>
      <c r="J1048" s="12" t="s">
        <v>46</v>
      </c>
      <c r="K1048" s="10" t="s">
        <v>3183</v>
      </c>
      <c r="L1048" s="10" t="s">
        <v>2893</v>
      </c>
      <c r="M1048" s="10" t="s">
        <v>49</v>
      </c>
      <c r="N1048" s="16" t="s">
        <v>45</v>
      </c>
      <c r="O1048" s="10" t="s">
        <v>50</v>
      </c>
      <c r="P1048" s="9" t="str">
        <f t="shared" si="28"/>
        <v>N/I</v>
      </c>
      <c r="Q1048" s="9" t="str">
        <f t="shared" si="29"/>
        <v>N/I</v>
      </c>
      <c r="R1048" s="9" t="str">
        <f t="shared" si="32"/>
        <v>N/I</v>
      </c>
    </row>
    <row r="1049">
      <c r="A1049" s="11" t="s">
        <v>3138</v>
      </c>
      <c r="B1049" s="11" t="s">
        <v>3184</v>
      </c>
      <c r="C1049" s="12" t="s">
        <v>94</v>
      </c>
      <c r="D1049" s="16">
        <v>170246.0</v>
      </c>
      <c r="E1049" s="10" t="s">
        <v>291</v>
      </c>
      <c r="F1049" s="10" t="s">
        <v>3186</v>
      </c>
      <c r="G1049" s="12" t="s">
        <v>2426</v>
      </c>
      <c r="H1049" s="10" t="s">
        <v>583</v>
      </c>
      <c r="I1049" s="10" t="s">
        <v>290</v>
      </c>
      <c r="J1049" s="12" t="s">
        <v>46</v>
      </c>
      <c r="K1049" s="10" t="s">
        <v>3183</v>
      </c>
      <c r="L1049" s="10" t="s">
        <v>2893</v>
      </c>
      <c r="M1049" s="10" t="s">
        <v>49</v>
      </c>
      <c r="N1049" s="16" t="s">
        <v>45</v>
      </c>
      <c r="O1049" s="10" t="s">
        <v>50</v>
      </c>
      <c r="P1049" s="9" t="str">
        <f t="shared" si="28"/>
        <v>N/I</v>
      </c>
      <c r="Q1049" s="9" t="str">
        <f t="shared" si="29"/>
        <v>N/I</v>
      </c>
      <c r="R1049" s="9" t="str">
        <f t="shared" si="32"/>
        <v>N/I</v>
      </c>
    </row>
    <row r="1050">
      <c r="A1050" s="11" t="s">
        <v>3138</v>
      </c>
      <c r="B1050" s="11" t="s">
        <v>3187</v>
      </c>
      <c r="C1050" s="12" t="s">
        <v>94</v>
      </c>
      <c r="D1050" s="36" t="s">
        <v>3188</v>
      </c>
      <c r="E1050" s="10" t="s">
        <v>291</v>
      </c>
      <c r="F1050" s="10" t="s">
        <v>3179</v>
      </c>
      <c r="G1050" s="12" t="s">
        <v>2431</v>
      </c>
      <c r="H1050" s="10" t="s">
        <v>583</v>
      </c>
      <c r="I1050" s="10" t="s">
        <v>290</v>
      </c>
      <c r="J1050" s="12" t="s">
        <v>46</v>
      </c>
      <c r="K1050" s="10" t="s">
        <v>227</v>
      </c>
      <c r="L1050" s="16" t="s">
        <v>45</v>
      </c>
      <c r="M1050" s="10" t="s">
        <v>49</v>
      </c>
      <c r="N1050" s="16" t="s">
        <v>45</v>
      </c>
      <c r="O1050" s="10" t="s">
        <v>50</v>
      </c>
      <c r="P1050" s="9" t="str">
        <f t="shared" si="28"/>
        <v>N/I</v>
      </c>
      <c r="Q1050" s="9" t="str">
        <f t="shared" si="29"/>
        <v>N/I</v>
      </c>
      <c r="R1050" s="9" t="str">
        <f t="shared" si="32"/>
        <v>N/I</v>
      </c>
    </row>
    <row r="1051">
      <c r="A1051" s="11" t="s">
        <v>3138</v>
      </c>
      <c r="B1051" s="11" t="s">
        <v>3191</v>
      </c>
      <c r="C1051" s="12" t="s">
        <v>94</v>
      </c>
      <c r="D1051" s="36" t="s">
        <v>3192</v>
      </c>
      <c r="E1051" s="10" t="s">
        <v>291</v>
      </c>
      <c r="F1051" s="10" t="s">
        <v>3179</v>
      </c>
      <c r="G1051" s="12" t="s">
        <v>3193</v>
      </c>
      <c r="H1051" s="10" t="s">
        <v>583</v>
      </c>
      <c r="I1051" s="10" t="s">
        <v>290</v>
      </c>
      <c r="J1051" s="12" t="s">
        <v>46</v>
      </c>
      <c r="K1051" s="10" t="s">
        <v>227</v>
      </c>
      <c r="L1051" s="16" t="s">
        <v>45</v>
      </c>
      <c r="M1051" s="10" t="s">
        <v>49</v>
      </c>
      <c r="N1051" s="16" t="s">
        <v>45</v>
      </c>
      <c r="O1051" s="10" t="s">
        <v>50</v>
      </c>
      <c r="P1051" s="9" t="str">
        <f t="shared" si="28"/>
        <v>N/I</v>
      </c>
      <c r="Q1051" s="9" t="str">
        <f t="shared" si="29"/>
        <v>N/I</v>
      </c>
      <c r="R1051" s="9" t="str">
        <f t="shared" si="32"/>
        <v>N/I</v>
      </c>
    </row>
    <row r="1052">
      <c r="A1052" s="11" t="s">
        <v>3138</v>
      </c>
      <c r="B1052" s="11" t="s">
        <v>3196</v>
      </c>
      <c r="C1052" s="12" t="s">
        <v>94</v>
      </c>
      <c r="D1052" s="36" t="s">
        <v>3197</v>
      </c>
      <c r="E1052" s="10" t="s">
        <v>291</v>
      </c>
      <c r="F1052" s="10" t="s">
        <v>3179</v>
      </c>
      <c r="G1052" s="12" t="s">
        <v>3198</v>
      </c>
      <c r="H1052" s="10" t="s">
        <v>583</v>
      </c>
      <c r="I1052" s="10" t="s">
        <v>290</v>
      </c>
      <c r="J1052" s="12" t="s">
        <v>46</v>
      </c>
      <c r="K1052" s="10" t="s">
        <v>227</v>
      </c>
      <c r="L1052" s="16" t="s">
        <v>45</v>
      </c>
      <c r="M1052" s="10" t="s">
        <v>49</v>
      </c>
      <c r="N1052" s="16" t="s">
        <v>45</v>
      </c>
      <c r="O1052" s="10" t="s">
        <v>50</v>
      </c>
      <c r="P1052" s="9" t="str">
        <f t="shared" si="28"/>
        <v>N/I</v>
      </c>
      <c r="Q1052" s="9" t="str">
        <f t="shared" si="29"/>
        <v>N/I</v>
      </c>
      <c r="R1052" s="9" t="str">
        <f t="shared" si="32"/>
        <v>N/I</v>
      </c>
    </row>
    <row r="1053">
      <c r="A1053" s="11" t="s">
        <v>3138</v>
      </c>
      <c r="B1053" s="11" t="s">
        <v>3201</v>
      </c>
      <c r="C1053" s="12" t="s">
        <v>94</v>
      </c>
      <c r="D1053" s="16">
        <v>170244.0</v>
      </c>
      <c r="E1053" s="10" t="s">
        <v>291</v>
      </c>
      <c r="F1053" s="10" t="s">
        <v>3186</v>
      </c>
      <c r="G1053" s="12" t="s">
        <v>3202</v>
      </c>
      <c r="H1053" s="10" t="s">
        <v>583</v>
      </c>
      <c r="I1053" s="10" t="s">
        <v>290</v>
      </c>
      <c r="J1053" s="12" t="s">
        <v>46</v>
      </c>
      <c r="K1053" s="10" t="s">
        <v>3183</v>
      </c>
      <c r="L1053" s="10" t="s">
        <v>2893</v>
      </c>
      <c r="M1053" s="10" t="s">
        <v>49</v>
      </c>
      <c r="N1053" s="16" t="s">
        <v>45</v>
      </c>
      <c r="O1053" s="10" t="s">
        <v>50</v>
      </c>
      <c r="P1053" s="9" t="str">
        <f t="shared" si="28"/>
        <v>N/I</v>
      </c>
      <c r="Q1053" s="9" t="str">
        <f t="shared" si="29"/>
        <v>N/I</v>
      </c>
      <c r="R1053" s="9" t="str">
        <f t="shared" si="32"/>
        <v>N/I</v>
      </c>
    </row>
    <row r="1054">
      <c r="A1054" s="11" t="s">
        <v>3138</v>
      </c>
      <c r="B1054" s="11" t="s">
        <v>3205</v>
      </c>
      <c r="C1054" s="12" t="s">
        <v>94</v>
      </c>
      <c r="D1054" s="36" t="s">
        <v>3206</v>
      </c>
      <c r="E1054" s="10" t="s">
        <v>291</v>
      </c>
      <c r="F1054" s="10" t="s">
        <v>3179</v>
      </c>
      <c r="G1054" s="12" t="s">
        <v>3202</v>
      </c>
      <c r="H1054" s="10" t="s">
        <v>583</v>
      </c>
      <c r="I1054" s="10" t="s">
        <v>290</v>
      </c>
      <c r="J1054" s="12" t="s">
        <v>46</v>
      </c>
      <c r="K1054" s="10" t="s">
        <v>227</v>
      </c>
      <c r="L1054" s="16" t="s">
        <v>45</v>
      </c>
      <c r="M1054" s="10" t="s">
        <v>49</v>
      </c>
      <c r="N1054" s="16" t="s">
        <v>45</v>
      </c>
      <c r="O1054" s="10" t="s">
        <v>50</v>
      </c>
      <c r="P1054" s="9" t="str">
        <f t="shared" si="28"/>
        <v>N/I</v>
      </c>
      <c r="Q1054" s="9" t="str">
        <f t="shared" si="29"/>
        <v>N/I</v>
      </c>
      <c r="R1054" s="9" t="str">
        <f t="shared" si="32"/>
        <v>N/I</v>
      </c>
    </row>
    <row r="1055">
      <c r="A1055" s="11" t="s">
        <v>3138</v>
      </c>
      <c r="B1055" s="32" t="s">
        <v>3208</v>
      </c>
      <c r="C1055" s="12" t="s">
        <v>94</v>
      </c>
      <c r="D1055" s="16">
        <v>180241.0</v>
      </c>
      <c r="E1055" s="10" t="s">
        <v>291</v>
      </c>
      <c r="F1055" s="10" t="s">
        <v>3182</v>
      </c>
      <c r="G1055" s="12" t="s">
        <v>3209</v>
      </c>
      <c r="H1055" s="10" t="s">
        <v>583</v>
      </c>
      <c r="I1055" s="10" t="s">
        <v>290</v>
      </c>
      <c r="J1055" s="12" t="s">
        <v>46</v>
      </c>
      <c r="K1055" s="10" t="s">
        <v>3183</v>
      </c>
      <c r="L1055" s="10" t="s">
        <v>2893</v>
      </c>
      <c r="M1055" s="10" t="s">
        <v>49</v>
      </c>
      <c r="N1055" s="16" t="s">
        <v>45</v>
      </c>
      <c r="O1055" s="10" t="s">
        <v>50</v>
      </c>
      <c r="P1055" s="9" t="str">
        <f t="shared" si="28"/>
        <v>N/I</v>
      </c>
      <c r="Q1055" s="9" t="str">
        <f t="shared" si="29"/>
        <v>N/I</v>
      </c>
      <c r="R1055" s="9" t="str">
        <f t="shared" si="32"/>
        <v>N/I</v>
      </c>
    </row>
    <row r="1056">
      <c r="A1056" s="11" t="s">
        <v>3138</v>
      </c>
      <c r="B1056" s="11" t="s">
        <v>3212</v>
      </c>
      <c r="C1056" s="12" t="s">
        <v>94</v>
      </c>
      <c r="D1056" s="36" t="s">
        <v>3213</v>
      </c>
      <c r="E1056" s="10" t="s">
        <v>291</v>
      </c>
      <c r="F1056" s="10" t="s">
        <v>3179</v>
      </c>
      <c r="G1056" s="12" t="s">
        <v>582</v>
      </c>
      <c r="H1056" s="10" t="s">
        <v>583</v>
      </c>
      <c r="I1056" s="10" t="s">
        <v>290</v>
      </c>
      <c r="J1056" s="12" t="s">
        <v>46</v>
      </c>
      <c r="K1056" s="10" t="s">
        <v>227</v>
      </c>
      <c r="L1056" s="16" t="s">
        <v>45</v>
      </c>
      <c r="M1056" s="10" t="s">
        <v>49</v>
      </c>
      <c r="N1056" s="16" t="s">
        <v>45</v>
      </c>
      <c r="O1056" s="10" t="s">
        <v>50</v>
      </c>
      <c r="P1056" s="9" t="str">
        <f t="shared" si="28"/>
        <v>N/I</v>
      </c>
      <c r="Q1056" s="9" t="str">
        <f t="shared" si="29"/>
        <v>N/I</v>
      </c>
      <c r="R1056" s="9" t="str">
        <f t="shared" si="32"/>
        <v>N/I</v>
      </c>
    </row>
    <row r="1057">
      <c r="A1057" s="11" t="s">
        <v>3138</v>
      </c>
      <c r="B1057" s="32" t="s">
        <v>3216</v>
      </c>
      <c r="C1057" s="12" t="s">
        <v>94</v>
      </c>
      <c r="D1057" s="16">
        <v>180239.0</v>
      </c>
      <c r="E1057" s="10" t="s">
        <v>291</v>
      </c>
      <c r="F1057" s="10" t="s">
        <v>3182</v>
      </c>
      <c r="G1057" s="12" t="s">
        <v>3217</v>
      </c>
      <c r="H1057" s="10" t="s">
        <v>583</v>
      </c>
      <c r="I1057" s="10" t="s">
        <v>290</v>
      </c>
      <c r="J1057" s="12" t="s">
        <v>46</v>
      </c>
      <c r="K1057" s="10" t="s">
        <v>3183</v>
      </c>
      <c r="L1057" s="10" t="s">
        <v>2893</v>
      </c>
      <c r="M1057" s="10" t="s">
        <v>49</v>
      </c>
      <c r="N1057" s="16" t="s">
        <v>45</v>
      </c>
      <c r="O1057" s="10" t="s">
        <v>50</v>
      </c>
      <c r="P1057" s="9" t="str">
        <f t="shared" si="28"/>
        <v>N/I</v>
      </c>
      <c r="Q1057" s="9" t="str">
        <f t="shared" si="29"/>
        <v>N/I</v>
      </c>
      <c r="R1057" s="9" t="str">
        <f t="shared" si="32"/>
        <v>N/I</v>
      </c>
    </row>
    <row r="1058">
      <c r="A1058" s="11" t="s">
        <v>3138</v>
      </c>
      <c r="B1058" s="32" t="s">
        <v>3220</v>
      </c>
      <c r="C1058" s="12" t="s">
        <v>94</v>
      </c>
      <c r="D1058" s="16">
        <v>180220.0</v>
      </c>
      <c r="E1058" s="10" t="s">
        <v>291</v>
      </c>
      <c r="F1058" s="10" t="s">
        <v>3182</v>
      </c>
      <c r="G1058" s="12" t="s">
        <v>3221</v>
      </c>
      <c r="H1058" s="10" t="s">
        <v>583</v>
      </c>
      <c r="I1058" s="10" t="s">
        <v>290</v>
      </c>
      <c r="J1058" s="12" t="s">
        <v>46</v>
      </c>
      <c r="K1058" s="10" t="s">
        <v>3183</v>
      </c>
      <c r="L1058" s="10" t="s">
        <v>2893</v>
      </c>
      <c r="M1058" s="10" t="s">
        <v>49</v>
      </c>
      <c r="N1058" s="16" t="s">
        <v>45</v>
      </c>
      <c r="O1058" s="10" t="s">
        <v>50</v>
      </c>
      <c r="P1058" s="9" t="str">
        <f t="shared" si="28"/>
        <v>N/I</v>
      </c>
      <c r="Q1058" s="9" t="str">
        <f t="shared" si="29"/>
        <v>N/I</v>
      </c>
      <c r="R1058" s="9" t="str">
        <f t="shared" si="32"/>
        <v>N/I</v>
      </c>
    </row>
    <row r="1059">
      <c r="A1059" s="11" t="s">
        <v>3138</v>
      </c>
      <c r="B1059" s="11" t="s">
        <v>3224</v>
      </c>
      <c r="C1059" s="12" t="s">
        <v>94</v>
      </c>
      <c r="D1059" s="36" t="s">
        <v>3225</v>
      </c>
      <c r="E1059" s="10" t="s">
        <v>291</v>
      </c>
      <c r="F1059" s="10" t="s">
        <v>3179</v>
      </c>
      <c r="G1059" s="12" t="s">
        <v>3226</v>
      </c>
      <c r="H1059" s="10" t="s">
        <v>583</v>
      </c>
      <c r="I1059" s="10" t="s">
        <v>290</v>
      </c>
      <c r="J1059" s="12" t="s">
        <v>46</v>
      </c>
      <c r="K1059" s="10" t="s">
        <v>227</v>
      </c>
      <c r="L1059" s="16" t="s">
        <v>45</v>
      </c>
      <c r="M1059" s="10" t="s">
        <v>49</v>
      </c>
      <c r="N1059" s="16" t="s">
        <v>45</v>
      </c>
      <c r="O1059" s="10" t="s">
        <v>50</v>
      </c>
      <c r="P1059" s="9" t="str">
        <f t="shared" si="28"/>
        <v>N/I</v>
      </c>
      <c r="Q1059" s="9" t="str">
        <f t="shared" si="29"/>
        <v>N/I</v>
      </c>
      <c r="R1059" s="9" t="str">
        <f t="shared" si="32"/>
        <v>N/I</v>
      </c>
    </row>
    <row r="1060">
      <c r="A1060" s="11" t="s">
        <v>3138</v>
      </c>
      <c r="B1060" s="11" t="s">
        <v>3229</v>
      </c>
      <c r="C1060" s="12" t="s">
        <v>3230</v>
      </c>
      <c r="D1060" s="16" t="s">
        <v>3231</v>
      </c>
      <c r="E1060" s="16" t="s">
        <v>45</v>
      </c>
      <c r="F1060" s="10" t="s">
        <v>3234</v>
      </c>
      <c r="G1060" s="12" t="s">
        <v>3232</v>
      </c>
      <c r="H1060" s="10" t="s">
        <v>583</v>
      </c>
      <c r="I1060" s="16" t="s">
        <v>45</v>
      </c>
      <c r="J1060" s="16" t="s">
        <v>45</v>
      </c>
      <c r="K1060" s="16" t="s">
        <v>45</v>
      </c>
      <c r="L1060" s="16" t="s">
        <v>45</v>
      </c>
      <c r="M1060" s="16" t="s">
        <v>45</v>
      </c>
      <c r="N1060" s="16" t="s">
        <v>45</v>
      </c>
      <c r="O1060" s="16" t="s">
        <v>45</v>
      </c>
      <c r="P1060" s="9" t="str">
        <f t="shared" si="28"/>
        <v>N/I</v>
      </c>
      <c r="Q1060" s="9" t="str">
        <f t="shared" si="29"/>
        <v>N/I</v>
      </c>
      <c r="R1060" s="9" t="str">
        <f t="shared" si="32"/>
        <v>N/I</v>
      </c>
    </row>
    <row r="1061">
      <c r="A1061" s="11" t="s">
        <v>3138</v>
      </c>
      <c r="B1061" s="11" t="s">
        <v>3235</v>
      </c>
      <c r="C1061" s="12" t="s">
        <v>94</v>
      </c>
      <c r="D1061" s="36" t="s">
        <v>3236</v>
      </c>
      <c r="E1061" s="10" t="s">
        <v>291</v>
      </c>
      <c r="F1061" s="10" t="s">
        <v>3179</v>
      </c>
      <c r="G1061" s="12" t="s">
        <v>3237</v>
      </c>
      <c r="H1061" s="10" t="s">
        <v>583</v>
      </c>
      <c r="I1061" s="10" t="s">
        <v>290</v>
      </c>
      <c r="J1061" s="12" t="s">
        <v>46</v>
      </c>
      <c r="K1061" s="10" t="s">
        <v>227</v>
      </c>
      <c r="L1061" s="16" t="s">
        <v>45</v>
      </c>
      <c r="M1061" s="10" t="s">
        <v>49</v>
      </c>
      <c r="N1061" s="16" t="s">
        <v>45</v>
      </c>
      <c r="O1061" s="10" t="s">
        <v>50</v>
      </c>
      <c r="P1061" s="9" t="str">
        <f t="shared" si="28"/>
        <v>N/I</v>
      </c>
      <c r="Q1061" s="9" t="str">
        <f t="shared" si="29"/>
        <v>N/I</v>
      </c>
      <c r="R1061" s="9" t="str">
        <f t="shared" si="32"/>
        <v>N/I</v>
      </c>
    </row>
    <row r="1062">
      <c r="A1062" s="11" t="s">
        <v>3138</v>
      </c>
      <c r="B1062" s="32" t="s">
        <v>3240</v>
      </c>
      <c r="C1062" s="12" t="s">
        <v>94</v>
      </c>
      <c r="D1062" s="16">
        <v>180238.0</v>
      </c>
      <c r="E1062" s="10" t="s">
        <v>291</v>
      </c>
      <c r="F1062" s="10" t="s">
        <v>3244</v>
      </c>
      <c r="G1062" s="12" t="s">
        <v>3241</v>
      </c>
      <c r="H1062" s="10" t="s">
        <v>583</v>
      </c>
      <c r="I1062" s="10" t="s">
        <v>290</v>
      </c>
      <c r="J1062" s="12" t="s">
        <v>46</v>
      </c>
      <c r="K1062" s="10" t="s">
        <v>3183</v>
      </c>
      <c r="L1062" s="10" t="s">
        <v>2893</v>
      </c>
      <c r="M1062" s="10" t="s">
        <v>49</v>
      </c>
      <c r="N1062" s="16" t="s">
        <v>45</v>
      </c>
      <c r="O1062" s="10" t="s">
        <v>50</v>
      </c>
      <c r="P1062" s="9" t="str">
        <f t="shared" si="28"/>
        <v>N/I</v>
      </c>
      <c r="Q1062" s="9" t="str">
        <f t="shared" si="29"/>
        <v>N/I</v>
      </c>
      <c r="R1062" s="9" t="str">
        <f t="shared" si="32"/>
        <v>N/I</v>
      </c>
    </row>
    <row r="1063">
      <c r="A1063" s="11" t="s">
        <v>3138</v>
      </c>
      <c r="B1063" s="32" t="s">
        <v>3245</v>
      </c>
      <c r="C1063" s="12" t="s">
        <v>94</v>
      </c>
      <c r="D1063" s="16">
        <v>180215.0</v>
      </c>
      <c r="E1063" s="10" t="s">
        <v>291</v>
      </c>
      <c r="F1063" s="10" t="s">
        <v>3244</v>
      </c>
      <c r="G1063" s="12" t="s">
        <v>3246</v>
      </c>
      <c r="H1063" s="10" t="s">
        <v>583</v>
      </c>
      <c r="I1063" s="10" t="s">
        <v>290</v>
      </c>
      <c r="J1063" s="12" t="s">
        <v>46</v>
      </c>
      <c r="K1063" s="10" t="s">
        <v>3183</v>
      </c>
      <c r="L1063" s="10" t="s">
        <v>2893</v>
      </c>
      <c r="M1063" s="10" t="s">
        <v>49</v>
      </c>
      <c r="N1063" s="16" t="s">
        <v>45</v>
      </c>
      <c r="O1063" s="10" t="s">
        <v>50</v>
      </c>
      <c r="P1063" s="9" t="str">
        <f t="shared" si="28"/>
        <v>N/I</v>
      </c>
      <c r="Q1063" s="9" t="str">
        <f t="shared" si="29"/>
        <v>N/I</v>
      </c>
      <c r="R1063" s="9" t="str">
        <f t="shared" si="32"/>
        <v>N/I</v>
      </c>
    </row>
    <row r="1064">
      <c r="A1064" s="11" t="s">
        <v>3138</v>
      </c>
      <c r="B1064" s="11" t="s">
        <v>3249</v>
      </c>
      <c r="C1064" s="12" t="s">
        <v>94</v>
      </c>
      <c r="D1064" s="36" t="s">
        <v>3250</v>
      </c>
      <c r="E1064" s="10" t="s">
        <v>291</v>
      </c>
      <c r="F1064" s="10" t="s">
        <v>3179</v>
      </c>
      <c r="G1064" s="12" t="s">
        <v>3251</v>
      </c>
      <c r="H1064" s="10" t="s">
        <v>583</v>
      </c>
      <c r="I1064" s="10" t="s">
        <v>290</v>
      </c>
      <c r="J1064" s="12" t="s">
        <v>46</v>
      </c>
      <c r="K1064" s="10" t="s">
        <v>227</v>
      </c>
      <c r="L1064" s="16" t="s">
        <v>45</v>
      </c>
      <c r="M1064" s="10" t="s">
        <v>49</v>
      </c>
      <c r="N1064" s="16" t="s">
        <v>45</v>
      </c>
      <c r="O1064" s="10" t="s">
        <v>50</v>
      </c>
      <c r="P1064" s="9" t="str">
        <f t="shared" si="28"/>
        <v>N/I</v>
      </c>
      <c r="Q1064" s="9" t="str">
        <f t="shared" si="29"/>
        <v>N/I</v>
      </c>
      <c r="R1064" s="9" t="str">
        <f t="shared" si="32"/>
        <v>N/I</v>
      </c>
    </row>
    <row r="1065">
      <c r="A1065" s="11" t="s">
        <v>3138</v>
      </c>
      <c r="B1065" s="11" t="s">
        <v>3224</v>
      </c>
      <c r="C1065" s="12" t="s">
        <v>94</v>
      </c>
      <c r="D1065" s="16">
        <v>170243.0</v>
      </c>
      <c r="E1065" s="10" t="s">
        <v>291</v>
      </c>
      <c r="F1065" s="10" t="s">
        <v>3186</v>
      </c>
      <c r="G1065" s="12" t="s">
        <v>3254</v>
      </c>
      <c r="H1065" s="10" t="s">
        <v>583</v>
      </c>
      <c r="I1065" s="10" t="s">
        <v>290</v>
      </c>
      <c r="J1065" s="12" t="s">
        <v>46</v>
      </c>
      <c r="K1065" s="10" t="s">
        <v>3183</v>
      </c>
      <c r="L1065" s="10" t="s">
        <v>2893</v>
      </c>
      <c r="M1065" s="10" t="s">
        <v>49</v>
      </c>
      <c r="N1065" s="16" t="s">
        <v>45</v>
      </c>
      <c r="O1065" s="10" t="s">
        <v>50</v>
      </c>
      <c r="P1065" s="9" t="str">
        <f t="shared" si="28"/>
        <v>N/I</v>
      </c>
      <c r="Q1065" s="9" t="str">
        <f t="shared" si="29"/>
        <v>N/I</v>
      </c>
      <c r="R1065" s="9" t="str">
        <f t="shared" si="32"/>
        <v>N/I</v>
      </c>
    </row>
    <row r="1066">
      <c r="A1066" s="11" t="s">
        <v>3138</v>
      </c>
      <c r="B1066" s="11" t="s">
        <v>3224</v>
      </c>
      <c r="C1066" s="12" t="s">
        <v>94</v>
      </c>
      <c r="D1066" s="16">
        <v>170241.0</v>
      </c>
      <c r="E1066" s="10" t="s">
        <v>291</v>
      </c>
      <c r="F1066" s="10" t="s">
        <v>3186</v>
      </c>
      <c r="G1066" s="12" t="s">
        <v>643</v>
      </c>
      <c r="H1066" s="10" t="s">
        <v>583</v>
      </c>
      <c r="I1066" s="10" t="s">
        <v>290</v>
      </c>
      <c r="J1066" s="12" t="s">
        <v>46</v>
      </c>
      <c r="K1066" s="10" t="s">
        <v>3183</v>
      </c>
      <c r="L1066" s="10" t="s">
        <v>2893</v>
      </c>
      <c r="M1066" s="10" t="s">
        <v>49</v>
      </c>
      <c r="N1066" s="16" t="s">
        <v>45</v>
      </c>
      <c r="O1066" s="10" t="s">
        <v>50</v>
      </c>
      <c r="P1066" s="9" t="str">
        <f t="shared" si="28"/>
        <v>N/I</v>
      </c>
      <c r="Q1066" s="9" t="str">
        <f t="shared" si="29"/>
        <v>N/I</v>
      </c>
      <c r="R1066" s="9" t="str">
        <f t="shared" si="32"/>
        <v>N/I</v>
      </c>
    </row>
    <row r="1067">
      <c r="A1067" s="11" t="s">
        <v>3138</v>
      </c>
      <c r="B1067" s="11" t="s">
        <v>3258</v>
      </c>
      <c r="C1067" s="12" t="s">
        <v>94</v>
      </c>
      <c r="D1067" s="16">
        <v>170239.0</v>
      </c>
      <c r="E1067" s="10" t="s">
        <v>291</v>
      </c>
      <c r="F1067" s="10" t="s">
        <v>3186</v>
      </c>
      <c r="G1067" s="12" t="s">
        <v>643</v>
      </c>
      <c r="H1067" s="10" t="s">
        <v>583</v>
      </c>
      <c r="I1067" s="10" t="s">
        <v>290</v>
      </c>
      <c r="J1067" s="12" t="s">
        <v>46</v>
      </c>
      <c r="K1067" s="10" t="s">
        <v>3183</v>
      </c>
      <c r="L1067" s="10" t="s">
        <v>2893</v>
      </c>
      <c r="M1067" s="10" t="s">
        <v>49</v>
      </c>
      <c r="N1067" s="16" t="s">
        <v>45</v>
      </c>
      <c r="O1067" s="10" t="s">
        <v>50</v>
      </c>
      <c r="P1067" s="9" t="str">
        <f t="shared" si="28"/>
        <v>N/I</v>
      </c>
      <c r="Q1067" s="9" t="str">
        <f t="shared" si="29"/>
        <v>N/I</v>
      </c>
      <c r="R1067" s="9" t="str">
        <f t="shared" si="32"/>
        <v>N/I</v>
      </c>
    </row>
    <row r="1068">
      <c r="A1068" s="11" t="s">
        <v>3138</v>
      </c>
      <c r="B1068" s="11" t="s">
        <v>3261</v>
      </c>
      <c r="C1068" s="12" t="s">
        <v>94</v>
      </c>
      <c r="D1068" s="16">
        <v>170257.0</v>
      </c>
      <c r="E1068" s="10" t="s">
        <v>291</v>
      </c>
      <c r="F1068" s="10" t="s">
        <v>3186</v>
      </c>
      <c r="G1068" s="12" t="s">
        <v>643</v>
      </c>
      <c r="H1068" s="10" t="s">
        <v>583</v>
      </c>
      <c r="I1068" s="10" t="s">
        <v>290</v>
      </c>
      <c r="J1068" s="12" t="s">
        <v>46</v>
      </c>
      <c r="K1068" s="10" t="s">
        <v>3183</v>
      </c>
      <c r="L1068" s="10" t="s">
        <v>2893</v>
      </c>
      <c r="M1068" s="10" t="s">
        <v>49</v>
      </c>
      <c r="N1068" s="16" t="s">
        <v>45</v>
      </c>
      <c r="O1068" s="10" t="s">
        <v>50</v>
      </c>
      <c r="P1068" s="9" t="str">
        <f t="shared" si="28"/>
        <v>N/I</v>
      </c>
      <c r="Q1068" s="9" t="str">
        <f t="shared" si="29"/>
        <v>N/I</v>
      </c>
      <c r="R1068" s="9" t="str">
        <f t="shared" si="32"/>
        <v>N/I</v>
      </c>
    </row>
    <row r="1069">
      <c r="A1069" s="11" t="s">
        <v>3138</v>
      </c>
      <c r="B1069" s="11" t="s">
        <v>3262</v>
      </c>
      <c r="C1069" s="12" t="s">
        <v>94</v>
      </c>
      <c r="D1069" s="16">
        <v>170250.0</v>
      </c>
      <c r="E1069" s="10" t="s">
        <v>291</v>
      </c>
      <c r="F1069" s="10" t="s">
        <v>3186</v>
      </c>
      <c r="G1069" s="12" t="s">
        <v>643</v>
      </c>
      <c r="H1069" s="10" t="s">
        <v>583</v>
      </c>
      <c r="I1069" s="10" t="s">
        <v>290</v>
      </c>
      <c r="J1069" s="12" t="s">
        <v>46</v>
      </c>
      <c r="K1069" s="10" t="s">
        <v>3183</v>
      </c>
      <c r="L1069" s="10" t="s">
        <v>2893</v>
      </c>
      <c r="M1069" s="10" t="s">
        <v>49</v>
      </c>
      <c r="N1069" s="16" t="s">
        <v>45</v>
      </c>
      <c r="O1069" s="10" t="s">
        <v>50</v>
      </c>
      <c r="P1069" s="9" t="str">
        <f t="shared" si="28"/>
        <v>N/I</v>
      </c>
      <c r="Q1069" s="9" t="str">
        <f t="shared" si="29"/>
        <v>N/I</v>
      </c>
      <c r="R1069" s="9" t="str">
        <f t="shared" si="32"/>
        <v>N/I</v>
      </c>
    </row>
    <row r="1070">
      <c r="A1070" s="11" t="s">
        <v>3138</v>
      </c>
      <c r="B1070" s="11" t="s">
        <v>3265</v>
      </c>
      <c r="C1070" s="12" t="s">
        <v>94</v>
      </c>
      <c r="D1070" s="16">
        <v>170252.0</v>
      </c>
      <c r="E1070" s="10" t="s">
        <v>291</v>
      </c>
      <c r="F1070" s="10" t="s">
        <v>3186</v>
      </c>
      <c r="G1070" s="12" t="s">
        <v>643</v>
      </c>
      <c r="H1070" s="10" t="s">
        <v>583</v>
      </c>
      <c r="I1070" s="10" t="s">
        <v>290</v>
      </c>
      <c r="J1070" s="12" t="s">
        <v>46</v>
      </c>
      <c r="K1070" s="10" t="s">
        <v>3183</v>
      </c>
      <c r="L1070" s="10" t="s">
        <v>2893</v>
      </c>
      <c r="M1070" s="10" t="s">
        <v>49</v>
      </c>
      <c r="N1070" s="16" t="s">
        <v>45</v>
      </c>
      <c r="O1070" s="10" t="s">
        <v>50</v>
      </c>
      <c r="P1070" s="9" t="str">
        <f t="shared" si="28"/>
        <v>N/I</v>
      </c>
      <c r="Q1070" s="9" t="str">
        <f t="shared" si="29"/>
        <v>N/I</v>
      </c>
      <c r="R1070" s="9" t="str">
        <f t="shared" si="32"/>
        <v>N/I</v>
      </c>
    </row>
    <row r="1071">
      <c r="A1071" s="11" t="s">
        <v>3138</v>
      </c>
      <c r="B1071" s="11" t="s">
        <v>3265</v>
      </c>
      <c r="C1071" s="12" t="s">
        <v>94</v>
      </c>
      <c r="D1071" s="16">
        <v>170253.0</v>
      </c>
      <c r="E1071" s="10" t="s">
        <v>291</v>
      </c>
      <c r="F1071" s="10" t="s">
        <v>3186</v>
      </c>
      <c r="G1071" s="12" t="s">
        <v>643</v>
      </c>
      <c r="H1071" s="10" t="s">
        <v>583</v>
      </c>
      <c r="I1071" s="10" t="s">
        <v>290</v>
      </c>
      <c r="J1071" s="12" t="s">
        <v>46</v>
      </c>
      <c r="K1071" s="10" t="s">
        <v>3183</v>
      </c>
      <c r="L1071" s="10" t="s">
        <v>2893</v>
      </c>
      <c r="M1071" s="10" t="s">
        <v>49</v>
      </c>
      <c r="N1071" s="16" t="s">
        <v>45</v>
      </c>
      <c r="O1071" s="10" t="s">
        <v>50</v>
      </c>
      <c r="P1071" s="9" t="str">
        <f t="shared" si="28"/>
        <v>N/I</v>
      </c>
      <c r="Q1071" s="9" t="str">
        <f t="shared" si="29"/>
        <v>N/I</v>
      </c>
      <c r="R1071" s="9" t="str">
        <f t="shared" si="32"/>
        <v>N/I</v>
      </c>
    </row>
    <row r="1072">
      <c r="A1072" s="11" t="s">
        <v>3138</v>
      </c>
      <c r="B1072" s="11" t="s">
        <v>3266</v>
      </c>
      <c r="C1072" s="12" t="s">
        <v>3230</v>
      </c>
      <c r="D1072" s="16" t="s">
        <v>3267</v>
      </c>
      <c r="E1072" s="16" t="s">
        <v>45</v>
      </c>
      <c r="F1072" s="10" t="s">
        <v>3234</v>
      </c>
      <c r="G1072" s="12" t="s">
        <v>643</v>
      </c>
      <c r="H1072" s="10" t="s">
        <v>583</v>
      </c>
      <c r="I1072" s="16" t="s">
        <v>45</v>
      </c>
      <c r="J1072" s="16" t="s">
        <v>45</v>
      </c>
      <c r="K1072" s="16" t="s">
        <v>45</v>
      </c>
      <c r="L1072" s="16" t="s">
        <v>45</v>
      </c>
      <c r="M1072" s="16" t="s">
        <v>45</v>
      </c>
      <c r="N1072" s="16" t="s">
        <v>45</v>
      </c>
      <c r="O1072" s="16" t="s">
        <v>45</v>
      </c>
      <c r="P1072" s="9" t="str">
        <f t="shared" si="28"/>
        <v>N/I</v>
      </c>
      <c r="Q1072" s="9" t="str">
        <f t="shared" si="29"/>
        <v>N/I</v>
      </c>
      <c r="R1072" s="9" t="str">
        <f t="shared" si="32"/>
        <v>N/I</v>
      </c>
    </row>
    <row r="1073">
      <c r="A1073" s="11" t="s">
        <v>3138</v>
      </c>
      <c r="B1073" s="11" t="s">
        <v>3268</v>
      </c>
      <c r="C1073" s="12" t="s">
        <v>3230</v>
      </c>
      <c r="D1073" s="16" t="s">
        <v>3269</v>
      </c>
      <c r="E1073" s="16" t="s">
        <v>45</v>
      </c>
      <c r="F1073" s="10" t="s">
        <v>3234</v>
      </c>
      <c r="G1073" s="12" t="s">
        <v>643</v>
      </c>
      <c r="H1073" s="10" t="s">
        <v>583</v>
      </c>
      <c r="I1073" s="16" t="s">
        <v>45</v>
      </c>
      <c r="J1073" s="16" t="s">
        <v>45</v>
      </c>
      <c r="K1073" s="16" t="s">
        <v>45</v>
      </c>
      <c r="L1073" s="16" t="s">
        <v>45</v>
      </c>
      <c r="M1073" s="16" t="s">
        <v>45</v>
      </c>
      <c r="N1073" s="16" t="s">
        <v>45</v>
      </c>
      <c r="O1073" s="16" t="s">
        <v>45</v>
      </c>
      <c r="P1073" s="9" t="str">
        <f t="shared" si="28"/>
        <v>N/I</v>
      </c>
      <c r="Q1073" s="9" t="str">
        <f t="shared" si="29"/>
        <v>N/I</v>
      </c>
      <c r="R1073" s="9" t="str">
        <f t="shared" si="32"/>
        <v>N/I</v>
      </c>
    </row>
    <row r="1074">
      <c r="A1074" s="11" t="s">
        <v>3138</v>
      </c>
      <c r="B1074" s="11" t="s">
        <v>3270</v>
      </c>
      <c r="C1074" s="12" t="s">
        <v>3230</v>
      </c>
      <c r="D1074" s="16" t="s">
        <v>3271</v>
      </c>
      <c r="E1074" s="16" t="s">
        <v>45</v>
      </c>
      <c r="F1074" s="10" t="s">
        <v>3234</v>
      </c>
      <c r="G1074" s="12" t="s">
        <v>643</v>
      </c>
      <c r="H1074" s="10" t="s">
        <v>583</v>
      </c>
      <c r="I1074" s="16" t="s">
        <v>45</v>
      </c>
      <c r="J1074" s="16" t="s">
        <v>45</v>
      </c>
      <c r="K1074" s="16" t="s">
        <v>45</v>
      </c>
      <c r="L1074" s="16" t="s">
        <v>45</v>
      </c>
      <c r="M1074" s="16" t="s">
        <v>45</v>
      </c>
      <c r="N1074" s="16" t="s">
        <v>45</v>
      </c>
      <c r="O1074" s="16" t="s">
        <v>45</v>
      </c>
      <c r="P1074" s="9" t="str">
        <f t="shared" si="28"/>
        <v>N/I</v>
      </c>
      <c r="Q1074" s="9" t="str">
        <f t="shared" si="29"/>
        <v>N/I</v>
      </c>
      <c r="R1074" s="9" t="str">
        <f t="shared" si="32"/>
        <v>N/I</v>
      </c>
    </row>
    <row r="1075">
      <c r="A1075" s="11" t="s">
        <v>3138</v>
      </c>
      <c r="B1075" s="11" t="s">
        <v>3270</v>
      </c>
      <c r="C1075" s="12" t="s">
        <v>94</v>
      </c>
      <c r="D1075" s="36" t="s">
        <v>3272</v>
      </c>
      <c r="E1075" s="10" t="s">
        <v>291</v>
      </c>
      <c r="F1075" s="10" t="s">
        <v>3179</v>
      </c>
      <c r="G1075" s="12" t="s">
        <v>3273</v>
      </c>
      <c r="H1075" s="10" t="s">
        <v>583</v>
      </c>
      <c r="I1075" s="10" t="s">
        <v>290</v>
      </c>
      <c r="J1075" s="12" t="s">
        <v>46</v>
      </c>
      <c r="K1075" s="10" t="s">
        <v>227</v>
      </c>
      <c r="L1075" s="16" t="s">
        <v>45</v>
      </c>
      <c r="M1075" s="10" t="s">
        <v>49</v>
      </c>
      <c r="N1075" s="16" t="s">
        <v>45</v>
      </c>
      <c r="O1075" s="10" t="s">
        <v>50</v>
      </c>
      <c r="P1075" s="9" t="str">
        <f t="shared" si="28"/>
        <v>N/I</v>
      </c>
      <c r="Q1075" s="9" t="str">
        <f t="shared" si="29"/>
        <v>N/I</v>
      </c>
      <c r="R1075" s="9" t="str">
        <f t="shared" si="32"/>
        <v>N/I</v>
      </c>
    </row>
    <row r="1076">
      <c r="A1076" s="11" t="s">
        <v>3138</v>
      </c>
      <c r="B1076" s="11" t="s">
        <v>1458</v>
      </c>
      <c r="C1076" s="12" t="s">
        <v>94</v>
      </c>
      <c r="D1076" s="16">
        <v>170245.0</v>
      </c>
      <c r="E1076" s="10" t="s">
        <v>291</v>
      </c>
      <c r="F1076" s="10" t="s">
        <v>3186</v>
      </c>
      <c r="G1076" s="12" t="s">
        <v>1455</v>
      </c>
      <c r="H1076" s="10" t="s">
        <v>583</v>
      </c>
      <c r="I1076" s="10" t="s">
        <v>290</v>
      </c>
      <c r="J1076" s="12" t="s">
        <v>46</v>
      </c>
      <c r="K1076" s="10" t="s">
        <v>3183</v>
      </c>
      <c r="L1076" s="10" t="s">
        <v>2893</v>
      </c>
      <c r="M1076" s="10" t="s">
        <v>49</v>
      </c>
      <c r="N1076" s="16" t="s">
        <v>45</v>
      </c>
      <c r="O1076" s="10" t="s">
        <v>50</v>
      </c>
      <c r="P1076" s="9" t="str">
        <f t="shared" si="28"/>
        <v>N/I</v>
      </c>
      <c r="Q1076" s="9" t="str">
        <f t="shared" si="29"/>
        <v>N/I</v>
      </c>
      <c r="R1076" s="9" t="str">
        <f t="shared" si="32"/>
        <v>N/I</v>
      </c>
    </row>
    <row r="1077">
      <c r="A1077" s="11" t="s">
        <v>3138</v>
      </c>
      <c r="B1077" s="11" t="s">
        <v>3276</v>
      </c>
      <c r="C1077" s="12" t="s">
        <v>94</v>
      </c>
      <c r="D1077" s="16">
        <v>170256.0</v>
      </c>
      <c r="E1077" s="10" t="s">
        <v>291</v>
      </c>
      <c r="F1077" s="10" t="s">
        <v>3186</v>
      </c>
      <c r="G1077" s="12" t="s">
        <v>1455</v>
      </c>
      <c r="H1077" s="10" t="s">
        <v>583</v>
      </c>
      <c r="I1077" s="10" t="s">
        <v>290</v>
      </c>
      <c r="J1077" s="12" t="s">
        <v>46</v>
      </c>
      <c r="K1077" s="10" t="s">
        <v>3183</v>
      </c>
      <c r="L1077" s="10" t="s">
        <v>2893</v>
      </c>
      <c r="M1077" s="10" t="s">
        <v>49</v>
      </c>
      <c r="N1077" s="16" t="s">
        <v>45</v>
      </c>
      <c r="O1077" s="10" t="s">
        <v>50</v>
      </c>
      <c r="P1077" s="9" t="str">
        <f t="shared" si="28"/>
        <v>N/I</v>
      </c>
      <c r="Q1077" s="9" t="str">
        <f t="shared" si="29"/>
        <v>N/I</v>
      </c>
      <c r="R1077" s="9" t="str">
        <f t="shared" si="32"/>
        <v>N/I</v>
      </c>
    </row>
    <row r="1078">
      <c r="A1078" s="11" t="s">
        <v>3138</v>
      </c>
      <c r="B1078" s="11" t="s">
        <v>3278</v>
      </c>
      <c r="C1078" s="12" t="s">
        <v>94</v>
      </c>
      <c r="D1078" s="13" t="s">
        <v>3279</v>
      </c>
      <c r="E1078" s="10" t="s">
        <v>291</v>
      </c>
      <c r="F1078" s="10" t="s">
        <v>3282</v>
      </c>
      <c r="G1078" s="12" t="s">
        <v>1455</v>
      </c>
      <c r="H1078" s="10" t="s">
        <v>583</v>
      </c>
      <c r="I1078" s="10" t="s">
        <v>290</v>
      </c>
      <c r="J1078" s="12" t="s">
        <v>46</v>
      </c>
      <c r="K1078" s="10" t="s">
        <v>3183</v>
      </c>
      <c r="L1078" s="16" t="s">
        <v>45</v>
      </c>
      <c r="M1078" s="10" t="s">
        <v>49</v>
      </c>
      <c r="N1078" s="16" t="s">
        <v>45</v>
      </c>
      <c r="O1078" s="10" t="s">
        <v>50</v>
      </c>
      <c r="P1078" s="9" t="str">
        <f t="shared" si="28"/>
        <v>N/I</v>
      </c>
      <c r="Q1078" s="9" t="str">
        <f t="shared" si="29"/>
        <v>N/I</v>
      </c>
      <c r="R1078" s="9" t="str">
        <f t="shared" si="32"/>
        <v>N/I</v>
      </c>
    </row>
    <row r="1079">
      <c r="A1079" s="11" t="s">
        <v>3138</v>
      </c>
      <c r="B1079" s="11" t="s">
        <v>3278</v>
      </c>
      <c r="C1079" s="12" t="s">
        <v>502</v>
      </c>
      <c r="D1079" s="13" t="s">
        <v>3283</v>
      </c>
      <c r="E1079" s="10" t="s">
        <v>291</v>
      </c>
      <c r="F1079" s="10" t="s">
        <v>3282</v>
      </c>
      <c r="G1079" s="12" t="s">
        <v>1455</v>
      </c>
      <c r="H1079" s="10" t="s">
        <v>583</v>
      </c>
      <c r="I1079" s="10" t="s">
        <v>290</v>
      </c>
      <c r="J1079" s="12" t="s">
        <v>46</v>
      </c>
      <c r="K1079" s="10" t="s">
        <v>3183</v>
      </c>
      <c r="L1079" s="16" t="s">
        <v>45</v>
      </c>
      <c r="M1079" s="10" t="s">
        <v>49</v>
      </c>
      <c r="N1079" s="16" t="s">
        <v>45</v>
      </c>
      <c r="O1079" s="10" t="s">
        <v>50</v>
      </c>
      <c r="P1079" s="9" t="str">
        <f t="shared" si="28"/>
        <v>N/I</v>
      </c>
      <c r="Q1079" s="9" t="str">
        <f t="shared" si="29"/>
        <v>N/I</v>
      </c>
      <c r="R1079" s="9" t="str">
        <f t="shared" si="32"/>
        <v>N/I</v>
      </c>
    </row>
    <row r="1080">
      <c r="A1080" s="11" t="s">
        <v>3138</v>
      </c>
      <c r="B1080" s="32" t="s">
        <v>3286</v>
      </c>
      <c r="C1080" s="12" t="s">
        <v>94</v>
      </c>
      <c r="D1080" s="16">
        <v>180233.0</v>
      </c>
      <c r="E1080" s="10" t="s">
        <v>291</v>
      </c>
      <c r="F1080" s="10" t="s">
        <v>3244</v>
      </c>
      <c r="G1080" s="12" t="s">
        <v>1479</v>
      </c>
      <c r="H1080" s="10" t="s">
        <v>583</v>
      </c>
      <c r="I1080" s="10" t="s">
        <v>290</v>
      </c>
      <c r="J1080" s="12" t="s">
        <v>46</v>
      </c>
      <c r="K1080" s="10" t="s">
        <v>3183</v>
      </c>
      <c r="L1080" s="10" t="s">
        <v>2893</v>
      </c>
      <c r="M1080" s="10" t="s">
        <v>49</v>
      </c>
      <c r="N1080" s="16" t="s">
        <v>45</v>
      </c>
      <c r="O1080" s="10" t="s">
        <v>50</v>
      </c>
      <c r="P1080" s="9" t="str">
        <f t="shared" si="28"/>
        <v>N/I</v>
      </c>
      <c r="Q1080" s="9" t="str">
        <f t="shared" si="29"/>
        <v>N/I</v>
      </c>
      <c r="R1080" s="9" t="str">
        <f t="shared" si="32"/>
        <v>N/I</v>
      </c>
    </row>
    <row r="1081">
      <c r="A1081" s="11" t="s">
        <v>3138</v>
      </c>
      <c r="B1081" s="32" t="s">
        <v>3289</v>
      </c>
      <c r="C1081" s="12" t="s">
        <v>94</v>
      </c>
      <c r="D1081" s="16">
        <v>180237.0</v>
      </c>
      <c r="E1081" s="10" t="s">
        <v>291</v>
      </c>
      <c r="F1081" s="10" t="s">
        <v>3182</v>
      </c>
      <c r="G1081" s="12" t="s">
        <v>3290</v>
      </c>
      <c r="H1081" s="10" t="s">
        <v>583</v>
      </c>
      <c r="I1081" s="10" t="s">
        <v>290</v>
      </c>
      <c r="J1081" s="12" t="s">
        <v>46</v>
      </c>
      <c r="K1081" s="10" t="s">
        <v>3183</v>
      </c>
      <c r="L1081" s="10" t="s">
        <v>2893</v>
      </c>
      <c r="M1081" s="10" t="s">
        <v>49</v>
      </c>
      <c r="N1081" s="16" t="s">
        <v>45</v>
      </c>
      <c r="O1081" s="10" t="s">
        <v>50</v>
      </c>
      <c r="P1081" s="9" t="str">
        <f t="shared" si="28"/>
        <v>N/I</v>
      </c>
      <c r="Q1081" s="9" t="str">
        <f t="shared" si="29"/>
        <v>N/I</v>
      </c>
      <c r="R1081" s="9" t="str">
        <f t="shared" si="32"/>
        <v>N/I</v>
      </c>
    </row>
    <row r="1082">
      <c r="A1082" s="11" t="s">
        <v>3138</v>
      </c>
      <c r="B1082" s="11" t="s">
        <v>3294</v>
      </c>
      <c r="C1082" s="12" t="s">
        <v>94</v>
      </c>
      <c r="D1082" s="27" t="s">
        <v>3295</v>
      </c>
      <c r="E1082" s="16" t="s">
        <v>45</v>
      </c>
      <c r="F1082" s="10" t="s">
        <v>3298</v>
      </c>
      <c r="G1082" s="12" t="s">
        <v>1053</v>
      </c>
      <c r="H1082" s="10" t="s">
        <v>222</v>
      </c>
      <c r="I1082" s="16" t="s">
        <v>45</v>
      </c>
      <c r="J1082" s="16" t="s">
        <v>45</v>
      </c>
      <c r="K1082" s="16" t="s">
        <v>45</v>
      </c>
      <c r="L1082" s="16" t="s">
        <v>45</v>
      </c>
      <c r="M1082" s="16" t="s">
        <v>45</v>
      </c>
      <c r="N1082" s="16" t="s">
        <v>45</v>
      </c>
      <c r="O1082" s="16" t="s">
        <v>45</v>
      </c>
      <c r="P1082" s="9" t="str">
        <f t="shared" si="28"/>
        <v>N/I</v>
      </c>
      <c r="Q1082" s="9" t="str">
        <f t="shared" si="29"/>
        <v>N/I</v>
      </c>
      <c r="R1082" s="9" t="str">
        <f t="shared" si="32"/>
        <v>N/I</v>
      </c>
    </row>
    <row r="1083">
      <c r="A1083" s="11" t="s">
        <v>3138</v>
      </c>
      <c r="B1083" s="11" t="s">
        <v>3299</v>
      </c>
      <c r="C1083" s="12" t="s">
        <v>94</v>
      </c>
      <c r="D1083" s="27" t="s">
        <v>3300</v>
      </c>
      <c r="E1083" s="16" t="s">
        <v>45</v>
      </c>
      <c r="F1083" s="10" t="s">
        <v>3298</v>
      </c>
      <c r="G1083" s="12" t="s">
        <v>1053</v>
      </c>
      <c r="H1083" s="10" t="s">
        <v>222</v>
      </c>
      <c r="I1083" s="16" t="s">
        <v>45</v>
      </c>
      <c r="J1083" s="16" t="s">
        <v>45</v>
      </c>
      <c r="K1083" s="16" t="s">
        <v>45</v>
      </c>
      <c r="L1083" s="16" t="s">
        <v>45</v>
      </c>
      <c r="M1083" s="16" t="s">
        <v>45</v>
      </c>
      <c r="N1083" s="16" t="s">
        <v>45</v>
      </c>
      <c r="O1083" s="16" t="s">
        <v>45</v>
      </c>
      <c r="P1083" s="9" t="str">
        <f t="shared" si="28"/>
        <v>N/I</v>
      </c>
      <c r="Q1083" s="9" t="str">
        <f t="shared" si="29"/>
        <v>N/I</v>
      </c>
      <c r="R1083" s="9" t="str">
        <f t="shared" si="32"/>
        <v>N/I</v>
      </c>
    </row>
    <row r="1084">
      <c r="A1084" s="11" t="s">
        <v>3138</v>
      </c>
      <c r="B1084" s="11" t="s">
        <v>3303</v>
      </c>
      <c r="C1084" s="12" t="s">
        <v>94</v>
      </c>
      <c r="D1084" s="27" t="s">
        <v>3304</v>
      </c>
      <c r="E1084" s="16" t="s">
        <v>45</v>
      </c>
      <c r="F1084" s="10" t="s">
        <v>3298</v>
      </c>
      <c r="G1084" s="12" t="s">
        <v>3305</v>
      </c>
      <c r="H1084" s="10" t="s">
        <v>222</v>
      </c>
      <c r="I1084" s="16" t="s">
        <v>45</v>
      </c>
      <c r="J1084" s="16" t="s">
        <v>45</v>
      </c>
      <c r="K1084" s="16" t="s">
        <v>45</v>
      </c>
      <c r="L1084" s="16" t="s">
        <v>45</v>
      </c>
      <c r="M1084" s="16" t="s">
        <v>45</v>
      </c>
      <c r="N1084" s="16" t="s">
        <v>45</v>
      </c>
      <c r="O1084" s="16" t="s">
        <v>45</v>
      </c>
      <c r="P1084" s="9" t="str">
        <f t="shared" si="28"/>
        <v>N/I</v>
      </c>
      <c r="Q1084" s="9" t="str">
        <f t="shared" si="29"/>
        <v>N/I</v>
      </c>
      <c r="R1084" s="9" t="str">
        <f t="shared" si="32"/>
        <v>N/I</v>
      </c>
    </row>
    <row r="1085">
      <c r="A1085" s="11" t="s">
        <v>3138</v>
      </c>
      <c r="B1085" s="11" t="s">
        <v>3308</v>
      </c>
      <c r="C1085" s="12" t="s">
        <v>94</v>
      </c>
      <c r="D1085" s="27" t="s">
        <v>3309</v>
      </c>
      <c r="E1085" s="16" t="s">
        <v>45</v>
      </c>
      <c r="F1085" s="10" t="s">
        <v>3298</v>
      </c>
      <c r="G1085" s="12" t="s">
        <v>3310</v>
      </c>
      <c r="H1085" s="10" t="s">
        <v>222</v>
      </c>
      <c r="I1085" s="16" t="s">
        <v>45</v>
      </c>
      <c r="J1085" s="16" t="s">
        <v>45</v>
      </c>
      <c r="K1085" s="16" t="s">
        <v>45</v>
      </c>
      <c r="L1085" s="16" t="s">
        <v>45</v>
      </c>
      <c r="M1085" s="16" t="s">
        <v>45</v>
      </c>
      <c r="N1085" s="16" t="s">
        <v>45</v>
      </c>
      <c r="O1085" s="16" t="s">
        <v>45</v>
      </c>
      <c r="P1085" s="9" t="str">
        <f t="shared" si="28"/>
        <v>N/I</v>
      </c>
      <c r="Q1085" s="9" t="str">
        <f t="shared" si="29"/>
        <v>N/I</v>
      </c>
      <c r="R1085" s="9" t="str">
        <f t="shared" si="32"/>
        <v>N/I</v>
      </c>
    </row>
    <row r="1086">
      <c r="A1086" s="11" t="s">
        <v>3138</v>
      </c>
      <c r="B1086" s="11" t="s">
        <v>3313</v>
      </c>
      <c r="C1086" s="12" t="s">
        <v>94</v>
      </c>
      <c r="D1086" s="27" t="s">
        <v>3314</v>
      </c>
      <c r="E1086" s="16" t="s">
        <v>45</v>
      </c>
      <c r="F1086" s="10" t="s">
        <v>3298</v>
      </c>
      <c r="G1086" s="12" t="s">
        <v>1284</v>
      </c>
      <c r="H1086" s="10" t="s">
        <v>222</v>
      </c>
      <c r="I1086" s="16" t="s">
        <v>45</v>
      </c>
      <c r="J1086" s="16" t="s">
        <v>45</v>
      </c>
      <c r="K1086" s="16" t="s">
        <v>45</v>
      </c>
      <c r="L1086" s="16" t="s">
        <v>45</v>
      </c>
      <c r="M1086" s="16" t="s">
        <v>45</v>
      </c>
      <c r="N1086" s="16" t="s">
        <v>45</v>
      </c>
      <c r="O1086" s="16" t="s">
        <v>45</v>
      </c>
      <c r="P1086" s="9" t="str">
        <f t="shared" si="28"/>
        <v>N/I</v>
      </c>
      <c r="Q1086" s="9" t="str">
        <f t="shared" si="29"/>
        <v>N/I</v>
      </c>
      <c r="R1086" s="9" t="str">
        <f t="shared" si="32"/>
        <v>N/I</v>
      </c>
    </row>
    <row r="1087">
      <c r="A1087" s="11" t="s">
        <v>3138</v>
      </c>
      <c r="B1087" s="11" t="s">
        <v>3317</v>
      </c>
      <c r="C1087" s="12" t="s">
        <v>94</v>
      </c>
      <c r="D1087" s="27" t="s">
        <v>3318</v>
      </c>
      <c r="E1087" s="16" t="s">
        <v>45</v>
      </c>
      <c r="F1087" s="10" t="s">
        <v>3298</v>
      </c>
      <c r="G1087" s="12" t="s">
        <v>3319</v>
      </c>
      <c r="H1087" s="10" t="s">
        <v>222</v>
      </c>
      <c r="I1087" s="16" t="s">
        <v>45</v>
      </c>
      <c r="J1087" s="16" t="s">
        <v>45</v>
      </c>
      <c r="K1087" s="16" t="s">
        <v>45</v>
      </c>
      <c r="L1087" s="16" t="s">
        <v>45</v>
      </c>
      <c r="M1087" s="16" t="s">
        <v>45</v>
      </c>
      <c r="N1087" s="16" t="s">
        <v>45</v>
      </c>
      <c r="O1087" s="16" t="s">
        <v>45</v>
      </c>
      <c r="P1087" s="9" t="str">
        <f t="shared" si="28"/>
        <v>N/I</v>
      </c>
      <c r="Q1087" s="9" t="str">
        <f t="shared" si="29"/>
        <v>N/I</v>
      </c>
      <c r="R1087" s="9" t="str">
        <f t="shared" si="32"/>
        <v>N/I</v>
      </c>
    </row>
    <row r="1088">
      <c r="A1088" s="11" t="s">
        <v>3138</v>
      </c>
      <c r="B1088" s="11" t="s">
        <v>3322</v>
      </c>
      <c r="C1088" s="12" t="s">
        <v>94</v>
      </c>
      <c r="D1088" s="27" t="s">
        <v>3323</v>
      </c>
      <c r="E1088" s="16" t="s">
        <v>45</v>
      </c>
      <c r="F1088" s="10" t="s">
        <v>3298</v>
      </c>
      <c r="G1088" s="12" t="s">
        <v>463</v>
      </c>
      <c r="H1088" s="10" t="s">
        <v>222</v>
      </c>
      <c r="I1088" s="16" t="s">
        <v>45</v>
      </c>
      <c r="J1088" s="16" t="s">
        <v>45</v>
      </c>
      <c r="K1088" s="16" t="s">
        <v>45</v>
      </c>
      <c r="L1088" s="16" t="s">
        <v>45</v>
      </c>
      <c r="M1088" s="16" t="s">
        <v>45</v>
      </c>
      <c r="N1088" s="16" t="s">
        <v>45</v>
      </c>
      <c r="O1088" s="16" t="s">
        <v>45</v>
      </c>
      <c r="P1088" s="9" t="str">
        <f t="shared" si="28"/>
        <v>N/I</v>
      </c>
      <c r="Q1088" s="9" t="str">
        <f t="shared" si="29"/>
        <v>N/I</v>
      </c>
      <c r="R1088" s="9" t="str">
        <f t="shared" si="32"/>
        <v>N/I</v>
      </c>
    </row>
    <row r="1089">
      <c r="A1089" s="11" t="s">
        <v>3138</v>
      </c>
      <c r="B1089" s="11" t="s">
        <v>3325</v>
      </c>
      <c r="C1089" s="12" t="s">
        <v>94</v>
      </c>
      <c r="D1089" s="27" t="s">
        <v>3326</v>
      </c>
      <c r="E1089" s="16" t="s">
        <v>45</v>
      </c>
      <c r="F1089" s="10" t="s">
        <v>3298</v>
      </c>
      <c r="G1089" s="12" t="s">
        <v>463</v>
      </c>
      <c r="H1089" s="10" t="s">
        <v>222</v>
      </c>
      <c r="I1089" s="16" t="s">
        <v>45</v>
      </c>
      <c r="J1089" s="16" t="s">
        <v>45</v>
      </c>
      <c r="K1089" s="16" t="s">
        <v>45</v>
      </c>
      <c r="L1089" s="16" t="s">
        <v>45</v>
      </c>
      <c r="M1089" s="16" t="s">
        <v>45</v>
      </c>
      <c r="N1089" s="16" t="s">
        <v>45</v>
      </c>
      <c r="O1089" s="16" t="s">
        <v>45</v>
      </c>
      <c r="P1089" s="9" t="str">
        <f t="shared" si="28"/>
        <v>N/I</v>
      </c>
      <c r="Q1089" s="9" t="str">
        <f t="shared" si="29"/>
        <v>N/I</v>
      </c>
      <c r="R1089" s="9" t="str">
        <f t="shared" si="32"/>
        <v>N/I</v>
      </c>
    </row>
    <row r="1090">
      <c r="A1090" s="11" t="s">
        <v>3138</v>
      </c>
      <c r="B1090" s="11" t="s">
        <v>3327</v>
      </c>
      <c r="C1090" s="12" t="s">
        <v>94</v>
      </c>
      <c r="D1090" s="27" t="s">
        <v>3328</v>
      </c>
      <c r="E1090" s="16" t="s">
        <v>45</v>
      </c>
      <c r="F1090" s="10" t="s">
        <v>3298</v>
      </c>
      <c r="G1090" s="12" t="s">
        <v>463</v>
      </c>
      <c r="H1090" s="10" t="s">
        <v>222</v>
      </c>
      <c r="I1090" s="16" t="s">
        <v>45</v>
      </c>
      <c r="J1090" s="16" t="s">
        <v>45</v>
      </c>
      <c r="K1090" s="16" t="s">
        <v>45</v>
      </c>
      <c r="L1090" s="16" t="s">
        <v>45</v>
      </c>
      <c r="M1090" s="16" t="s">
        <v>45</v>
      </c>
      <c r="N1090" s="16" t="s">
        <v>45</v>
      </c>
      <c r="O1090" s="16" t="s">
        <v>45</v>
      </c>
      <c r="P1090" s="9" t="str">
        <f t="shared" si="28"/>
        <v>N/I</v>
      </c>
      <c r="Q1090" s="9" t="str">
        <f t="shared" si="29"/>
        <v>N/I</v>
      </c>
      <c r="R1090" s="9" t="str">
        <f t="shared" si="32"/>
        <v>N/I</v>
      </c>
    </row>
    <row r="1091">
      <c r="A1091" s="11" t="s">
        <v>3138</v>
      </c>
      <c r="B1091" s="11" t="s">
        <v>3329</v>
      </c>
      <c r="C1091" s="12" t="s">
        <v>94</v>
      </c>
      <c r="D1091" s="27" t="s">
        <v>3330</v>
      </c>
      <c r="E1091" s="16" t="s">
        <v>45</v>
      </c>
      <c r="F1091" s="10" t="s">
        <v>3298</v>
      </c>
      <c r="G1091" s="12" t="s">
        <v>463</v>
      </c>
      <c r="H1091" s="10" t="s">
        <v>222</v>
      </c>
      <c r="I1091" s="16" t="s">
        <v>45</v>
      </c>
      <c r="J1091" s="16" t="s">
        <v>45</v>
      </c>
      <c r="K1091" s="16" t="s">
        <v>45</v>
      </c>
      <c r="L1091" s="16" t="s">
        <v>45</v>
      </c>
      <c r="M1091" s="16" t="s">
        <v>45</v>
      </c>
      <c r="N1091" s="16" t="s">
        <v>45</v>
      </c>
      <c r="O1091" s="16" t="s">
        <v>45</v>
      </c>
      <c r="P1091" s="9" t="str">
        <f t="shared" si="28"/>
        <v>N/I</v>
      </c>
      <c r="Q1091" s="9" t="str">
        <f t="shared" si="29"/>
        <v>N/I</v>
      </c>
      <c r="R1091" s="9" t="str">
        <f t="shared" si="32"/>
        <v>N/I</v>
      </c>
    </row>
    <row r="1092">
      <c r="A1092" s="11" t="s">
        <v>3138</v>
      </c>
      <c r="B1092" s="11" t="s">
        <v>3333</v>
      </c>
      <c r="C1092" s="12" t="s">
        <v>94</v>
      </c>
      <c r="D1092" s="27" t="s">
        <v>3334</v>
      </c>
      <c r="E1092" s="16" t="s">
        <v>45</v>
      </c>
      <c r="F1092" s="10" t="s">
        <v>3298</v>
      </c>
      <c r="G1092" s="12" t="s">
        <v>463</v>
      </c>
      <c r="H1092" s="10" t="s">
        <v>222</v>
      </c>
      <c r="I1092" s="16" t="s">
        <v>45</v>
      </c>
      <c r="J1092" s="16" t="s">
        <v>45</v>
      </c>
      <c r="K1092" s="16" t="s">
        <v>45</v>
      </c>
      <c r="L1092" s="16" t="s">
        <v>45</v>
      </c>
      <c r="M1092" s="16" t="s">
        <v>45</v>
      </c>
      <c r="N1092" s="16" t="s">
        <v>45</v>
      </c>
      <c r="O1092" s="16" t="s">
        <v>45</v>
      </c>
      <c r="P1092" s="9" t="str">
        <f t="shared" si="28"/>
        <v>N/I</v>
      </c>
      <c r="Q1092" s="9" t="str">
        <f t="shared" si="29"/>
        <v>N/I</v>
      </c>
      <c r="R1092" s="9" t="str">
        <f t="shared" si="32"/>
        <v>N/I</v>
      </c>
    </row>
    <row r="1093">
      <c r="A1093" s="11" t="s">
        <v>3138</v>
      </c>
      <c r="B1093" s="11" t="s">
        <v>3335</v>
      </c>
      <c r="C1093" s="12" t="s">
        <v>94</v>
      </c>
      <c r="D1093" s="27" t="s">
        <v>3336</v>
      </c>
      <c r="E1093" s="16" t="s">
        <v>45</v>
      </c>
      <c r="F1093" s="10" t="s">
        <v>3298</v>
      </c>
      <c r="G1093" s="12" t="s">
        <v>463</v>
      </c>
      <c r="H1093" s="10" t="s">
        <v>222</v>
      </c>
      <c r="I1093" s="16" t="s">
        <v>45</v>
      </c>
      <c r="J1093" s="16" t="s">
        <v>45</v>
      </c>
      <c r="K1093" s="16" t="s">
        <v>45</v>
      </c>
      <c r="L1093" s="16" t="s">
        <v>45</v>
      </c>
      <c r="M1093" s="16" t="s">
        <v>45</v>
      </c>
      <c r="N1093" s="16" t="s">
        <v>45</v>
      </c>
      <c r="O1093" s="16" t="s">
        <v>45</v>
      </c>
      <c r="P1093" s="9" t="str">
        <f t="shared" si="28"/>
        <v>N/I</v>
      </c>
      <c r="Q1093" s="9" t="str">
        <f t="shared" si="29"/>
        <v>N/I</v>
      </c>
      <c r="R1093" s="9" t="str">
        <f t="shared" si="32"/>
        <v>N/I</v>
      </c>
    </row>
    <row r="1094">
      <c r="A1094" s="11" t="s">
        <v>3138</v>
      </c>
      <c r="B1094" s="11" t="s">
        <v>3337</v>
      </c>
      <c r="C1094" s="12" t="s">
        <v>94</v>
      </c>
      <c r="D1094" s="27" t="s">
        <v>3338</v>
      </c>
      <c r="E1094" s="16" t="s">
        <v>45</v>
      </c>
      <c r="F1094" s="10" t="s">
        <v>3298</v>
      </c>
      <c r="G1094" s="12" t="s">
        <v>463</v>
      </c>
      <c r="H1094" s="10" t="s">
        <v>222</v>
      </c>
      <c r="I1094" s="16" t="s">
        <v>45</v>
      </c>
      <c r="J1094" s="16" t="s">
        <v>45</v>
      </c>
      <c r="K1094" s="16" t="s">
        <v>45</v>
      </c>
      <c r="L1094" s="16" t="s">
        <v>45</v>
      </c>
      <c r="M1094" s="16" t="s">
        <v>45</v>
      </c>
      <c r="N1094" s="16" t="s">
        <v>45</v>
      </c>
      <c r="O1094" s="16" t="s">
        <v>45</v>
      </c>
      <c r="P1094" s="9" t="str">
        <f t="shared" si="28"/>
        <v>N/I</v>
      </c>
      <c r="Q1094" s="9" t="str">
        <f t="shared" si="29"/>
        <v>N/I</v>
      </c>
      <c r="R1094" s="9" t="str">
        <f t="shared" si="32"/>
        <v>N/I</v>
      </c>
    </row>
    <row r="1095">
      <c r="A1095" s="11" t="s">
        <v>3138</v>
      </c>
      <c r="B1095" s="11" t="s">
        <v>3341</v>
      </c>
      <c r="C1095" s="12" t="s">
        <v>94</v>
      </c>
      <c r="D1095" s="27" t="s">
        <v>3342</v>
      </c>
      <c r="E1095" s="16" t="s">
        <v>45</v>
      </c>
      <c r="F1095" s="10" t="s">
        <v>3298</v>
      </c>
      <c r="G1095" s="12" t="s">
        <v>463</v>
      </c>
      <c r="H1095" s="10" t="s">
        <v>222</v>
      </c>
      <c r="I1095" s="16" t="s">
        <v>45</v>
      </c>
      <c r="J1095" s="16" t="s">
        <v>45</v>
      </c>
      <c r="K1095" s="16" t="s">
        <v>45</v>
      </c>
      <c r="L1095" s="16" t="s">
        <v>45</v>
      </c>
      <c r="M1095" s="16" t="s">
        <v>45</v>
      </c>
      <c r="N1095" s="16" t="s">
        <v>45</v>
      </c>
      <c r="O1095" s="16" t="s">
        <v>45</v>
      </c>
      <c r="P1095" s="9" t="str">
        <f t="shared" si="28"/>
        <v>N/I</v>
      </c>
      <c r="Q1095" s="9" t="str">
        <f t="shared" si="29"/>
        <v>N/I</v>
      </c>
      <c r="R1095" s="9" t="str">
        <f t="shared" si="32"/>
        <v>N/I</v>
      </c>
    </row>
    <row r="1096">
      <c r="A1096" s="11" t="s">
        <v>3138</v>
      </c>
      <c r="B1096" s="11" t="s">
        <v>3343</v>
      </c>
      <c r="C1096" s="12" t="s">
        <v>94</v>
      </c>
      <c r="D1096" s="27" t="s">
        <v>3344</v>
      </c>
      <c r="E1096" s="16" t="s">
        <v>45</v>
      </c>
      <c r="F1096" s="10" t="s">
        <v>3298</v>
      </c>
      <c r="G1096" s="12" t="s">
        <v>463</v>
      </c>
      <c r="H1096" s="10" t="s">
        <v>222</v>
      </c>
      <c r="I1096" s="16" t="s">
        <v>45</v>
      </c>
      <c r="J1096" s="16" t="s">
        <v>45</v>
      </c>
      <c r="K1096" s="16" t="s">
        <v>45</v>
      </c>
      <c r="L1096" s="16" t="s">
        <v>45</v>
      </c>
      <c r="M1096" s="16" t="s">
        <v>45</v>
      </c>
      <c r="N1096" s="16" t="s">
        <v>45</v>
      </c>
      <c r="O1096" s="16" t="s">
        <v>45</v>
      </c>
      <c r="P1096" s="9" t="str">
        <f t="shared" si="28"/>
        <v>N/I</v>
      </c>
      <c r="Q1096" s="9" t="str">
        <f t="shared" si="29"/>
        <v>N/I</v>
      </c>
      <c r="R1096" s="9" t="str">
        <f t="shared" si="32"/>
        <v>N/I</v>
      </c>
    </row>
    <row r="1097">
      <c r="A1097" s="11" t="s">
        <v>3138</v>
      </c>
      <c r="B1097" s="11" t="s">
        <v>3347</v>
      </c>
      <c r="C1097" s="12" t="s">
        <v>94</v>
      </c>
      <c r="D1097" s="27" t="s">
        <v>3348</v>
      </c>
      <c r="E1097" s="16" t="s">
        <v>45</v>
      </c>
      <c r="F1097" s="10" t="s">
        <v>3298</v>
      </c>
      <c r="G1097" s="12" t="s">
        <v>463</v>
      </c>
      <c r="H1097" s="10" t="s">
        <v>222</v>
      </c>
      <c r="I1097" s="16" t="s">
        <v>45</v>
      </c>
      <c r="J1097" s="16" t="s">
        <v>45</v>
      </c>
      <c r="K1097" s="16" t="s">
        <v>45</v>
      </c>
      <c r="L1097" s="16" t="s">
        <v>45</v>
      </c>
      <c r="M1097" s="16" t="s">
        <v>45</v>
      </c>
      <c r="N1097" s="16" t="s">
        <v>45</v>
      </c>
      <c r="O1097" s="16" t="s">
        <v>45</v>
      </c>
      <c r="P1097" s="9" t="str">
        <f t="shared" si="28"/>
        <v>N/I</v>
      </c>
      <c r="Q1097" s="9" t="str">
        <f t="shared" si="29"/>
        <v>N/I</v>
      </c>
      <c r="R1097" s="9" t="str">
        <f t="shared" si="32"/>
        <v>N/I</v>
      </c>
    </row>
    <row r="1098">
      <c r="A1098" s="11" t="s">
        <v>3138</v>
      </c>
      <c r="B1098" s="11" t="s">
        <v>3351</v>
      </c>
      <c r="C1098" s="12" t="s">
        <v>94</v>
      </c>
      <c r="D1098" s="27" t="s">
        <v>3352</v>
      </c>
      <c r="E1098" s="16" t="s">
        <v>45</v>
      </c>
      <c r="F1098" s="10" t="s">
        <v>3298</v>
      </c>
      <c r="G1098" s="12" t="s">
        <v>463</v>
      </c>
      <c r="H1098" s="10" t="s">
        <v>222</v>
      </c>
      <c r="I1098" s="16" t="s">
        <v>45</v>
      </c>
      <c r="J1098" s="16" t="s">
        <v>45</v>
      </c>
      <c r="K1098" s="16" t="s">
        <v>45</v>
      </c>
      <c r="L1098" s="16" t="s">
        <v>45</v>
      </c>
      <c r="M1098" s="16" t="s">
        <v>45</v>
      </c>
      <c r="N1098" s="16" t="s">
        <v>45</v>
      </c>
      <c r="O1098" s="16" t="s">
        <v>45</v>
      </c>
      <c r="P1098" s="9" t="str">
        <f t="shared" si="28"/>
        <v>N/I</v>
      </c>
      <c r="Q1098" s="9" t="str">
        <f t="shared" si="29"/>
        <v>N/I</v>
      </c>
      <c r="R1098" s="9" t="str">
        <f t="shared" si="32"/>
        <v>N/I</v>
      </c>
    </row>
    <row r="1099">
      <c r="A1099" s="11" t="s">
        <v>3138</v>
      </c>
      <c r="B1099" s="11" t="s">
        <v>3353</v>
      </c>
      <c r="C1099" s="12" t="s">
        <v>94</v>
      </c>
      <c r="D1099" s="27" t="s">
        <v>3354</v>
      </c>
      <c r="E1099" s="16" t="s">
        <v>45</v>
      </c>
      <c r="F1099" s="10" t="s">
        <v>3298</v>
      </c>
      <c r="G1099" s="12" t="s">
        <v>463</v>
      </c>
      <c r="H1099" s="10" t="s">
        <v>222</v>
      </c>
      <c r="I1099" s="16" t="s">
        <v>45</v>
      </c>
      <c r="J1099" s="16" t="s">
        <v>45</v>
      </c>
      <c r="K1099" s="16" t="s">
        <v>45</v>
      </c>
      <c r="L1099" s="16" t="s">
        <v>45</v>
      </c>
      <c r="M1099" s="16" t="s">
        <v>45</v>
      </c>
      <c r="N1099" s="16" t="s">
        <v>45</v>
      </c>
      <c r="O1099" s="16" t="s">
        <v>45</v>
      </c>
      <c r="P1099" s="9" t="str">
        <f t="shared" si="28"/>
        <v>N/I</v>
      </c>
      <c r="Q1099" s="9" t="str">
        <f t="shared" si="29"/>
        <v>N/I</v>
      </c>
      <c r="R1099" s="9" t="str">
        <f t="shared" si="32"/>
        <v>N/I</v>
      </c>
    </row>
    <row r="1100">
      <c r="A1100" s="11" t="s">
        <v>3138</v>
      </c>
      <c r="B1100" s="11" t="s">
        <v>3356</v>
      </c>
      <c r="C1100" s="12" t="s">
        <v>94</v>
      </c>
      <c r="D1100" s="27" t="s">
        <v>3357</v>
      </c>
      <c r="E1100" s="16" t="s">
        <v>45</v>
      </c>
      <c r="F1100" s="10" t="s">
        <v>3298</v>
      </c>
      <c r="G1100" s="12" t="s">
        <v>463</v>
      </c>
      <c r="H1100" s="10" t="s">
        <v>222</v>
      </c>
      <c r="I1100" s="16" t="s">
        <v>45</v>
      </c>
      <c r="J1100" s="16" t="s">
        <v>45</v>
      </c>
      <c r="K1100" s="16" t="s">
        <v>45</v>
      </c>
      <c r="L1100" s="16" t="s">
        <v>45</v>
      </c>
      <c r="M1100" s="16" t="s">
        <v>45</v>
      </c>
      <c r="N1100" s="16" t="s">
        <v>45</v>
      </c>
      <c r="O1100" s="16" t="s">
        <v>45</v>
      </c>
      <c r="P1100" s="9" t="str">
        <f t="shared" si="28"/>
        <v>N/I</v>
      </c>
      <c r="Q1100" s="9" t="str">
        <f t="shared" si="29"/>
        <v>N/I</v>
      </c>
      <c r="R1100" s="9" t="str">
        <f t="shared" si="32"/>
        <v>N/I</v>
      </c>
    </row>
    <row r="1101">
      <c r="A1101" s="11" t="s">
        <v>3138</v>
      </c>
      <c r="B1101" s="11" t="s">
        <v>3360</v>
      </c>
      <c r="C1101" s="12" t="s">
        <v>94</v>
      </c>
      <c r="D1101" s="27" t="s">
        <v>3361</v>
      </c>
      <c r="E1101" s="16" t="s">
        <v>45</v>
      </c>
      <c r="F1101" s="10" t="s">
        <v>3298</v>
      </c>
      <c r="G1101" s="12" t="s">
        <v>463</v>
      </c>
      <c r="H1101" s="10" t="s">
        <v>222</v>
      </c>
      <c r="I1101" s="16" t="s">
        <v>45</v>
      </c>
      <c r="J1101" s="16" t="s">
        <v>45</v>
      </c>
      <c r="K1101" s="16" t="s">
        <v>45</v>
      </c>
      <c r="L1101" s="16" t="s">
        <v>45</v>
      </c>
      <c r="M1101" s="16" t="s">
        <v>45</v>
      </c>
      <c r="N1101" s="16" t="s">
        <v>45</v>
      </c>
      <c r="O1101" s="16" t="s">
        <v>45</v>
      </c>
      <c r="P1101" s="9" t="str">
        <f t="shared" si="28"/>
        <v>N/I</v>
      </c>
      <c r="Q1101" s="9" t="str">
        <f t="shared" si="29"/>
        <v>N/I</v>
      </c>
      <c r="R1101" s="9" t="str">
        <f t="shared" si="32"/>
        <v>N/I</v>
      </c>
    </row>
    <row r="1102">
      <c r="A1102" s="11" t="s">
        <v>3138</v>
      </c>
      <c r="B1102" s="11" t="s">
        <v>3363</v>
      </c>
      <c r="C1102" s="12" t="s">
        <v>94</v>
      </c>
      <c r="D1102" s="27" t="s">
        <v>3364</v>
      </c>
      <c r="E1102" s="16" t="s">
        <v>45</v>
      </c>
      <c r="F1102" s="10" t="s">
        <v>3298</v>
      </c>
      <c r="G1102" s="12" t="s">
        <v>3365</v>
      </c>
      <c r="H1102" s="10" t="s">
        <v>222</v>
      </c>
      <c r="I1102" s="16" t="s">
        <v>45</v>
      </c>
      <c r="J1102" s="16" t="s">
        <v>45</v>
      </c>
      <c r="K1102" s="16" t="s">
        <v>45</v>
      </c>
      <c r="L1102" s="16" t="s">
        <v>45</v>
      </c>
      <c r="M1102" s="16" t="s">
        <v>45</v>
      </c>
      <c r="N1102" s="16" t="s">
        <v>45</v>
      </c>
      <c r="O1102" s="16" t="s">
        <v>45</v>
      </c>
      <c r="P1102" s="9" t="str">
        <f t="shared" si="28"/>
        <v>N/I</v>
      </c>
      <c r="Q1102" s="9" t="str">
        <f t="shared" si="29"/>
        <v>N/I</v>
      </c>
      <c r="R1102" s="9" t="str">
        <f t="shared" si="32"/>
        <v>N/I</v>
      </c>
    </row>
    <row r="1103">
      <c r="A1103" s="11" t="s">
        <v>3138</v>
      </c>
      <c r="B1103" s="11" t="s">
        <v>3368</v>
      </c>
      <c r="C1103" s="12" t="s">
        <v>94</v>
      </c>
      <c r="D1103" s="27" t="s">
        <v>3369</v>
      </c>
      <c r="E1103" s="16" t="s">
        <v>45</v>
      </c>
      <c r="F1103" s="10" t="s">
        <v>3298</v>
      </c>
      <c r="G1103" s="12" t="s">
        <v>3370</v>
      </c>
      <c r="H1103" s="10" t="s">
        <v>222</v>
      </c>
      <c r="I1103" s="16" t="s">
        <v>45</v>
      </c>
      <c r="J1103" s="16" t="s">
        <v>45</v>
      </c>
      <c r="K1103" s="16" t="s">
        <v>45</v>
      </c>
      <c r="L1103" s="16" t="s">
        <v>45</v>
      </c>
      <c r="M1103" s="16" t="s">
        <v>45</v>
      </c>
      <c r="N1103" s="16" t="s">
        <v>45</v>
      </c>
      <c r="O1103" s="16" t="s">
        <v>45</v>
      </c>
      <c r="P1103" s="9" t="str">
        <f t="shared" si="28"/>
        <v>N/I</v>
      </c>
      <c r="Q1103" s="9" t="str">
        <f t="shared" si="29"/>
        <v>N/I</v>
      </c>
      <c r="R1103" s="9" t="str">
        <f t="shared" si="32"/>
        <v>N/I</v>
      </c>
    </row>
    <row r="1104">
      <c r="A1104" s="11" t="s">
        <v>3374</v>
      </c>
      <c r="B1104" s="11" t="s">
        <v>3375</v>
      </c>
      <c r="C1104" s="12" t="s">
        <v>52</v>
      </c>
      <c r="D1104" s="20" t="s">
        <v>3376</v>
      </c>
      <c r="E1104" s="10" t="s">
        <v>291</v>
      </c>
      <c r="F1104" s="10" t="s">
        <v>3379</v>
      </c>
      <c r="G1104" s="12" t="s">
        <v>869</v>
      </c>
      <c r="H1104" s="10" t="s">
        <v>870</v>
      </c>
      <c r="I1104" s="10" t="s">
        <v>354</v>
      </c>
      <c r="J1104" s="10" t="s">
        <v>318</v>
      </c>
      <c r="K1104" s="10" t="s">
        <v>319</v>
      </c>
      <c r="L1104" s="16" t="s">
        <v>45</v>
      </c>
      <c r="M1104" s="10" t="s">
        <v>49</v>
      </c>
      <c r="N1104" s="10" t="s">
        <v>390</v>
      </c>
      <c r="O1104" s="10" t="s">
        <v>50</v>
      </c>
      <c r="P1104" s="9" t="str">
        <f t="shared" si="28"/>
        <v>N/I</v>
      </c>
      <c r="Q1104" s="9" t="str">
        <f t="shared" si="29"/>
        <v>N/I</v>
      </c>
      <c r="R1104" s="9" t="str">
        <f t="shared" si="32"/>
        <v>N/I</v>
      </c>
    </row>
    <row r="1105">
      <c r="A1105" s="11" t="s">
        <v>3374</v>
      </c>
      <c r="B1105" s="11" t="s">
        <v>3375</v>
      </c>
      <c r="C1105" s="12" t="s">
        <v>52</v>
      </c>
      <c r="D1105" s="20" t="s">
        <v>3380</v>
      </c>
      <c r="E1105" s="10" t="s">
        <v>291</v>
      </c>
      <c r="F1105" s="10" t="s">
        <v>3379</v>
      </c>
      <c r="G1105" s="12" t="s">
        <v>869</v>
      </c>
      <c r="H1105" s="10" t="s">
        <v>870</v>
      </c>
      <c r="I1105" s="10" t="s">
        <v>354</v>
      </c>
      <c r="J1105" s="10" t="s">
        <v>318</v>
      </c>
      <c r="K1105" s="10" t="s">
        <v>319</v>
      </c>
      <c r="L1105" s="16" t="s">
        <v>45</v>
      </c>
      <c r="M1105" s="10" t="s">
        <v>49</v>
      </c>
      <c r="N1105" s="10" t="s">
        <v>390</v>
      </c>
      <c r="O1105" s="10" t="s">
        <v>50</v>
      </c>
      <c r="P1105" s="9" t="str">
        <f t="shared" si="28"/>
        <v>N/I</v>
      </c>
      <c r="Q1105" s="9" t="str">
        <f t="shared" si="29"/>
        <v>N/I</v>
      </c>
      <c r="R1105" s="9" t="str">
        <f t="shared" si="32"/>
        <v>N/I</v>
      </c>
    </row>
    <row r="1106">
      <c r="A1106" s="11" t="s">
        <v>3374</v>
      </c>
      <c r="B1106" s="11" t="s">
        <v>3375</v>
      </c>
      <c r="C1106" s="12" t="s">
        <v>52</v>
      </c>
      <c r="D1106" s="20" t="s">
        <v>3381</v>
      </c>
      <c r="E1106" s="10" t="s">
        <v>291</v>
      </c>
      <c r="F1106" s="10" t="s">
        <v>3379</v>
      </c>
      <c r="G1106" s="12" t="s">
        <v>869</v>
      </c>
      <c r="H1106" s="10" t="s">
        <v>870</v>
      </c>
      <c r="I1106" s="10" t="s">
        <v>354</v>
      </c>
      <c r="J1106" s="10" t="s">
        <v>318</v>
      </c>
      <c r="K1106" s="10" t="s">
        <v>319</v>
      </c>
      <c r="L1106" s="16" t="s">
        <v>45</v>
      </c>
      <c r="M1106" s="10" t="s">
        <v>49</v>
      </c>
      <c r="N1106" s="10" t="s">
        <v>390</v>
      </c>
      <c r="O1106" s="10" t="s">
        <v>50</v>
      </c>
      <c r="P1106" s="9" t="str">
        <f t="shared" si="28"/>
        <v>N/I</v>
      </c>
      <c r="Q1106" s="9" t="str">
        <f t="shared" si="29"/>
        <v>N/I</v>
      </c>
      <c r="R1106" s="9" t="str">
        <f t="shared" si="32"/>
        <v>N/I</v>
      </c>
    </row>
    <row r="1107">
      <c r="A1107" s="11" t="s">
        <v>3374</v>
      </c>
      <c r="B1107" s="11" t="s">
        <v>3375</v>
      </c>
      <c r="C1107" s="12" t="s">
        <v>79</v>
      </c>
      <c r="D1107" s="20" t="s">
        <v>3382</v>
      </c>
      <c r="E1107" s="10" t="s">
        <v>291</v>
      </c>
      <c r="F1107" s="10" t="s">
        <v>3383</v>
      </c>
      <c r="G1107" s="12" t="s">
        <v>869</v>
      </c>
      <c r="H1107" s="10" t="s">
        <v>870</v>
      </c>
      <c r="I1107" s="10" t="s">
        <v>354</v>
      </c>
      <c r="J1107" s="10" t="s">
        <v>318</v>
      </c>
      <c r="K1107" s="10" t="s">
        <v>319</v>
      </c>
      <c r="L1107" s="10" t="s">
        <v>292</v>
      </c>
      <c r="M1107" s="10" t="s">
        <v>49</v>
      </c>
      <c r="N1107" s="10" t="s">
        <v>390</v>
      </c>
      <c r="O1107" s="10" t="s">
        <v>50</v>
      </c>
      <c r="P1107" s="9" t="str">
        <f t="shared" si="28"/>
        <v>N/I</v>
      </c>
      <c r="Q1107" s="9" t="str">
        <f t="shared" si="29"/>
        <v>N/I</v>
      </c>
      <c r="R1107" s="9" t="str">
        <f t="shared" si="32"/>
        <v>N/I</v>
      </c>
    </row>
    <row r="1108">
      <c r="A1108" s="11" t="s">
        <v>3385</v>
      </c>
      <c r="B1108" s="11" t="s">
        <v>3386</v>
      </c>
      <c r="C1108" s="12" t="s">
        <v>94</v>
      </c>
      <c r="D1108" s="20" t="s">
        <v>3387</v>
      </c>
      <c r="E1108" s="10" t="s">
        <v>291</v>
      </c>
      <c r="F1108" s="10" t="s">
        <v>3391</v>
      </c>
      <c r="G1108" s="12" t="s">
        <v>3388</v>
      </c>
      <c r="H1108" s="10" t="s">
        <v>89</v>
      </c>
      <c r="I1108" s="10" t="s">
        <v>290</v>
      </c>
      <c r="J1108" s="12" t="s">
        <v>355</v>
      </c>
      <c r="K1108" s="10" t="s">
        <v>226</v>
      </c>
      <c r="L1108" s="16" t="s">
        <v>45</v>
      </c>
      <c r="M1108" s="10" t="s">
        <v>49</v>
      </c>
      <c r="N1108" s="16" t="s">
        <v>45</v>
      </c>
      <c r="O1108" s="10" t="s">
        <v>1499</v>
      </c>
      <c r="P1108" s="9" t="str">
        <f t="shared" si="28"/>
        <v>N/I</v>
      </c>
      <c r="Q1108" s="9" t="str">
        <f t="shared" si="29"/>
        <v>N/I</v>
      </c>
      <c r="R1108" s="9" t="str">
        <f t="shared" si="32"/>
        <v>N/I</v>
      </c>
    </row>
    <row r="1109">
      <c r="A1109" s="11" t="s">
        <v>3385</v>
      </c>
      <c r="B1109" s="11" t="s">
        <v>3392</v>
      </c>
      <c r="C1109" s="12" t="s">
        <v>94</v>
      </c>
      <c r="D1109" s="20" t="s">
        <v>3393</v>
      </c>
      <c r="E1109" s="10" t="s">
        <v>291</v>
      </c>
      <c r="F1109" s="10" t="s">
        <v>3391</v>
      </c>
      <c r="G1109" s="12" t="s">
        <v>970</v>
      </c>
      <c r="H1109" s="10" t="s">
        <v>89</v>
      </c>
      <c r="I1109" s="10" t="s">
        <v>290</v>
      </c>
      <c r="J1109" s="12" t="s">
        <v>355</v>
      </c>
      <c r="K1109" s="10" t="s">
        <v>226</v>
      </c>
      <c r="L1109" s="16" t="s">
        <v>45</v>
      </c>
      <c r="M1109" s="10" t="s">
        <v>49</v>
      </c>
      <c r="N1109" s="16" t="s">
        <v>45</v>
      </c>
      <c r="O1109" s="10" t="s">
        <v>1499</v>
      </c>
      <c r="P1109" s="9" t="str">
        <f t="shared" si="28"/>
        <v>N/I</v>
      </c>
      <c r="Q1109" s="9" t="str">
        <f t="shared" si="29"/>
        <v>N/I</v>
      </c>
      <c r="R1109" s="9" t="str">
        <f t="shared" si="32"/>
        <v>N/I</v>
      </c>
    </row>
    <row r="1110">
      <c r="A1110" s="11" t="s">
        <v>3385</v>
      </c>
      <c r="B1110" s="11" t="s">
        <v>3395</v>
      </c>
      <c r="C1110" s="12" t="s">
        <v>94</v>
      </c>
      <c r="D1110" s="20" t="s">
        <v>3396</v>
      </c>
      <c r="E1110" s="10" t="s">
        <v>291</v>
      </c>
      <c r="F1110" s="10" t="s">
        <v>3391</v>
      </c>
      <c r="G1110" s="12" t="s">
        <v>970</v>
      </c>
      <c r="H1110" s="10" t="s">
        <v>89</v>
      </c>
      <c r="I1110" s="10" t="s">
        <v>290</v>
      </c>
      <c r="J1110" s="12" t="s">
        <v>355</v>
      </c>
      <c r="K1110" s="10" t="s">
        <v>226</v>
      </c>
      <c r="L1110" s="16" t="s">
        <v>45</v>
      </c>
      <c r="M1110" s="10" t="s">
        <v>49</v>
      </c>
      <c r="N1110" s="16" t="s">
        <v>45</v>
      </c>
      <c r="O1110" s="10" t="s">
        <v>1499</v>
      </c>
      <c r="P1110" s="9" t="str">
        <f t="shared" si="28"/>
        <v>N/I</v>
      </c>
      <c r="Q1110" s="9" t="str">
        <f t="shared" si="29"/>
        <v>N/I</v>
      </c>
      <c r="R1110" s="9" t="str">
        <f t="shared" si="32"/>
        <v>N/I</v>
      </c>
    </row>
    <row r="1111">
      <c r="A1111" s="11" t="s">
        <v>3385</v>
      </c>
      <c r="B1111" s="11" t="s">
        <v>3398</v>
      </c>
      <c r="C1111" s="12" t="s">
        <v>94</v>
      </c>
      <c r="D1111" s="20" t="s">
        <v>3399</v>
      </c>
      <c r="E1111" s="10" t="s">
        <v>291</v>
      </c>
      <c r="F1111" s="10" t="s">
        <v>3391</v>
      </c>
      <c r="G1111" s="12" t="s">
        <v>970</v>
      </c>
      <c r="H1111" s="10" t="s">
        <v>89</v>
      </c>
      <c r="I1111" s="10" t="s">
        <v>290</v>
      </c>
      <c r="J1111" s="12" t="s">
        <v>355</v>
      </c>
      <c r="K1111" s="10" t="s">
        <v>226</v>
      </c>
      <c r="L1111" s="16" t="s">
        <v>45</v>
      </c>
      <c r="M1111" s="10" t="s">
        <v>49</v>
      </c>
      <c r="N1111" s="16" t="s">
        <v>45</v>
      </c>
      <c r="O1111" s="10" t="s">
        <v>1499</v>
      </c>
      <c r="P1111" s="9" t="str">
        <f t="shared" si="28"/>
        <v>N/I</v>
      </c>
      <c r="Q1111" s="9" t="str">
        <f t="shared" si="29"/>
        <v>N/I</v>
      </c>
      <c r="R1111" s="9" t="str">
        <f t="shared" si="32"/>
        <v>N/I</v>
      </c>
    </row>
    <row r="1112">
      <c r="A1112" s="11" t="s">
        <v>3385</v>
      </c>
      <c r="B1112" s="11" t="s">
        <v>3401</v>
      </c>
      <c r="C1112" s="12" t="s">
        <v>94</v>
      </c>
      <c r="D1112" s="20" t="s">
        <v>3402</v>
      </c>
      <c r="E1112" s="10" t="s">
        <v>291</v>
      </c>
      <c r="F1112" s="10" t="s">
        <v>3391</v>
      </c>
      <c r="G1112" s="12" t="s">
        <v>970</v>
      </c>
      <c r="H1112" s="10" t="s">
        <v>89</v>
      </c>
      <c r="I1112" s="10" t="s">
        <v>290</v>
      </c>
      <c r="J1112" s="12" t="s">
        <v>355</v>
      </c>
      <c r="K1112" s="10" t="s">
        <v>226</v>
      </c>
      <c r="L1112" s="16" t="s">
        <v>45</v>
      </c>
      <c r="M1112" s="10" t="s">
        <v>49</v>
      </c>
      <c r="N1112" s="16" t="s">
        <v>45</v>
      </c>
      <c r="O1112" s="10" t="s">
        <v>1499</v>
      </c>
      <c r="P1112" s="9" t="str">
        <f t="shared" si="28"/>
        <v>N/I</v>
      </c>
      <c r="Q1112" s="9" t="str">
        <f t="shared" si="29"/>
        <v>N/I</v>
      </c>
      <c r="R1112" s="9" t="str">
        <f t="shared" si="32"/>
        <v>N/I</v>
      </c>
    </row>
    <row r="1113">
      <c r="A1113" s="11" t="s">
        <v>3385</v>
      </c>
      <c r="B1113" s="11" t="s">
        <v>3395</v>
      </c>
      <c r="C1113" s="12" t="s">
        <v>94</v>
      </c>
      <c r="D1113" s="20" t="s">
        <v>3404</v>
      </c>
      <c r="E1113" s="10" t="s">
        <v>291</v>
      </c>
      <c r="F1113" s="10" t="s">
        <v>3391</v>
      </c>
      <c r="G1113" s="12" t="s">
        <v>970</v>
      </c>
      <c r="H1113" s="10" t="s">
        <v>89</v>
      </c>
      <c r="I1113" s="10" t="s">
        <v>290</v>
      </c>
      <c r="J1113" s="12" t="s">
        <v>355</v>
      </c>
      <c r="K1113" s="10" t="s">
        <v>226</v>
      </c>
      <c r="L1113" s="16" t="s">
        <v>45</v>
      </c>
      <c r="M1113" s="10" t="s">
        <v>49</v>
      </c>
      <c r="N1113" s="16" t="s">
        <v>45</v>
      </c>
      <c r="O1113" s="10" t="s">
        <v>1499</v>
      </c>
      <c r="P1113" s="9" t="str">
        <f t="shared" si="28"/>
        <v>N/I</v>
      </c>
      <c r="Q1113" s="9" t="str">
        <f t="shared" si="29"/>
        <v>N/I</v>
      </c>
      <c r="R1113" s="9" t="str">
        <f t="shared" si="32"/>
        <v>N/I</v>
      </c>
    </row>
    <row r="1114">
      <c r="A1114" s="11" t="s">
        <v>3385</v>
      </c>
      <c r="B1114" s="11" t="s">
        <v>1225</v>
      </c>
      <c r="C1114" s="12" t="s">
        <v>94</v>
      </c>
      <c r="D1114" s="20" t="s">
        <v>3405</v>
      </c>
      <c r="E1114" s="10" t="s">
        <v>291</v>
      </c>
      <c r="F1114" s="10" t="s">
        <v>3391</v>
      </c>
      <c r="G1114" s="12" t="s">
        <v>970</v>
      </c>
      <c r="H1114" s="10" t="s">
        <v>89</v>
      </c>
      <c r="I1114" s="10" t="s">
        <v>290</v>
      </c>
      <c r="J1114" s="12" t="s">
        <v>355</v>
      </c>
      <c r="K1114" s="10" t="s">
        <v>226</v>
      </c>
      <c r="L1114" s="16" t="s">
        <v>45</v>
      </c>
      <c r="M1114" s="10" t="s">
        <v>49</v>
      </c>
      <c r="N1114" s="16" t="s">
        <v>45</v>
      </c>
      <c r="O1114" s="10" t="s">
        <v>1499</v>
      </c>
      <c r="P1114" s="9" t="str">
        <f t="shared" si="28"/>
        <v>N/I</v>
      </c>
      <c r="Q1114" s="9" t="str">
        <f t="shared" si="29"/>
        <v>N/I</v>
      </c>
      <c r="R1114" s="9" t="str">
        <f t="shared" si="32"/>
        <v>N/I</v>
      </c>
    </row>
    <row r="1115">
      <c r="A1115" s="11" t="s">
        <v>3385</v>
      </c>
      <c r="B1115" s="11" t="s">
        <v>3406</v>
      </c>
      <c r="C1115" s="12" t="s">
        <v>94</v>
      </c>
      <c r="D1115" s="20" t="s">
        <v>3407</v>
      </c>
      <c r="E1115" s="10" t="s">
        <v>291</v>
      </c>
      <c r="F1115" s="10" t="s">
        <v>3391</v>
      </c>
      <c r="G1115" s="12" t="s">
        <v>970</v>
      </c>
      <c r="H1115" s="10" t="s">
        <v>89</v>
      </c>
      <c r="I1115" s="10" t="s">
        <v>290</v>
      </c>
      <c r="J1115" s="12" t="s">
        <v>355</v>
      </c>
      <c r="K1115" s="10" t="s">
        <v>226</v>
      </c>
      <c r="L1115" s="16" t="s">
        <v>45</v>
      </c>
      <c r="M1115" s="10" t="s">
        <v>49</v>
      </c>
      <c r="N1115" s="16" t="s">
        <v>45</v>
      </c>
      <c r="O1115" s="10" t="s">
        <v>1499</v>
      </c>
      <c r="P1115" s="9" t="str">
        <f t="shared" si="28"/>
        <v>N/I</v>
      </c>
      <c r="Q1115" s="9" t="str">
        <f t="shared" si="29"/>
        <v>N/I</v>
      </c>
      <c r="R1115" s="9" t="str">
        <f t="shared" si="32"/>
        <v>N/I</v>
      </c>
    </row>
    <row r="1116">
      <c r="A1116" s="11" t="s">
        <v>3385</v>
      </c>
      <c r="B1116" s="11" t="s">
        <v>3409</v>
      </c>
      <c r="C1116" s="12" t="s">
        <v>94</v>
      </c>
      <c r="D1116" s="20" t="s">
        <v>3410</v>
      </c>
      <c r="E1116" s="10" t="s">
        <v>291</v>
      </c>
      <c r="F1116" s="10" t="s">
        <v>3391</v>
      </c>
      <c r="G1116" s="12" t="s">
        <v>3411</v>
      </c>
      <c r="H1116" s="10" t="s">
        <v>89</v>
      </c>
      <c r="I1116" s="10" t="s">
        <v>290</v>
      </c>
      <c r="J1116" s="12" t="s">
        <v>355</v>
      </c>
      <c r="K1116" s="10" t="s">
        <v>226</v>
      </c>
      <c r="L1116" s="16" t="s">
        <v>45</v>
      </c>
      <c r="M1116" s="10" t="s">
        <v>49</v>
      </c>
      <c r="N1116" s="16" t="s">
        <v>45</v>
      </c>
      <c r="O1116" s="10" t="s">
        <v>1499</v>
      </c>
      <c r="P1116" s="9" t="str">
        <f t="shared" si="28"/>
        <v>N/I</v>
      </c>
      <c r="Q1116" s="9" t="str">
        <f t="shared" si="29"/>
        <v>N/I</v>
      </c>
      <c r="R1116" s="9" t="str">
        <f t="shared" si="32"/>
        <v>N/I</v>
      </c>
    </row>
    <row r="1117">
      <c r="A1117" s="11" t="s">
        <v>3385</v>
      </c>
      <c r="B1117" s="11" t="s">
        <v>3414</v>
      </c>
      <c r="C1117" s="12" t="s">
        <v>94</v>
      </c>
      <c r="D1117" s="56" t="s">
        <v>3415</v>
      </c>
      <c r="E1117" s="10" t="s">
        <v>291</v>
      </c>
      <c r="F1117" s="10" t="s">
        <v>3391</v>
      </c>
      <c r="G1117" s="12" t="s">
        <v>3416</v>
      </c>
      <c r="H1117" s="10" t="s">
        <v>89</v>
      </c>
      <c r="I1117" s="10" t="s">
        <v>290</v>
      </c>
      <c r="J1117" s="12" t="s">
        <v>355</v>
      </c>
      <c r="K1117" s="10" t="s">
        <v>226</v>
      </c>
      <c r="L1117" s="16" t="s">
        <v>45</v>
      </c>
      <c r="M1117" s="10" t="s">
        <v>49</v>
      </c>
      <c r="N1117" s="16" t="s">
        <v>45</v>
      </c>
      <c r="O1117" s="10" t="s">
        <v>1499</v>
      </c>
      <c r="P1117" s="9" t="str">
        <f t="shared" si="28"/>
        <v>N/I</v>
      </c>
      <c r="Q1117" s="9" t="str">
        <f t="shared" si="29"/>
        <v>N/I</v>
      </c>
      <c r="R1117" s="9" t="str">
        <f t="shared" si="32"/>
        <v>N/I</v>
      </c>
    </row>
    <row r="1118">
      <c r="A1118" s="11" t="s">
        <v>3385</v>
      </c>
      <c r="B1118" s="11" t="s">
        <v>3419</v>
      </c>
      <c r="C1118" s="12" t="s">
        <v>94</v>
      </c>
      <c r="D1118" s="20" t="s">
        <v>3420</v>
      </c>
      <c r="E1118" s="10" t="s">
        <v>291</v>
      </c>
      <c r="F1118" s="10" t="s">
        <v>3391</v>
      </c>
      <c r="G1118" s="12" t="s">
        <v>3421</v>
      </c>
      <c r="H1118" s="10" t="s">
        <v>89</v>
      </c>
      <c r="I1118" s="10" t="s">
        <v>290</v>
      </c>
      <c r="J1118" s="12" t="s">
        <v>355</v>
      </c>
      <c r="K1118" s="10" t="s">
        <v>226</v>
      </c>
      <c r="L1118" s="16" t="s">
        <v>45</v>
      </c>
      <c r="M1118" s="10" t="s">
        <v>49</v>
      </c>
      <c r="N1118" s="16" t="s">
        <v>45</v>
      </c>
      <c r="O1118" s="10" t="s">
        <v>1499</v>
      </c>
      <c r="P1118" s="9" t="str">
        <f t="shared" si="28"/>
        <v>N/I</v>
      </c>
      <c r="Q1118" s="9" t="str">
        <f t="shared" si="29"/>
        <v>N/I</v>
      </c>
      <c r="R1118" s="9" t="str">
        <f t="shared" si="32"/>
        <v>N/I</v>
      </c>
    </row>
    <row r="1119">
      <c r="A1119" s="11" t="s">
        <v>3385</v>
      </c>
      <c r="B1119" s="11" t="s">
        <v>3423</v>
      </c>
      <c r="C1119" s="12" t="s">
        <v>94</v>
      </c>
      <c r="D1119" s="20" t="s">
        <v>3424</v>
      </c>
      <c r="E1119" s="10" t="s">
        <v>291</v>
      </c>
      <c r="F1119" s="10" t="s">
        <v>3391</v>
      </c>
      <c r="G1119" s="12" t="s">
        <v>3425</v>
      </c>
      <c r="H1119" s="10" t="s">
        <v>89</v>
      </c>
      <c r="I1119" s="10" t="s">
        <v>290</v>
      </c>
      <c r="J1119" s="12" t="s">
        <v>355</v>
      </c>
      <c r="K1119" s="10" t="s">
        <v>226</v>
      </c>
      <c r="L1119" s="16" t="s">
        <v>45</v>
      </c>
      <c r="M1119" s="10" t="s">
        <v>49</v>
      </c>
      <c r="N1119" s="16" t="s">
        <v>45</v>
      </c>
      <c r="O1119" s="10" t="s">
        <v>1499</v>
      </c>
      <c r="P1119" s="9" t="str">
        <f t="shared" si="28"/>
        <v>N/I</v>
      </c>
      <c r="Q1119" s="9" t="str">
        <f t="shared" si="29"/>
        <v>N/I</v>
      </c>
      <c r="R1119" s="9" t="str">
        <f t="shared" si="32"/>
        <v>N/I</v>
      </c>
    </row>
    <row r="1120">
      <c r="A1120" s="11" t="s">
        <v>3385</v>
      </c>
      <c r="B1120" s="11" t="s">
        <v>3428</v>
      </c>
      <c r="C1120" s="12" t="s">
        <v>94</v>
      </c>
      <c r="D1120" s="20" t="s">
        <v>3429</v>
      </c>
      <c r="E1120" s="10" t="s">
        <v>291</v>
      </c>
      <c r="F1120" s="10" t="s">
        <v>3391</v>
      </c>
      <c r="G1120" s="12" t="s">
        <v>370</v>
      </c>
      <c r="H1120" s="10" t="s">
        <v>89</v>
      </c>
      <c r="I1120" s="10" t="s">
        <v>290</v>
      </c>
      <c r="J1120" s="12" t="s">
        <v>355</v>
      </c>
      <c r="K1120" s="10" t="s">
        <v>226</v>
      </c>
      <c r="L1120" s="16" t="s">
        <v>45</v>
      </c>
      <c r="M1120" s="10" t="s">
        <v>49</v>
      </c>
      <c r="N1120" s="16" t="s">
        <v>45</v>
      </c>
      <c r="O1120" s="10" t="s">
        <v>1499</v>
      </c>
      <c r="P1120" s="9" t="str">
        <f t="shared" si="28"/>
        <v>N/I</v>
      </c>
      <c r="Q1120" s="9" t="str">
        <f t="shared" si="29"/>
        <v>N/I</v>
      </c>
      <c r="R1120" s="9" t="str">
        <f t="shared" si="32"/>
        <v>N/I</v>
      </c>
    </row>
    <row r="1121">
      <c r="A1121" s="11" t="s">
        <v>3385</v>
      </c>
      <c r="B1121" s="11" t="s">
        <v>3432</v>
      </c>
      <c r="C1121" s="12" t="s">
        <v>94</v>
      </c>
      <c r="D1121" s="20" t="s">
        <v>3433</v>
      </c>
      <c r="E1121" s="10" t="s">
        <v>291</v>
      </c>
      <c r="F1121" s="10" t="s">
        <v>3391</v>
      </c>
      <c r="G1121" s="12" t="s">
        <v>370</v>
      </c>
      <c r="H1121" s="10" t="s">
        <v>89</v>
      </c>
      <c r="I1121" s="10" t="s">
        <v>290</v>
      </c>
      <c r="J1121" s="12" t="s">
        <v>355</v>
      </c>
      <c r="K1121" s="10" t="s">
        <v>226</v>
      </c>
      <c r="L1121" s="16" t="s">
        <v>45</v>
      </c>
      <c r="M1121" s="10" t="s">
        <v>49</v>
      </c>
      <c r="N1121" s="16" t="s">
        <v>45</v>
      </c>
      <c r="O1121" s="10" t="s">
        <v>1499</v>
      </c>
      <c r="P1121" s="9" t="str">
        <f t="shared" si="28"/>
        <v>N/I</v>
      </c>
      <c r="Q1121" s="9" t="str">
        <f t="shared" si="29"/>
        <v>N/I</v>
      </c>
      <c r="R1121" s="9" t="str">
        <f t="shared" si="32"/>
        <v>N/I</v>
      </c>
    </row>
    <row r="1122">
      <c r="A1122" s="11" t="s">
        <v>3385</v>
      </c>
      <c r="B1122" s="11" t="s">
        <v>3436</v>
      </c>
      <c r="C1122" s="12" t="s">
        <v>94</v>
      </c>
      <c r="D1122" s="20" t="s">
        <v>3437</v>
      </c>
      <c r="E1122" s="10" t="s">
        <v>291</v>
      </c>
      <c r="F1122" s="10" t="s">
        <v>3391</v>
      </c>
      <c r="G1122" s="12" t="s">
        <v>3438</v>
      </c>
      <c r="H1122" s="10" t="s">
        <v>89</v>
      </c>
      <c r="I1122" s="10" t="s">
        <v>290</v>
      </c>
      <c r="J1122" s="12" t="s">
        <v>355</v>
      </c>
      <c r="K1122" s="10" t="s">
        <v>226</v>
      </c>
      <c r="L1122" s="16" t="s">
        <v>45</v>
      </c>
      <c r="M1122" s="10" t="s">
        <v>49</v>
      </c>
      <c r="N1122" s="16" t="s">
        <v>45</v>
      </c>
      <c r="O1122" s="10" t="s">
        <v>1499</v>
      </c>
      <c r="P1122" s="9" t="str">
        <f t="shared" si="28"/>
        <v>N/I</v>
      </c>
      <c r="Q1122" s="9" t="str">
        <f t="shared" si="29"/>
        <v>N/I</v>
      </c>
      <c r="R1122" s="9" t="str">
        <f t="shared" si="32"/>
        <v>N/I</v>
      </c>
    </row>
    <row r="1123">
      <c r="A1123" s="11" t="s">
        <v>3385</v>
      </c>
      <c r="B1123" s="11" t="s">
        <v>3440</v>
      </c>
      <c r="C1123" s="12" t="s">
        <v>94</v>
      </c>
      <c r="D1123" s="20" t="s">
        <v>3441</v>
      </c>
      <c r="E1123" s="10" t="s">
        <v>291</v>
      </c>
      <c r="F1123" s="10" t="s">
        <v>3391</v>
      </c>
      <c r="G1123" s="12" t="s">
        <v>3442</v>
      </c>
      <c r="H1123" s="10" t="s">
        <v>89</v>
      </c>
      <c r="I1123" s="10" t="s">
        <v>290</v>
      </c>
      <c r="J1123" s="12" t="s">
        <v>355</v>
      </c>
      <c r="K1123" s="10" t="s">
        <v>226</v>
      </c>
      <c r="L1123" s="16" t="s">
        <v>45</v>
      </c>
      <c r="M1123" s="10" t="s">
        <v>49</v>
      </c>
      <c r="N1123" s="16" t="s">
        <v>45</v>
      </c>
      <c r="O1123" s="10" t="s">
        <v>1499</v>
      </c>
      <c r="P1123" s="9" t="str">
        <f t="shared" si="28"/>
        <v>N/I</v>
      </c>
      <c r="Q1123" s="9" t="str">
        <f t="shared" si="29"/>
        <v>N/I</v>
      </c>
      <c r="R1123" s="9" t="str">
        <f t="shared" si="32"/>
        <v>N/I</v>
      </c>
    </row>
    <row r="1124">
      <c r="A1124" s="11" t="s">
        <v>3385</v>
      </c>
      <c r="B1124" s="11" t="s">
        <v>3445</v>
      </c>
      <c r="C1124" s="12" t="s">
        <v>94</v>
      </c>
      <c r="D1124" s="20" t="s">
        <v>3446</v>
      </c>
      <c r="E1124" s="10" t="s">
        <v>291</v>
      </c>
      <c r="F1124" s="10" t="s">
        <v>3391</v>
      </c>
      <c r="G1124" s="12" t="s">
        <v>1164</v>
      </c>
      <c r="H1124" s="10" t="s">
        <v>89</v>
      </c>
      <c r="I1124" s="10" t="s">
        <v>290</v>
      </c>
      <c r="J1124" s="12" t="s">
        <v>355</v>
      </c>
      <c r="K1124" s="10" t="s">
        <v>226</v>
      </c>
      <c r="L1124" s="16" t="s">
        <v>45</v>
      </c>
      <c r="M1124" s="10" t="s">
        <v>49</v>
      </c>
      <c r="N1124" s="16" t="s">
        <v>45</v>
      </c>
      <c r="O1124" s="10" t="s">
        <v>1499</v>
      </c>
      <c r="P1124" s="9" t="str">
        <f t="shared" si="28"/>
        <v>N/I</v>
      </c>
      <c r="Q1124" s="9" t="str">
        <f t="shared" si="29"/>
        <v>N/I</v>
      </c>
      <c r="R1124" s="9" t="str">
        <f t="shared" si="32"/>
        <v>N/I</v>
      </c>
    </row>
    <row r="1125">
      <c r="A1125" s="11" t="s">
        <v>3385</v>
      </c>
      <c r="B1125" s="11" t="s">
        <v>3447</v>
      </c>
      <c r="C1125" s="12" t="s">
        <v>94</v>
      </c>
      <c r="D1125" s="20" t="s">
        <v>3448</v>
      </c>
      <c r="E1125" s="10" t="s">
        <v>291</v>
      </c>
      <c r="F1125" s="10" t="s">
        <v>3391</v>
      </c>
      <c r="G1125" s="12" t="s">
        <v>1164</v>
      </c>
      <c r="H1125" s="10" t="s">
        <v>89</v>
      </c>
      <c r="I1125" s="10" t="s">
        <v>290</v>
      </c>
      <c r="J1125" s="12" t="s">
        <v>355</v>
      </c>
      <c r="K1125" s="10" t="s">
        <v>226</v>
      </c>
      <c r="L1125" s="16" t="s">
        <v>45</v>
      </c>
      <c r="M1125" s="10" t="s">
        <v>49</v>
      </c>
      <c r="N1125" s="16" t="s">
        <v>45</v>
      </c>
      <c r="O1125" s="10" t="s">
        <v>1499</v>
      </c>
      <c r="P1125" s="9" t="str">
        <f t="shared" si="28"/>
        <v>N/I</v>
      </c>
      <c r="Q1125" s="9" t="str">
        <f t="shared" si="29"/>
        <v>N/I</v>
      </c>
      <c r="R1125" s="9" t="str">
        <f t="shared" si="32"/>
        <v>N/I</v>
      </c>
    </row>
    <row r="1126">
      <c r="A1126" s="11" t="s">
        <v>3385</v>
      </c>
      <c r="B1126" s="11" t="s">
        <v>3449</v>
      </c>
      <c r="C1126" s="12" t="s">
        <v>94</v>
      </c>
      <c r="D1126" s="20" t="s">
        <v>3450</v>
      </c>
      <c r="E1126" s="10" t="s">
        <v>291</v>
      </c>
      <c r="F1126" s="10" t="s">
        <v>3391</v>
      </c>
      <c r="G1126" s="12" t="s">
        <v>1164</v>
      </c>
      <c r="H1126" s="10" t="s">
        <v>89</v>
      </c>
      <c r="I1126" s="10" t="s">
        <v>290</v>
      </c>
      <c r="J1126" s="12" t="s">
        <v>355</v>
      </c>
      <c r="K1126" s="10" t="s">
        <v>226</v>
      </c>
      <c r="L1126" s="16" t="s">
        <v>45</v>
      </c>
      <c r="M1126" s="10" t="s">
        <v>49</v>
      </c>
      <c r="N1126" s="16" t="s">
        <v>45</v>
      </c>
      <c r="O1126" s="10" t="s">
        <v>1499</v>
      </c>
      <c r="P1126" s="9" t="str">
        <f t="shared" si="28"/>
        <v>N/I</v>
      </c>
      <c r="Q1126" s="9" t="str">
        <f t="shared" si="29"/>
        <v>N/I</v>
      </c>
      <c r="R1126" s="9" t="str">
        <f t="shared" si="32"/>
        <v>N/I</v>
      </c>
    </row>
    <row r="1127">
      <c r="A1127" s="11" t="s">
        <v>3385</v>
      </c>
      <c r="B1127" s="11" t="s">
        <v>3451</v>
      </c>
      <c r="C1127" s="12" t="s">
        <v>94</v>
      </c>
      <c r="D1127" s="20" t="s">
        <v>3452</v>
      </c>
      <c r="E1127" s="10" t="s">
        <v>291</v>
      </c>
      <c r="F1127" s="10" t="s">
        <v>3391</v>
      </c>
      <c r="G1127" s="12" t="s">
        <v>1164</v>
      </c>
      <c r="H1127" s="10" t="s">
        <v>89</v>
      </c>
      <c r="I1127" s="10" t="s">
        <v>290</v>
      </c>
      <c r="J1127" s="12" t="s">
        <v>355</v>
      </c>
      <c r="K1127" s="10" t="s">
        <v>226</v>
      </c>
      <c r="L1127" s="16" t="s">
        <v>45</v>
      </c>
      <c r="M1127" s="10" t="s">
        <v>49</v>
      </c>
      <c r="N1127" s="16" t="s">
        <v>45</v>
      </c>
      <c r="O1127" s="10" t="s">
        <v>1499</v>
      </c>
      <c r="P1127" s="9" t="str">
        <f t="shared" si="28"/>
        <v>N/I</v>
      </c>
      <c r="Q1127" s="9" t="str">
        <f t="shared" si="29"/>
        <v>N/I</v>
      </c>
      <c r="R1127" s="9" t="str">
        <f t="shared" si="32"/>
        <v>N/I</v>
      </c>
    </row>
    <row r="1128">
      <c r="A1128" s="11" t="s">
        <v>3385</v>
      </c>
      <c r="B1128" s="11" t="s">
        <v>3453</v>
      </c>
      <c r="C1128" s="12" t="s">
        <v>94</v>
      </c>
      <c r="D1128" s="20" t="s">
        <v>3454</v>
      </c>
      <c r="E1128" s="10" t="s">
        <v>291</v>
      </c>
      <c r="F1128" s="10" t="s">
        <v>3391</v>
      </c>
      <c r="G1128" s="12" t="s">
        <v>1164</v>
      </c>
      <c r="H1128" s="10" t="s">
        <v>89</v>
      </c>
      <c r="I1128" s="10" t="s">
        <v>290</v>
      </c>
      <c r="J1128" s="12" t="s">
        <v>355</v>
      </c>
      <c r="K1128" s="10" t="s">
        <v>226</v>
      </c>
      <c r="L1128" s="16" t="s">
        <v>45</v>
      </c>
      <c r="M1128" s="10" t="s">
        <v>49</v>
      </c>
      <c r="N1128" s="16" t="s">
        <v>45</v>
      </c>
      <c r="O1128" s="10" t="s">
        <v>1499</v>
      </c>
      <c r="P1128" s="9" t="str">
        <f t="shared" si="28"/>
        <v>N/I</v>
      </c>
      <c r="Q1128" s="9" t="str">
        <f t="shared" si="29"/>
        <v>N/I</v>
      </c>
      <c r="R1128" s="9" t="str">
        <f t="shared" si="32"/>
        <v>N/I</v>
      </c>
    </row>
    <row r="1129">
      <c r="A1129" s="11" t="s">
        <v>3385</v>
      </c>
      <c r="B1129" s="11" t="s">
        <v>3455</v>
      </c>
      <c r="C1129" s="12" t="s">
        <v>94</v>
      </c>
      <c r="D1129" s="20" t="s">
        <v>3456</v>
      </c>
      <c r="E1129" s="10" t="s">
        <v>291</v>
      </c>
      <c r="F1129" s="10" t="s">
        <v>3391</v>
      </c>
      <c r="G1129" s="12" t="s">
        <v>1164</v>
      </c>
      <c r="H1129" s="10" t="s">
        <v>89</v>
      </c>
      <c r="I1129" s="10" t="s">
        <v>290</v>
      </c>
      <c r="J1129" s="12" t="s">
        <v>355</v>
      </c>
      <c r="K1129" s="10" t="s">
        <v>226</v>
      </c>
      <c r="L1129" s="16" t="s">
        <v>45</v>
      </c>
      <c r="M1129" s="10" t="s">
        <v>49</v>
      </c>
      <c r="N1129" s="16" t="s">
        <v>45</v>
      </c>
      <c r="O1129" s="10" t="s">
        <v>1499</v>
      </c>
      <c r="P1129" s="9" t="str">
        <f t="shared" si="28"/>
        <v>N/I</v>
      </c>
      <c r="Q1129" s="9" t="str">
        <f t="shared" si="29"/>
        <v>N/I</v>
      </c>
      <c r="R1129" s="9" t="str">
        <f t="shared" si="32"/>
        <v>N/I</v>
      </c>
    </row>
    <row r="1130">
      <c r="A1130" s="11" t="s">
        <v>3385</v>
      </c>
      <c r="B1130" s="11" t="s">
        <v>3457</v>
      </c>
      <c r="C1130" s="12" t="s">
        <v>94</v>
      </c>
      <c r="D1130" s="20" t="s">
        <v>3458</v>
      </c>
      <c r="E1130" s="10" t="s">
        <v>291</v>
      </c>
      <c r="F1130" s="10" t="s">
        <v>3391</v>
      </c>
      <c r="G1130" s="12" t="s">
        <v>88</v>
      </c>
      <c r="H1130" s="10" t="s">
        <v>89</v>
      </c>
      <c r="I1130" s="10" t="s">
        <v>290</v>
      </c>
      <c r="J1130" s="12" t="s">
        <v>355</v>
      </c>
      <c r="K1130" s="10" t="s">
        <v>226</v>
      </c>
      <c r="L1130" s="16" t="s">
        <v>45</v>
      </c>
      <c r="M1130" s="10" t="s">
        <v>49</v>
      </c>
      <c r="N1130" s="16" t="s">
        <v>45</v>
      </c>
      <c r="O1130" s="10" t="s">
        <v>1499</v>
      </c>
      <c r="P1130" s="9" t="str">
        <f t="shared" si="28"/>
        <v>N/I</v>
      </c>
      <c r="Q1130" s="9" t="str">
        <f t="shared" si="29"/>
        <v>N/I</v>
      </c>
      <c r="R1130" s="9" t="str">
        <f t="shared" si="32"/>
        <v>N/I</v>
      </c>
    </row>
    <row r="1131">
      <c r="A1131" s="11" t="s">
        <v>3385</v>
      </c>
      <c r="B1131" s="11" t="s">
        <v>3461</v>
      </c>
      <c r="C1131" s="12" t="s">
        <v>94</v>
      </c>
      <c r="D1131" s="20" t="s">
        <v>3462</v>
      </c>
      <c r="E1131" s="10" t="s">
        <v>291</v>
      </c>
      <c r="F1131" s="10" t="s">
        <v>3391</v>
      </c>
      <c r="G1131" s="12" t="s">
        <v>88</v>
      </c>
      <c r="H1131" s="10" t="s">
        <v>89</v>
      </c>
      <c r="I1131" s="10" t="s">
        <v>290</v>
      </c>
      <c r="J1131" s="12" t="s">
        <v>355</v>
      </c>
      <c r="K1131" s="10" t="s">
        <v>226</v>
      </c>
      <c r="L1131" s="16" t="s">
        <v>45</v>
      </c>
      <c r="M1131" s="10" t="s">
        <v>49</v>
      </c>
      <c r="N1131" s="16" t="s">
        <v>45</v>
      </c>
      <c r="O1131" s="10" t="s">
        <v>1499</v>
      </c>
      <c r="P1131" s="9" t="str">
        <f t="shared" si="28"/>
        <v>N/I</v>
      </c>
      <c r="Q1131" s="9" t="str">
        <f t="shared" si="29"/>
        <v>N/I</v>
      </c>
      <c r="R1131" s="9" t="str">
        <f t="shared" si="32"/>
        <v>N/I</v>
      </c>
    </row>
    <row r="1132">
      <c r="A1132" s="11" t="s">
        <v>3385</v>
      </c>
      <c r="B1132" s="11" t="s">
        <v>3464</v>
      </c>
      <c r="C1132" s="12" t="s">
        <v>94</v>
      </c>
      <c r="D1132" s="20" t="s">
        <v>3465</v>
      </c>
      <c r="E1132" s="10" t="s">
        <v>291</v>
      </c>
      <c r="F1132" s="10" t="s">
        <v>3391</v>
      </c>
      <c r="G1132" s="12" t="s">
        <v>3466</v>
      </c>
      <c r="H1132" s="10" t="s">
        <v>89</v>
      </c>
      <c r="I1132" s="10" t="s">
        <v>290</v>
      </c>
      <c r="J1132" s="12" t="s">
        <v>355</v>
      </c>
      <c r="K1132" s="10" t="s">
        <v>226</v>
      </c>
      <c r="L1132" s="16" t="s">
        <v>45</v>
      </c>
      <c r="M1132" s="10" t="s">
        <v>49</v>
      </c>
      <c r="N1132" s="16" t="s">
        <v>45</v>
      </c>
      <c r="O1132" s="10" t="s">
        <v>1499</v>
      </c>
      <c r="P1132" s="9" t="str">
        <f t="shared" si="28"/>
        <v>N/I</v>
      </c>
      <c r="Q1132" s="9" t="str">
        <f t="shared" si="29"/>
        <v>N/I</v>
      </c>
      <c r="R1132" s="9" t="str">
        <f t="shared" si="32"/>
        <v>N/I</v>
      </c>
    </row>
    <row r="1133">
      <c r="A1133" s="11" t="s">
        <v>3385</v>
      </c>
      <c r="B1133" s="11" t="s">
        <v>3469</v>
      </c>
      <c r="C1133" s="12" t="s">
        <v>55</v>
      </c>
      <c r="D1133" s="20" t="s">
        <v>3470</v>
      </c>
      <c r="E1133" s="10" t="s">
        <v>291</v>
      </c>
      <c r="F1133" s="10" t="s">
        <v>3391</v>
      </c>
      <c r="G1133" s="12" t="s">
        <v>3471</v>
      </c>
      <c r="H1133" s="10" t="s">
        <v>89</v>
      </c>
      <c r="I1133" s="10" t="s">
        <v>290</v>
      </c>
      <c r="J1133" s="12" t="s">
        <v>355</v>
      </c>
      <c r="K1133" s="10" t="s">
        <v>226</v>
      </c>
      <c r="L1133" s="16" t="s">
        <v>45</v>
      </c>
      <c r="M1133" s="10" t="s">
        <v>49</v>
      </c>
      <c r="N1133" s="16" t="s">
        <v>45</v>
      </c>
      <c r="O1133" s="10" t="s">
        <v>1499</v>
      </c>
      <c r="P1133" s="9" t="str">
        <f t="shared" si="28"/>
        <v>N/I</v>
      </c>
      <c r="Q1133" s="9" t="str">
        <f t="shared" si="29"/>
        <v>N/I</v>
      </c>
      <c r="R1133" s="9" t="str">
        <f t="shared" si="32"/>
        <v>N/I</v>
      </c>
    </row>
    <row r="1134">
      <c r="A1134" s="11" t="s">
        <v>3385</v>
      </c>
      <c r="B1134" s="11" t="s">
        <v>3469</v>
      </c>
      <c r="C1134" s="12" t="s">
        <v>94</v>
      </c>
      <c r="D1134" s="20" t="s">
        <v>3474</v>
      </c>
      <c r="E1134" s="10" t="s">
        <v>291</v>
      </c>
      <c r="F1134" s="10" t="s">
        <v>3391</v>
      </c>
      <c r="G1134" s="12" t="s">
        <v>3471</v>
      </c>
      <c r="H1134" s="10" t="s">
        <v>89</v>
      </c>
      <c r="I1134" s="10" t="s">
        <v>290</v>
      </c>
      <c r="J1134" s="12" t="s">
        <v>355</v>
      </c>
      <c r="K1134" s="10" t="s">
        <v>226</v>
      </c>
      <c r="L1134" s="16" t="s">
        <v>45</v>
      </c>
      <c r="M1134" s="10" t="s">
        <v>49</v>
      </c>
      <c r="N1134" s="16" t="s">
        <v>45</v>
      </c>
      <c r="O1134" s="10" t="s">
        <v>1499</v>
      </c>
      <c r="P1134" s="9" t="str">
        <f t="shared" si="28"/>
        <v>N/I</v>
      </c>
      <c r="Q1134" s="9" t="str">
        <f t="shared" si="29"/>
        <v>N/I</v>
      </c>
      <c r="R1134" s="9" t="str">
        <f t="shared" si="32"/>
        <v>N/I</v>
      </c>
    </row>
    <row r="1135">
      <c r="A1135" s="11" t="s">
        <v>3385</v>
      </c>
      <c r="B1135" s="11" t="s">
        <v>3475</v>
      </c>
      <c r="C1135" s="12" t="s">
        <v>94</v>
      </c>
      <c r="D1135" s="20" t="s">
        <v>3476</v>
      </c>
      <c r="E1135" s="10" t="s">
        <v>291</v>
      </c>
      <c r="F1135" s="10" t="s">
        <v>3391</v>
      </c>
      <c r="G1135" s="12" t="s">
        <v>3477</v>
      </c>
      <c r="H1135" s="10" t="s">
        <v>89</v>
      </c>
      <c r="I1135" s="10" t="s">
        <v>290</v>
      </c>
      <c r="J1135" s="12" t="s">
        <v>355</v>
      </c>
      <c r="K1135" s="10" t="s">
        <v>226</v>
      </c>
      <c r="L1135" s="16" t="s">
        <v>45</v>
      </c>
      <c r="M1135" s="10" t="s">
        <v>49</v>
      </c>
      <c r="N1135" s="16" t="s">
        <v>45</v>
      </c>
      <c r="O1135" s="10" t="s">
        <v>1499</v>
      </c>
      <c r="P1135" s="9" t="str">
        <f t="shared" si="28"/>
        <v>N/I</v>
      </c>
      <c r="Q1135" s="9" t="str">
        <f t="shared" si="29"/>
        <v>N/I</v>
      </c>
      <c r="R1135" s="9" t="str">
        <f t="shared" si="32"/>
        <v>N/I</v>
      </c>
    </row>
    <row r="1136">
      <c r="A1136" s="11" t="s">
        <v>3385</v>
      </c>
      <c r="B1136" s="11" t="s">
        <v>3480</v>
      </c>
      <c r="C1136" s="12" t="s">
        <v>94</v>
      </c>
      <c r="D1136" s="20" t="s">
        <v>3481</v>
      </c>
      <c r="E1136" s="10" t="s">
        <v>291</v>
      </c>
      <c r="F1136" s="10" t="s">
        <v>3391</v>
      </c>
      <c r="G1136" s="12" t="s">
        <v>3477</v>
      </c>
      <c r="H1136" s="10" t="s">
        <v>89</v>
      </c>
      <c r="I1136" s="10" t="s">
        <v>290</v>
      </c>
      <c r="J1136" s="12" t="s">
        <v>355</v>
      </c>
      <c r="K1136" s="10" t="s">
        <v>226</v>
      </c>
      <c r="L1136" s="16" t="s">
        <v>45</v>
      </c>
      <c r="M1136" s="10" t="s">
        <v>49</v>
      </c>
      <c r="N1136" s="16" t="s">
        <v>45</v>
      </c>
      <c r="O1136" s="10" t="s">
        <v>1499</v>
      </c>
      <c r="P1136" s="9" t="str">
        <f t="shared" si="28"/>
        <v>N/I</v>
      </c>
      <c r="Q1136" s="9" t="str">
        <f t="shared" si="29"/>
        <v>N/I</v>
      </c>
      <c r="R1136" s="9" t="str">
        <f t="shared" si="32"/>
        <v>N/I</v>
      </c>
    </row>
    <row r="1137">
      <c r="A1137" s="11" t="s">
        <v>3385</v>
      </c>
      <c r="B1137" s="11" t="s">
        <v>1166</v>
      </c>
      <c r="C1137" s="12" t="s">
        <v>94</v>
      </c>
      <c r="D1137" s="20" t="s">
        <v>3484</v>
      </c>
      <c r="E1137" s="10" t="s">
        <v>291</v>
      </c>
      <c r="F1137" s="10" t="s">
        <v>3391</v>
      </c>
      <c r="G1137" s="12" t="s">
        <v>3485</v>
      </c>
      <c r="H1137" s="10" t="s">
        <v>89</v>
      </c>
      <c r="I1137" s="10" t="s">
        <v>290</v>
      </c>
      <c r="J1137" s="12" t="s">
        <v>355</v>
      </c>
      <c r="K1137" s="10" t="s">
        <v>226</v>
      </c>
      <c r="L1137" s="16" t="s">
        <v>45</v>
      </c>
      <c r="M1137" s="10" t="s">
        <v>49</v>
      </c>
      <c r="N1137" s="16" t="s">
        <v>45</v>
      </c>
      <c r="O1137" s="10" t="s">
        <v>1499</v>
      </c>
      <c r="P1137" s="9" t="str">
        <f t="shared" si="28"/>
        <v>N/I</v>
      </c>
      <c r="Q1137" s="9" t="str">
        <f t="shared" si="29"/>
        <v>N/I</v>
      </c>
      <c r="R1137" s="9" t="str">
        <f t="shared" si="32"/>
        <v>N/I</v>
      </c>
    </row>
    <row r="1138">
      <c r="A1138" s="11" t="s">
        <v>3385</v>
      </c>
      <c r="B1138" s="11" t="s">
        <v>3487</v>
      </c>
      <c r="C1138" s="12" t="s">
        <v>94</v>
      </c>
      <c r="D1138" s="20" t="s">
        <v>3488</v>
      </c>
      <c r="E1138" s="10" t="s">
        <v>291</v>
      </c>
      <c r="F1138" s="10" t="s">
        <v>3391</v>
      </c>
      <c r="G1138" s="12" t="s">
        <v>3489</v>
      </c>
      <c r="H1138" s="10" t="s">
        <v>89</v>
      </c>
      <c r="I1138" s="10" t="s">
        <v>290</v>
      </c>
      <c r="J1138" s="12" t="s">
        <v>355</v>
      </c>
      <c r="K1138" s="10" t="s">
        <v>226</v>
      </c>
      <c r="L1138" s="16" t="s">
        <v>45</v>
      </c>
      <c r="M1138" s="10" t="s">
        <v>49</v>
      </c>
      <c r="N1138" s="16" t="s">
        <v>45</v>
      </c>
      <c r="O1138" s="10" t="s">
        <v>1499</v>
      </c>
      <c r="P1138" s="9" t="str">
        <f t="shared" si="28"/>
        <v>N/I</v>
      </c>
      <c r="Q1138" s="9" t="str">
        <f t="shared" si="29"/>
        <v>N/I</v>
      </c>
      <c r="R1138" s="9" t="str">
        <f t="shared" si="32"/>
        <v>N/I</v>
      </c>
    </row>
    <row r="1139">
      <c r="A1139" s="11" t="s">
        <v>3493</v>
      </c>
      <c r="B1139" s="11" t="s">
        <v>3494</v>
      </c>
      <c r="C1139" s="12" t="s">
        <v>94</v>
      </c>
      <c r="D1139" s="23" t="s">
        <v>3495</v>
      </c>
      <c r="E1139" s="10" t="s">
        <v>442</v>
      </c>
      <c r="F1139" s="10" t="s">
        <v>3499</v>
      </c>
      <c r="G1139" s="12" t="s">
        <v>3496</v>
      </c>
      <c r="H1139" s="10" t="s">
        <v>652</v>
      </c>
      <c r="I1139" s="16" t="s">
        <v>45</v>
      </c>
      <c r="J1139" s="10" t="s">
        <v>318</v>
      </c>
      <c r="K1139" s="10" t="s">
        <v>319</v>
      </c>
      <c r="L1139" s="16" t="s">
        <v>45</v>
      </c>
      <c r="M1139" s="10" t="s">
        <v>49</v>
      </c>
      <c r="N1139" s="10" t="s">
        <v>2994</v>
      </c>
      <c r="O1139" s="10" t="s">
        <v>50</v>
      </c>
      <c r="P1139" s="9" t="str">
        <f t="shared" si="28"/>
        <v>N/I</v>
      </c>
      <c r="Q1139" s="9" t="str">
        <f t="shared" si="29"/>
        <v>N/I</v>
      </c>
      <c r="R1139" s="9" t="str">
        <f t="shared" si="32"/>
        <v>N/I</v>
      </c>
    </row>
    <row r="1140">
      <c r="A1140" s="11" t="s">
        <v>3493</v>
      </c>
      <c r="B1140" s="11" t="s">
        <v>3500</v>
      </c>
      <c r="C1140" s="12" t="s">
        <v>94</v>
      </c>
      <c r="D1140" s="23">
        <v>140088.0</v>
      </c>
      <c r="E1140" s="10" t="s">
        <v>442</v>
      </c>
      <c r="F1140" s="10" t="s">
        <v>3499</v>
      </c>
      <c r="G1140" s="12" t="s">
        <v>3501</v>
      </c>
      <c r="H1140" s="10" t="s">
        <v>652</v>
      </c>
      <c r="I1140" s="16" t="s">
        <v>45</v>
      </c>
      <c r="J1140" s="10" t="s">
        <v>318</v>
      </c>
      <c r="K1140" s="10" t="s">
        <v>319</v>
      </c>
      <c r="L1140" s="16" t="s">
        <v>45</v>
      </c>
      <c r="M1140" s="10" t="s">
        <v>49</v>
      </c>
      <c r="N1140" s="10" t="s">
        <v>2994</v>
      </c>
      <c r="O1140" s="10" t="s">
        <v>50</v>
      </c>
      <c r="P1140" s="9" t="str">
        <f t="shared" si="28"/>
        <v>N/I</v>
      </c>
      <c r="Q1140" s="9" t="str">
        <f t="shared" si="29"/>
        <v>N/I</v>
      </c>
      <c r="R1140" s="9" t="str">
        <f t="shared" si="32"/>
        <v>N/I</v>
      </c>
    </row>
    <row r="1141">
      <c r="A1141" s="11" t="s">
        <v>3493</v>
      </c>
      <c r="B1141" s="11" t="s">
        <v>3504</v>
      </c>
      <c r="C1141" s="12" t="s">
        <v>94</v>
      </c>
      <c r="D1141" s="23" t="s">
        <v>3505</v>
      </c>
      <c r="E1141" s="10" t="s">
        <v>442</v>
      </c>
      <c r="F1141" s="10" t="s">
        <v>3499</v>
      </c>
      <c r="G1141" s="12" t="s">
        <v>950</v>
      </c>
      <c r="H1141" s="10" t="s">
        <v>652</v>
      </c>
      <c r="I1141" s="16" t="s">
        <v>45</v>
      </c>
      <c r="J1141" s="10" t="s">
        <v>318</v>
      </c>
      <c r="K1141" s="10" t="s">
        <v>319</v>
      </c>
      <c r="L1141" s="16" t="s">
        <v>45</v>
      </c>
      <c r="M1141" s="10" t="s">
        <v>49</v>
      </c>
      <c r="N1141" s="10" t="s">
        <v>2994</v>
      </c>
      <c r="O1141" s="10" t="s">
        <v>50</v>
      </c>
      <c r="P1141" s="9" t="str">
        <f t="shared" si="28"/>
        <v>N/I</v>
      </c>
      <c r="Q1141" s="9" t="str">
        <f t="shared" si="29"/>
        <v>N/I</v>
      </c>
      <c r="R1141" s="9" t="str">
        <f t="shared" si="32"/>
        <v>N/I</v>
      </c>
    </row>
    <row r="1142">
      <c r="A1142" s="11" t="s">
        <v>3493</v>
      </c>
      <c r="B1142" s="11" t="s">
        <v>3507</v>
      </c>
      <c r="C1142" s="12" t="s">
        <v>94</v>
      </c>
      <c r="D1142" s="23" t="s">
        <v>3508</v>
      </c>
      <c r="E1142" s="10" t="s">
        <v>442</v>
      </c>
      <c r="F1142" s="10" t="s">
        <v>3499</v>
      </c>
      <c r="G1142" s="12" t="s">
        <v>3509</v>
      </c>
      <c r="H1142" s="10" t="s">
        <v>652</v>
      </c>
      <c r="I1142" s="16" t="s">
        <v>45</v>
      </c>
      <c r="J1142" s="10" t="s">
        <v>318</v>
      </c>
      <c r="K1142" s="10" t="s">
        <v>319</v>
      </c>
      <c r="L1142" s="16" t="s">
        <v>45</v>
      </c>
      <c r="M1142" s="10" t="s">
        <v>49</v>
      </c>
      <c r="N1142" s="10" t="s">
        <v>2994</v>
      </c>
      <c r="O1142" s="10" t="s">
        <v>50</v>
      </c>
      <c r="P1142" s="9" t="str">
        <f t="shared" si="28"/>
        <v>N/I</v>
      </c>
      <c r="Q1142" s="9" t="str">
        <f t="shared" si="29"/>
        <v>N/I</v>
      </c>
      <c r="R1142" s="9" t="str">
        <f t="shared" si="32"/>
        <v>N/I</v>
      </c>
    </row>
    <row r="1143">
      <c r="A1143" s="11" t="s">
        <v>3493</v>
      </c>
      <c r="B1143" s="11" t="s">
        <v>3512</v>
      </c>
      <c r="C1143" s="12" t="s">
        <v>94</v>
      </c>
      <c r="D1143" s="23" t="s">
        <v>3513</v>
      </c>
      <c r="E1143" s="10" t="s">
        <v>442</v>
      </c>
      <c r="F1143" s="10" t="s">
        <v>3499</v>
      </c>
      <c r="G1143" s="12" t="s">
        <v>3514</v>
      </c>
      <c r="H1143" s="10" t="s">
        <v>652</v>
      </c>
      <c r="I1143" s="16" t="s">
        <v>45</v>
      </c>
      <c r="J1143" s="10" t="s">
        <v>318</v>
      </c>
      <c r="K1143" s="10" t="s">
        <v>319</v>
      </c>
      <c r="L1143" s="16" t="s">
        <v>45</v>
      </c>
      <c r="M1143" s="10" t="s">
        <v>49</v>
      </c>
      <c r="N1143" s="10" t="s">
        <v>2994</v>
      </c>
      <c r="O1143" s="10" t="s">
        <v>50</v>
      </c>
      <c r="P1143" s="9" t="str">
        <f t="shared" si="28"/>
        <v>N/I</v>
      </c>
      <c r="Q1143" s="9" t="str">
        <f t="shared" si="29"/>
        <v>N/I</v>
      </c>
      <c r="R1143" s="9" t="str">
        <f t="shared" si="32"/>
        <v>N/I</v>
      </c>
    </row>
    <row r="1144">
      <c r="A1144" s="11" t="s">
        <v>3493</v>
      </c>
      <c r="B1144" s="11" t="s">
        <v>3516</v>
      </c>
      <c r="C1144" s="12" t="s">
        <v>94</v>
      </c>
      <c r="D1144" s="23" t="s">
        <v>3517</v>
      </c>
      <c r="E1144" s="10" t="s">
        <v>442</v>
      </c>
      <c r="F1144" s="10" t="s">
        <v>3499</v>
      </c>
      <c r="G1144" s="12" t="s">
        <v>3518</v>
      </c>
      <c r="H1144" s="10" t="s">
        <v>652</v>
      </c>
      <c r="I1144" s="16" t="s">
        <v>45</v>
      </c>
      <c r="J1144" s="10" t="s">
        <v>318</v>
      </c>
      <c r="K1144" s="10" t="s">
        <v>319</v>
      </c>
      <c r="L1144" s="16" t="s">
        <v>45</v>
      </c>
      <c r="M1144" s="10" t="s">
        <v>49</v>
      </c>
      <c r="N1144" s="10" t="s">
        <v>2994</v>
      </c>
      <c r="O1144" s="10" t="s">
        <v>50</v>
      </c>
      <c r="P1144" s="9" t="str">
        <f t="shared" si="28"/>
        <v>N/I</v>
      </c>
      <c r="Q1144" s="9" t="str">
        <f t="shared" si="29"/>
        <v>N/I</v>
      </c>
      <c r="R1144" s="9" t="str">
        <f t="shared" si="32"/>
        <v>N/I</v>
      </c>
    </row>
    <row r="1145">
      <c r="A1145" s="11" t="s">
        <v>3493</v>
      </c>
      <c r="B1145" s="11" t="s">
        <v>3521</v>
      </c>
      <c r="C1145" s="12" t="s">
        <v>94</v>
      </c>
      <c r="D1145" s="23" t="s">
        <v>3522</v>
      </c>
      <c r="E1145" s="10" t="s">
        <v>442</v>
      </c>
      <c r="F1145" s="10" t="s">
        <v>3499</v>
      </c>
      <c r="G1145" s="12" t="s">
        <v>3523</v>
      </c>
      <c r="H1145" s="10" t="s">
        <v>652</v>
      </c>
      <c r="I1145" s="16" t="s">
        <v>45</v>
      </c>
      <c r="J1145" s="10" t="s">
        <v>318</v>
      </c>
      <c r="K1145" s="10" t="s">
        <v>319</v>
      </c>
      <c r="L1145" s="16" t="s">
        <v>45</v>
      </c>
      <c r="M1145" s="10" t="s">
        <v>49</v>
      </c>
      <c r="N1145" s="10" t="s">
        <v>2994</v>
      </c>
      <c r="O1145" s="10" t="s">
        <v>50</v>
      </c>
      <c r="P1145" s="9" t="str">
        <f t="shared" si="28"/>
        <v>N/I</v>
      </c>
      <c r="Q1145" s="9" t="str">
        <f t="shared" si="29"/>
        <v>N/I</v>
      </c>
      <c r="R1145" s="9" t="str">
        <f t="shared" si="32"/>
        <v>N/I</v>
      </c>
    </row>
    <row r="1146">
      <c r="A1146" s="11" t="s">
        <v>3493</v>
      </c>
      <c r="B1146" s="11" t="s">
        <v>3526</v>
      </c>
      <c r="C1146" s="12" t="s">
        <v>94</v>
      </c>
      <c r="D1146" s="23" t="s">
        <v>3527</v>
      </c>
      <c r="E1146" s="10" t="s">
        <v>442</v>
      </c>
      <c r="F1146" s="10" t="s">
        <v>3499</v>
      </c>
      <c r="G1146" s="12" t="s">
        <v>1326</v>
      </c>
      <c r="H1146" s="10" t="s">
        <v>652</v>
      </c>
      <c r="I1146" s="16" t="s">
        <v>45</v>
      </c>
      <c r="J1146" s="10" t="s">
        <v>318</v>
      </c>
      <c r="K1146" s="10" t="s">
        <v>319</v>
      </c>
      <c r="L1146" s="16" t="s">
        <v>45</v>
      </c>
      <c r="M1146" s="10" t="s">
        <v>49</v>
      </c>
      <c r="N1146" s="10" t="s">
        <v>2994</v>
      </c>
      <c r="O1146" s="10" t="s">
        <v>50</v>
      </c>
      <c r="P1146" s="9" t="str">
        <f t="shared" si="28"/>
        <v>N/I</v>
      </c>
      <c r="Q1146" s="9" t="str">
        <f t="shared" si="29"/>
        <v>N/I</v>
      </c>
      <c r="R1146" s="9" t="str">
        <f t="shared" si="32"/>
        <v>N/I</v>
      </c>
    </row>
    <row r="1147">
      <c r="A1147" s="11" t="s">
        <v>3493</v>
      </c>
      <c r="B1147" s="11" t="s">
        <v>3529</v>
      </c>
      <c r="C1147" s="12" t="s">
        <v>94</v>
      </c>
      <c r="D1147" s="23" t="s">
        <v>3530</v>
      </c>
      <c r="E1147" s="10" t="s">
        <v>442</v>
      </c>
      <c r="F1147" s="10" t="s">
        <v>3499</v>
      </c>
      <c r="G1147" s="12" t="s">
        <v>3531</v>
      </c>
      <c r="H1147" s="10" t="s">
        <v>652</v>
      </c>
      <c r="I1147" s="16" t="s">
        <v>45</v>
      </c>
      <c r="J1147" s="10" t="s">
        <v>318</v>
      </c>
      <c r="K1147" s="10" t="s">
        <v>319</v>
      </c>
      <c r="L1147" s="16" t="s">
        <v>45</v>
      </c>
      <c r="M1147" s="10" t="s">
        <v>49</v>
      </c>
      <c r="N1147" s="10" t="s">
        <v>2994</v>
      </c>
      <c r="O1147" s="10" t="s">
        <v>50</v>
      </c>
      <c r="P1147" s="9" t="str">
        <f t="shared" si="28"/>
        <v>N/I</v>
      </c>
      <c r="Q1147" s="9" t="str">
        <f t="shared" si="29"/>
        <v>N/I</v>
      </c>
      <c r="R1147" s="9" t="str">
        <f t="shared" si="32"/>
        <v>N/I</v>
      </c>
    </row>
    <row r="1148">
      <c r="A1148" s="11" t="s">
        <v>3493</v>
      </c>
      <c r="B1148" s="32"/>
      <c r="C1148" s="12" t="s">
        <v>94</v>
      </c>
      <c r="D1148" s="57" t="s">
        <v>187</v>
      </c>
      <c r="E1148" s="10" t="s">
        <v>442</v>
      </c>
      <c r="F1148" s="10" t="s">
        <v>3499</v>
      </c>
      <c r="G1148" s="12"/>
      <c r="H1148" s="10" t="s">
        <v>652</v>
      </c>
      <c r="I1148" s="16" t="s">
        <v>45</v>
      </c>
      <c r="J1148" s="10" t="s">
        <v>318</v>
      </c>
      <c r="K1148" s="10" t="s">
        <v>319</v>
      </c>
      <c r="L1148" s="16" t="s">
        <v>45</v>
      </c>
      <c r="M1148" s="10" t="s">
        <v>49</v>
      </c>
      <c r="N1148" s="10" t="s">
        <v>2994</v>
      </c>
      <c r="O1148" s="10" t="s">
        <v>50</v>
      </c>
      <c r="P1148" s="9" t="str">
        <f t="shared" si="28"/>
        <v>N/I</v>
      </c>
      <c r="Q1148" s="9" t="str">
        <f t="shared" si="29"/>
        <v>N/I</v>
      </c>
      <c r="R1148" s="9" t="str">
        <f t="shared" si="32"/>
        <v>N/I</v>
      </c>
    </row>
    <row r="1149">
      <c r="A1149" s="11" t="s">
        <v>3493</v>
      </c>
      <c r="B1149" s="32"/>
      <c r="C1149" s="12" t="s">
        <v>94</v>
      </c>
      <c r="D1149" s="57" t="s">
        <v>187</v>
      </c>
      <c r="E1149" s="10" t="s">
        <v>442</v>
      </c>
      <c r="F1149" s="10" t="s">
        <v>3499</v>
      </c>
      <c r="G1149" s="12"/>
      <c r="H1149" s="10" t="s">
        <v>652</v>
      </c>
      <c r="I1149" s="16" t="s">
        <v>45</v>
      </c>
      <c r="J1149" s="10" t="s">
        <v>318</v>
      </c>
      <c r="K1149" s="10" t="s">
        <v>319</v>
      </c>
      <c r="L1149" s="16" t="s">
        <v>45</v>
      </c>
      <c r="M1149" s="10" t="s">
        <v>49</v>
      </c>
      <c r="N1149" s="10" t="s">
        <v>2994</v>
      </c>
      <c r="O1149" s="10" t="s">
        <v>50</v>
      </c>
      <c r="P1149" s="9" t="str">
        <f t="shared" si="28"/>
        <v>N/I</v>
      </c>
      <c r="Q1149" s="9" t="str">
        <f t="shared" si="29"/>
        <v>N/I</v>
      </c>
      <c r="R1149" s="9" t="str">
        <f t="shared" si="32"/>
        <v>N/I</v>
      </c>
    </row>
    <row r="1150">
      <c r="A1150" s="11" t="s">
        <v>3533</v>
      </c>
      <c r="B1150" s="11" t="s">
        <v>3534</v>
      </c>
      <c r="C1150" s="12" t="s">
        <v>55</v>
      </c>
      <c r="D1150" s="16" t="s">
        <v>3535</v>
      </c>
      <c r="E1150" s="10" t="s">
        <v>3541</v>
      </c>
      <c r="F1150" s="10" t="s">
        <v>3539</v>
      </c>
      <c r="G1150" s="12" t="s">
        <v>3536</v>
      </c>
      <c r="H1150" s="10" t="s">
        <v>870</v>
      </c>
      <c r="I1150" s="10" t="s">
        <v>3540</v>
      </c>
      <c r="J1150" s="12" t="s">
        <v>46</v>
      </c>
      <c r="K1150" s="10" t="s">
        <v>291</v>
      </c>
      <c r="L1150" s="16" t="s">
        <v>45</v>
      </c>
      <c r="M1150" s="10" t="s">
        <v>49</v>
      </c>
      <c r="N1150" s="16" t="s">
        <v>45</v>
      </c>
      <c r="O1150" s="10" t="s">
        <v>320</v>
      </c>
      <c r="P1150" s="9" t="str">
        <f t="shared" si="28"/>
        <v>N/I</v>
      </c>
      <c r="Q1150" s="9" t="str">
        <f t="shared" si="29"/>
        <v>N/I</v>
      </c>
      <c r="R1150" s="9" t="str">
        <f t="shared" si="32"/>
        <v>N/I</v>
      </c>
    </row>
    <row r="1151">
      <c r="A1151" s="11" t="s">
        <v>3533</v>
      </c>
      <c r="B1151" s="11" t="s">
        <v>3542</v>
      </c>
      <c r="C1151" s="12" t="s">
        <v>55</v>
      </c>
      <c r="D1151" s="16" t="s">
        <v>3543</v>
      </c>
      <c r="E1151" s="10" t="s">
        <v>3541</v>
      </c>
      <c r="F1151" s="10" t="s">
        <v>3539</v>
      </c>
      <c r="G1151" s="12" t="s">
        <v>3544</v>
      </c>
      <c r="H1151" s="10" t="s">
        <v>870</v>
      </c>
      <c r="I1151" s="10" t="s">
        <v>3540</v>
      </c>
      <c r="J1151" s="12" t="s">
        <v>46</v>
      </c>
      <c r="K1151" s="10" t="s">
        <v>291</v>
      </c>
      <c r="L1151" s="16" t="s">
        <v>45</v>
      </c>
      <c r="M1151" s="10" t="s">
        <v>49</v>
      </c>
      <c r="N1151" s="16" t="s">
        <v>45</v>
      </c>
      <c r="O1151" s="10" t="s">
        <v>320</v>
      </c>
      <c r="P1151" s="9" t="str">
        <f t="shared" si="28"/>
        <v>N/I</v>
      </c>
      <c r="Q1151" s="9" t="str">
        <f t="shared" si="29"/>
        <v>N/I</v>
      </c>
      <c r="R1151" s="9" t="str">
        <f t="shared" si="32"/>
        <v>N/I</v>
      </c>
    </row>
    <row r="1152">
      <c r="A1152" s="11" t="s">
        <v>3533</v>
      </c>
      <c r="B1152" s="11" t="s">
        <v>3547</v>
      </c>
      <c r="C1152" s="12" t="s">
        <v>55</v>
      </c>
      <c r="D1152" s="16" t="s">
        <v>3548</v>
      </c>
      <c r="E1152" s="10" t="s">
        <v>3541</v>
      </c>
      <c r="F1152" s="10" t="s">
        <v>3539</v>
      </c>
      <c r="G1152" s="12" t="s">
        <v>3549</v>
      </c>
      <c r="H1152" s="10" t="s">
        <v>870</v>
      </c>
      <c r="I1152" s="10" t="s">
        <v>3540</v>
      </c>
      <c r="J1152" s="12" t="s">
        <v>46</v>
      </c>
      <c r="K1152" s="10" t="s">
        <v>291</v>
      </c>
      <c r="L1152" s="16" t="s">
        <v>45</v>
      </c>
      <c r="M1152" s="10" t="s">
        <v>49</v>
      </c>
      <c r="N1152" s="16" t="s">
        <v>45</v>
      </c>
      <c r="O1152" s="10" t="s">
        <v>320</v>
      </c>
      <c r="P1152" s="9" t="str">
        <f t="shared" si="28"/>
        <v>N/I</v>
      </c>
      <c r="Q1152" s="9" t="str">
        <f t="shared" si="29"/>
        <v>N/I</v>
      </c>
      <c r="R1152" s="9" t="str">
        <f t="shared" si="32"/>
        <v>N/I</v>
      </c>
    </row>
    <row r="1153">
      <c r="A1153" s="11" t="s">
        <v>3533</v>
      </c>
      <c r="B1153" s="11" t="s">
        <v>3552</v>
      </c>
      <c r="C1153" s="12" t="s">
        <v>55</v>
      </c>
      <c r="D1153" s="16" t="s">
        <v>3553</v>
      </c>
      <c r="E1153" s="10" t="s">
        <v>3541</v>
      </c>
      <c r="F1153" s="10" t="s">
        <v>3539</v>
      </c>
      <c r="G1153" s="12" t="s">
        <v>3554</v>
      </c>
      <c r="H1153" s="10" t="s">
        <v>870</v>
      </c>
      <c r="I1153" s="10" t="s">
        <v>3540</v>
      </c>
      <c r="J1153" s="12" t="s">
        <v>46</v>
      </c>
      <c r="K1153" s="10" t="s">
        <v>291</v>
      </c>
      <c r="L1153" s="16" t="s">
        <v>45</v>
      </c>
      <c r="M1153" s="10" t="s">
        <v>49</v>
      </c>
      <c r="N1153" s="16" t="s">
        <v>45</v>
      </c>
      <c r="O1153" s="10" t="s">
        <v>320</v>
      </c>
      <c r="P1153" s="9" t="str">
        <f t="shared" si="28"/>
        <v>N/I</v>
      </c>
      <c r="Q1153" s="9" t="str">
        <f t="shared" si="29"/>
        <v>N/I</v>
      </c>
      <c r="R1153" s="9" t="str">
        <f t="shared" si="32"/>
        <v>N/I</v>
      </c>
    </row>
    <row r="1154">
      <c r="A1154" s="11" t="s">
        <v>3533</v>
      </c>
      <c r="B1154" s="11" t="s">
        <v>3557</v>
      </c>
      <c r="C1154" s="12" t="s">
        <v>55</v>
      </c>
      <c r="D1154" s="16" t="s">
        <v>3558</v>
      </c>
      <c r="E1154" s="10" t="s">
        <v>3541</v>
      </c>
      <c r="F1154" s="10" t="s">
        <v>3539</v>
      </c>
      <c r="G1154" s="12" t="s">
        <v>869</v>
      </c>
      <c r="H1154" s="10" t="s">
        <v>870</v>
      </c>
      <c r="I1154" s="10" t="s">
        <v>3540</v>
      </c>
      <c r="J1154" s="12" t="s">
        <v>46</v>
      </c>
      <c r="K1154" s="10" t="s">
        <v>291</v>
      </c>
      <c r="L1154" s="16" t="s">
        <v>45</v>
      </c>
      <c r="M1154" s="10" t="s">
        <v>49</v>
      </c>
      <c r="N1154" s="16" t="s">
        <v>45</v>
      </c>
      <c r="O1154" s="10" t="s">
        <v>320</v>
      </c>
      <c r="P1154" s="9" t="str">
        <f t="shared" si="28"/>
        <v>N/I</v>
      </c>
      <c r="Q1154" s="9" t="str">
        <f t="shared" si="29"/>
        <v>N/I</v>
      </c>
      <c r="R1154" s="9" t="str">
        <f t="shared" si="32"/>
        <v>N/I</v>
      </c>
    </row>
    <row r="1155">
      <c r="A1155" s="11" t="s">
        <v>3533</v>
      </c>
      <c r="B1155" s="11" t="s">
        <v>3561</v>
      </c>
      <c r="C1155" s="12" t="s">
        <v>55</v>
      </c>
      <c r="D1155" s="16" t="s">
        <v>3562</v>
      </c>
      <c r="E1155" s="10" t="s">
        <v>3541</v>
      </c>
      <c r="F1155" s="10" t="s">
        <v>3539</v>
      </c>
      <c r="G1155" s="12" t="s">
        <v>3563</v>
      </c>
      <c r="H1155" s="10" t="s">
        <v>870</v>
      </c>
      <c r="I1155" s="10" t="s">
        <v>3540</v>
      </c>
      <c r="J1155" s="12" t="s">
        <v>46</v>
      </c>
      <c r="K1155" s="10" t="s">
        <v>291</v>
      </c>
      <c r="L1155" s="16" t="s">
        <v>45</v>
      </c>
      <c r="M1155" s="10" t="s">
        <v>49</v>
      </c>
      <c r="N1155" s="16" t="s">
        <v>45</v>
      </c>
      <c r="O1155" s="10" t="s">
        <v>320</v>
      </c>
      <c r="P1155" s="9" t="str">
        <f t="shared" si="28"/>
        <v>N/I</v>
      </c>
      <c r="Q1155" s="9" t="str">
        <f t="shared" si="29"/>
        <v>N/I</v>
      </c>
      <c r="R1155" s="9" t="str">
        <f t="shared" si="32"/>
        <v>N/I</v>
      </c>
    </row>
    <row r="1156">
      <c r="A1156" s="11" t="s">
        <v>3533</v>
      </c>
      <c r="B1156" s="11" t="s">
        <v>3566</v>
      </c>
      <c r="C1156" s="12" t="s">
        <v>55</v>
      </c>
      <c r="D1156" s="16" t="s">
        <v>3567</v>
      </c>
      <c r="E1156" s="10" t="s">
        <v>3541</v>
      </c>
      <c r="F1156" s="10" t="s">
        <v>3539</v>
      </c>
      <c r="G1156" s="12" t="s">
        <v>3568</v>
      </c>
      <c r="H1156" s="10" t="s">
        <v>870</v>
      </c>
      <c r="I1156" s="10" t="s">
        <v>3540</v>
      </c>
      <c r="J1156" s="12" t="s">
        <v>46</v>
      </c>
      <c r="K1156" s="10" t="s">
        <v>291</v>
      </c>
      <c r="L1156" s="16" t="s">
        <v>45</v>
      </c>
      <c r="M1156" s="10" t="s">
        <v>49</v>
      </c>
      <c r="N1156" s="16" t="s">
        <v>45</v>
      </c>
      <c r="O1156" s="10" t="s">
        <v>320</v>
      </c>
      <c r="P1156" s="9" t="str">
        <f t="shared" si="28"/>
        <v>N/I</v>
      </c>
      <c r="Q1156" s="9" t="str">
        <f t="shared" si="29"/>
        <v>N/I</v>
      </c>
      <c r="R1156" s="9" t="str">
        <f t="shared" si="32"/>
        <v>N/I</v>
      </c>
    </row>
    <row r="1157">
      <c r="A1157" s="11" t="s">
        <v>3572</v>
      </c>
      <c r="B1157" s="32" t="s">
        <v>3573</v>
      </c>
      <c r="C1157" s="12" t="s">
        <v>1691</v>
      </c>
      <c r="D1157" s="25" t="s">
        <v>187</v>
      </c>
      <c r="E1157" s="10" t="s">
        <v>292</v>
      </c>
      <c r="F1157" s="10" t="s">
        <v>3577</v>
      </c>
      <c r="G1157" s="12" t="s">
        <v>3574</v>
      </c>
      <c r="H1157" s="10" t="s">
        <v>216</v>
      </c>
      <c r="I1157" s="10" t="s">
        <v>290</v>
      </c>
      <c r="J1157" s="12" t="s">
        <v>46</v>
      </c>
      <c r="K1157" s="10" t="s">
        <v>291</v>
      </c>
      <c r="L1157" s="16" t="s">
        <v>45</v>
      </c>
      <c r="M1157" s="10" t="s">
        <v>49</v>
      </c>
      <c r="N1157" s="16" t="s">
        <v>45</v>
      </c>
      <c r="O1157" s="10" t="s">
        <v>50</v>
      </c>
      <c r="P1157" s="9" t="str">
        <f t="shared" si="28"/>
        <v>N/I</v>
      </c>
      <c r="Q1157" s="9" t="str">
        <f t="shared" si="29"/>
        <v>N/I</v>
      </c>
      <c r="R1157" s="9" t="str">
        <f t="shared" si="32"/>
        <v>N/I</v>
      </c>
    </row>
    <row r="1158">
      <c r="A1158" s="11" t="s">
        <v>3572</v>
      </c>
      <c r="B1158" s="32" t="s">
        <v>3578</v>
      </c>
      <c r="C1158" s="12" t="s">
        <v>3579</v>
      </c>
      <c r="D1158" s="25" t="s">
        <v>187</v>
      </c>
      <c r="E1158" s="10" t="s">
        <v>291</v>
      </c>
      <c r="F1158" s="10" t="s">
        <v>3583</v>
      </c>
      <c r="G1158" s="12" t="s">
        <v>3580</v>
      </c>
      <c r="H1158" s="10" t="s">
        <v>216</v>
      </c>
      <c r="I1158" s="10" t="s">
        <v>290</v>
      </c>
      <c r="J1158" s="10" t="s">
        <v>318</v>
      </c>
      <c r="K1158" s="10" t="s">
        <v>319</v>
      </c>
      <c r="L1158" s="16" t="s">
        <v>45</v>
      </c>
      <c r="M1158" s="10" t="s">
        <v>49</v>
      </c>
      <c r="N1158" s="10" t="s">
        <v>508</v>
      </c>
      <c r="O1158" s="10" t="s">
        <v>50</v>
      </c>
      <c r="P1158" s="9" t="str">
        <f t="shared" si="28"/>
        <v>N/I</v>
      </c>
      <c r="Q1158" s="9" t="str">
        <f t="shared" si="29"/>
        <v>N/I</v>
      </c>
      <c r="R1158" s="9" t="str">
        <f t="shared" si="32"/>
        <v>N/I</v>
      </c>
    </row>
    <row r="1159">
      <c r="A1159" s="11" t="s">
        <v>3572</v>
      </c>
      <c r="B1159" s="32" t="s">
        <v>3584</v>
      </c>
      <c r="C1159" s="12" t="s">
        <v>1691</v>
      </c>
      <c r="D1159" s="25" t="s">
        <v>187</v>
      </c>
      <c r="E1159" s="10" t="s">
        <v>292</v>
      </c>
      <c r="F1159" s="10" t="s">
        <v>3577</v>
      </c>
      <c r="G1159" s="12" t="s">
        <v>3585</v>
      </c>
      <c r="H1159" s="10" t="s">
        <v>216</v>
      </c>
      <c r="I1159" s="10" t="s">
        <v>290</v>
      </c>
      <c r="J1159" s="12" t="s">
        <v>46</v>
      </c>
      <c r="K1159" s="10" t="s">
        <v>291</v>
      </c>
      <c r="L1159" s="16" t="s">
        <v>45</v>
      </c>
      <c r="M1159" s="10" t="s">
        <v>49</v>
      </c>
      <c r="N1159" s="16" t="s">
        <v>45</v>
      </c>
      <c r="O1159" s="10" t="s">
        <v>50</v>
      </c>
      <c r="P1159" s="9" t="str">
        <f t="shared" si="28"/>
        <v>N/I</v>
      </c>
      <c r="Q1159" s="9" t="str">
        <f t="shared" si="29"/>
        <v>N/I</v>
      </c>
      <c r="R1159" s="9" t="str">
        <f t="shared" si="32"/>
        <v>N/I</v>
      </c>
    </row>
    <row r="1160">
      <c r="A1160" s="11" t="s">
        <v>3572</v>
      </c>
      <c r="B1160" s="11" t="s">
        <v>3588</v>
      </c>
      <c r="C1160" s="12" t="s">
        <v>1691</v>
      </c>
      <c r="D1160" s="34" t="s">
        <v>3589</v>
      </c>
      <c r="E1160" s="10" t="s">
        <v>390</v>
      </c>
      <c r="F1160" s="10" t="s">
        <v>3593</v>
      </c>
      <c r="G1160" s="12" t="s">
        <v>3590</v>
      </c>
      <c r="H1160" s="10" t="s">
        <v>216</v>
      </c>
      <c r="I1160" s="10" t="s">
        <v>1498</v>
      </c>
      <c r="J1160" s="12" t="s">
        <v>46</v>
      </c>
      <c r="K1160" s="10" t="s">
        <v>227</v>
      </c>
      <c r="L1160" s="12" t="s">
        <v>3594</v>
      </c>
      <c r="M1160" s="10" t="s">
        <v>49</v>
      </c>
      <c r="N1160" s="10" t="s">
        <v>508</v>
      </c>
      <c r="O1160" s="10" t="s">
        <v>320</v>
      </c>
      <c r="P1160" s="9" t="str">
        <f t="shared" si="28"/>
        <v>N/I</v>
      </c>
      <c r="Q1160" s="9" t="str">
        <f t="shared" si="29"/>
        <v>N/I</v>
      </c>
      <c r="R1160" s="9" t="str">
        <f t="shared" si="32"/>
        <v>N/I</v>
      </c>
    </row>
    <row r="1161">
      <c r="A1161" s="11" t="s">
        <v>3572</v>
      </c>
      <c r="B1161" s="11" t="s">
        <v>3595</v>
      </c>
      <c r="C1161" s="12" t="s">
        <v>1691</v>
      </c>
      <c r="D1161" s="13" t="s">
        <v>3596</v>
      </c>
      <c r="E1161" s="10" t="s">
        <v>390</v>
      </c>
      <c r="F1161" s="10" t="s">
        <v>3598</v>
      </c>
      <c r="G1161" s="12" t="s">
        <v>3590</v>
      </c>
      <c r="H1161" s="10" t="s">
        <v>216</v>
      </c>
      <c r="I1161" s="10" t="s">
        <v>1498</v>
      </c>
      <c r="J1161" s="12" t="s">
        <v>46</v>
      </c>
      <c r="K1161" s="10" t="s">
        <v>227</v>
      </c>
      <c r="L1161" s="12" t="s">
        <v>3594</v>
      </c>
      <c r="M1161" s="10" t="s">
        <v>49</v>
      </c>
      <c r="N1161" s="10" t="s">
        <v>508</v>
      </c>
      <c r="O1161" s="10" t="s">
        <v>320</v>
      </c>
      <c r="P1161" s="9" t="str">
        <f t="shared" si="28"/>
        <v>N/I</v>
      </c>
      <c r="Q1161" s="9" t="str">
        <f t="shared" si="29"/>
        <v>N/I</v>
      </c>
      <c r="R1161" s="9" t="str">
        <f t="shared" si="32"/>
        <v>N/I</v>
      </c>
    </row>
    <row r="1162">
      <c r="A1162" s="11" t="s">
        <v>3572</v>
      </c>
      <c r="B1162" s="11" t="s">
        <v>3599</v>
      </c>
      <c r="C1162" s="12" t="s">
        <v>3579</v>
      </c>
      <c r="D1162" s="13" t="s">
        <v>3600</v>
      </c>
      <c r="E1162" s="10" t="s">
        <v>390</v>
      </c>
      <c r="F1162" s="10" t="s">
        <v>3603</v>
      </c>
      <c r="G1162" s="12" t="s">
        <v>3590</v>
      </c>
      <c r="H1162" s="10" t="s">
        <v>216</v>
      </c>
      <c r="I1162" s="10" t="s">
        <v>1498</v>
      </c>
      <c r="J1162" s="12" t="s">
        <v>46</v>
      </c>
      <c r="K1162" s="10" t="s">
        <v>227</v>
      </c>
      <c r="L1162" s="16" t="s">
        <v>45</v>
      </c>
      <c r="M1162" s="10" t="s">
        <v>49</v>
      </c>
      <c r="N1162" s="10" t="s">
        <v>508</v>
      </c>
      <c r="O1162" s="10" t="s">
        <v>320</v>
      </c>
      <c r="P1162" s="9" t="str">
        <f t="shared" si="28"/>
        <v>N/I</v>
      </c>
      <c r="Q1162" s="9" t="str">
        <f t="shared" si="29"/>
        <v>N/I</v>
      </c>
      <c r="R1162" s="9" t="str">
        <f t="shared" si="32"/>
        <v>N/I</v>
      </c>
    </row>
    <row r="1163">
      <c r="A1163" s="11" t="s">
        <v>3572</v>
      </c>
      <c r="B1163" s="11" t="s">
        <v>3599</v>
      </c>
      <c r="C1163" s="12" t="s">
        <v>3579</v>
      </c>
      <c r="D1163" s="13" t="s">
        <v>3604</v>
      </c>
      <c r="E1163" s="10" t="s">
        <v>390</v>
      </c>
      <c r="F1163" s="10" t="s">
        <v>3603</v>
      </c>
      <c r="G1163" s="12" t="s">
        <v>3590</v>
      </c>
      <c r="H1163" s="10" t="s">
        <v>216</v>
      </c>
      <c r="I1163" s="10" t="s">
        <v>1498</v>
      </c>
      <c r="J1163" s="12" t="s">
        <v>46</v>
      </c>
      <c r="K1163" s="10" t="s">
        <v>227</v>
      </c>
      <c r="L1163" s="16" t="s">
        <v>45</v>
      </c>
      <c r="M1163" s="10" t="s">
        <v>49</v>
      </c>
      <c r="N1163" s="10" t="s">
        <v>508</v>
      </c>
      <c r="O1163" s="10" t="s">
        <v>320</v>
      </c>
      <c r="P1163" s="9" t="str">
        <f t="shared" si="28"/>
        <v>N/I</v>
      </c>
      <c r="Q1163" s="9" t="str">
        <f t="shared" si="29"/>
        <v>N/I</v>
      </c>
      <c r="R1163" s="9" t="str">
        <f t="shared" si="32"/>
        <v>N/I</v>
      </c>
    </row>
    <row r="1164">
      <c r="A1164" s="11" t="s">
        <v>3572</v>
      </c>
      <c r="B1164" s="32" t="s">
        <v>3605</v>
      </c>
      <c r="C1164" s="12" t="s">
        <v>3579</v>
      </c>
      <c r="D1164" s="25" t="s">
        <v>187</v>
      </c>
      <c r="E1164" s="10" t="s">
        <v>291</v>
      </c>
      <c r="F1164" s="10" t="s">
        <v>3583</v>
      </c>
      <c r="G1164" s="12" t="s">
        <v>3606</v>
      </c>
      <c r="H1164" s="10" t="s">
        <v>216</v>
      </c>
      <c r="I1164" s="10" t="s">
        <v>290</v>
      </c>
      <c r="J1164" s="10" t="s">
        <v>318</v>
      </c>
      <c r="K1164" s="10" t="s">
        <v>319</v>
      </c>
      <c r="L1164" s="16" t="s">
        <v>45</v>
      </c>
      <c r="M1164" s="10" t="s">
        <v>49</v>
      </c>
      <c r="N1164" s="10" t="s">
        <v>508</v>
      </c>
      <c r="O1164" s="10" t="s">
        <v>50</v>
      </c>
      <c r="P1164" s="9" t="str">
        <f t="shared" si="28"/>
        <v>N/I</v>
      </c>
      <c r="Q1164" s="9" t="str">
        <f t="shared" si="29"/>
        <v>N/I</v>
      </c>
      <c r="R1164" s="9" t="str">
        <f t="shared" si="32"/>
        <v>N/I</v>
      </c>
    </row>
    <row r="1165">
      <c r="A1165" s="11" t="s">
        <v>3572</v>
      </c>
      <c r="B1165" s="11" t="s">
        <v>3609</v>
      </c>
      <c r="C1165" s="12" t="s">
        <v>1691</v>
      </c>
      <c r="D1165" s="13" t="s">
        <v>3610</v>
      </c>
      <c r="E1165" s="10" t="s">
        <v>390</v>
      </c>
      <c r="F1165" s="10" t="s">
        <v>3598</v>
      </c>
      <c r="G1165" s="12" t="s">
        <v>3611</v>
      </c>
      <c r="H1165" s="10" t="s">
        <v>216</v>
      </c>
      <c r="I1165" s="10" t="s">
        <v>1498</v>
      </c>
      <c r="J1165" s="12" t="s">
        <v>46</v>
      </c>
      <c r="K1165" s="10" t="s">
        <v>227</v>
      </c>
      <c r="L1165" s="12" t="s">
        <v>3594</v>
      </c>
      <c r="M1165" s="10" t="s">
        <v>49</v>
      </c>
      <c r="N1165" s="10" t="s">
        <v>508</v>
      </c>
      <c r="O1165" s="10" t="s">
        <v>320</v>
      </c>
      <c r="P1165" s="9" t="str">
        <f t="shared" si="28"/>
        <v>N/I</v>
      </c>
      <c r="Q1165" s="9" t="str">
        <f t="shared" si="29"/>
        <v>N/I</v>
      </c>
      <c r="R1165" s="9" t="str">
        <f t="shared" si="32"/>
        <v>N/I</v>
      </c>
    </row>
    <row r="1166">
      <c r="A1166" s="11" t="s">
        <v>3572</v>
      </c>
      <c r="B1166" s="11" t="s">
        <v>3609</v>
      </c>
      <c r="C1166" s="12" t="s">
        <v>3579</v>
      </c>
      <c r="D1166" s="13" t="s">
        <v>3614</v>
      </c>
      <c r="E1166" s="10" t="s">
        <v>390</v>
      </c>
      <c r="F1166" s="10" t="s">
        <v>3603</v>
      </c>
      <c r="G1166" s="12" t="s">
        <v>3611</v>
      </c>
      <c r="H1166" s="10" t="s">
        <v>216</v>
      </c>
      <c r="I1166" s="10" t="s">
        <v>1498</v>
      </c>
      <c r="J1166" s="12" t="s">
        <v>46</v>
      </c>
      <c r="K1166" s="10" t="s">
        <v>227</v>
      </c>
      <c r="L1166" s="16" t="s">
        <v>45</v>
      </c>
      <c r="M1166" s="10" t="s">
        <v>49</v>
      </c>
      <c r="N1166" s="10" t="s">
        <v>508</v>
      </c>
      <c r="O1166" s="10" t="s">
        <v>320</v>
      </c>
      <c r="P1166" s="9" t="str">
        <f t="shared" si="28"/>
        <v>N/I</v>
      </c>
      <c r="Q1166" s="9" t="str">
        <f t="shared" si="29"/>
        <v>N/I</v>
      </c>
      <c r="R1166" s="9" t="str">
        <f t="shared" si="32"/>
        <v>N/I</v>
      </c>
    </row>
    <row r="1167">
      <c r="A1167" s="11" t="s">
        <v>3572</v>
      </c>
      <c r="B1167" s="11" t="s">
        <v>3616</v>
      </c>
      <c r="C1167" s="12" t="s">
        <v>1691</v>
      </c>
      <c r="D1167" s="34" t="s">
        <v>3617</v>
      </c>
      <c r="E1167" s="10" t="s">
        <v>390</v>
      </c>
      <c r="F1167" s="10" t="s">
        <v>3593</v>
      </c>
      <c r="G1167" s="12" t="s">
        <v>3618</v>
      </c>
      <c r="H1167" s="10" t="s">
        <v>216</v>
      </c>
      <c r="I1167" s="10" t="s">
        <v>1498</v>
      </c>
      <c r="J1167" s="12" t="s">
        <v>46</v>
      </c>
      <c r="K1167" s="10" t="s">
        <v>227</v>
      </c>
      <c r="L1167" s="12" t="s">
        <v>3594</v>
      </c>
      <c r="M1167" s="10" t="s">
        <v>49</v>
      </c>
      <c r="N1167" s="10" t="s">
        <v>508</v>
      </c>
      <c r="O1167" s="10" t="s">
        <v>320</v>
      </c>
      <c r="P1167" s="9" t="str">
        <f t="shared" si="28"/>
        <v>N/I</v>
      </c>
      <c r="Q1167" s="9" t="str">
        <f t="shared" si="29"/>
        <v>N/I</v>
      </c>
      <c r="R1167" s="9" t="str">
        <f t="shared" si="32"/>
        <v>N/I</v>
      </c>
    </row>
    <row r="1168">
      <c r="A1168" s="11" t="s">
        <v>3572</v>
      </c>
      <c r="B1168" s="11" t="s">
        <v>3621</v>
      </c>
      <c r="C1168" s="12" t="s">
        <v>3579</v>
      </c>
      <c r="D1168" s="13" t="s">
        <v>3622</v>
      </c>
      <c r="E1168" s="10" t="s">
        <v>390</v>
      </c>
      <c r="F1168" s="10" t="s">
        <v>3603</v>
      </c>
      <c r="G1168" s="12" t="s">
        <v>3618</v>
      </c>
      <c r="H1168" s="10" t="s">
        <v>216</v>
      </c>
      <c r="I1168" s="10" t="s">
        <v>1498</v>
      </c>
      <c r="J1168" s="12" t="s">
        <v>46</v>
      </c>
      <c r="K1168" s="10" t="s">
        <v>227</v>
      </c>
      <c r="L1168" s="16" t="s">
        <v>45</v>
      </c>
      <c r="M1168" s="10" t="s">
        <v>49</v>
      </c>
      <c r="N1168" s="10" t="s">
        <v>508</v>
      </c>
      <c r="O1168" s="10" t="s">
        <v>320</v>
      </c>
      <c r="P1168" s="9" t="str">
        <f t="shared" si="28"/>
        <v>N/I</v>
      </c>
      <c r="Q1168" s="9" t="str">
        <f t="shared" si="29"/>
        <v>N/I</v>
      </c>
      <c r="R1168" s="9" t="str">
        <f t="shared" si="32"/>
        <v>N/I</v>
      </c>
    </row>
    <row r="1169">
      <c r="A1169" s="11" t="s">
        <v>3572</v>
      </c>
      <c r="B1169" s="11" t="s">
        <v>3624</v>
      </c>
      <c r="C1169" s="12" t="s">
        <v>1691</v>
      </c>
      <c r="D1169" s="34" t="s">
        <v>3625</v>
      </c>
      <c r="E1169" s="10" t="s">
        <v>390</v>
      </c>
      <c r="F1169" s="10" t="s">
        <v>3593</v>
      </c>
      <c r="G1169" s="12" t="s">
        <v>784</v>
      </c>
      <c r="H1169" s="10" t="s">
        <v>216</v>
      </c>
      <c r="I1169" s="10" t="s">
        <v>1498</v>
      </c>
      <c r="J1169" s="12" t="s">
        <v>46</v>
      </c>
      <c r="K1169" s="10" t="s">
        <v>227</v>
      </c>
      <c r="L1169" s="12" t="s">
        <v>3594</v>
      </c>
      <c r="M1169" s="10" t="s">
        <v>49</v>
      </c>
      <c r="N1169" s="10" t="s">
        <v>508</v>
      </c>
      <c r="O1169" s="10" t="s">
        <v>320</v>
      </c>
      <c r="P1169" s="9" t="str">
        <f t="shared" si="28"/>
        <v>N/I</v>
      </c>
      <c r="Q1169" s="9" t="str">
        <f t="shared" si="29"/>
        <v>N/I</v>
      </c>
      <c r="R1169" s="9" t="str">
        <f t="shared" si="32"/>
        <v>N/I</v>
      </c>
    </row>
    <row r="1170">
      <c r="A1170" s="11" t="s">
        <v>3572</v>
      </c>
      <c r="B1170" s="11" t="s">
        <v>3628</v>
      </c>
      <c r="C1170" s="12" t="s">
        <v>1691</v>
      </c>
      <c r="D1170" s="34" t="s">
        <v>3629</v>
      </c>
      <c r="E1170" s="10" t="s">
        <v>390</v>
      </c>
      <c r="F1170" s="10" t="s">
        <v>3593</v>
      </c>
      <c r="G1170" s="12" t="s">
        <v>784</v>
      </c>
      <c r="H1170" s="10" t="s">
        <v>216</v>
      </c>
      <c r="I1170" s="10" t="s">
        <v>1498</v>
      </c>
      <c r="J1170" s="12" t="s">
        <v>46</v>
      </c>
      <c r="K1170" s="10" t="s">
        <v>227</v>
      </c>
      <c r="L1170" s="12" t="s">
        <v>3594</v>
      </c>
      <c r="M1170" s="10" t="s">
        <v>49</v>
      </c>
      <c r="N1170" s="10" t="s">
        <v>508</v>
      </c>
      <c r="O1170" s="10" t="s">
        <v>320</v>
      </c>
      <c r="P1170" s="9" t="str">
        <f t="shared" si="28"/>
        <v>N/I</v>
      </c>
      <c r="Q1170" s="9" t="str">
        <f t="shared" si="29"/>
        <v>N/I</v>
      </c>
      <c r="R1170" s="9" t="str">
        <f t="shared" si="32"/>
        <v>N/I</v>
      </c>
    </row>
    <row r="1171">
      <c r="A1171" s="11" t="s">
        <v>3572</v>
      </c>
      <c r="B1171" s="11" t="s">
        <v>3632</v>
      </c>
      <c r="C1171" s="12" t="s">
        <v>3579</v>
      </c>
      <c r="D1171" s="27" t="s">
        <v>3633</v>
      </c>
      <c r="E1171" s="10" t="s">
        <v>390</v>
      </c>
      <c r="F1171" s="10" t="s">
        <v>3603</v>
      </c>
      <c r="G1171" s="12" t="s">
        <v>784</v>
      </c>
      <c r="H1171" s="10" t="s">
        <v>216</v>
      </c>
      <c r="I1171" s="10" t="s">
        <v>1498</v>
      </c>
      <c r="J1171" s="12" t="s">
        <v>46</v>
      </c>
      <c r="K1171" s="10" t="s">
        <v>227</v>
      </c>
      <c r="L1171" s="16" t="s">
        <v>45</v>
      </c>
      <c r="M1171" s="10" t="s">
        <v>49</v>
      </c>
      <c r="N1171" s="10" t="s">
        <v>508</v>
      </c>
      <c r="O1171" s="10" t="s">
        <v>320</v>
      </c>
      <c r="P1171" s="9" t="str">
        <f t="shared" si="28"/>
        <v>N/I</v>
      </c>
      <c r="Q1171" s="9" t="str">
        <f t="shared" si="29"/>
        <v>N/I</v>
      </c>
      <c r="R1171" s="9" t="str">
        <f t="shared" si="32"/>
        <v>N/I</v>
      </c>
    </row>
    <row r="1172">
      <c r="A1172" s="11" t="s">
        <v>3572</v>
      </c>
      <c r="B1172" s="32" t="s">
        <v>3636</v>
      </c>
      <c r="C1172" s="12" t="s">
        <v>1691</v>
      </c>
      <c r="D1172" s="34" t="s">
        <v>3637</v>
      </c>
      <c r="E1172" s="10" t="s">
        <v>390</v>
      </c>
      <c r="F1172" s="10" t="s">
        <v>3641</v>
      </c>
      <c r="G1172" s="12" t="s">
        <v>3638</v>
      </c>
      <c r="H1172" s="10" t="s">
        <v>216</v>
      </c>
      <c r="I1172" s="10" t="s">
        <v>1498</v>
      </c>
      <c r="J1172" s="12" t="s">
        <v>46</v>
      </c>
      <c r="K1172" s="10" t="s">
        <v>227</v>
      </c>
      <c r="L1172" s="12" t="s">
        <v>3594</v>
      </c>
      <c r="M1172" s="10" t="s">
        <v>49</v>
      </c>
      <c r="N1172" s="10" t="s">
        <v>508</v>
      </c>
      <c r="O1172" s="10" t="s">
        <v>320</v>
      </c>
      <c r="P1172" s="9" t="str">
        <f t="shared" si="28"/>
        <v>N/I</v>
      </c>
      <c r="Q1172" s="9" t="str">
        <f t="shared" si="29"/>
        <v>N/I</v>
      </c>
      <c r="R1172" s="9" t="str">
        <f t="shared" si="32"/>
        <v>N/I</v>
      </c>
    </row>
    <row r="1173">
      <c r="A1173" s="11" t="s">
        <v>3572</v>
      </c>
      <c r="B1173" s="11" t="s">
        <v>3642</v>
      </c>
      <c r="C1173" s="12" t="s">
        <v>3579</v>
      </c>
      <c r="D1173" s="13" t="s">
        <v>3643</v>
      </c>
      <c r="E1173" s="10" t="s">
        <v>390</v>
      </c>
      <c r="F1173" s="10" t="s">
        <v>3603</v>
      </c>
      <c r="G1173" s="12" t="s">
        <v>3638</v>
      </c>
      <c r="H1173" s="10" t="s">
        <v>216</v>
      </c>
      <c r="I1173" s="10" t="s">
        <v>1498</v>
      </c>
      <c r="J1173" s="12" t="s">
        <v>46</v>
      </c>
      <c r="K1173" s="10" t="s">
        <v>227</v>
      </c>
      <c r="L1173" s="16" t="s">
        <v>45</v>
      </c>
      <c r="M1173" s="10" t="s">
        <v>49</v>
      </c>
      <c r="N1173" s="10" t="s">
        <v>508</v>
      </c>
      <c r="O1173" s="10" t="s">
        <v>320</v>
      </c>
      <c r="P1173" s="9" t="str">
        <f t="shared" si="28"/>
        <v>N/I</v>
      </c>
      <c r="Q1173" s="9" t="str">
        <f t="shared" si="29"/>
        <v>N/I</v>
      </c>
      <c r="R1173" s="9" t="str">
        <f t="shared" si="32"/>
        <v>N/I</v>
      </c>
    </row>
    <row r="1174">
      <c r="A1174" s="11" t="s">
        <v>3572</v>
      </c>
      <c r="B1174" s="32" t="s">
        <v>3644</v>
      </c>
      <c r="C1174" s="12" t="s">
        <v>3579</v>
      </c>
      <c r="D1174" s="25" t="s">
        <v>187</v>
      </c>
      <c r="E1174" s="10" t="s">
        <v>390</v>
      </c>
      <c r="F1174" s="10" t="s">
        <v>3583</v>
      </c>
      <c r="G1174" s="12" t="s">
        <v>3645</v>
      </c>
      <c r="H1174" s="10" t="s">
        <v>216</v>
      </c>
      <c r="I1174" s="10" t="s">
        <v>1498</v>
      </c>
      <c r="J1174" s="12" t="s">
        <v>46</v>
      </c>
      <c r="K1174" s="10" t="s">
        <v>227</v>
      </c>
      <c r="L1174" s="16" t="s">
        <v>45</v>
      </c>
      <c r="M1174" s="10" t="s">
        <v>49</v>
      </c>
      <c r="N1174" s="10" t="s">
        <v>508</v>
      </c>
      <c r="O1174" s="16"/>
      <c r="P1174" s="9" t="str">
        <f t="shared" si="28"/>
        <v>N/I</v>
      </c>
      <c r="Q1174" s="9" t="str">
        <f t="shared" si="29"/>
        <v>N/I</v>
      </c>
      <c r="R1174" s="9" t="str">
        <f t="shared" si="32"/>
        <v>N/I</v>
      </c>
    </row>
    <row r="1175">
      <c r="A1175" s="11" t="s">
        <v>3572</v>
      </c>
      <c r="B1175" s="11" t="s">
        <v>3648</v>
      </c>
      <c r="C1175" s="12" t="s">
        <v>3579</v>
      </c>
      <c r="D1175" s="27" t="s">
        <v>3649</v>
      </c>
      <c r="E1175" s="10" t="s">
        <v>390</v>
      </c>
      <c r="F1175" s="10" t="s">
        <v>3603</v>
      </c>
      <c r="G1175" s="12" t="s">
        <v>3650</v>
      </c>
      <c r="H1175" s="10" t="s">
        <v>216</v>
      </c>
      <c r="I1175" s="10" t="s">
        <v>1498</v>
      </c>
      <c r="J1175" s="12" t="s">
        <v>46</v>
      </c>
      <c r="K1175" s="10" t="s">
        <v>227</v>
      </c>
      <c r="L1175" s="16" t="s">
        <v>45</v>
      </c>
      <c r="M1175" s="10" t="s">
        <v>49</v>
      </c>
      <c r="N1175" s="10" t="s">
        <v>508</v>
      </c>
      <c r="O1175" s="10" t="s">
        <v>320</v>
      </c>
      <c r="P1175" s="9" t="str">
        <f t="shared" si="28"/>
        <v>N/I</v>
      </c>
      <c r="Q1175" s="9" t="str">
        <f t="shared" si="29"/>
        <v>N/I</v>
      </c>
      <c r="R1175" s="9" t="str">
        <f t="shared" si="32"/>
        <v>N/I</v>
      </c>
    </row>
    <row r="1176">
      <c r="A1176" s="11" t="s">
        <v>3572</v>
      </c>
      <c r="B1176" s="11" t="s">
        <v>3653</v>
      </c>
      <c r="C1176" s="12" t="s">
        <v>3579</v>
      </c>
      <c r="D1176" s="13" t="s">
        <v>3654</v>
      </c>
      <c r="E1176" s="10" t="s">
        <v>390</v>
      </c>
      <c r="F1176" s="10" t="s">
        <v>3603</v>
      </c>
      <c r="G1176" s="12" t="s">
        <v>3655</v>
      </c>
      <c r="H1176" s="10" t="s">
        <v>216</v>
      </c>
      <c r="I1176" s="10" t="s">
        <v>1498</v>
      </c>
      <c r="J1176" s="12" t="s">
        <v>46</v>
      </c>
      <c r="K1176" s="10" t="s">
        <v>227</v>
      </c>
      <c r="L1176" s="16" t="s">
        <v>45</v>
      </c>
      <c r="M1176" s="10" t="s">
        <v>49</v>
      </c>
      <c r="N1176" s="10" t="s">
        <v>508</v>
      </c>
      <c r="O1176" s="10" t="s">
        <v>320</v>
      </c>
      <c r="P1176" s="9" t="str">
        <f t="shared" si="28"/>
        <v>N/I</v>
      </c>
      <c r="Q1176" s="9" t="str">
        <f t="shared" si="29"/>
        <v>N/I</v>
      </c>
      <c r="R1176" s="9" t="str">
        <f t="shared" si="32"/>
        <v>N/I</v>
      </c>
    </row>
    <row r="1177">
      <c r="A1177" s="11" t="s">
        <v>3572</v>
      </c>
      <c r="B1177" s="11" t="s">
        <v>501</v>
      </c>
      <c r="C1177" s="12" t="s">
        <v>3579</v>
      </c>
      <c r="D1177" s="13" t="s">
        <v>3658</v>
      </c>
      <c r="E1177" s="10" t="s">
        <v>390</v>
      </c>
      <c r="F1177" s="10" t="s">
        <v>3603</v>
      </c>
      <c r="G1177" s="12" t="s">
        <v>504</v>
      </c>
      <c r="H1177" s="10" t="s">
        <v>216</v>
      </c>
      <c r="I1177" s="10" t="s">
        <v>1498</v>
      </c>
      <c r="J1177" s="12" t="s">
        <v>46</v>
      </c>
      <c r="K1177" s="10" t="s">
        <v>227</v>
      </c>
      <c r="L1177" s="16" t="s">
        <v>45</v>
      </c>
      <c r="M1177" s="10" t="s">
        <v>49</v>
      </c>
      <c r="N1177" s="10" t="s">
        <v>508</v>
      </c>
      <c r="O1177" s="10" t="s">
        <v>320</v>
      </c>
      <c r="P1177" s="9" t="str">
        <f t="shared" si="28"/>
        <v>N/I</v>
      </c>
      <c r="Q1177" s="9" t="str">
        <f t="shared" si="29"/>
        <v>N/I</v>
      </c>
      <c r="R1177" s="9" t="str">
        <f t="shared" si="32"/>
        <v>N/I</v>
      </c>
    </row>
    <row r="1178">
      <c r="A1178" s="11" t="s">
        <v>3572</v>
      </c>
      <c r="B1178" s="11" t="s">
        <v>3661</v>
      </c>
      <c r="C1178" s="12" t="s">
        <v>1691</v>
      </c>
      <c r="D1178" s="34" t="s">
        <v>3662</v>
      </c>
      <c r="E1178" s="10" t="s">
        <v>390</v>
      </c>
      <c r="F1178" s="10" t="s">
        <v>3593</v>
      </c>
      <c r="G1178" s="12" t="s">
        <v>3663</v>
      </c>
      <c r="H1178" s="10" t="s">
        <v>216</v>
      </c>
      <c r="I1178" s="10" t="s">
        <v>1498</v>
      </c>
      <c r="J1178" s="12" t="s">
        <v>46</v>
      </c>
      <c r="K1178" s="10" t="s">
        <v>227</v>
      </c>
      <c r="L1178" s="12" t="s">
        <v>3594</v>
      </c>
      <c r="M1178" s="10" t="s">
        <v>49</v>
      </c>
      <c r="N1178" s="10" t="s">
        <v>508</v>
      </c>
      <c r="O1178" s="10" t="s">
        <v>320</v>
      </c>
      <c r="P1178" s="9" t="str">
        <f t="shared" si="28"/>
        <v>N/I</v>
      </c>
      <c r="Q1178" s="9" t="str">
        <f t="shared" si="29"/>
        <v>N/I</v>
      </c>
      <c r="R1178" s="9" t="str">
        <f t="shared" si="32"/>
        <v>N/I</v>
      </c>
    </row>
    <row r="1179">
      <c r="A1179" s="11" t="s">
        <v>3572</v>
      </c>
      <c r="B1179" s="11" t="s">
        <v>3661</v>
      </c>
      <c r="C1179" s="12" t="s">
        <v>3579</v>
      </c>
      <c r="D1179" s="13" t="s">
        <v>3666</v>
      </c>
      <c r="E1179" s="10" t="s">
        <v>390</v>
      </c>
      <c r="F1179" s="10" t="s">
        <v>3603</v>
      </c>
      <c r="G1179" s="12" t="s">
        <v>3663</v>
      </c>
      <c r="H1179" s="10" t="s">
        <v>216</v>
      </c>
      <c r="I1179" s="10" t="s">
        <v>1498</v>
      </c>
      <c r="J1179" s="12" t="s">
        <v>46</v>
      </c>
      <c r="K1179" s="10" t="s">
        <v>227</v>
      </c>
      <c r="L1179" s="16" t="s">
        <v>45</v>
      </c>
      <c r="M1179" s="10" t="s">
        <v>49</v>
      </c>
      <c r="N1179" s="10" t="s">
        <v>508</v>
      </c>
      <c r="O1179" s="10" t="s">
        <v>320</v>
      </c>
      <c r="P1179" s="9" t="str">
        <f t="shared" si="28"/>
        <v>N/I</v>
      </c>
      <c r="Q1179" s="9" t="str">
        <f t="shared" si="29"/>
        <v>N/I</v>
      </c>
      <c r="R1179" s="9" t="str">
        <f t="shared" si="32"/>
        <v>N/I</v>
      </c>
    </row>
    <row r="1180">
      <c r="A1180" s="11" t="s">
        <v>3572</v>
      </c>
      <c r="B1180" s="11" t="s">
        <v>3668</v>
      </c>
      <c r="C1180" s="12" t="s">
        <v>3579</v>
      </c>
      <c r="D1180" s="27" t="s">
        <v>3669</v>
      </c>
      <c r="E1180" s="10" t="s">
        <v>390</v>
      </c>
      <c r="F1180" s="10" t="s">
        <v>3603</v>
      </c>
      <c r="G1180" s="12" t="s">
        <v>660</v>
      </c>
      <c r="H1180" s="10" t="s">
        <v>216</v>
      </c>
      <c r="I1180" s="10" t="s">
        <v>1498</v>
      </c>
      <c r="J1180" s="12" t="s">
        <v>46</v>
      </c>
      <c r="K1180" s="10" t="s">
        <v>227</v>
      </c>
      <c r="L1180" s="16" t="s">
        <v>45</v>
      </c>
      <c r="M1180" s="10" t="s">
        <v>49</v>
      </c>
      <c r="N1180" s="10" t="s">
        <v>508</v>
      </c>
      <c r="O1180" s="10" t="s">
        <v>320</v>
      </c>
      <c r="P1180" s="9" t="str">
        <f t="shared" si="28"/>
        <v>N/I</v>
      </c>
      <c r="Q1180" s="9" t="str">
        <f t="shared" si="29"/>
        <v>N/I</v>
      </c>
      <c r="R1180" s="9" t="str">
        <f t="shared" si="32"/>
        <v>N/I</v>
      </c>
    </row>
    <row r="1181">
      <c r="A1181" s="11" t="s">
        <v>3572</v>
      </c>
      <c r="B1181" s="32" t="s">
        <v>3671</v>
      </c>
      <c r="C1181" s="12" t="s">
        <v>3579</v>
      </c>
      <c r="D1181" s="25" t="s">
        <v>187</v>
      </c>
      <c r="E1181" s="10" t="s">
        <v>291</v>
      </c>
      <c r="F1181" s="10" t="s">
        <v>3583</v>
      </c>
      <c r="G1181" s="12" t="s">
        <v>196</v>
      </c>
      <c r="H1181" s="10" t="s">
        <v>216</v>
      </c>
      <c r="I1181" s="10" t="s">
        <v>290</v>
      </c>
      <c r="J1181" s="10" t="s">
        <v>318</v>
      </c>
      <c r="K1181" s="10" t="s">
        <v>319</v>
      </c>
      <c r="L1181" s="16" t="s">
        <v>45</v>
      </c>
      <c r="M1181" s="10" t="s">
        <v>49</v>
      </c>
      <c r="N1181" s="10" t="s">
        <v>508</v>
      </c>
      <c r="O1181" s="10" t="s">
        <v>50</v>
      </c>
      <c r="P1181" s="9" t="str">
        <f t="shared" si="28"/>
        <v>N/I</v>
      </c>
      <c r="Q1181" s="9" t="str">
        <f t="shared" si="29"/>
        <v>N/I</v>
      </c>
      <c r="R1181" s="9" t="str">
        <f t="shared" si="32"/>
        <v>N/I</v>
      </c>
    </row>
    <row r="1182">
      <c r="A1182" s="11" t="s">
        <v>3572</v>
      </c>
      <c r="B1182" s="11" t="s">
        <v>3674</v>
      </c>
      <c r="C1182" s="12" t="s">
        <v>3579</v>
      </c>
      <c r="D1182" s="27" t="s">
        <v>3675</v>
      </c>
      <c r="E1182" s="10" t="s">
        <v>390</v>
      </c>
      <c r="F1182" s="10" t="s">
        <v>3603</v>
      </c>
      <c r="G1182" s="12" t="s">
        <v>3676</v>
      </c>
      <c r="H1182" s="10" t="s">
        <v>216</v>
      </c>
      <c r="I1182" s="10" t="s">
        <v>1498</v>
      </c>
      <c r="J1182" s="12" t="s">
        <v>46</v>
      </c>
      <c r="K1182" s="10" t="s">
        <v>227</v>
      </c>
      <c r="L1182" s="16" t="s">
        <v>45</v>
      </c>
      <c r="M1182" s="10" t="s">
        <v>49</v>
      </c>
      <c r="N1182" s="10" t="s">
        <v>508</v>
      </c>
      <c r="O1182" s="10" t="s">
        <v>320</v>
      </c>
      <c r="P1182" s="9" t="str">
        <f t="shared" si="28"/>
        <v>N/I</v>
      </c>
      <c r="Q1182" s="9" t="str">
        <f t="shared" si="29"/>
        <v>N/I</v>
      </c>
      <c r="R1182" s="9" t="str">
        <f t="shared" si="32"/>
        <v>N/I</v>
      </c>
    </row>
    <row r="1183">
      <c r="A1183" s="11" t="s">
        <v>3572</v>
      </c>
      <c r="B1183" s="32" t="s">
        <v>3679</v>
      </c>
      <c r="C1183" s="12" t="s">
        <v>3579</v>
      </c>
      <c r="D1183" s="25" t="s">
        <v>187</v>
      </c>
      <c r="E1183" s="10" t="s">
        <v>390</v>
      </c>
      <c r="F1183" s="10" t="s">
        <v>3583</v>
      </c>
      <c r="G1183" s="12" t="s">
        <v>3680</v>
      </c>
      <c r="H1183" s="10" t="s">
        <v>216</v>
      </c>
      <c r="I1183" s="10" t="s">
        <v>1498</v>
      </c>
      <c r="J1183" s="12" t="s">
        <v>46</v>
      </c>
      <c r="K1183" s="10" t="s">
        <v>227</v>
      </c>
      <c r="L1183" s="16" t="s">
        <v>45</v>
      </c>
      <c r="M1183" s="10" t="s">
        <v>49</v>
      </c>
      <c r="N1183" s="10" t="s">
        <v>508</v>
      </c>
      <c r="O1183" s="16"/>
      <c r="P1183" s="9" t="str">
        <f t="shared" si="28"/>
        <v>N/I</v>
      </c>
      <c r="Q1183" s="9" t="str">
        <f t="shared" si="29"/>
        <v>N/I</v>
      </c>
      <c r="R1183" s="9" t="str">
        <f t="shared" si="32"/>
        <v>N/I</v>
      </c>
    </row>
    <row r="1184">
      <c r="A1184" s="11" t="s">
        <v>3572</v>
      </c>
      <c r="B1184" s="11" t="s">
        <v>3683</v>
      </c>
      <c r="C1184" s="12" t="s">
        <v>1691</v>
      </c>
      <c r="D1184" s="34" t="s">
        <v>3684</v>
      </c>
      <c r="E1184" s="10" t="s">
        <v>390</v>
      </c>
      <c r="F1184" s="10" t="s">
        <v>3593</v>
      </c>
      <c r="G1184" s="12" t="s">
        <v>2450</v>
      </c>
      <c r="H1184" s="10" t="s">
        <v>216</v>
      </c>
      <c r="I1184" s="10" t="s">
        <v>1498</v>
      </c>
      <c r="J1184" s="12" t="s">
        <v>46</v>
      </c>
      <c r="K1184" s="10" t="s">
        <v>227</v>
      </c>
      <c r="L1184" s="12" t="s">
        <v>3594</v>
      </c>
      <c r="M1184" s="10" t="s">
        <v>49</v>
      </c>
      <c r="N1184" s="10" t="s">
        <v>508</v>
      </c>
      <c r="O1184" s="10" t="s">
        <v>320</v>
      </c>
      <c r="P1184" s="9" t="str">
        <f t="shared" si="28"/>
        <v>N/I</v>
      </c>
      <c r="Q1184" s="9" t="str">
        <f t="shared" si="29"/>
        <v>N/I</v>
      </c>
      <c r="R1184" s="9" t="str">
        <f t="shared" si="32"/>
        <v>N/I</v>
      </c>
    </row>
    <row r="1185">
      <c r="A1185" s="11" t="s">
        <v>3572</v>
      </c>
      <c r="B1185" s="11" t="s">
        <v>3683</v>
      </c>
      <c r="C1185" s="12" t="s">
        <v>3579</v>
      </c>
      <c r="D1185" s="13" t="s">
        <v>3687</v>
      </c>
      <c r="E1185" s="10" t="s">
        <v>390</v>
      </c>
      <c r="F1185" s="10" t="s">
        <v>3603</v>
      </c>
      <c r="G1185" s="12" t="s">
        <v>2450</v>
      </c>
      <c r="H1185" s="10" t="s">
        <v>216</v>
      </c>
      <c r="I1185" s="10" t="s">
        <v>1498</v>
      </c>
      <c r="J1185" s="12" t="s">
        <v>46</v>
      </c>
      <c r="K1185" s="10" t="s">
        <v>227</v>
      </c>
      <c r="L1185" s="16" t="s">
        <v>45</v>
      </c>
      <c r="M1185" s="10" t="s">
        <v>49</v>
      </c>
      <c r="N1185" s="10" t="s">
        <v>508</v>
      </c>
      <c r="O1185" s="10" t="s">
        <v>320</v>
      </c>
      <c r="P1185" s="9" t="str">
        <f t="shared" si="28"/>
        <v>N/I</v>
      </c>
      <c r="Q1185" s="9" t="str">
        <f t="shared" si="29"/>
        <v>N/I</v>
      </c>
      <c r="R1185" s="9" t="str">
        <f t="shared" si="32"/>
        <v>N/I</v>
      </c>
    </row>
    <row r="1186">
      <c r="A1186" s="11" t="s">
        <v>3572</v>
      </c>
      <c r="B1186" s="11" t="s">
        <v>3683</v>
      </c>
      <c r="C1186" s="12" t="s">
        <v>3579</v>
      </c>
      <c r="D1186" s="27" t="s">
        <v>3688</v>
      </c>
      <c r="E1186" s="10" t="s">
        <v>390</v>
      </c>
      <c r="F1186" s="10" t="s">
        <v>3603</v>
      </c>
      <c r="G1186" s="12" t="s">
        <v>2450</v>
      </c>
      <c r="H1186" s="10" t="s">
        <v>216</v>
      </c>
      <c r="I1186" s="10" t="s">
        <v>1498</v>
      </c>
      <c r="J1186" s="12" t="s">
        <v>46</v>
      </c>
      <c r="K1186" s="10" t="s">
        <v>227</v>
      </c>
      <c r="L1186" s="16" t="s">
        <v>45</v>
      </c>
      <c r="M1186" s="10" t="s">
        <v>49</v>
      </c>
      <c r="N1186" s="10" t="s">
        <v>508</v>
      </c>
      <c r="O1186" s="10" t="s">
        <v>320</v>
      </c>
      <c r="P1186" s="9" t="str">
        <f t="shared" si="28"/>
        <v>N/I</v>
      </c>
      <c r="Q1186" s="9" t="str">
        <f t="shared" si="29"/>
        <v>N/I</v>
      </c>
      <c r="R1186" s="9" t="str">
        <f t="shared" si="32"/>
        <v>N/I</v>
      </c>
    </row>
    <row r="1187">
      <c r="A1187" s="11" t="s">
        <v>3572</v>
      </c>
      <c r="B1187" s="11" t="s">
        <v>3689</v>
      </c>
      <c r="C1187" s="12" t="s">
        <v>1691</v>
      </c>
      <c r="D1187" s="34" t="s">
        <v>3690</v>
      </c>
      <c r="E1187" s="10" t="s">
        <v>390</v>
      </c>
      <c r="F1187" s="10" t="s">
        <v>3593</v>
      </c>
      <c r="G1187" s="12" t="s">
        <v>3691</v>
      </c>
      <c r="H1187" s="10" t="s">
        <v>216</v>
      </c>
      <c r="I1187" s="10" t="s">
        <v>1498</v>
      </c>
      <c r="J1187" s="12" t="s">
        <v>46</v>
      </c>
      <c r="K1187" s="10" t="s">
        <v>227</v>
      </c>
      <c r="L1187" s="12" t="s">
        <v>3594</v>
      </c>
      <c r="M1187" s="10" t="s">
        <v>49</v>
      </c>
      <c r="N1187" s="10" t="s">
        <v>508</v>
      </c>
      <c r="O1187" s="10" t="s">
        <v>320</v>
      </c>
      <c r="P1187" s="9" t="str">
        <f t="shared" si="28"/>
        <v>N/I</v>
      </c>
      <c r="Q1187" s="9" t="str">
        <f t="shared" si="29"/>
        <v>N/I</v>
      </c>
      <c r="R1187" s="9" t="str">
        <f t="shared" si="32"/>
        <v>N/I</v>
      </c>
    </row>
    <row r="1188">
      <c r="A1188" s="11" t="s">
        <v>3572</v>
      </c>
      <c r="B1188" s="11" t="s">
        <v>3689</v>
      </c>
      <c r="C1188" s="12" t="s">
        <v>3579</v>
      </c>
      <c r="D1188" s="13" t="s">
        <v>3694</v>
      </c>
      <c r="E1188" s="10" t="s">
        <v>390</v>
      </c>
      <c r="F1188" s="10" t="s">
        <v>3603</v>
      </c>
      <c r="G1188" s="12" t="s">
        <v>3691</v>
      </c>
      <c r="H1188" s="10" t="s">
        <v>216</v>
      </c>
      <c r="I1188" s="10" t="s">
        <v>1498</v>
      </c>
      <c r="J1188" s="12" t="s">
        <v>46</v>
      </c>
      <c r="K1188" s="10" t="s">
        <v>227</v>
      </c>
      <c r="L1188" s="16" t="s">
        <v>45</v>
      </c>
      <c r="M1188" s="10" t="s">
        <v>49</v>
      </c>
      <c r="N1188" s="10" t="s">
        <v>508</v>
      </c>
      <c r="O1188" s="10" t="s">
        <v>320</v>
      </c>
      <c r="P1188" s="9" t="str">
        <f t="shared" si="28"/>
        <v>N/I</v>
      </c>
      <c r="Q1188" s="9" t="str">
        <f t="shared" si="29"/>
        <v>N/I</v>
      </c>
      <c r="R1188" s="9" t="str">
        <f t="shared" si="32"/>
        <v>N/I</v>
      </c>
    </row>
    <row r="1189">
      <c r="A1189" s="11" t="s">
        <v>3572</v>
      </c>
      <c r="B1189" s="11" t="s">
        <v>3695</v>
      </c>
      <c r="C1189" s="12" t="s">
        <v>3579</v>
      </c>
      <c r="D1189" s="13" t="s">
        <v>3696</v>
      </c>
      <c r="E1189" s="10" t="s">
        <v>390</v>
      </c>
      <c r="F1189" s="10" t="s">
        <v>3603</v>
      </c>
      <c r="G1189" s="12" t="s">
        <v>3697</v>
      </c>
      <c r="H1189" s="10" t="s">
        <v>216</v>
      </c>
      <c r="I1189" s="10" t="s">
        <v>1498</v>
      </c>
      <c r="J1189" s="12" t="s">
        <v>46</v>
      </c>
      <c r="K1189" s="10" t="s">
        <v>227</v>
      </c>
      <c r="L1189" s="16" t="s">
        <v>45</v>
      </c>
      <c r="M1189" s="10" t="s">
        <v>49</v>
      </c>
      <c r="N1189" s="10" t="s">
        <v>508</v>
      </c>
      <c r="O1189" s="10" t="s">
        <v>320</v>
      </c>
      <c r="P1189" s="9" t="str">
        <f t="shared" si="28"/>
        <v>N/I</v>
      </c>
      <c r="Q1189" s="9" t="str">
        <f t="shared" si="29"/>
        <v>N/I</v>
      </c>
      <c r="R1189" s="9" t="str">
        <f t="shared" si="32"/>
        <v>N/I</v>
      </c>
    </row>
    <row r="1190">
      <c r="A1190" s="11" t="s">
        <v>3572</v>
      </c>
      <c r="B1190" s="11" t="s">
        <v>3700</v>
      </c>
      <c r="C1190" s="12" t="s">
        <v>1691</v>
      </c>
      <c r="D1190" s="34" t="s">
        <v>3701</v>
      </c>
      <c r="E1190" s="10" t="s">
        <v>390</v>
      </c>
      <c r="F1190" s="10" t="s">
        <v>3593</v>
      </c>
      <c r="G1190" s="12" t="s">
        <v>3702</v>
      </c>
      <c r="H1190" s="10" t="s">
        <v>216</v>
      </c>
      <c r="I1190" s="10" t="s">
        <v>1498</v>
      </c>
      <c r="J1190" s="12" t="s">
        <v>46</v>
      </c>
      <c r="K1190" s="10" t="s">
        <v>227</v>
      </c>
      <c r="L1190" s="12" t="s">
        <v>3594</v>
      </c>
      <c r="M1190" s="10" t="s">
        <v>49</v>
      </c>
      <c r="N1190" s="10" t="s">
        <v>508</v>
      </c>
      <c r="O1190" s="10" t="s">
        <v>320</v>
      </c>
      <c r="P1190" s="9" t="str">
        <f t="shared" si="28"/>
        <v>N/I</v>
      </c>
      <c r="Q1190" s="9" t="str">
        <f t="shared" si="29"/>
        <v>N/I</v>
      </c>
      <c r="R1190" s="9" t="str">
        <f t="shared" si="32"/>
        <v>N/I</v>
      </c>
    </row>
    <row r="1191">
      <c r="A1191" s="11" t="s">
        <v>3572</v>
      </c>
      <c r="B1191" s="11" t="s">
        <v>3700</v>
      </c>
      <c r="C1191" s="12" t="s">
        <v>3579</v>
      </c>
      <c r="D1191" s="27" t="s">
        <v>3705</v>
      </c>
      <c r="E1191" s="10" t="s">
        <v>390</v>
      </c>
      <c r="F1191" s="10" t="s">
        <v>3603</v>
      </c>
      <c r="G1191" s="12" t="s">
        <v>3702</v>
      </c>
      <c r="H1191" s="10" t="s">
        <v>216</v>
      </c>
      <c r="I1191" s="10" t="s">
        <v>1498</v>
      </c>
      <c r="J1191" s="12" t="s">
        <v>46</v>
      </c>
      <c r="K1191" s="10" t="s">
        <v>227</v>
      </c>
      <c r="L1191" s="16" t="s">
        <v>45</v>
      </c>
      <c r="M1191" s="10" t="s">
        <v>49</v>
      </c>
      <c r="N1191" s="10" t="s">
        <v>508</v>
      </c>
      <c r="O1191" s="10" t="s">
        <v>320</v>
      </c>
      <c r="P1191" s="9" t="str">
        <f t="shared" si="28"/>
        <v>N/I</v>
      </c>
      <c r="Q1191" s="9" t="str">
        <f t="shared" si="29"/>
        <v>N/I</v>
      </c>
      <c r="R1191" s="9" t="str">
        <f t="shared" si="32"/>
        <v>N/I</v>
      </c>
    </row>
    <row r="1192">
      <c r="A1192" s="11" t="s">
        <v>3572</v>
      </c>
      <c r="B1192" s="11" t="s">
        <v>3700</v>
      </c>
      <c r="C1192" s="12" t="s">
        <v>3579</v>
      </c>
      <c r="D1192" s="27" t="s">
        <v>3707</v>
      </c>
      <c r="E1192" s="10" t="s">
        <v>390</v>
      </c>
      <c r="F1192" s="10" t="s">
        <v>3603</v>
      </c>
      <c r="G1192" s="12" t="s">
        <v>3702</v>
      </c>
      <c r="H1192" s="10" t="s">
        <v>216</v>
      </c>
      <c r="I1192" s="10" t="s">
        <v>1498</v>
      </c>
      <c r="J1192" s="12" t="s">
        <v>46</v>
      </c>
      <c r="K1192" s="10" t="s">
        <v>227</v>
      </c>
      <c r="L1192" s="16" t="s">
        <v>45</v>
      </c>
      <c r="M1192" s="10" t="s">
        <v>49</v>
      </c>
      <c r="N1192" s="10" t="s">
        <v>508</v>
      </c>
      <c r="O1192" s="10" t="s">
        <v>320</v>
      </c>
      <c r="P1192" s="9" t="str">
        <f t="shared" si="28"/>
        <v>N/I</v>
      </c>
      <c r="Q1192" s="9" t="str">
        <f t="shared" si="29"/>
        <v>N/I</v>
      </c>
      <c r="R1192" s="9" t="str">
        <f t="shared" si="32"/>
        <v>N/I</v>
      </c>
    </row>
    <row r="1193">
      <c r="A1193" s="11" t="s">
        <v>3572</v>
      </c>
      <c r="B1193" s="11" t="s">
        <v>3708</v>
      </c>
      <c r="C1193" s="12" t="s">
        <v>1691</v>
      </c>
      <c r="D1193" s="34" t="s">
        <v>3709</v>
      </c>
      <c r="E1193" s="10" t="s">
        <v>390</v>
      </c>
      <c r="F1193" s="10" t="s">
        <v>3593</v>
      </c>
      <c r="G1193" s="12" t="s">
        <v>3710</v>
      </c>
      <c r="H1193" s="10" t="s">
        <v>216</v>
      </c>
      <c r="I1193" s="10" t="s">
        <v>1498</v>
      </c>
      <c r="J1193" s="12" t="s">
        <v>46</v>
      </c>
      <c r="K1193" s="10" t="s">
        <v>227</v>
      </c>
      <c r="L1193" s="12" t="s">
        <v>3594</v>
      </c>
      <c r="M1193" s="10" t="s">
        <v>49</v>
      </c>
      <c r="N1193" s="10" t="s">
        <v>508</v>
      </c>
      <c r="O1193" s="10" t="s">
        <v>320</v>
      </c>
      <c r="P1193" s="9" t="str">
        <f t="shared" si="28"/>
        <v>N/I</v>
      </c>
      <c r="Q1193" s="9" t="str">
        <f t="shared" si="29"/>
        <v>N/I</v>
      </c>
      <c r="R1193" s="9" t="str">
        <f t="shared" si="32"/>
        <v>N/I</v>
      </c>
    </row>
    <row r="1194">
      <c r="A1194" s="11" t="s">
        <v>3572</v>
      </c>
      <c r="B1194" s="11" t="s">
        <v>3713</v>
      </c>
      <c r="C1194" s="12" t="s">
        <v>3579</v>
      </c>
      <c r="D1194" s="27" t="s">
        <v>3714</v>
      </c>
      <c r="E1194" s="10" t="s">
        <v>390</v>
      </c>
      <c r="F1194" s="10" t="s">
        <v>3603</v>
      </c>
      <c r="G1194" s="12" t="s">
        <v>3710</v>
      </c>
      <c r="H1194" s="10" t="s">
        <v>216</v>
      </c>
      <c r="I1194" s="10" t="s">
        <v>1498</v>
      </c>
      <c r="J1194" s="12" t="s">
        <v>46</v>
      </c>
      <c r="K1194" s="10" t="s">
        <v>227</v>
      </c>
      <c r="L1194" s="16" t="s">
        <v>45</v>
      </c>
      <c r="M1194" s="10" t="s">
        <v>49</v>
      </c>
      <c r="N1194" s="10" t="s">
        <v>508</v>
      </c>
      <c r="O1194" s="10" t="s">
        <v>320</v>
      </c>
      <c r="P1194" s="9" t="str">
        <f t="shared" si="28"/>
        <v>N/I</v>
      </c>
      <c r="Q1194" s="9" t="str">
        <f t="shared" si="29"/>
        <v>N/I</v>
      </c>
      <c r="R1194" s="9" t="str">
        <f t="shared" si="32"/>
        <v>N/I</v>
      </c>
    </row>
    <row r="1195">
      <c r="A1195" s="11" t="s">
        <v>3572</v>
      </c>
      <c r="B1195" s="11" t="s">
        <v>3715</v>
      </c>
      <c r="C1195" s="12" t="s">
        <v>1691</v>
      </c>
      <c r="D1195" s="34" t="s">
        <v>3716</v>
      </c>
      <c r="E1195" s="10" t="s">
        <v>390</v>
      </c>
      <c r="F1195" s="10" t="s">
        <v>3593</v>
      </c>
      <c r="G1195" s="12" t="s">
        <v>3717</v>
      </c>
      <c r="H1195" s="10" t="s">
        <v>216</v>
      </c>
      <c r="I1195" s="10" t="s">
        <v>1498</v>
      </c>
      <c r="J1195" s="12" t="s">
        <v>46</v>
      </c>
      <c r="K1195" s="10" t="s">
        <v>227</v>
      </c>
      <c r="L1195" s="12" t="s">
        <v>3594</v>
      </c>
      <c r="M1195" s="10" t="s">
        <v>49</v>
      </c>
      <c r="N1195" s="10" t="s">
        <v>508</v>
      </c>
      <c r="O1195" s="10" t="s">
        <v>320</v>
      </c>
      <c r="P1195" s="9" t="str">
        <f t="shared" si="28"/>
        <v>N/I</v>
      </c>
      <c r="Q1195" s="9" t="str">
        <f t="shared" si="29"/>
        <v>N/I</v>
      </c>
      <c r="R1195" s="9" t="str">
        <f t="shared" si="32"/>
        <v>N/I</v>
      </c>
    </row>
    <row r="1196">
      <c r="A1196" s="11" t="s">
        <v>3572</v>
      </c>
      <c r="B1196" s="11" t="s">
        <v>3715</v>
      </c>
      <c r="C1196" s="12" t="s">
        <v>3579</v>
      </c>
      <c r="D1196" s="13" t="s">
        <v>3720</v>
      </c>
      <c r="E1196" s="10" t="s">
        <v>390</v>
      </c>
      <c r="F1196" s="10" t="s">
        <v>3603</v>
      </c>
      <c r="G1196" s="12" t="s">
        <v>3717</v>
      </c>
      <c r="H1196" s="10" t="s">
        <v>216</v>
      </c>
      <c r="I1196" s="10" t="s">
        <v>1498</v>
      </c>
      <c r="J1196" s="12" t="s">
        <v>46</v>
      </c>
      <c r="K1196" s="10" t="s">
        <v>227</v>
      </c>
      <c r="L1196" s="16" t="s">
        <v>45</v>
      </c>
      <c r="M1196" s="10" t="s">
        <v>49</v>
      </c>
      <c r="N1196" s="10" t="s">
        <v>508</v>
      </c>
      <c r="O1196" s="10" t="s">
        <v>320</v>
      </c>
      <c r="P1196" s="9" t="str">
        <f t="shared" si="28"/>
        <v>N/I</v>
      </c>
      <c r="Q1196" s="9" t="str">
        <f t="shared" si="29"/>
        <v>N/I</v>
      </c>
      <c r="R1196" s="9" t="str">
        <f t="shared" si="32"/>
        <v>N/I</v>
      </c>
    </row>
    <row r="1197">
      <c r="A1197" s="11" t="s">
        <v>3572</v>
      </c>
      <c r="B1197" s="11" t="s">
        <v>3722</v>
      </c>
      <c r="C1197" s="12" t="s">
        <v>1691</v>
      </c>
      <c r="D1197" s="34" t="s">
        <v>3723</v>
      </c>
      <c r="E1197" s="10" t="s">
        <v>390</v>
      </c>
      <c r="F1197" s="10" t="s">
        <v>3593</v>
      </c>
      <c r="G1197" s="12" t="s">
        <v>1117</v>
      </c>
      <c r="H1197" s="10" t="s">
        <v>216</v>
      </c>
      <c r="I1197" s="10" t="s">
        <v>1498</v>
      </c>
      <c r="J1197" s="12" t="s">
        <v>46</v>
      </c>
      <c r="K1197" s="10" t="s">
        <v>227</v>
      </c>
      <c r="L1197" s="12" t="s">
        <v>3594</v>
      </c>
      <c r="M1197" s="10" t="s">
        <v>49</v>
      </c>
      <c r="N1197" s="10" t="s">
        <v>508</v>
      </c>
      <c r="O1197" s="10" t="s">
        <v>320</v>
      </c>
      <c r="P1197" s="9" t="str">
        <f t="shared" si="28"/>
        <v>N/I</v>
      </c>
      <c r="Q1197" s="9" t="str">
        <f t="shared" si="29"/>
        <v>N/I</v>
      </c>
      <c r="R1197" s="9" t="str">
        <f t="shared" si="32"/>
        <v>N/I</v>
      </c>
    </row>
    <row r="1198">
      <c r="A1198" s="11" t="s">
        <v>3572</v>
      </c>
      <c r="B1198" s="32" t="s">
        <v>3722</v>
      </c>
      <c r="C1198" s="12" t="s">
        <v>3579</v>
      </c>
      <c r="D1198" s="25" t="s">
        <v>187</v>
      </c>
      <c r="E1198" s="10" t="s">
        <v>291</v>
      </c>
      <c r="F1198" s="10" t="s">
        <v>3583</v>
      </c>
      <c r="G1198" s="12" t="s">
        <v>1117</v>
      </c>
      <c r="H1198" s="10" t="s">
        <v>216</v>
      </c>
      <c r="I1198" s="10" t="s">
        <v>290</v>
      </c>
      <c r="J1198" s="10" t="s">
        <v>318</v>
      </c>
      <c r="K1198" s="10" t="s">
        <v>319</v>
      </c>
      <c r="L1198" s="16" t="s">
        <v>45</v>
      </c>
      <c r="M1198" s="10" t="s">
        <v>49</v>
      </c>
      <c r="N1198" s="10" t="s">
        <v>508</v>
      </c>
      <c r="O1198" s="10" t="s">
        <v>50</v>
      </c>
      <c r="P1198" s="9" t="str">
        <f t="shared" si="28"/>
        <v>N/I</v>
      </c>
      <c r="Q1198" s="9" t="str">
        <f t="shared" si="29"/>
        <v>N/I</v>
      </c>
      <c r="R1198" s="9" t="str">
        <f t="shared" si="32"/>
        <v>N/I</v>
      </c>
    </row>
    <row r="1199">
      <c r="A1199" s="11" t="s">
        <v>3572</v>
      </c>
      <c r="B1199" s="32" t="s">
        <v>3727</v>
      </c>
      <c r="C1199" s="12" t="s">
        <v>1691</v>
      </c>
      <c r="D1199" s="25" t="s">
        <v>187</v>
      </c>
      <c r="E1199" s="10" t="s">
        <v>291</v>
      </c>
      <c r="F1199" s="10" t="s">
        <v>3577</v>
      </c>
      <c r="G1199" s="12" t="s">
        <v>3728</v>
      </c>
      <c r="H1199" s="10" t="s">
        <v>216</v>
      </c>
      <c r="I1199" s="10" t="s">
        <v>290</v>
      </c>
      <c r="J1199" s="10" t="s">
        <v>318</v>
      </c>
      <c r="K1199" s="10" t="s">
        <v>319</v>
      </c>
      <c r="L1199" s="16" t="s">
        <v>45</v>
      </c>
      <c r="M1199" s="10" t="s">
        <v>49</v>
      </c>
      <c r="N1199" s="10" t="s">
        <v>508</v>
      </c>
      <c r="O1199" s="10" t="s">
        <v>50</v>
      </c>
      <c r="P1199" s="9" t="str">
        <f t="shared" si="28"/>
        <v>N/I</v>
      </c>
      <c r="Q1199" s="9" t="str">
        <f t="shared" si="29"/>
        <v>N/I</v>
      </c>
      <c r="R1199" s="9" t="str">
        <f t="shared" si="32"/>
        <v>N/I</v>
      </c>
    </row>
    <row r="1200">
      <c r="A1200" s="11" t="s">
        <v>3572</v>
      </c>
      <c r="B1200" s="11" t="s">
        <v>3731</v>
      </c>
      <c r="C1200" s="12" t="s">
        <v>3579</v>
      </c>
      <c r="D1200" s="27" t="s">
        <v>3732</v>
      </c>
      <c r="E1200" s="10" t="s">
        <v>390</v>
      </c>
      <c r="F1200" s="10" t="s">
        <v>3603</v>
      </c>
      <c r="G1200" s="12" t="s">
        <v>3733</v>
      </c>
      <c r="H1200" s="10" t="s">
        <v>216</v>
      </c>
      <c r="I1200" s="10" t="s">
        <v>1498</v>
      </c>
      <c r="J1200" s="12" t="s">
        <v>46</v>
      </c>
      <c r="K1200" s="10" t="s">
        <v>227</v>
      </c>
      <c r="L1200" s="16" t="s">
        <v>45</v>
      </c>
      <c r="M1200" s="10" t="s">
        <v>49</v>
      </c>
      <c r="N1200" s="10" t="s">
        <v>508</v>
      </c>
      <c r="O1200" s="10" t="s">
        <v>320</v>
      </c>
      <c r="P1200" s="9" t="str">
        <f t="shared" si="28"/>
        <v>N/I</v>
      </c>
      <c r="Q1200" s="9" t="str">
        <f t="shared" si="29"/>
        <v>N/I</v>
      </c>
      <c r="R1200" s="9" t="str">
        <f t="shared" si="32"/>
        <v>N/I</v>
      </c>
    </row>
    <row r="1201">
      <c r="A1201" s="11" t="s">
        <v>3572</v>
      </c>
      <c r="B1201" s="11" t="s">
        <v>3735</v>
      </c>
      <c r="C1201" s="12" t="s">
        <v>1691</v>
      </c>
      <c r="D1201" s="34" t="s">
        <v>3736</v>
      </c>
      <c r="E1201" s="10" t="s">
        <v>390</v>
      </c>
      <c r="F1201" s="10" t="s">
        <v>3593</v>
      </c>
      <c r="G1201" s="12" t="s">
        <v>2456</v>
      </c>
      <c r="H1201" s="10" t="s">
        <v>216</v>
      </c>
      <c r="I1201" s="10" t="s">
        <v>1498</v>
      </c>
      <c r="J1201" s="12" t="s">
        <v>46</v>
      </c>
      <c r="K1201" s="10" t="s">
        <v>227</v>
      </c>
      <c r="L1201" s="12" t="s">
        <v>3594</v>
      </c>
      <c r="M1201" s="10" t="s">
        <v>49</v>
      </c>
      <c r="N1201" s="10" t="s">
        <v>508</v>
      </c>
      <c r="O1201" s="10" t="s">
        <v>320</v>
      </c>
      <c r="P1201" s="9" t="str">
        <f t="shared" si="28"/>
        <v>N/I</v>
      </c>
      <c r="Q1201" s="9" t="str">
        <f t="shared" si="29"/>
        <v>N/I</v>
      </c>
      <c r="R1201" s="9" t="str">
        <f t="shared" si="32"/>
        <v>N/I</v>
      </c>
    </row>
    <row r="1202">
      <c r="A1202" s="11" t="s">
        <v>3572</v>
      </c>
      <c r="B1202" s="11" t="s">
        <v>3739</v>
      </c>
      <c r="C1202" s="12" t="s">
        <v>1691</v>
      </c>
      <c r="D1202" s="34" t="s">
        <v>3740</v>
      </c>
      <c r="E1202" s="10" t="s">
        <v>390</v>
      </c>
      <c r="F1202" s="10" t="s">
        <v>3593</v>
      </c>
      <c r="G1202" s="12" t="s">
        <v>2456</v>
      </c>
      <c r="H1202" s="10" t="s">
        <v>216</v>
      </c>
      <c r="I1202" s="10" t="s">
        <v>1498</v>
      </c>
      <c r="J1202" s="12" t="s">
        <v>46</v>
      </c>
      <c r="K1202" s="10" t="s">
        <v>227</v>
      </c>
      <c r="L1202" s="12" t="s">
        <v>3594</v>
      </c>
      <c r="M1202" s="10" t="s">
        <v>49</v>
      </c>
      <c r="N1202" s="10" t="s">
        <v>508</v>
      </c>
      <c r="O1202" s="10" t="s">
        <v>320</v>
      </c>
      <c r="P1202" s="9" t="str">
        <f t="shared" si="28"/>
        <v>N/I</v>
      </c>
      <c r="Q1202" s="9" t="str">
        <f t="shared" si="29"/>
        <v>N/I</v>
      </c>
      <c r="R1202" s="9" t="str">
        <f t="shared" si="32"/>
        <v>N/I</v>
      </c>
    </row>
    <row r="1203">
      <c r="A1203" s="11" t="s">
        <v>3572</v>
      </c>
      <c r="B1203" s="11" t="s">
        <v>3739</v>
      </c>
      <c r="C1203" s="12" t="s">
        <v>3579</v>
      </c>
      <c r="D1203" s="16" t="s">
        <v>3743</v>
      </c>
      <c r="E1203" s="10" t="s">
        <v>390</v>
      </c>
      <c r="F1203" s="10" t="s">
        <v>3603</v>
      </c>
      <c r="G1203" s="12" t="s">
        <v>2456</v>
      </c>
      <c r="H1203" s="10" t="s">
        <v>216</v>
      </c>
      <c r="I1203" s="10" t="s">
        <v>1498</v>
      </c>
      <c r="J1203" s="12" t="s">
        <v>46</v>
      </c>
      <c r="K1203" s="10" t="s">
        <v>227</v>
      </c>
      <c r="L1203" s="16" t="s">
        <v>45</v>
      </c>
      <c r="M1203" s="10" t="s">
        <v>49</v>
      </c>
      <c r="N1203" s="10" t="s">
        <v>508</v>
      </c>
      <c r="O1203" s="10" t="s">
        <v>320</v>
      </c>
      <c r="P1203" s="9" t="str">
        <f t="shared" si="28"/>
        <v>N/I</v>
      </c>
      <c r="Q1203" s="9" t="str">
        <f t="shared" si="29"/>
        <v>N/I</v>
      </c>
      <c r="R1203" s="9" t="str">
        <f t="shared" si="32"/>
        <v>N/I</v>
      </c>
    </row>
    <row r="1204">
      <c r="A1204" s="11" t="s">
        <v>3572</v>
      </c>
      <c r="B1204" s="11" t="s">
        <v>3745</v>
      </c>
      <c r="C1204" s="12" t="s">
        <v>3579</v>
      </c>
      <c r="D1204" s="27" t="s">
        <v>3746</v>
      </c>
      <c r="E1204" s="10" t="s">
        <v>390</v>
      </c>
      <c r="F1204" s="10" t="s">
        <v>3603</v>
      </c>
      <c r="G1204" s="12" t="s">
        <v>2456</v>
      </c>
      <c r="H1204" s="10" t="s">
        <v>216</v>
      </c>
      <c r="I1204" s="10" t="s">
        <v>1498</v>
      </c>
      <c r="J1204" s="12" t="s">
        <v>46</v>
      </c>
      <c r="K1204" s="10" t="s">
        <v>227</v>
      </c>
      <c r="L1204" s="16" t="s">
        <v>45</v>
      </c>
      <c r="M1204" s="10" t="s">
        <v>49</v>
      </c>
      <c r="N1204" s="10" t="s">
        <v>508</v>
      </c>
      <c r="O1204" s="10" t="s">
        <v>320</v>
      </c>
      <c r="P1204" s="9" t="str">
        <f t="shared" si="28"/>
        <v>N/I</v>
      </c>
      <c r="Q1204" s="9" t="str">
        <f t="shared" si="29"/>
        <v>N/I</v>
      </c>
      <c r="R1204" s="9" t="str">
        <f t="shared" si="32"/>
        <v>N/I</v>
      </c>
    </row>
    <row r="1205">
      <c r="A1205" s="11" t="s">
        <v>3572</v>
      </c>
      <c r="B1205" s="11" t="s">
        <v>3749</v>
      </c>
      <c r="C1205" s="12" t="s">
        <v>1691</v>
      </c>
      <c r="D1205" s="34" t="s">
        <v>3750</v>
      </c>
      <c r="E1205" s="10" t="s">
        <v>390</v>
      </c>
      <c r="F1205" s="10" t="s">
        <v>3593</v>
      </c>
      <c r="G1205" s="12" t="s">
        <v>3655</v>
      </c>
      <c r="H1205" s="10" t="s">
        <v>216</v>
      </c>
      <c r="I1205" s="10" t="s">
        <v>1498</v>
      </c>
      <c r="J1205" s="12" t="s">
        <v>46</v>
      </c>
      <c r="K1205" s="10" t="s">
        <v>227</v>
      </c>
      <c r="L1205" s="12" t="s">
        <v>3594</v>
      </c>
      <c r="M1205" s="10" t="s">
        <v>49</v>
      </c>
      <c r="N1205" s="10" t="s">
        <v>508</v>
      </c>
      <c r="O1205" s="10" t="s">
        <v>320</v>
      </c>
      <c r="P1205" s="9" t="str">
        <f t="shared" si="28"/>
        <v>N/I</v>
      </c>
      <c r="Q1205" s="9" t="str">
        <f t="shared" si="29"/>
        <v>N/I</v>
      </c>
      <c r="R1205" s="9" t="str">
        <f t="shared" si="32"/>
        <v>N/I</v>
      </c>
    </row>
    <row r="1206">
      <c r="A1206" s="11" t="s">
        <v>3572</v>
      </c>
      <c r="B1206" s="11" t="s">
        <v>3753</v>
      </c>
      <c r="C1206" s="12" t="s">
        <v>1691</v>
      </c>
      <c r="D1206" s="34" t="s">
        <v>3754</v>
      </c>
      <c r="E1206" s="10" t="s">
        <v>390</v>
      </c>
      <c r="F1206" s="10" t="s">
        <v>3593</v>
      </c>
      <c r="G1206" s="12" t="s">
        <v>3755</v>
      </c>
      <c r="H1206" s="10" t="s">
        <v>216</v>
      </c>
      <c r="I1206" s="10" t="s">
        <v>1498</v>
      </c>
      <c r="J1206" s="12" t="s">
        <v>46</v>
      </c>
      <c r="K1206" s="10" t="s">
        <v>227</v>
      </c>
      <c r="L1206" s="12" t="s">
        <v>3594</v>
      </c>
      <c r="M1206" s="10" t="s">
        <v>49</v>
      </c>
      <c r="N1206" s="10" t="s">
        <v>508</v>
      </c>
      <c r="O1206" s="10" t="s">
        <v>320</v>
      </c>
      <c r="P1206" s="9" t="str">
        <f t="shared" si="28"/>
        <v>N/I</v>
      </c>
      <c r="Q1206" s="9" t="str">
        <f t="shared" si="29"/>
        <v>N/I</v>
      </c>
      <c r="R1206" s="9" t="str">
        <f t="shared" si="32"/>
        <v>N/I</v>
      </c>
    </row>
    <row r="1207">
      <c r="A1207" s="11" t="s">
        <v>3572</v>
      </c>
      <c r="B1207" s="11" t="s">
        <v>3758</v>
      </c>
      <c r="C1207" s="12" t="s">
        <v>3579</v>
      </c>
      <c r="D1207" s="13" t="s">
        <v>3759</v>
      </c>
      <c r="E1207" s="10" t="s">
        <v>390</v>
      </c>
      <c r="F1207" s="10" t="s">
        <v>3603</v>
      </c>
      <c r="G1207" s="12" t="s">
        <v>3755</v>
      </c>
      <c r="H1207" s="10" t="s">
        <v>216</v>
      </c>
      <c r="I1207" s="10" t="s">
        <v>1498</v>
      </c>
      <c r="J1207" s="12" t="s">
        <v>46</v>
      </c>
      <c r="K1207" s="10" t="s">
        <v>227</v>
      </c>
      <c r="L1207" s="16" t="s">
        <v>45</v>
      </c>
      <c r="M1207" s="10" t="s">
        <v>49</v>
      </c>
      <c r="N1207" s="10" t="s">
        <v>508</v>
      </c>
      <c r="O1207" s="10" t="s">
        <v>320</v>
      </c>
      <c r="P1207" s="9" t="str">
        <f t="shared" si="28"/>
        <v>N/I</v>
      </c>
      <c r="Q1207" s="9" t="str">
        <f t="shared" si="29"/>
        <v>N/I</v>
      </c>
      <c r="R1207" s="9" t="str">
        <f t="shared" si="32"/>
        <v>N/I</v>
      </c>
    </row>
    <row r="1208">
      <c r="A1208" s="11" t="s">
        <v>3572</v>
      </c>
      <c r="B1208" s="11" t="s">
        <v>3760</v>
      </c>
      <c r="C1208" s="12" t="s">
        <v>1691</v>
      </c>
      <c r="D1208" s="34" t="s">
        <v>3761</v>
      </c>
      <c r="E1208" s="10" t="s">
        <v>390</v>
      </c>
      <c r="F1208" s="10" t="s">
        <v>3593</v>
      </c>
      <c r="G1208" s="12" t="s">
        <v>3762</v>
      </c>
      <c r="H1208" s="10" t="s">
        <v>216</v>
      </c>
      <c r="I1208" s="10" t="s">
        <v>1498</v>
      </c>
      <c r="J1208" s="12" t="s">
        <v>46</v>
      </c>
      <c r="K1208" s="10" t="s">
        <v>227</v>
      </c>
      <c r="L1208" s="12" t="s">
        <v>3594</v>
      </c>
      <c r="M1208" s="10" t="s">
        <v>49</v>
      </c>
      <c r="N1208" s="10" t="s">
        <v>508</v>
      </c>
      <c r="O1208" s="10" t="s">
        <v>320</v>
      </c>
      <c r="P1208" s="9" t="str">
        <f t="shared" si="28"/>
        <v>N/I</v>
      </c>
      <c r="Q1208" s="9" t="str">
        <f t="shared" si="29"/>
        <v>N/I</v>
      </c>
      <c r="R1208" s="9" t="str">
        <f t="shared" si="32"/>
        <v>N/I</v>
      </c>
    </row>
    <row r="1209">
      <c r="A1209" s="11" t="s">
        <v>3572</v>
      </c>
      <c r="B1209" s="11" t="s">
        <v>3765</v>
      </c>
      <c r="C1209" s="12" t="s">
        <v>3579</v>
      </c>
      <c r="D1209" s="13" t="s">
        <v>3766</v>
      </c>
      <c r="E1209" s="10" t="s">
        <v>390</v>
      </c>
      <c r="F1209" s="10" t="s">
        <v>3603</v>
      </c>
      <c r="G1209" s="12" t="s">
        <v>3762</v>
      </c>
      <c r="H1209" s="10" t="s">
        <v>216</v>
      </c>
      <c r="I1209" s="10" t="s">
        <v>1498</v>
      </c>
      <c r="J1209" s="12" t="s">
        <v>46</v>
      </c>
      <c r="K1209" s="10" t="s">
        <v>227</v>
      </c>
      <c r="L1209" s="16" t="s">
        <v>45</v>
      </c>
      <c r="M1209" s="10" t="s">
        <v>49</v>
      </c>
      <c r="N1209" s="10" t="s">
        <v>508</v>
      </c>
      <c r="O1209" s="10" t="s">
        <v>320</v>
      </c>
      <c r="P1209" s="9" t="str">
        <f t="shared" si="28"/>
        <v>N/I</v>
      </c>
      <c r="Q1209" s="9" t="str">
        <f t="shared" si="29"/>
        <v>N/I</v>
      </c>
      <c r="R1209" s="9" t="str">
        <f t="shared" si="32"/>
        <v>N/I</v>
      </c>
    </row>
    <row r="1210">
      <c r="A1210" s="11" t="s">
        <v>3572</v>
      </c>
      <c r="B1210" s="11" t="s">
        <v>3767</v>
      </c>
      <c r="C1210" s="12" t="s">
        <v>1691</v>
      </c>
      <c r="D1210" s="34" t="s">
        <v>3768</v>
      </c>
      <c r="E1210" s="10" t="s">
        <v>390</v>
      </c>
      <c r="F1210" s="10" t="s">
        <v>3593</v>
      </c>
      <c r="G1210" s="12" t="s">
        <v>3769</v>
      </c>
      <c r="H1210" s="10" t="s">
        <v>216</v>
      </c>
      <c r="I1210" s="10" t="s">
        <v>1498</v>
      </c>
      <c r="J1210" s="12" t="s">
        <v>46</v>
      </c>
      <c r="K1210" s="10" t="s">
        <v>227</v>
      </c>
      <c r="L1210" s="12" t="s">
        <v>3594</v>
      </c>
      <c r="M1210" s="10" t="s">
        <v>49</v>
      </c>
      <c r="N1210" s="10" t="s">
        <v>508</v>
      </c>
      <c r="O1210" s="10" t="s">
        <v>320</v>
      </c>
      <c r="P1210" s="9" t="str">
        <f t="shared" si="28"/>
        <v>N/I</v>
      </c>
      <c r="Q1210" s="9" t="str">
        <f t="shared" si="29"/>
        <v>N/I</v>
      </c>
      <c r="R1210" s="9" t="str">
        <f t="shared" si="32"/>
        <v>N/I</v>
      </c>
    </row>
    <row r="1211">
      <c r="A1211" s="11" t="s">
        <v>3572</v>
      </c>
      <c r="B1211" s="11" t="s">
        <v>3767</v>
      </c>
      <c r="C1211" s="12" t="s">
        <v>3579</v>
      </c>
      <c r="D1211" s="13" t="s">
        <v>3772</v>
      </c>
      <c r="E1211" s="10" t="s">
        <v>390</v>
      </c>
      <c r="F1211" s="10" t="s">
        <v>3603</v>
      </c>
      <c r="G1211" s="12" t="s">
        <v>3769</v>
      </c>
      <c r="H1211" s="10" t="s">
        <v>216</v>
      </c>
      <c r="I1211" s="10" t="s">
        <v>1498</v>
      </c>
      <c r="J1211" s="12" t="s">
        <v>46</v>
      </c>
      <c r="K1211" s="10" t="s">
        <v>227</v>
      </c>
      <c r="L1211" s="16" t="s">
        <v>45</v>
      </c>
      <c r="M1211" s="10" t="s">
        <v>49</v>
      </c>
      <c r="N1211" s="10" t="s">
        <v>508</v>
      </c>
      <c r="O1211" s="10" t="s">
        <v>320</v>
      </c>
      <c r="P1211" s="9" t="str">
        <f t="shared" si="28"/>
        <v>N/I</v>
      </c>
      <c r="Q1211" s="9" t="str">
        <f t="shared" si="29"/>
        <v>N/I</v>
      </c>
      <c r="R1211" s="9" t="str">
        <f t="shared" si="32"/>
        <v>N/I</v>
      </c>
    </row>
    <row r="1212">
      <c r="A1212" s="11" t="s">
        <v>3572</v>
      </c>
      <c r="B1212" s="32" t="s">
        <v>3775</v>
      </c>
      <c r="C1212" s="12" t="s">
        <v>1691</v>
      </c>
      <c r="D1212" s="25" t="s">
        <v>187</v>
      </c>
      <c r="E1212" s="10" t="s">
        <v>292</v>
      </c>
      <c r="F1212" s="10" t="s">
        <v>3577</v>
      </c>
      <c r="G1212" s="12" t="s">
        <v>3776</v>
      </c>
      <c r="H1212" s="10" t="s">
        <v>216</v>
      </c>
      <c r="I1212" s="10" t="s">
        <v>290</v>
      </c>
      <c r="J1212" s="12" t="s">
        <v>46</v>
      </c>
      <c r="K1212" s="10" t="s">
        <v>291</v>
      </c>
      <c r="L1212" s="16" t="s">
        <v>45</v>
      </c>
      <c r="M1212" s="10" t="s">
        <v>49</v>
      </c>
      <c r="N1212" s="16" t="s">
        <v>45</v>
      </c>
      <c r="O1212" s="10" t="s">
        <v>50</v>
      </c>
      <c r="P1212" s="9" t="str">
        <f t="shared" si="28"/>
        <v>N/I</v>
      </c>
      <c r="Q1212" s="9" t="str">
        <f t="shared" si="29"/>
        <v>N/I</v>
      </c>
      <c r="R1212" s="9" t="str">
        <f t="shared" si="32"/>
        <v>N/I</v>
      </c>
    </row>
    <row r="1213">
      <c r="A1213" s="11" t="s">
        <v>3572</v>
      </c>
      <c r="B1213" s="32" t="s">
        <v>3779</v>
      </c>
      <c r="C1213" s="12" t="s">
        <v>1691</v>
      </c>
      <c r="D1213" s="25" t="s">
        <v>187</v>
      </c>
      <c r="E1213" s="10" t="s">
        <v>292</v>
      </c>
      <c r="F1213" s="10" t="s">
        <v>3577</v>
      </c>
      <c r="G1213" s="12" t="s">
        <v>3780</v>
      </c>
      <c r="H1213" s="10" t="s">
        <v>216</v>
      </c>
      <c r="I1213" s="10" t="s">
        <v>290</v>
      </c>
      <c r="J1213" s="12" t="s">
        <v>46</v>
      </c>
      <c r="K1213" s="10" t="s">
        <v>291</v>
      </c>
      <c r="L1213" s="16" t="s">
        <v>45</v>
      </c>
      <c r="M1213" s="10" t="s">
        <v>49</v>
      </c>
      <c r="N1213" s="16" t="s">
        <v>45</v>
      </c>
      <c r="O1213" s="10" t="s">
        <v>50</v>
      </c>
      <c r="P1213" s="9" t="str">
        <f t="shared" si="28"/>
        <v>N/I</v>
      </c>
      <c r="Q1213" s="9" t="str">
        <f t="shared" si="29"/>
        <v>N/I</v>
      </c>
      <c r="R1213" s="9" t="str">
        <f t="shared" si="32"/>
        <v>N/I</v>
      </c>
    </row>
    <row r="1214">
      <c r="A1214" s="11" t="s">
        <v>3572</v>
      </c>
      <c r="B1214" s="11" t="s">
        <v>3779</v>
      </c>
      <c r="C1214" s="12" t="s">
        <v>3579</v>
      </c>
      <c r="D1214" s="27" t="s">
        <v>3783</v>
      </c>
      <c r="E1214" s="10" t="s">
        <v>390</v>
      </c>
      <c r="F1214" s="10" t="s">
        <v>3603</v>
      </c>
      <c r="G1214" s="12" t="s">
        <v>3784</v>
      </c>
      <c r="H1214" s="10" t="s">
        <v>216</v>
      </c>
      <c r="I1214" s="10" t="s">
        <v>1498</v>
      </c>
      <c r="J1214" s="12" t="s">
        <v>46</v>
      </c>
      <c r="K1214" s="10" t="s">
        <v>227</v>
      </c>
      <c r="L1214" s="16" t="s">
        <v>45</v>
      </c>
      <c r="M1214" s="10" t="s">
        <v>49</v>
      </c>
      <c r="N1214" s="10" t="s">
        <v>508</v>
      </c>
      <c r="O1214" s="10" t="s">
        <v>320</v>
      </c>
      <c r="P1214" s="9" t="str">
        <f t="shared" si="28"/>
        <v>N/I</v>
      </c>
      <c r="Q1214" s="9" t="str">
        <f t="shared" si="29"/>
        <v>N/I</v>
      </c>
      <c r="R1214" s="9" t="str">
        <f t="shared" si="32"/>
        <v>N/I</v>
      </c>
    </row>
    <row r="1215">
      <c r="A1215" s="11" t="s">
        <v>3572</v>
      </c>
      <c r="B1215" s="11" t="s">
        <v>3786</v>
      </c>
      <c r="C1215" s="12" t="s">
        <v>3579</v>
      </c>
      <c r="D1215" s="27" t="s">
        <v>3787</v>
      </c>
      <c r="E1215" s="10" t="s">
        <v>390</v>
      </c>
      <c r="F1215" s="10" t="s">
        <v>3603</v>
      </c>
      <c r="G1215" s="12" t="s">
        <v>3788</v>
      </c>
      <c r="H1215" s="10" t="s">
        <v>216</v>
      </c>
      <c r="I1215" s="10" t="s">
        <v>1498</v>
      </c>
      <c r="J1215" s="12" t="s">
        <v>46</v>
      </c>
      <c r="K1215" s="10" t="s">
        <v>227</v>
      </c>
      <c r="L1215" s="16" t="s">
        <v>45</v>
      </c>
      <c r="M1215" s="10" t="s">
        <v>49</v>
      </c>
      <c r="N1215" s="10" t="s">
        <v>508</v>
      </c>
      <c r="O1215" s="10" t="s">
        <v>320</v>
      </c>
      <c r="P1215" s="9" t="str">
        <f t="shared" si="28"/>
        <v>N/I</v>
      </c>
      <c r="Q1215" s="9" t="str">
        <f t="shared" si="29"/>
        <v>N/I</v>
      </c>
      <c r="R1215" s="9" t="str">
        <f t="shared" si="32"/>
        <v>N/I</v>
      </c>
    </row>
    <row r="1216">
      <c r="A1216" s="11" t="s">
        <v>3572</v>
      </c>
      <c r="B1216" s="32" t="s">
        <v>3786</v>
      </c>
      <c r="C1216" s="12" t="s">
        <v>1691</v>
      </c>
      <c r="D1216" s="25" t="s">
        <v>187</v>
      </c>
      <c r="E1216" s="10" t="s">
        <v>292</v>
      </c>
      <c r="F1216" s="10" t="s">
        <v>3577</v>
      </c>
      <c r="G1216" s="12" t="s">
        <v>3788</v>
      </c>
      <c r="H1216" s="10" t="s">
        <v>216</v>
      </c>
      <c r="I1216" s="10" t="s">
        <v>290</v>
      </c>
      <c r="J1216" s="12" t="s">
        <v>46</v>
      </c>
      <c r="K1216" s="10" t="s">
        <v>291</v>
      </c>
      <c r="L1216" s="16" t="s">
        <v>45</v>
      </c>
      <c r="M1216" s="10" t="s">
        <v>49</v>
      </c>
      <c r="N1216" s="16" t="s">
        <v>45</v>
      </c>
      <c r="O1216" s="10" t="s">
        <v>50</v>
      </c>
      <c r="P1216" s="9" t="str">
        <f t="shared" si="28"/>
        <v>N/I</v>
      </c>
      <c r="Q1216" s="9" t="str">
        <f t="shared" si="29"/>
        <v>N/I</v>
      </c>
      <c r="R1216" s="9" t="str">
        <f t="shared" si="32"/>
        <v>N/I</v>
      </c>
    </row>
    <row r="1217">
      <c r="A1217" s="11" t="s">
        <v>3572</v>
      </c>
      <c r="B1217" s="32" t="s">
        <v>3793</v>
      </c>
      <c r="C1217" s="12" t="s">
        <v>3579</v>
      </c>
      <c r="D1217" s="25" t="s">
        <v>187</v>
      </c>
      <c r="E1217" s="10" t="s">
        <v>390</v>
      </c>
      <c r="F1217" s="10" t="s">
        <v>3583</v>
      </c>
      <c r="G1217" s="12" t="s">
        <v>3794</v>
      </c>
      <c r="H1217" s="10" t="s">
        <v>216</v>
      </c>
      <c r="I1217" s="10" t="s">
        <v>1498</v>
      </c>
      <c r="J1217" s="12" t="s">
        <v>46</v>
      </c>
      <c r="K1217" s="10" t="s">
        <v>227</v>
      </c>
      <c r="L1217" s="16" t="s">
        <v>45</v>
      </c>
      <c r="M1217" s="10" t="s">
        <v>49</v>
      </c>
      <c r="N1217" s="10" t="s">
        <v>508</v>
      </c>
      <c r="O1217" s="16"/>
      <c r="P1217" s="9" t="str">
        <f t="shared" si="28"/>
        <v>N/I</v>
      </c>
      <c r="Q1217" s="9" t="str">
        <f t="shared" si="29"/>
        <v>N/I</v>
      </c>
      <c r="R1217" s="9" t="str">
        <f t="shared" si="32"/>
        <v>N/I</v>
      </c>
    </row>
    <row r="1218">
      <c r="A1218" s="11" t="s">
        <v>3572</v>
      </c>
      <c r="B1218" s="11" t="s">
        <v>3797</v>
      </c>
      <c r="C1218" s="12" t="s">
        <v>1691</v>
      </c>
      <c r="D1218" s="34" t="s">
        <v>3798</v>
      </c>
      <c r="E1218" s="10" t="s">
        <v>390</v>
      </c>
      <c r="F1218" s="10" t="s">
        <v>3593</v>
      </c>
      <c r="G1218" s="12" t="s">
        <v>2461</v>
      </c>
      <c r="H1218" s="10" t="s">
        <v>216</v>
      </c>
      <c r="I1218" s="10" t="s">
        <v>1498</v>
      </c>
      <c r="J1218" s="12" t="s">
        <v>46</v>
      </c>
      <c r="K1218" s="10" t="s">
        <v>227</v>
      </c>
      <c r="L1218" s="12" t="s">
        <v>3594</v>
      </c>
      <c r="M1218" s="10" t="s">
        <v>49</v>
      </c>
      <c r="N1218" s="10" t="s">
        <v>508</v>
      </c>
      <c r="O1218" s="10" t="s">
        <v>320</v>
      </c>
      <c r="P1218" s="9" t="str">
        <f t="shared" si="28"/>
        <v>N/I</v>
      </c>
      <c r="Q1218" s="9" t="str">
        <f t="shared" si="29"/>
        <v>N/I</v>
      </c>
      <c r="R1218" s="9" t="str">
        <f t="shared" si="32"/>
        <v>N/I</v>
      </c>
    </row>
    <row r="1219">
      <c r="A1219" s="11" t="s">
        <v>3572</v>
      </c>
      <c r="B1219" s="11" t="s">
        <v>3801</v>
      </c>
      <c r="C1219" s="12" t="s">
        <v>1691</v>
      </c>
      <c r="D1219" s="34" t="s">
        <v>3802</v>
      </c>
      <c r="E1219" s="10" t="s">
        <v>390</v>
      </c>
      <c r="F1219" s="10" t="s">
        <v>3593</v>
      </c>
      <c r="G1219" s="12" t="s">
        <v>2461</v>
      </c>
      <c r="H1219" s="10" t="s">
        <v>216</v>
      </c>
      <c r="I1219" s="10" t="s">
        <v>1498</v>
      </c>
      <c r="J1219" s="12" t="s">
        <v>46</v>
      </c>
      <c r="K1219" s="10" t="s">
        <v>227</v>
      </c>
      <c r="L1219" s="12" t="s">
        <v>3594</v>
      </c>
      <c r="M1219" s="10" t="s">
        <v>49</v>
      </c>
      <c r="N1219" s="10" t="s">
        <v>508</v>
      </c>
      <c r="O1219" s="10" t="s">
        <v>320</v>
      </c>
      <c r="P1219" s="9" t="str">
        <f t="shared" si="28"/>
        <v>N/I</v>
      </c>
      <c r="Q1219" s="9" t="str">
        <f t="shared" si="29"/>
        <v>N/I</v>
      </c>
      <c r="R1219" s="9" t="str">
        <f t="shared" si="32"/>
        <v>N/I</v>
      </c>
    </row>
    <row r="1220">
      <c r="A1220" s="11" t="s">
        <v>3572</v>
      </c>
      <c r="B1220" s="11" t="s">
        <v>3803</v>
      </c>
      <c r="C1220" s="12" t="s">
        <v>1691</v>
      </c>
      <c r="D1220" s="34" t="s">
        <v>3804</v>
      </c>
      <c r="E1220" s="10" t="s">
        <v>390</v>
      </c>
      <c r="F1220" s="10" t="s">
        <v>3593</v>
      </c>
      <c r="G1220" s="12" t="s">
        <v>2461</v>
      </c>
      <c r="H1220" s="10" t="s">
        <v>216</v>
      </c>
      <c r="I1220" s="10" t="s">
        <v>1498</v>
      </c>
      <c r="J1220" s="12" t="s">
        <v>46</v>
      </c>
      <c r="K1220" s="10" t="s">
        <v>227</v>
      </c>
      <c r="L1220" s="12" t="s">
        <v>3594</v>
      </c>
      <c r="M1220" s="10" t="s">
        <v>49</v>
      </c>
      <c r="N1220" s="10" t="s">
        <v>508</v>
      </c>
      <c r="O1220" s="10" t="s">
        <v>320</v>
      </c>
      <c r="P1220" s="9" t="str">
        <f t="shared" si="28"/>
        <v>N/I</v>
      </c>
      <c r="Q1220" s="9" t="str">
        <f t="shared" si="29"/>
        <v>N/I</v>
      </c>
      <c r="R1220" s="9" t="str">
        <f t="shared" si="32"/>
        <v>N/I</v>
      </c>
    </row>
    <row r="1221">
      <c r="A1221" s="11" t="s">
        <v>3572</v>
      </c>
      <c r="B1221" s="11" t="s">
        <v>3807</v>
      </c>
      <c r="C1221" s="12" t="s">
        <v>1691</v>
      </c>
      <c r="D1221" s="16" t="s">
        <v>3808</v>
      </c>
      <c r="E1221" s="10" t="s">
        <v>390</v>
      </c>
      <c r="F1221" s="10" t="s">
        <v>3593</v>
      </c>
      <c r="G1221" s="12" t="s">
        <v>2461</v>
      </c>
      <c r="H1221" s="10" t="s">
        <v>216</v>
      </c>
      <c r="I1221" s="10" t="s">
        <v>1498</v>
      </c>
      <c r="J1221" s="12" t="s">
        <v>46</v>
      </c>
      <c r="K1221" s="10" t="s">
        <v>227</v>
      </c>
      <c r="L1221" s="12" t="s">
        <v>3594</v>
      </c>
      <c r="M1221" s="10" t="s">
        <v>49</v>
      </c>
      <c r="N1221" s="10" t="s">
        <v>508</v>
      </c>
      <c r="O1221" s="10" t="s">
        <v>320</v>
      </c>
      <c r="P1221" s="9" t="str">
        <f t="shared" si="28"/>
        <v>N/I</v>
      </c>
      <c r="Q1221" s="9" t="str">
        <f t="shared" si="29"/>
        <v>N/I</v>
      </c>
      <c r="R1221" s="9" t="str">
        <f t="shared" si="32"/>
        <v>N/I</v>
      </c>
    </row>
    <row r="1222">
      <c r="A1222" s="11" t="s">
        <v>3572</v>
      </c>
      <c r="B1222" s="11" t="s">
        <v>3811</v>
      </c>
      <c r="C1222" s="12" t="s">
        <v>3579</v>
      </c>
      <c r="D1222" s="13" t="s">
        <v>3812</v>
      </c>
      <c r="E1222" s="10" t="s">
        <v>390</v>
      </c>
      <c r="F1222" s="10" t="s">
        <v>3603</v>
      </c>
      <c r="G1222" s="12" t="s">
        <v>2461</v>
      </c>
      <c r="H1222" s="10" t="s">
        <v>216</v>
      </c>
      <c r="I1222" s="10" t="s">
        <v>1498</v>
      </c>
      <c r="J1222" s="12" t="s">
        <v>46</v>
      </c>
      <c r="K1222" s="10" t="s">
        <v>227</v>
      </c>
      <c r="L1222" s="16" t="s">
        <v>45</v>
      </c>
      <c r="M1222" s="10" t="s">
        <v>49</v>
      </c>
      <c r="N1222" s="10" t="s">
        <v>508</v>
      </c>
      <c r="O1222" s="10" t="s">
        <v>320</v>
      </c>
      <c r="P1222" s="9" t="str">
        <f t="shared" si="28"/>
        <v>N/I</v>
      </c>
      <c r="Q1222" s="9" t="str">
        <f t="shared" si="29"/>
        <v>N/I</v>
      </c>
      <c r="R1222" s="9" t="str">
        <f t="shared" si="32"/>
        <v>N/I</v>
      </c>
    </row>
    <row r="1223">
      <c r="A1223" s="11" t="s">
        <v>3572</v>
      </c>
      <c r="B1223" s="11" t="s">
        <v>3815</v>
      </c>
      <c r="C1223" s="12" t="s">
        <v>3579</v>
      </c>
      <c r="D1223" s="13" t="s">
        <v>3816</v>
      </c>
      <c r="E1223" s="10" t="s">
        <v>390</v>
      </c>
      <c r="F1223" s="10" t="s">
        <v>3603</v>
      </c>
      <c r="G1223" s="12" t="s">
        <v>2461</v>
      </c>
      <c r="H1223" s="10" t="s">
        <v>216</v>
      </c>
      <c r="I1223" s="10" t="s">
        <v>1498</v>
      </c>
      <c r="J1223" s="12" t="s">
        <v>46</v>
      </c>
      <c r="K1223" s="10" t="s">
        <v>227</v>
      </c>
      <c r="L1223" s="16" t="s">
        <v>45</v>
      </c>
      <c r="M1223" s="10" t="s">
        <v>49</v>
      </c>
      <c r="N1223" s="10" t="s">
        <v>508</v>
      </c>
      <c r="O1223" s="10" t="s">
        <v>320</v>
      </c>
      <c r="P1223" s="9" t="str">
        <f t="shared" si="28"/>
        <v>N/I</v>
      </c>
      <c r="Q1223" s="9" t="str">
        <f t="shared" si="29"/>
        <v>N/I</v>
      </c>
      <c r="R1223" s="9" t="str">
        <f t="shared" si="32"/>
        <v>N/I</v>
      </c>
    </row>
    <row r="1224">
      <c r="A1224" s="11" t="s">
        <v>3572</v>
      </c>
      <c r="B1224" s="11" t="s">
        <v>3801</v>
      </c>
      <c r="C1224" s="12" t="s">
        <v>3579</v>
      </c>
      <c r="D1224" s="27" t="s">
        <v>3818</v>
      </c>
      <c r="E1224" s="10" t="s">
        <v>390</v>
      </c>
      <c r="F1224" s="10" t="s">
        <v>3603</v>
      </c>
      <c r="G1224" s="12" t="s">
        <v>2461</v>
      </c>
      <c r="H1224" s="10" t="s">
        <v>216</v>
      </c>
      <c r="I1224" s="10" t="s">
        <v>1498</v>
      </c>
      <c r="J1224" s="12" t="s">
        <v>46</v>
      </c>
      <c r="K1224" s="10" t="s">
        <v>227</v>
      </c>
      <c r="L1224" s="16" t="s">
        <v>45</v>
      </c>
      <c r="M1224" s="10" t="s">
        <v>49</v>
      </c>
      <c r="N1224" s="10" t="s">
        <v>508</v>
      </c>
      <c r="O1224" s="10" t="s">
        <v>320</v>
      </c>
      <c r="P1224" s="9" t="str">
        <f t="shared" si="28"/>
        <v>N/I</v>
      </c>
      <c r="Q1224" s="9" t="str">
        <f t="shared" si="29"/>
        <v>N/I</v>
      </c>
      <c r="R1224" s="9" t="str">
        <f t="shared" si="32"/>
        <v>N/I</v>
      </c>
    </row>
    <row r="1225">
      <c r="A1225" s="11" t="s">
        <v>3572</v>
      </c>
      <c r="B1225" s="11" t="s">
        <v>3819</v>
      </c>
      <c r="C1225" s="12" t="s">
        <v>3579</v>
      </c>
      <c r="D1225" s="27" t="s">
        <v>3820</v>
      </c>
      <c r="E1225" s="10" t="s">
        <v>390</v>
      </c>
      <c r="F1225" s="10" t="s">
        <v>3603</v>
      </c>
      <c r="G1225" s="12" t="s">
        <v>3821</v>
      </c>
      <c r="H1225" s="10" t="s">
        <v>216</v>
      </c>
      <c r="I1225" s="10" t="s">
        <v>1498</v>
      </c>
      <c r="J1225" s="12" t="s">
        <v>46</v>
      </c>
      <c r="K1225" s="10" t="s">
        <v>227</v>
      </c>
      <c r="L1225" s="16" t="s">
        <v>45</v>
      </c>
      <c r="M1225" s="10" t="s">
        <v>49</v>
      </c>
      <c r="N1225" s="10" t="s">
        <v>508</v>
      </c>
      <c r="O1225" s="10" t="s">
        <v>320</v>
      </c>
      <c r="P1225" s="9" t="str">
        <f t="shared" si="28"/>
        <v>N/I</v>
      </c>
      <c r="Q1225" s="9" t="str">
        <f t="shared" si="29"/>
        <v>N/I</v>
      </c>
      <c r="R1225" s="9" t="str">
        <f t="shared" si="32"/>
        <v>N/I</v>
      </c>
    </row>
    <row r="1226">
      <c r="A1226" s="11" t="s">
        <v>3572</v>
      </c>
      <c r="B1226" s="11" t="s">
        <v>3824</v>
      </c>
      <c r="C1226" s="12" t="s">
        <v>3579</v>
      </c>
      <c r="D1226" s="13" t="s">
        <v>3825</v>
      </c>
      <c r="E1226" s="10" t="s">
        <v>390</v>
      </c>
      <c r="F1226" s="10" t="s">
        <v>3603</v>
      </c>
      <c r="G1226" s="12" t="s">
        <v>3826</v>
      </c>
      <c r="H1226" s="10" t="s">
        <v>216</v>
      </c>
      <c r="I1226" s="10" t="s">
        <v>1498</v>
      </c>
      <c r="J1226" s="12" t="s">
        <v>46</v>
      </c>
      <c r="K1226" s="10" t="s">
        <v>227</v>
      </c>
      <c r="L1226" s="16" t="s">
        <v>45</v>
      </c>
      <c r="M1226" s="10" t="s">
        <v>49</v>
      </c>
      <c r="N1226" s="10" t="s">
        <v>508</v>
      </c>
      <c r="O1226" s="10" t="s">
        <v>320</v>
      </c>
      <c r="P1226" s="9" t="str">
        <f t="shared" si="28"/>
        <v>N/I</v>
      </c>
      <c r="Q1226" s="9" t="str">
        <f t="shared" si="29"/>
        <v>N/I</v>
      </c>
      <c r="R1226" s="9" t="str">
        <f t="shared" si="32"/>
        <v>N/I</v>
      </c>
    </row>
    <row r="1227">
      <c r="A1227" s="11" t="s">
        <v>3572</v>
      </c>
      <c r="B1227" s="32" t="s">
        <v>3829</v>
      </c>
      <c r="C1227" s="12" t="s">
        <v>3579</v>
      </c>
      <c r="D1227" s="25" t="s">
        <v>187</v>
      </c>
      <c r="E1227" s="10" t="s">
        <v>291</v>
      </c>
      <c r="F1227" s="10" t="s">
        <v>3583</v>
      </c>
      <c r="G1227" s="12" t="s">
        <v>3830</v>
      </c>
      <c r="H1227" s="10" t="s">
        <v>216</v>
      </c>
      <c r="I1227" s="10" t="s">
        <v>290</v>
      </c>
      <c r="J1227" s="10" t="s">
        <v>318</v>
      </c>
      <c r="K1227" s="10" t="s">
        <v>319</v>
      </c>
      <c r="L1227" s="16" t="s">
        <v>45</v>
      </c>
      <c r="M1227" s="10" t="s">
        <v>49</v>
      </c>
      <c r="N1227" s="10" t="s">
        <v>508</v>
      </c>
      <c r="O1227" s="10" t="s">
        <v>50</v>
      </c>
      <c r="P1227" s="9" t="str">
        <f t="shared" si="28"/>
        <v>N/I</v>
      </c>
      <c r="Q1227" s="9" t="str">
        <f t="shared" si="29"/>
        <v>N/I</v>
      </c>
      <c r="R1227" s="9" t="str">
        <f t="shared" si="32"/>
        <v>N/I</v>
      </c>
    </row>
    <row r="1228">
      <c r="A1228" s="11" t="s">
        <v>3572</v>
      </c>
      <c r="B1228" s="32" t="s">
        <v>3833</v>
      </c>
      <c r="C1228" s="12" t="s">
        <v>1691</v>
      </c>
      <c r="D1228" s="25" t="s">
        <v>187</v>
      </c>
      <c r="E1228" s="10" t="s">
        <v>292</v>
      </c>
      <c r="F1228" s="10" t="s">
        <v>3577</v>
      </c>
      <c r="G1228" s="12" t="s">
        <v>3834</v>
      </c>
      <c r="H1228" s="10" t="s">
        <v>216</v>
      </c>
      <c r="I1228" s="10" t="s">
        <v>290</v>
      </c>
      <c r="J1228" s="12" t="s">
        <v>46</v>
      </c>
      <c r="K1228" s="10" t="s">
        <v>291</v>
      </c>
      <c r="L1228" s="16" t="s">
        <v>45</v>
      </c>
      <c r="M1228" s="10" t="s">
        <v>49</v>
      </c>
      <c r="N1228" s="16" t="s">
        <v>45</v>
      </c>
      <c r="O1228" s="10" t="s">
        <v>50</v>
      </c>
      <c r="P1228" s="9" t="str">
        <f t="shared" si="28"/>
        <v>N/I</v>
      </c>
      <c r="Q1228" s="9" t="str">
        <f t="shared" si="29"/>
        <v>N/I</v>
      </c>
      <c r="R1228" s="9" t="str">
        <f t="shared" si="32"/>
        <v>N/I</v>
      </c>
    </row>
    <row r="1229">
      <c r="A1229" s="11" t="s">
        <v>3572</v>
      </c>
      <c r="B1229" s="11" t="s">
        <v>3837</v>
      </c>
      <c r="C1229" s="12" t="s">
        <v>3579</v>
      </c>
      <c r="D1229" s="13" t="s">
        <v>3838</v>
      </c>
      <c r="E1229" s="10" t="s">
        <v>390</v>
      </c>
      <c r="F1229" s="10" t="s">
        <v>3603</v>
      </c>
      <c r="G1229" s="12" t="s">
        <v>3839</v>
      </c>
      <c r="H1229" s="10" t="s">
        <v>216</v>
      </c>
      <c r="I1229" s="10" t="s">
        <v>1498</v>
      </c>
      <c r="J1229" s="12" t="s">
        <v>46</v>
      </c>
      <c r="K1229" s="10" t="s">
        <v>227</v>
      </c>
      <c r="L1229" s="16" t="s">
        <v>45</v>
      </c>
      <c r="M1229" s="10" t="s">
        <v>49</v>
      </c>
      <c r="N1229" s="10" t="s">
        <v>508</v>
      </c>
      <c r="O1229" s="10" t="s">
        <v>320</v>
      </c>
      <c r="P1229" s="9" t="str">
        <f t="shared" si="28"/>
        <v>N/I</v>
      </c>
      <c r="Q1229" s="9" t="str">
        <f t="shared" si="29"/>
        <v>N/I</v>
      </c>
      <c r="R1229" s="9" t="str">
        <f t="shared" si="32"/>
        <v>N/I</v>
      </c>
    </row>
    <row r="1230">
      <c r="A1230" s="11" t="s">
        <v>3572</v>
      </c>
      <c r="B1230" s="32" t="s">
        <v>3837</v>
      </c>
      <c r="C1230" s="12" t="s">
        <v>1691</v>
      </c>
      <c r="D1230" s="25" t="s">
        <v>187</v>
      </c>
      <c r="E1230" s="10" t="s">
        <v>292</v>
      </c>
      <c r="F1230" s="10" t="s">
        <v>3577</v>
      </c>
      <c r="G1230" s="12" t="s">
        <v>3839</v>
      </c>
      <c r="H1230" s="10" t="s">
        <v>216</v>
      </c>
      <c r="I1230" s="10" t="s">
        <v>290</v>
      </c>
      <c r="J1230" s="12" t="s">
        <v>46</v>
      </c>
      <c r="K1230" s="10" t="s">
        <v>291</v>
      </c>
      <c r="L1230" s="16" t="s">
        <v>45</v>
      </c>
      <c r="M1230" s="10" t="s">
        <v>49</v>
      </c>
      <c r="N1230" s="16" t="s">
        <v>45</v>
      </c>
      <c r="O1230" s="10" t="s">
        <v>50</v>
      </c>
      <c r="P1230" s="9" t="str">
        <f t="shared" si="28"/>
        <v>N/I</v>
      </c>
      <c r="Q1230" s="9" t="str">
        <f t="shared" si="29"/>
        <v>N/I</v>
      </c>
      <c r="R1230" s="9" t="str">
        <f t="shared" si="32"/>
        <v>N/I</v>
      </c>
    </row>
    <row r="1231">
      <c r="A1231" s="11" t="s">
        <v>3572</v>
      </c>
      <c r="B1231" s="32" t="s">
        <v>3844</v>
      </c>
      <c r="C1231" s="12" t="s">
        <v>3579</v>
      </c>
      <c r="D1231" s="25" t="s">
        <v>187</v>
      </c>
      <c r="E1231" s="10" t="s">
        <v>390</v>
      </c>
      <c r="F1231" s="10" t="s">
        <v>3583</v>
      </c>
      <c r="G1231" s="12" t="s">
        <v>3845</v>
      </c>
      <c r="H1231" s="10" t="s">
        <v>216</v>
      </c>
      <c r="I1231" s="10" t="s">
        <v>1498</v>
      </c>
      <c r="J1231" s="12" t="s">
        <v>46</v>
      </c>
      <c r="K1231" s="10" t="s">
        <v>227</v>
      </c>
      <c r="L1231" s="16" t="s">
        <v>45</v>
      </c>
      <c r="M1231" s="10" t="s">
        <v>49</v>
      </c>
      <c r="N1231" s="10" t="s">
        <v>508</v>
      </c>
      <c r="O1231" s="16"/>
      <c r="P1231" s="9" t="str">
        <f t="shared" si="28"/>
        <v>N/I</v>
      </c>
      <c r="Q1231" s="9" t="str">
        <f t="shared" si="29"/>
        <v>N/I</v>
      </c>
      <c r="R1231" s="9" t="str">
        <f t="shared" si="32"/>
        <v>N/I</v>
      </c>
    </row>
    <row r="1232">
      <c r="A1232" s="11" t="s">
        <v>3572</v>
      </c>
      <c r="B1232" s="11" t="s">
        <v>3848</v>
      </c>
      <c r="C1232" s="12" t="s">
        <v>1691</v>
      </c>
      <c r="D1232" s="34" t="s">
        <v>3849</v>
      </c>
      <c r="E1232" s="10" t="s">
        <v>390</v>
      </c>
      <c r="F1232" s="10" t="s">
        <v>3593</v>
      </c>
      <c r="G1232" s="12" t="s">
        <v>512</v>
      </c>
      <c r="H1232" s="10" t="s">
        <v>216</v>
      </c>
      <c r="I1232" s="10" t="s">
        <v>1498</v>
      </c>
      <c r="J1232" s="12" t="s">
        <v>46</v>
      </c>
      <c r="K1232" s="10" t="s">
        <v>227</v>
      </c>
      <c r="L1232" s="12" t="s">
        <v>3594</v>
      </c>
      <c r="M1232" s="10" t="s">
        <v>49</v>
      </c>
      <c r="N1232" s="10" t="s">
        <v>508</v>
      </c>
      <c r="O1232" s="10" t="s">
        <v>320</v>
      </c>
      <c r="P1232" s="9" t="str">
        <f t="shared" si="28"/>
        <v>N/I</v>
      </c>
      <c r="Q1232" s="9" t="str">
        <f t="shared" si="29"/>
        <v>N/I</v>
      </c>
      <c r="R1232" s="9" t="str">
        <f t="shared" si="32"/>
        <v>N/I</v>
      </c>
    </row>
    <row r="1233">
      <c r="A1233" s="11" t="s">
        <v>3572</v>
      </c>
      <c r="B1233" s="11" t="s">
        <v>3852</v>
      </c>
      <c r="C1233" s="12" t="s">
        <v>3579</v>
      </c>
      <c r="D1233" s="27" t="s">
        <v>3853</v>
      </c>
      <c r="E1233" s="10" t="s">
        <v>390</v>
      </c>
      <c r="F1233" s="10" t="s">
        <v>3603</v>
      </c>
      <c r="G1233" s="12" t="s">
        <v>512</v>
      </c>
      <c r="H1233" s="10" t="s">
        <v>216</v>
      </c>
      <c r="I1233" s="10" t="s">
        <v>1498</v>
      </c>
      <c r="J1233" s="12" t="s">
        <v>46</v>
      </c>
      <c r="K1233" s="10" t="s">
        <v>227</v>
      </c>
      <c r="L1233" s="16" t="s">
        <v>45</v>
      </c>
      <c r="M1233" s="10" t="s">
        <v>49</v>
      </c>
      <c r="N1233" s="10" t="s">
        <v>508</v>
      </c>
      <c r="O1233" s="10" t="s">
        <v>320</v>
      </c>
      <c r="P1233" s="9" t="str">
        <f t="shared" si="28"/>
        <v>N/I</v>
      </c>
      <c r="Q1233" s="9" t="str">
        <f t="shared" si="29"/>
        <v>N/I</v>
      </c>
      <c r="R1233" s="9" t="str">
        <f t="shared" si="32"/>
        <v>N/I</v>
      </c>
    </row>
    <row r="1234">
      <c r="A1234" s="11" t="s">
        <v>3572</v>
      </c>
      <c r="B1234" s="32" t="s">
        <v>3856</v>
      </c>
      <c r="C1234" s="12" t="s">
        <v>3579</v>
      </c>
      <c r="D1234" s="25" t="s">
        <v>187</v>
      </c>
      <c r="E1234" s="10" t="s">
        <v>291</v>
      </c>
      <c r="F1234" s="10" t="s">
        <v>3583</v>
      </c>
      <c r="G1234" s="12" t="s">
        <v>512</v>
      </c>
      <c r="H1234" s="10" t="s">
        <v>216</v>
      </c>
      <c r="I1234" s="10" t="s">
        <v>290</v>
      </c>
      <c r="J1234" s="10" t="s">
        <v>318</v>
      </c>
      <c r="K1234" s="10" t="s">
        <v>319</v>
      </c>
      <c r="L1234" s="16" t="s">
        <v>45</v>
      </c>
      <c r="M1234" s="10" t="s">
        <v>49</v>
      </c>
      <c r="N1234" s="10" t="s">
        <v>508</v>
      </c>
      <c r="O1234" s="10" t="s">
        <v>50</v>
      </c>
      <c r="P1234" s="9" t="str">
        <f t="shared" si="28"/>
        <v>N/I</v>
      </c>
      <c r="Q1234" s="9" t="str">
        <f t="shared" si="29"/>
        <v>N/I</v>
      </c>
      <c r="R1234" s="9" t="str">
        <f t="shared" si="32"/>
        <v>N/I</v>
      </c>
    </row>
    <row r="1235">
      <c r="A1235" s="11" t="s">
        <v>3572</v>
      </c>
      <c r="B1235" s="11" t="s">
        <v>3857</v>
      </c>
      <c r="C1235" s="12" t="s">
        <v>1691</v>
      </c>
      <c r="D1235" s="34" t="s">
        <v>3858</v>
      </c>
      <c r="E1235" s="10" t="s">
        <v>390</v>
      </c>
      <c r="F1235" s="10" t="s">
        <v>3861</v>
      </c>
      <c r="G1235" s="12" t="s">
        <v>668</v>
      </c>
      <c r="H1235" s="10" t="s">
        <v>216</v>
      </c>
      <c r="I1235" s="10" t="s">
        <v>1498</v>
      </c>
      <c r="J1235" s="12" t="s">
        <v>46</v>
      </c>
      <c r="K1235" s="10" t="s">
        <v>227</v>
      </c>
      <c r="L1235" s="12" t="s">
        <v>3594</v>
      </c>
      <c r="M1235" s="10" t="s">
        <v>49</v>
      </c>
      <c r="N1235" s="10" t="s">
        <v>508</v>
      </c>
      <c r="O1235" s="10" t="s">
        <v>320</v>
      </c>
      <c r="P1235" s="9" t="str">
        <f t="shared" si="28"/>
        <v>N/I</v>
      </c>
      <c r="Q1235" s="9" t="str">
        <f t="shared" si="29"/>
        <v>N/I</v>
      </c>
      <c r="R1235" s="9" t="str">
        <f t="shared" si="32"/>
        <v>N/I</v>
      </c>
    </row>
    <row r="1236">
      <c r="A1236" s="11" t="s">
        <v>3572</v>
      </c>
      <c r="B1236" s="11" t="s">
        <v>3862</v>
      </c>
      <c r="C1236" s="12" t="s">
        <v>3579</v>
      </c>
      <c r="D1236" s="13" t="s">
        <v>3863</v>
      </c>
      <c r="E1236" s="10" t="s">
        <v>390</v>
      </c>
      <c r="F1236" s="10" t="s">
        <v>3603</v>
      </c>
      <c r="G1236" s="12" t="s">
        <v>668</v>
      </c>
      <c r="H1236" s="10" t="s">
        <v>216</v>
      </c>
      <c r="I1236" s="10" t="s">
        <v>1498</v>
      </c>
      <c r="J1236" s="12" t="s">
        <v>46</v>
      </c>
      <c r="K1236" s="10" t="s">
        <v>227</v>
      </c>
      <c r="L1236" s="16" t="s">
        <v>45</v>
      </c>
      <c r="M1236" s="10" t="s">
        <v>49</v>
      </c>
      <c r="N1236" s="10" t="s">
        <v>508</v>
      </c>
      <c r="O1236" s="10" t="s">
        <v>320</v>
      </c>
      <c r="P1236" s="9" t="str">
        <f t="shared" si="28"/>
        <v>N/I</v>
      </c>
      <c r="Q1236" s="9" t="str">
        <f t="shared" si="29"/>
        <v>N/I</v>
      </c>
      <c r="R1236" s="9" t="str">
        <f t="shared" si="32"/>
        <v>N/I</v>
      </c>
    </row>
    <row r="1237">
      <c r="A1237" s="11" t="s">
        <v>3572</v>
      </c>
      <c r="B1237" s="11" t="s">
        <v>3865</v>
      </c>
      <c r="C1237" s="12" t="s">
        <v>3579</v>
      </c>
      <c r="D1237" s="13" t="s">
        <v>3866</v>
      </c>
      <c r="E1237" s="10" t="s">
        <v>390</v>
      </c>
      <c r="F1237" s="10" t="s">
        <v>3603</v>
      </c>
      <c r="G1237" s="12" t="s">
        <v>668</v>
      </c>
      <c r="H1237" s="10" t="s">
        <v>216</v>
      </c>
      <c r="I1237" s="10" t="s">
        <v>1498</v>
      </c>
      <c r="J1237" s="12" t="s">
        <v>46</v>
      </c>
      <c r="K1237" s="10" t="s">
        <v>227</v>
      </c>
      <c r="L1237" s="16" t="s">
        <v>45</v>
      </c>
      <c r="M1237" s="10" t="s">
        <v>49</v>
      </c>
      <c r="N1237" s="10" t="s">
        <v>508</v>
      </c>
      <c r="O1237" s="10" t="s">
        <v>320</v>
      </c>
      <c r="P1237" s="9" t="str">
        <f t="shared" si="28"/>
        <v>N/I</v>
      </c>
      <c r="Q1237" s="9" t="str">
        <f t="shared" si="29"/>
        <v>N/I</v>
      </c>
      <c r="R1237" s="9" t="str">
        <f t="shared" si="32"/>
        <v>N/I</v>
      </c>
    </row>
    <row r="1238">
      <c r="A1238" s="11" t="s">
        <v>3572</v>
      </c>
      <c r="B1238" s="32" t="s">
        <v>3862</v>
      </c>
      <c r="C1238" s="12" t="s">
        <v>1691</v>
      </c>
      <c r="D1238" s="27" t="s">
        <v>3867</v>
      </c>
      <c r="E1238" s="10" t="s">
        <v>292</v>
      </c>
      <c r="F1238" s="10" t="s">
        <v>3577</v>
      </c>
      <c r="G1238" s="12" t="s">
        <v>668</v>
      </c>
      <c r="H1238" s="10" t="s">
        <v>216</v>
      </c>
      <c r="I1238" s="10" t="s">
        <v>290</v>
      </c>
      <c r="J1238" s="12" t="s">
        <v>46</v>
      </c>
      <c r="K1238" s="10" t="s">
        <v>291</v>
      </c>
      <c r="L1238" s="16" t="s">
        <v>45</v>
      </c>
      <c r="M1238" s="10" t="s">
        <v>49</v>
      </c>
      <c r="N1238" s="16" t="s">
        <v>45</v>
      </c>
      <c r="O1238" s="10" t="s">
        <v>320</v>
      </c>
      <c r="P1238" s="9" t="str">
        <f t="shared" si="28"/>
        <v>N/I</v>
      </c>
      <c r="Q1238" s="9" t="str">
        <f t="shared" si="29"/>
        <v>N/I</v>
      </c>
      <c r="R1238" s="9" t="str">
        <f t="shared" si="32"/>
        <v>N/I</v>
      </c>
    </row>
    <row r="1239">
      <c r="A1239" s="11" t="s">
        <v>3572</v>
      </c>
      <c r="B1239" s="11" t="s">
        <v>3870</v>
      </c>
      <c r="C1239" s="12" t="s">
        <v>3579</v>
      </c>
      <c r="D1239" s="27" t="s">
        <v>3871</v>
      </c>
      <c r="E1239" s="10" t="s">
        <v>390</v>
      </c>
      <c r="F1239" s="10" t="s">
        <v>3603</v>
      </c>
      <c r="G1239" s="12" t="s">
        <v>3872</v>
      </c>
      <c r="H1239" s="10" t="s">
        <v>216</v>
      </c>
      <c r="I1239" s="10" t="s">
        <v>1498</v>
      </c>
      <c r="J1239" s="12" t="s">
        <v>46</v>
      </c>
      <c r="K1239" s="10" t="s">
        <v>227</v>
      </c>
      <c r="L1239" s="16" t="s">
        <v>45</v>
      </c>
      <c r="M1239" s="10" t="s">
        <v>49</v>
      </c>
      <c r="N1239" s="10" t="s">
        <v>508</v>
      </c>
      <c r="O1239" s="10" t="s">
        <v>320</v>
      </c>
      <c r="P1239" s="9" t="str">
        <f t="shared" si="28"/>
        <v>N/I</v>
      </c>
      <c r="Q1239" s="9" t="str">
        <f t="shared" si="29"/>
        <v>N/I</v>
      </c>
      <c r="R1239" s="9" t="str">
        <f t="shared" si="32"/>
        <v>N/I</v>
      </c>
    </row>
    <row r="1240">
      <c r="A1240" s="11" t="s">
        <v>3572</v>
      </c>
      <c r="B1240" s="11" t="s">
        <v>3875</v>
      </c>
      <c r="C1240" s="12" t="s">
        <v>1691</v>
      </c>
      <c r="D1240" s="34" t="s">
        <v>3876</v>
      </c>
      <c r="E1240" s="10" t="s">
        <v>390</v>
      </c>
      <c r="F1240" s="10" t="s">
        <v>3593</v>
      </c>
      <c r="G1240" s="12" t="s">
        <v>3877</v>
      </c>
      <c r="H1240" s="10" t="s">
        <v>216</v>
      </c>
      <c r="I1240" s="10" t="s">
        <v>1498</v>
      </c>
      <c r="J1240" s="12" t="s">
        <v>46</v>
      </c>
      <c r="K1240" s="10" t="s">
        <v>227</v>
      </c>
      <c r="L1240" s="12" t="s">
        <v>3594</v>
      </c>
      <c r="M1240" s="10" t="s">
        <v>49</v>
      </c>
      <c r="N1240" s="10" t="s">
        <v>508</v>
      </c>
      <c r="O1240" s="10" t="s">
        <v>320</v>
      </c>
      <c r="P1240" s="9" t="str">
        <f t="shared" si="28"/>
        <v>N/I</v>
      </c>
      <c r="Q1240" s="9" t="str">
        <f t="shared" si="29"/>
        <v>N/I</v>
      </c>
      <c r="R1240" s="9" t="str">
        <f t="shared" si="32"/>
        <v>N/I</v>
      </c>
    </row>
    <row r="1241">
      <c r="A1241" s="11" t="s">
        <v>3572</v>
      </c>
      <c r="B1241" s="11" t="s">
        <v>3879</v>
      </c>
      <c r="C1241" s="12" t="s">
        <v>3579</v>
      </c>
      <c r="D1241" s="27" t="s">
        <v>3880</v>
      </c>
      <c r="E1241" s="10" t="s">
        <v>390</v>
      </c>
      <c r="F1241" s="10" t="s">
        <v>3603</v>
      </c>
      <c r="G1241" s="12" t="s">
        <v>3881</v>
      </c>
      <c r="H1241" s="10" t="s">
        <v>216</v>
      </c>
      <c r="I1241" s="10" t="s">
        <v>1498</v>
      </c>
      <c r="J1241" s="12" t="s">
        <v>46</v>
      </c>
      <c r="K1241" s="10" t="s">
        <v>227</v>
      </c>
      <c r="L1241" s="16" t="s">
        <v>45</v>
      </c>
      <c r="M1241" s="10" t="s">
        <v>49</v>
      </c>
      <c r="N1241" s="10" t="s">
        <v>508</v>
      </c>
      <c r="O1241" s="10" t="s">
        <v>320</v>
      </c>
      <c r="P1241" s="9" t="str">
        <f t="shared" si="28"/>
        <v>N/I</v>
      </c>
      <c r="Q1241" s="9" t="str">
        <f t="shared" si="29"/>
        <v>N/I</v>
      </c>
      <c r="R1241" s="9" t="str">
        <f t="shared" si="32"/>
        <v>N/I</v>
      </c>
    </row>
    <row r="1242">
      <c r="A1242" s="11" t="s">
        <v>3572</v>
      </c>
      <c r="B1242" s="11" t="s">
        <v>3884</v>
      </c>
      <c r="C1242" s="12" t="s">
        <v>1691</v>
      </c>
      <c r="D1242" s="34" t="s">
        <v>3885</v>
      </c>
      <c r="E1242" s="10" t="s">
        <v>390</v>
      </c>
      <c r="F1242" s="10" t="s">
        <v>3593</v>
      </c>
      <c r="G1242" s="12" t="s">
        <v>3886</v>
      </c>
      <c r="H1242" s="10" t="s">
        <v>216</v>
      </c>
      <c r="I1242" s="10" t="s">
        <v>1498</v>
      </c>
      <c r="J1242" s="12" t="s">
        <v>46</v>
      </c>
      <c r="K1242" s="10" t="s">
        <v>227</v>
      </c>
      <c r="L1242" s="12" t="s">
        <v>3594</v>
      </c>
      <c r="M1242" s="10" t="s">
        <v>49</v>
      </c>
      <c r="N1242" s="10" t="s">
        <v>508</v>
      </c>
      <c r="O1242" s="10" t="s">
        <v>320</v>
      </c>
      <c r="P1242" s="9" t="str">
        <f t="shared" si="28"/>
        <v>N/I</v>
      </c>
      <c r="Q1242" s="9" t="str">
        <f t="shared" si="29"/>
        <v>N/I</v>
      </c>
      <c r="R1242" s="9" t="str">
        <f t="shared" si="32"/>
        <v>N/I</v>
      </c>
    </row>
    <row r="1243">
      <c r="A1243" s="11" t="s">
        <v>3572</v>
      </c>
      <c r="B1243" s="11" t="s">
        <v>3884</v>
      </c>
      <c r="C1243" s="12" t="s">
        <v>3579</v>
      </c>
      <c r="D1243" s="27" t="s">
        <v>3889</v>
      </c>
      <c r="E1243" s="10" t="s">
        <v>390</v>
      </c>
      <c r="F1243" s="10" t="s">
        <v>3603</v>
      </c>
      <c r="G1243" s="12" t="s">
        <v>3886</v>
      </c>
      <c r="H1243" s="10" t="s">
        <v>216</v>
      </c>
      <c r="I1243" s="10" t="s">
        <v>1498</v>
      </c>
      <c r="J1243" s="12" t="s">
        <v>46</v>
      </c>
      <c r="K1243" s="10" t="s">
        <v>227</v>
      </c>
      <c r="L1243" s="16" t="s">
        <v>45</v>
      </c>
      <c r="M1243" s="10" t="s">
        <v>49</v>
      </c>
      <c r="N1243" s="10" t="s">
        <v>508</v>
      </c>
      <c r="O1243" s="10" t="s">
        <v>320</v>
      </c>
      <c r="P1243" s="9" t="str">
        <f t="shared" si="28"/>
        <v>N/I</v>
      </c>
      <c r="Q1243" s="9" t="str">
        <f t="shared" si="29"/>
        <v>N/I</v>
      </c>
      <c r="R1243" s="9" t="str">
        <f t="shared" si="32"/>
        <v>N/I</v>
      </c>
    </row>
    <row r="1244">
      <c r="A1244" s="11" t="s">
        <v>3572</v>
      </c>
      <c r="B1244" s="32" t="s">
        <v>3884</v>
      </c>
      <c r="C1244" s="12" t="s">
        <v>3579</v>
      </c>
      <c r="D1244" s="25" t="s">
        <v>187</v>
      </c>
      <c r="E1244" s="10" t="s">
        <v>390</v>
      </c>
      <c r="F1244" s="10" t="s">
        <v>3583</v>
      </c>
      <c r="G1244" s="12" t="s">
        <v>3886</v>
      </c>
      <c r="H1244" s="10" t="s">
        <v>216</v>
      </c>
      <c r="I1244" s="10" t="s">
        <v>1498</v>
      </c>
      <c r="J1244" s="12" t="s">
        <v>46</v>
      </c>
      <c r="K1244" s="10" t="s">
        <v>227</v>
      </c>
      <c r="L1244" s="16" t="s">
        <v>45</v>
      </c>
      <c r="M1244" s="10" t="s">
        <v>49</v>
      </c>
      <c r="N1244" s="10" t="s">
        <v>508</v>
      </c>
      <c r="O1244" s="16"/>
      <c r="P1244" s="9" t="str">
        <f t="shared" si="28"/>
        <v>N/I</v>
      </c>
      <c r="Q1244" s="9" t="str">
        <f t="shared" si="29"/>
        <v>N/I</v>
      </c>
      <c r="R1244" s="9" t="str">
        <f t="shared" si="32"/>
        <v>N/I</v>
      </c>
    </row>
    <row r="1245">
      <c r="A1245" s="11" t="s">
        <v>3572</v>
      </c>
      <c r="B1245" s="11" t="s">
        <v>3892</v>
      </c>
      <c r="C1245" s="12" t="s">
        <v>3579</v>
      </c>
      <c r="D1245" s="16" t="s">
        <v>3893</v>
      </c>
      <c r="E1245" s="10" t="s">
        <v>390</v>
      </c>
      <c r="F1245" s="10" t="s">
        <v>3603</v>
      </c>
      <c r="G1245" s="12" t="s">
        <v>3894</v>
      </c>
      <c r="H1245" s="10" t="s">
        <v>216</v>
      </c>
      <c r="I1245" s="10" t="s">
        <v>1498</v>
      </c>
      <c r="J1245" s="12" t="s">
        <v>46</v>
      </c>
      <c r="K1245" s="10" t="s">
        <v>227</v>
      </c>
      <c r="L1245" s="16" t="s">
        <v>45</v>
      </c>
      <c r="M1245" s="10" t="s">
        <v>49</v>
      </c>
      <c r="N1245" s="10" t="s">
        <v>508</v>
      </c>
      <c r="O1245" s="10" t="s">
        <v>320</v>
      </c>
      <c r="P1245" s="9" t="str">
        <f t="shared" si="28"/>
        <v>N/I</v>
      </c>
      <c r="Q1245" s="9" t="str">
        <f t="shared" si="29"/>
        <v>N/I</v>
      </c>
      <c r="R1245" s="9" t="str">
        <f t="shared" si="32"/>
        <v>N/I</v>
      </c>
    </row>
    <row r="1246">
      <c r="A1246" s="11" t="s">
        <v>3572</v>
      </c>
      <c r="B1246" s="11" t="s">
        <v>3892</v>
      </c>
      <c r="C1246" s="12" t="s">
        <v>1691</v>
      </c>
      <c r="D1246" s="34" t="s">
        <v>3897</v>
      </c>
      <c r="E1246" s="10" t="s">
        <v>390</v>
      </c>
      <c r="F1246" s="10" t="s">
        <v>3593</v>
      </c>
      <c r="G1246" s="12" t="s">
        <v>3898</v>
      </c>
      <c r="H1246" s="10" t="s">
        <v>216</v>
      </c>
      <c r="I1246" s="10" t="s">
        <v>1498</v>
      </c>
      <c r="J1246" s="12" t="s">
        <v>46</v>
      </c>
      <c r="K1246" s="10" t="s">
        <v>227</v>
      </c>
      <c r="L1246" s="12" t="s">
        <v>3594</v>
      </c>
      <c r="M1246" s="10" t="s">
        <v>49</v>
      </c>
      <c r="N1246" s="10" t="s">
        <v>508</v>
      </c>
      <c r="O1246" s="10" t="s">
        <v>320</v>
      </c>
      <c r="P1246" s="9" t="str">
        <f t="shared" si="28"/>
        <v>N/I</v>
      </c>
      <c r="Q1246" s="9" t="str">
        <f t="shared" si="29"/>
        <v>N/I</v>
      </c>
      <c r="R1246" s="9" t="str">
        <f t="shared" si="32"/>
        <v>N/I</v>
      </c>
    </row>
    <row r="1247">
      <c r="A1247" s="11" t="s">
        <v>3572</v>
      </c>
      <c r="B1247" s="32" t="s">
        <v>3900</v>
      </c>
      <c r="C1247" s="12" t="s">
        <v>3579</v>
      </c>
      <c r="D1247" s="25" t="s">
        <v>187</v>
      </c>
      <c r="E1247" s="10" t="s">
        <v>291</v>
      </c>
      <c r="F1247" s="10" t="s">
        <v>3583</v>
      </c>
      <c r="G1247" s="12" t="s">
        <v>3901</v>
      </c>
      <c r="H1247" s="10" t="s">
        <v>216</v>
      </c>
      <c r="I1247" s="10" t="s">
        <v>290</v>
      </c>
      <c r="J1247" s="10" t="s">
        <v>318</v>
      </c>
      <c r="K1247" s="10" t="s">
        <v>319</v>
      </c>
      <c r="L1247" s="16" t="s">
        <v>45</v>
      </c>
      <c r="M1247" s="10" t="s">
        <v>49</v>
      </c>
      <c r="N1247" s="10" t="s">
        <v>508</v>
      </c>
      <c r="O1247" s="10" t="s">
        <v>50</v>
      </c>
      <c r="P1247" s="9" t="str">
        <f t="shared" si="28"/>
        <v>N/I</v>
      </c>
      <c r="Q1247" s="9" t="str">
        <f t="shared" si="29"/>
        <v>N/I</v>
      </c>
      <c r="R1247" s="9" t="str">
        <f t="shared" si="32"/>
        <v>N/I</v>
      </c>
    </row>
    <row r="1248">
      <c r="A1248" s="11" t="s">
        <v>3572</v>
      </c>
      <c r="B1248" s="32" t="s">
        <v>3900</v>
      </c>
      <c r="C1248" s="12" t="s">
        <v>1691</v>
      </c>
      <c r="D1248" s="25" t="s">
        <v>187</v>
      </c>
      <c r="E1248" s="10" t="s">
        <v>292</v>
      </c>
      <c r="F1248" s="10" t="s">
        <v>3577</v>
      </c>
      <c r="G1248" s="12" t="s">
        <v>3901</v>
      </c>
      <c r="H1248" s="10" t="s">
        <v>216</v>
      </c>
      <c r="I1248" s="10" t="s">
        <v>290</v>
      </c>
      <c r="J1248" s="12" t="s">
        <v>46</v>
      </c>
      <c r="K1248" s="10" t="s">
        <v>291</v>
      </c>
      <c r="L1248" s="16" t="s">
        <v>45</v>
      </c>
      <c r="M1248" s="10" t="s">
        <v>49</v>
      </c>
      <c r="N1248" s="16" t="s">
        <v>45</v>
      </c>
      <c r="O1248" s="10" t="s">
        <v>50</v>
      </c>
      <c r="P1248" s="9" t="str">
        <f t="shared" si="28"/>
        <v>N/I</v>
      </c>
      <c r="Q1248" s="9" t="str">
        <f t="shared" si="29"/>
        <v>N/I</v>
      </c>
      <c r="R1248" s="9" t="str">
        <f t="shared" si="32"/>
        <v>N/I</v>
      </c>
    </row>
    <row r="1249">
      <c r="A1249" s="11" t="s">
        <v>3572</v>
      </c>
      <c r="B1249" s="11" t="s">
        <v>3904</v>
      </c>
      <c r="C1249" s="12" t="s">
        <v>1691</v>
      </c>
      <c r="D1249" s="34" t="s">
        <v>3905</v>
      </c>
      <c r="E1249" s="10" t="s">
        <v>390</v>
      </c>
      <c r="F1249" s="10" t="s">
        <v>3593</v>
      </c>
      <c r="G1249" s="12" t="s">
        <v>3906</v>
      </c>
      <c r="H1249" s="10" t="s">
        <v>216</v>
      </c>
      <c r="I1249" s="10" t="s">
        <v>1498</v>
      </c>
      <c r="J1249" s="12" t="s">
        <v>46</v>
      </c>
      <c r="K1249" s="10" t="s">
        <v>227</v>
      </c>
      <c r="L1249" s="12" t="s">
        <v>3594</v>
      </c>
      <c r="M1249" s="10" t="s">
        <v>49</v>
      </c>
      <c r="N1249" s="10" t="s">
        <v>508</v>
      </c>
      <c r="O1249" s="10" t="s">
        <v>320</v>
      </c>
      <c r="P1249" s="9" t="str">
        <f t="shared" si="28"/>
        <v>N/I</v>
      </c>
      <c r="Q1249" s="9" t="str">
        <f t="shared" si="29"/>
        <v>N/I</v>
      </c>
      <c r="R1249" s="9" t="str">
        <f t="shared" si="32"/>
        <v>N/I</v>
      </c>
    </row>
    <row r="1250">
      <c r="A1250" s="11" t="s">
        <v>3572</v>
      </c>
      <c r="B1250" s="11" t="s">
        <v>3904</v>
      </c>
      <c r="C1250" s="12" t="s">
        <v>3579</v>
      </c>
      <c r="D1250" s="27" t="s">
        <v>3909</v>
      </c>
      <c r="E1250" s="10" t="s">
        <v>390</v>
      </c>
      <c r="F1250" s="10" t="s">
        <v>3603</v>
      </c>
      <c r="G1250" s="12" t="s">
        <v>3906</v>
      </c>
      <c r="H1250" s="10" t="s">
        <v>216</v>
      </c>
      <c r="I1250" s="10" t="s">
        <v>1498</v>
      </c>
      <c r="J1250" s="12" t="s">
        <v>46</v>
      </c>
      <c r="K1250" s="10" t="s">
        <v>227</v>
      </c>
      <c r="L1250" s="16" t="s">
        <v>45</v>
      </c>
      <c r="M1250" s="10" t="s">
        <v>49</v>
      </c>
      <c r="N1250" s="10" t="s">
        <v>508</v>
      </c>
      <c r="O1250" s="10" t="s">
        <v>320</v>
      </c>
      <c r="P1250" s="9" t="str">
        <f t="shared" si="28"/>
        <v>N/I</v>
      </c>
      <c r="Q1250" s="9" t="str">
        <f t="shared" si="29"/>
        <v>N/I</v>
      </c>
      <c r="R1250" s="9" t="str">
        <f t="shared" si="32"/>
        <v>N/I</v>
      </c>
    </row>
    <row r="1251">
      <c r="A1251" s="11" t="s">
        <v>3572</v>
      </c>
      <c r="B1251" s="11" t="s">
        <v>3911</v>
      </c>
      <c r="C1251" s="12" t="s">
        <v>1691</v>
      </c>
      <c r="D1251" s="34" t="s">
        <v>3912</v>
      </c>
      <c r="E1251" s="10" t="s">
        <v>390</v>
      </c>
      <c r="F1251" s="10" t="s">
        <v>3593</v>
      </c>
      <c r="G1251" s="12" t="s">
        <v>3913</v>
      </c>
      <c r="H1251" s="10" t="s">
        <v>216</v>
      </c>
      <c r="I1251" s="10" t="s">
        <v>1498</v>
      </c>
      <c r="J1251" s="12" t="s">
        <v>46</v>
      </c>
      <c r="K1251" s="10" t="s">
        <v>227</v>
      </c>
      <c r="L1251" s="12" t="s">
        <v>3594</v>
      </c>
      <c r="M1251" s="10" t="s">
        <v>49</v>
      </c>
      <c r="N1251" s="10" t="s">
        <v>508</v>
      </c>
      <c r="O1251" s="10" t="s">
        <v>320</v>
      </c>
      <c r="P1251" s="9" t="str">
        <f t="shared" si="28"/>
        <v>N/I</v>
      </c>
      <c r="Q1251" s="9" t="str">
        <f t="shared" si="29"/>
        <v>N/I</v>
      </c>
      <c r="R1251" s="9" t="str">
        <f t="shared" si="32"/>
        <v>N/I</v>
      </c>
    </row>
    <row r="1252">
      <c r="A1252" s="11" t="s">
        <v>3572</v>
      </c>
      <c r="B1252" s="11" t="s">
        <v>3911</v>
      </c>
      <c r="C1252" s="12" t="s">
        <v>3579</v>
      </c>
      <c r="D1252" s="13" t="s">
        <v>3916</v>
      </c>
      <c r="E1252" s="10" t="s">
        <v>390</v>
      </c>
      <c r="F1252" s="10" t="s">
        <v>3603</v>
      </c>
      <c r="G1252" s="12" t="s">
        <v>3913</v>
      </c>
      <c r="H1252" s="10" t="s">
        <v>216</v>
      </c>
      <c r="I1252" s="10" t="s">
        <v>1498</v>
      </c>
      <c r="J1252" s="12" t="s">
        <v>46</v>
      </c>
      <c r="K1252" s="10" t="s">
        <v>227</v>
      </c>
      <c r="L1252" s="16" t="s">
        <v>45</v>
      </c>
      <c r="M1252" s="10" t="s">
        <v>49</v>
      </c>
      <c r="N1252" s="10" t="s">
        <v>508</v>
      </c>
      <c r="O1252" s="10" t="s">
        <v>320</v>
      </c>
      <c r="P1252" s="9" t="str">
        <f t="shared" si="28"/>
        <v>N/I</v>
      </c>
      <c r="Q1252" s="9" t="str">
        <f t="shared" si="29"/>
        <v>N/I</v>
      </c>
      <c r="R1252" s="9" t="str">
        <f t="shared" si="32"/>
        <v>N/I</v>
      </c>
    </row>
    <row r="1253">
      <c r="A1253" s="11" t="s">
        <v>3572</v>
      </c>
      <c r="B1253" s="11" t="s">
        <v>3919</v>
      </c>
      <c r="C1253" s="12" t="s">
        <v>1691</v>
      </c>
      <c r="D1253" s="34" t="s">
        <v>3920</v>
      </c>
      <c r="E1253" s="10" t="s">
        <v>390</v>
      </c>
      <c r="F1253" s="10" t="s">
        <v>3593</v>
      </c>
      <c r="G1253" s="12" t="s">
        <v>3921</v>
      </c>
      <c r="H1253" s="10" t="s">
        <v>216</v>
      </c>
      <c r="I1253" s="10" t="s">
        <v>1498</v>
      </c>
      <c r="J1253" s="12" t="s">
        <v>46</v>
      </c>
      <c r="K1253" s="10" t="s">
        <v>227</v>
      </c>
      <c r="L1253" s="12" t="s">
        <v>3594</v>
      </c>
      <c r="M1253" s="10" t="s">
        <v>49</v>
      </c>
      <c r="N1253" s="10" t="s">
        <v>508</v>
      </c>
      <c r="O1253" s="10" t="s">
        <v>320</v>
      </c>
      <c r="P1253" s="9" t="str">
        <f t="shared" si="28"/>
        <v>N/I</v>
      </c>
      <c r="Q1253" s="9" t="str">
        <f t="shared" si="29"/>
        <v>N/I</v>
      </c>
      <c r="R1253" s="9" t="str">
        <f t="shared" si="32"/>
        <v>N/I</v>
      </c>
    </row>
    <row r="1254">
      <c r="A1254" s="11" t="s">
        <v>3572</v>
      </c>
      <c r="B1254" s="11" t="s">
        <v>3924</v>
      </c>
      <c r="C1254" s="12" t="s">
        <v>3579</v>
      </c>
      <c r="D1254" s="13" t="s">
        <v>3925</v>
      </c>
      <c r="E1254" s="10" t="s">
        <v>390</v>
      </c>
      <c r="F1254" s="10" t="s">
        <v>3603</v>
      </c>
      <c r="G1254" s="12" t="s">
        <v>3921</v>
      </c>
      <c r="H1254" s="10" t="s">
        <v>216</v>
      </c>
      <c r="I1254" s="10" t="s">
        <v>1498</v>
      </c>
      <c r="J1254" s="12" t="s">
        <v>46</v>
      </c>
      <c r="K1254" s="10" t="s">
        <v>227</v>
      </c>
      <c r="L1254" s="16" t="s">
        <v>45</v>
      </c>
      <c r="M1254" s="10" t="s">
        <v>49</v>
      </c>
      <c r="N1254" s="10" t="s">
        <v>508</v>
      </c>
      <c r="O1254" s="10" t="s">
        <v>320</v>
      </c>
      <c r="P1254" s="9" t="str">
        <f t="shared" si="28"/>
        <v>N/I</v>
      </c>
      <c r="Q1254" s="9" t="str">
        <f t="shared" si="29"/>
        <v>N/I</v>
      </c>
      <c r="R1254" s="9" t="str">
        <f t="shared" si="32"/>
        <v>N/I</v>
      </c>
    </row>
    <row r="1255">
      <c r="A1255" s="11" t="s">
        <v>3572</v>
      </c>
      <c r="B1255" s="11" t="s">
        <v>3927</v>
      </c>
      <c r="C1255" s="12" t="s">
        <v>3579</v>
      </c>
      <c r="D1255" s="27" t="s">
        <v>3928</v>
      </c>
      <c r="E1255" s="10" t="s">
        <v>390</v>
      </c>
      <c r="F1255" s="10" t="s">
        <v>3603</v>
      </c>
      <c r="G1255" s="12" t="s">
        <v>3929</v>
      </c>
      <c r="H1255" s="10" t="s">
        <v>216</v>
      </c>
      <c r="I1255" s="10" t="s">
        <v>1498</v>
      </c>
      <c r="J1255" s="12" t="s">
        <v>46</v>
      </c>
      <c r="K1255" s="10" t="s">
        <v>227</v>
      </c>
      <c r="L1255" s="16" t="s">
        <v>45</v>
      </c>
      <c r="M1255" s="10" t="s">
        <v>49</v>
      </c>
      <c r="N1255" s="10" t="s">
        <v>508</v>
      </c>
      <c r="O1255" s="10" t="s">
        <v>320</v>
      </c>
      <c r="P1255" s="9" t="str">
        <f t="shared" si="28"/>
        <v>N/I</v>
      </c>
      <c r="Q1255" s="9" t="str">
        <f t="shared" si="29"/>
        <v>N/I</v>
      </c>
      <c r="R1255" s="9" t="str">
        <f t="shared" si="32"/>
        <v>N/I</v>
      </c>
    </row>
    <row r="1256">
      <c r="A1256" s="11" t="s">
        <v>3572</v>
      </c>
      <c r="B1256" s="32" t="s">
        <v>3932</v>
      </c>
      <c r="C1256" s="12" t="s">
        <v>3579</v>
      </c>
      <c r="D1256" s="25" t="s">
        <v>187</v>
      </c>
      <c r="E1256" s="10" t="s">
        <v>291</v>
      </c>
      <c r="F1256" s="10" t="s">
        <v>3583</v>
      </c>
      <c r="G1256" s="12" t="s">
        <v>3933</v>
      </c>
      <c r="H1256" s="10" t="s">
        <v>216</v>
      </c>
      <c r="I1256" s="10" t="s">
        <v>290</v>
      </c>
      <c r="J1256" s="10" t="s">
        <v>318</v>
      </c>
      <c r="K1256" s="10" t="s">
        <v>319</v>
      </c>
      <c r="L1256" s="16" t="s">
        <v>45</v>
      </c>
      <c r="M1256" s="10" t="s">
        <v>49</v>
      </c>
      <c r="N1256" s="10" t="s">
        <v>508</v>
      </c>
      <c r="O1256" s="10" t="s">
        <v>50</v>
      </c>
      <c r="P1256" s="9" t="str">
        <f t="shared" si="28"/>
        <v>N/I</v>
      </c>
      <c r="Q1256" s="9" t="str">
        <f t="shared" si="29"/>
        <v>N/I</v>
      </c>
      <c r="R1256" s="9" t="str">
        <f t="shared" si="32"/>
        <v>N/I</v>
      </c>
    </row>
    <row r="1257">
      <c r="A1257" s="11" t="s">
        <v>3572</v>
      </c>
      <c r="B1257" s="11" t="s">
        <v>3936</v>
      </c>
      <c r="C1257" s="12" t="s">
        <v>3579</v>
      </c>
      <c r="D1257" s="27" t="s">
        <v>3937</v>
      </c>
      <c r="E1257" s="10" t="s">
        <v>390</v>
      </c>
      <c r="F1257" s="10" t="s">
        <v>3603</v>
      </c>
      <c r="G1257" s="12" t="s">
        <v>3938</v>
      </c>
      <c r="H1257" s="10" t="s">
        <v>216</v>
      </c>
      <c r="I1257" s="10" t="s">
        <v>1498</v>
      </c>
      <c r="J1257" s="12" t="s">
        <v>46</v>
      </c>
      <c r="K1257" s="10" t="s">
        <v>227</v>
      </c>
      <c r="L1257" s="16" t="s">
        <v>45</v>
      </c>
      <c r="M1257" s="10" t="s">
        <v>49</v>
      </c>
      <c r="N1257" s="10" t="s">
        <v>508</v>
      </c>
      <c r="O1257" s="10" t="s">
        <v>320</v>
      </c>
      <c r="P1257" s="9" t="str">
        <f t="shared" si="28"/>
        <v>N/I</v>
      </c>
      <c r="Q1257" s="9" t="str">
        <f t="shared" si="29"/>
        <v>N/I</v>
      </c>
      <c r="R1257" s="9" t="str">
        <f t="shared" si="32"/>
        <v>N/I</v>
      </c>
    </row>
    <row r="1258">
      <c r="A1258" s="11" t="s">
        <v>3572</v>
      </c>
      <c r="B1258" s="11" t="s">
        <v>3941</v>
      </c>
      <c r="C1258" s="12" t="s">
        <v>1691</v>
      </c>
      <c r="D1258" s="34" t="s">
        <v>3942</v>
      </c>
      <c r="E1258" s="10" t="s">
        <v>390</v>
      </c>
      <c r="F1258" s="10" t="s">
        <v>3593</v>
      </c>
      <c r="G1258" s="12" t="s">
        <v>3943</v>
      </c>
      <c r="H1258" s="10" t="s">
        <v>216</v>
      </c>
      <c r="I1258" s="10" t="s">
        <v>1498</v>
      </c>
      <c r="J1258" s="12" t="s">
        <v>46</v>
      </c>
      <c r="K1258" s="10" t="s">
        <v>227</v>
      </c>
      <c r="L1258" s="12" t="s">
        <v>3594</v>
      </c>
      <c r="M1258" s="10" t="s">
        <v>49</v>
      </c>
      <c r="N1258" s="10" t="s">
        <v>508</v>
      </c>
      <c r="O1258" s="10" t="s">
        <v>320</v>
      </c>
      <c r="P1258" s="9" t="str">
        <f t="shared" si="28"/>
        <v>N/I</v>
      </c>
      <c r="Q1258" s="9" t="str">
        <f t="shared" si="29"/>
        <v>N/I</v>
      </c>
      <c r="R1258" s="9" t="str">
        <f t="shared" si="32"/>
        <v>N/I</v>
      </c>
    </row>
    <row r="1259">
      <c r="A1259" s="11" t="s">
        <v>3572</v>
      </c>
      <c r="B1259" s="11" t="s">
        <v>3941</v>
      </c>
      <c r="C1259" s="12" t="s">
        <v>3579</v>
      </c>
      <c r="D1259" s="13" t="s">
        <v>3946</v>
      </c>
      <c r="E1259" s="10" t="s">
        <v>390</v>
      </c>
      <c r="F1259" s="10" t="s">
        <v>3603</v>
      </c>
      <c r="G1259" s="12" t="s">
        <v>3943</v>
      </c>
      <c r="H1259" s="10" t="s">
        <v>216</v>
      </c>
      <c r="I1259" s="10" t="s">
        <v>1498</v>
      </c>
      <c r="J1259" s="12" t="s">
        <v>46</v>
      </c>
      <c r="K1259" s="10" t="s">
        <v>227</v>
      </c>
      <c r="L1259" s="16" t="s">
        <v>45</v>
      </c>
      <c r="M1259" s="10" t="s">
        <v>49</v>
      </c>
      <c r="N1259" s="10" t="s">
        <v>508</v>
      </c>
      <c r="O1259" s="10" t="s">
        <v>320</v>
      </c>
      <c r="P1259" s="9" t="str">
        <f t="shared" si="28"/>
        <v>N/I</v>
      </c>
      <c r="Q1259" s="9" t="str">
        <f t="shared" si="29"/>
        <v>N/I</v>
      </c>
      <c r="R1259" s="9" t="str">
        <f t="shared" si="32"/>
        <v>N/I</v>
      </c>
    </row>
    <row r="1260">
      <c r="A1260" s="11" t="s">
        <v>3572</v>
      </c>
      <c r="B1260" s="11" t="s">
        <v>3948</v>
      </c>
      <c r="C1260" s="12" t="s">
        <v>1691</v>
      </c>
      <c r="D1260" s="34" t="s">
        <v>3949</v>
      </c>
      <c r="E1260" s="10" t="s">
        <v>390</v>
      </c>
      <c r="F1260" s="10" t="s">
        <v>3593</v>
      </c>
      <c r="G1260" s="12" t="s">
        <v>3950</v>
      </c>
      <c r="H1260" s="10" t="s">
        <v>216</v>
      </c>
      <c r="I1260" s="10" t="s">
        <v>1498</v>
      </c>
      <c r="J1260" s="12" t="s">
        <v>46</v>
      </c>
      <c r="K1260" s="10" t="s">
        <v>227</v>
      </c>
      <c r="L1260" s="12" t="s">
        <v>3594</v>
      </c>
      <c r="M1260" s="10" t="s">
        <v>49</v>
      </c>
      <c r="N1260" s="10" t="s">
        <v>508</v>
      </c>
      <c r="O1260" s="10" t="s">
        <v>320</v>
      </c>
      <c r="P1260" s="9" t="str">
        <f t="shared" si="28"/>
        <v>N/I</v>
      </c>
      <c r="Q1260" s="9" t="str">
        <f t="shared" si="29"/>
        <v>N/I</v>
      </c>
      <c r="R1260" s="9" t="str">
        <f t="shared" si="32"/>
        <v>N/I</v>
      </c>
    </row>
    <row r="1261">
      <c r="A1261" s="11" t="s">
        <v>3572</v>
      </c>
      <c r="B1261" s="11" t="s">
        <v>3953</v>
      </c>
      <c r="C1261" s="12" t="s">
        <v>3579</v>
      </c>
      <c r="D1261" s="13" t="s">
        <v>3954</v>
      </c>
      <c r="E1261" s="10" t="s">
        <v>390</v>
      </c>
      <c r="F1261" s="10" t="s">
        <v>3603</v>
      </c>
      <c r="G1261" s="12" t="s">
        <v>3950</v>
      </c>
      <c r="H1261" s="10" t="s">
        <v>216</v>
      </c>
      <c r="I1261" s="10" t="s">
        <v>1498</v>
      </c>
      <c r="J1261" s="12" t="s">
        <v>46</v>
      </c>
      <c r="K1261" s="10" t="s">
        <v>227</v>
      </c>
      <c r="L1261" s="16" t="s">
        <v>45</v>
      </c>
      <c r="M1261" s="10" t="s">
        <v>49</v>
      </c>
      <c r="N1261" s="10" t="s">
        <v>508</v>
      </c>
      <c r="O1261" s="10" t="s">
        <v>320</v>
      </c>
      <c r="P1261" s="9" t="str">
        <f t="shared" si="28"/>
        <v>N/I</v>
      </c>
      <c r="Q1261" s="9" t="str">
        <f t="shared" si="29"/>
        <v>N/I</v>
      </c>
      <c r="R1261" s="9" t="str">
        <f t="shared" si="32"/>
        <v>N/I</v>
      </c>
    </row>
    <row r="1262">
      <c r="A1262" s="11" t="s">
        <v>3572</v>
      </c>
      <c r="B1262" s="11" t="s">
        <v>3956</v>
      </c>
      <c r="C1262" s="12" t="s">
        <v>1691</v>
      </c>
      <c r="D1262" s="34" t="s">
        <v>3957</v>
      </c>
      <c r="E1262" s="10" t="s">
        <v>390</v>
      </c>
      <c r="F1262" s="10" t="s">
        <v>3593</v>
      </c>
      <c r="G1262" s="12" t="s">
        <v>1367</v>
      </c>
      <c r="H1262" s="10" t="s">
        <v>216</v>
      </c>
      <c r="I1262" s="10" t="s">
        <v>1498</v>
      </c>
      <c r="J1262" s="12" t="s">
        <v>46</v>
      </c>
      <c r="K1262" s="10" t="s">
        <v>227</v>
      </c>
      <c r="L1262" s="12" t="s">
        <v>3594</v>
      </c>
      <c r="M1262" s="10" t="s">
        <v>49</v>
      </c>
      <c r="N1262" s="10" t="s">
        <v>508</v>
      </c>
      <c r="O1262" s="10" t="s">
        <v>320</v>
      </c>
      <c r="P1262" s="9" t="str">
        <f t="shared" si="28"/>
        <v>N/I</v>
      </c>
      <c r="Q1262" s="9" t="str">
        <f t="shared" si="29"/>
        <v>N/I</v>
      </c>
      <c r="R1262" s="9" t="str">
        <f t="shared" si="32"/>
        <v>N/I</v>
      </c>
    </row>
    <row r="1263">
      <c r="A1263" s="11" t="s">
        <v>3572</v>
      </c>
      <c r="B1263" s="11" t="s">
        <v>3960</v>
      </c>
      <c r="C1263" s="12" t="s">
        <v>1691</v>
      </c>
      <c r="D1263" s="34" t="s">
        <v>3961</v>
      </c>
      <c r="E1263" s="10" t="s">
        <v>390</v>
      </c>
      <c r="F1263" s="10" t="s">
        <v>3593</v>
      </c>
      <c r="G1263" s="12" t="s">
        <v>1367</v>
      </c>
      <c r="H1263" s="10" t="s">
        <v>216</v>
      </c>
      <c r="I1263" s="10" t="s">
        <v>1498</v>
      </c>
      <c r="J1263" s="12" t="s">
        <v>46</v>
      </c>
      <c r="K1263" s="10" t="s">
        <v>227</v>
      </c>
      <c r="L1263" s="12" t="s">
        <v>3594</v>
      </c>
      <c r="M1263" s="10" t="s">
        <v>49</v>
      </c>
      <c r="N1263" s="10" t="s">
        <v>508</v>
      </c>
      <c r="O1263" s="10" t="s">
        <v>320</v>
      </c>
      <c r="P1263" s="9" t="str">
        <f t="shared" si="28"/>
        <v>N/I</v>
      </c>
      <c r="Q1263" s="9" t="str">
        <f t="shared" si="29"/>
        <v>N/I</v>
      </c>
      <c r="R1263" s="9" t="str">
        <f t="shared" si="32"/>
        <v>N/I</v>
      </c>
    </row>
    <row r="1264">
      <c r="A1264" s="11" t="s">
        <v>3572</v>
      </c>
      <c r="B1264" s="11" t="s">
        <v>3956</v>
      </c>
      <c r="C1264" s="12" t="s">
        <v>1691</v>
      </c>
      <c r="D1264" s="13" t="s">
        <v>3964</v>
      </c>
      <c r="E1264" s="10" t="s">
        <v>390</v>
      </c>
      <c r="F1264" s="10" t="s">
        <v>3598</v>
      </c>
      <c r="G1264" s="12" t="s">
        <v>1367</v>
      </c>
      <c r="H1264" s="10" t="s">
        <v>216</v>
      </c>
      <c r="I1264" s="10" t="s">
        <v>1498</v>
      </c>
      <c r="J1264" s="12" t="s">
        <v>46</v>
      </c>
      <c r="K1264" s="10" t="s">
        <v>227</v>
      </c>
      <c r="L1264" s="12" t="s">
        <v>3594</v>
      </c>
      <c r="M1264" s="10" t="s">
        <v>49</v>
      </c>
      <c r="N1264" s="10" t="s">
        <v>508</v>
      </c>
      <c r="O1264" s="10" t="s">
        <v>320</v>
      </c>
      <c r="P1264" s="9" t="str">
        <f t="shared" si="28"/>
        <v>N/I</v>
      </c>
      <c r="Q1264" s="9" t="str">
        <f t="shared" si="29"/>
        <v>N/I</v>
      </c>
      <c r="R1264" s="9" t="str">
        <f t="shared" si="32"/>
        <v>N/I</v>
      </c>
    </row>
    <row r="1265">
      <c r="A1265" s="11" t="s">
        <v>3572</v>
      </c>
      <c r="B1265" s="11" t="s">
        <v>3960</v>
      </c>
      <c r="C1265" s="12" t="s">
        <v>3579</v>
      </c>
      <c r="D1265" s="13" t="s">
        <v>3965</v>
      </c>
      <c r="E1265" s="10" t="s">
        <v>390</v>
      </c>
      <c r="F1265" s="10" t="s">
        <v>3603</v>
      </c>
      <c r="G1265" s="12" t="s">
        <v>1367</v>
      </c>
      <c r="H1265" s="10" t="s">
        <v>216</v>
      </c>
      <c r="I1265" s="10" t="s">
        <v>1498</v>
      </c>
      <c r="J1265" s="12" t="s">
        <v>46</v>
      </c>
      <c r="K1265" s="10" t="s">
        <v>227</v>
      </c>
      <c r="L1265" s="16" t="s">
        <v>45</v>
      </c>
      <c r="M1265" s="10" t="s">
        <v>49</v>
      </c>
      <c r="N1265" s="10" t="s">
        <v>508</v>
      </c>
      <c r="O1265" s="10" t="s">
        <v>320</v>
      </c>
      <c r="P1265" s="9" t="str">
        <f t="shared" si="28"/>
        <v>N/I</v>
      </c>
      <c r="Q1265" s="9" t="str">
        <f t="shared" si="29"/>
        <v>N/I</v>
      </c>
      <c r="R1265" s="9" t="str">
        <f t="shared" si="32"/>
        <v>N/I</v>
      </c>
    </row>
    <row r="1266">
      <c r="A1266" s="11" t="s">
        <v>3572</v>
      </c>
      <c r="B1266" s="11" t="s">
        <v>3960</v>
      </c>
      <c r="C1266" s="12" t="s">
        <v>3579</v>
      </c>
      <c r="D1266" s="27" t="s">
        <v>3967</v>
      </c>
      <c r="E1266" s="10" t="s">
        <v>390</v>
      </c>
      <c r="F1266" s="10" t="s">
        <v>3603</v>
      </c>
      <c r="G1266" s="12" t="s">
        <v>1367</v>
      </c>
      <c r="H1266" s="10" t="s">
        <v>216</v>
      </c>
      <c r="I1266" s="10" t="s">
        <v>1498</v>
      </c>
      <c r="J1266" s="12" t="s">
        <v>46</v>
      </c>
      <c r="K1266" s="10" t="s">
        <v>227</v>
      </c>
      <c r="L1266" s="16" t="s">
        <v>45</v>
      </c>
      <c r="M1266" s="10" t="s">
        <v>49</v>
      </c>
      <c r="N1266" s="10" t="s">
        <v>508</v>
      </c>
      <c r="O1266" s="10" t="s">
        <v>320</v>
      </c>
      <c r="P1266" s="9" t="str">
        <f t="shared" si="28"/>
        <v>N/I</v>
      </c>
      <c r="Q1266" s="9" t="str">
        <f t="shared" si="29"/>
        <v>N/I</v>
      </c>
      <c r="R1266" s="9" t="str">
        <f t="shared" si="32"/>
        <v>N/I</v>
      </c>
    </row>
    <row r="1267">
      <c r="A1267" s="11" t="s">
        <v>3572</v>
      </c>
      <c r="B1267" s="11" t="s">
        <v>3968</v>
      </c>
      <c r="C1267" s="12" t="s">
        <v>3579</v>
      </c>
      <c r="D1267" s="13" t="s">
        <v>3969</v>
      </c>
      <c r="E1267" s="10" t="s">
        <v>390</v>
      </c>
      <c r="F1267" s="10" t="s">
        <v>3603</v>
      </c>
      <c r="G1267" s="12" t="s">
        <v>3970</v>
      </c>
      <c r="H1267" s="10" t="s">
        <v>216</v>
      </c>
      <c r="I1267" s="10" t="s">
        <v>1498</v>
      </c>
      <c r="J1267" s="12" t="s">
        <v>46</v>
      </c>
      <c r="K1267" s="10" t="s">
        <v>227</v>
      </c>
      <c r="L1267" s="16" t="s">
        <v>45</v>
      </c>
      <c r="M1267" s="10" t="s">
        <v>49</v>
      </c>
      <c r="N1267" s="10" t="s">
        <v>508</v>
      </c>
      <c r="O1267" s="10" t="s">
        <v>320</v>
      </c>
      <c r="P1267" s="9" t="str">
        <f t="shared" si="28"/>
        <v>N/I</v>
      </c>
      <c r="Q1267" s="9" t="str">
        <f t="shared" si="29"/>
        <v>N/I</v>
      </c>
      <c r="R1267" s="9" t="str">
        <f t="shared" si="32"/>
        <v>N/I</v>
      </c>
    </row>
    <row r="1268">
      <c r="A1268" s="11" t="s">
        <v>3572</v>
      </c>
      <c r="B1268" s="11" t="s">
        <v>3972</v>
      </c>
      <c r="C1268" s="12" t="s">
        <v>1691</v>
      </c>
      <c r="D1268" s="34" t="s">
        <v>3973</v>
      </c>
      <c r="E1268" s="10" t="s">
        <v>390</v>
      </c>
      <c r="F1268" s="10" t="s">
        <v>3593</v>
      </c>
      <c r="G1268" s="12" t="s">
        <v>3974</v>
      </c>
      <c r="H1268" s="10" t="s">
        <v>216</v>
      </c>
      <c r="I1268" s="10" t="s">
        <v>1498</v>
      </c>
      <c r="J1268" s="12" t="s">
        <v>46</v>
      </c>
      <c r="K1268" s="10" t="s">
        <v>227</v>
      </c>
      <c r="L1268" s="12" t="s">
        <v>3594</v>
      </c>
      <c r="M1268" s="10" t="s">
        <v>49</v>
      </c>
      <c r="N1268" s="10" t="s">
        <v>508</v>
      </c>
      <c r="O1268" s="10" t="s">
        <v>320</v>
      </c>
      <c r="P1268" s="9" t="str">
        <f t="shared" si="28"/>
        <v>N/I</v>
      </c>
      <c r="Q1268" s="9" t="str">
        <f t="shared" si="29"/>
        <v>N/I</v>
      </c>
      <c r="R1268" s="9" t="str">
        <f t="shared" si="32"/>
        <v>N/I</v>
      </c>
    </row>
    <row r="1269">
      <c r="A1269" s="11" t="s">
        <v>3572</v>
      </c>
      <c r="B1269" s="32" t="s">
        <v>3977</v>
      </c>
      <c r="C1269" s="12" t="s">
        <v>3579</v>
      </c>
      <c r="D1269" s="25" t="s">
        <v>187</v>
      </c>
      <c r="E1269" s="10" t="s">
        <v>390</v>
      </c>
      <c r="F1269" s="10" t="s">
        <v>3583</v>
      </c>
      <c r="G1269" s="12" t="s">
        <v>3978</v>
      </c>
      <c r="H1269" s="10" t="s">
        <v>216</v>
      </c>
      <c r="I1269" s="10" t="s">
        <v>1498</v>
      </c>
      <c r="J1269" s="12" t="s">
        <v>46</v>
      </c>
      <c r="K1269" s="10" t="s">
        <v>227</v>
      </c>
      <c r="L1269" s="16" t="s">
        <v>45</v>
      </c>
      <c r="M1269" s="10" t="s">
        <v>49</v>
      </c>
      <c r="N1269" s="10" t="s">
        <v>508</v>
      </c>
      <c r="O1269" s="16"/>
      <c r="P1269" s="9" t="str">
        <f t="shared" si="28"/>
        <v>N/I</v>
      </c>
      <c r="Q1269" s="9" t="str">
        <f t="shared" si="29"/>
        <v>N/I</v>
      </c>
      <c r="R1269" s="9" t="str">
        <f t="shared" si="32"/>
        <v>N/I</v>
      </c>
    </row>
    <row r="1270">
      <c r="A1270" s="11" t="s">
        <v>3572</v>
      </c>
      <c r="B1270" s="11" t="s">
        <v>3981</v>
      </c>
      <c r="C1270" s="12" t="s">
        <v>3579</v>
      </c>
      <c r="D1270" s="27" t="s">
        <v>3982</v>
      </c>
      <c r="E1270" s="10" t="s">
        <v>390</v>
      </c>
      <c r="F1270" s="10" t="s">
        <v>3603</v>
      </c>
      <c r="G1270" s="12" t="s">
        <v>3983</v>
      </c>
      <c r="H1270" s="10" t="s">
        <v>216</v>
      </c>
      <c r="I1270" s="10" t="s">
        <v>1498</v>
      </c>
      <c r="J1270" s="12" t="s">
        <v>46</v>
      </c>
      <c r="K1270" s="10" t="s">
        <v>227</v>
      </c>
      <c r="L1270" s="16" t="s">
        <v>45</v>
      </c>
      <c r="M1270" s="10" t="s">
        <v>49</v>
      </c>
      <c r="N1270" s="10" t="s">
        <v>508</v>
      </c>
      <c r="O1270" s="10" t="s">
        <v>320</v>
      </c>
      <c r="P1270" s="9" t="str">
        <f t="shared" si="28"/>
        <v>N/I</v>
      </c>
      <c r="Q1270" s="9" t="str">
        <f t="shared" si="29"/>
        <v>N/I</v>
      </c>
      <c r="R1270" s="9" t="str">
        <f t="shared" si="32"/>
        <v>N/I</v>
      </c>
    </row>
    <row r="1271">
      <c r="A1271" s="11" t="s">
        <v>3572</v>
      </c>
      <c r="B1271" s="11" t="s">
        <v>3986</v>
      </c>
      <c r="C1271" s="12" t="s">
        <v>1691</v>
      </c>
      <c r="D1271" s="34" t="s">
        <v>3987</v>
      </c>
      <c r="E1271" s="10" t="s">
        <v>390</v>
      </c>
      <c r="F1271" s="10" t="s">
        <v>3593</v>
      </c>
      <c r="G1271" s="12" t="s">
        <v>3988</v>
      </c>
      <c r="H1271" s="10" t="s">
        <v>216</v>
      </c>
      <c r="I1271" s="10" t="s">
        <v>1498</v>
      </c>
      <c r="J1271" s="12" t="s">
        <v>46</v>
      </c>
      <c r="K1271" s="10" t="s">
        <v>227</v>
      </c>
      <c r="L1271" s="12" t="s">
        <v>3594</v>
      </c>
      <c r="M1271" s="10" t="s">
        <v>49</v>
      </c>
      <c r="N1271" s="10" t="s">
        <v>508</v>
      </c>
      <c r="O1271" s="10" t="s">
        <v>320</v>
      </c>
      <c r="P1271" s="9" t="str">
        <f t="shared" si="28"/>
        <v>N/I</v>
      </c>
      <c r="Q1271" s="9" t="str">
        <f t="shared" si="29"/>
        <v>N/I</v>
      </c>
      <c r="R1271" s="9" t="str">
        <f t="shared" si="32"/>
        <v>N/I</v>
      </c>
    </row>
    <row r="1272">
      <c r="A1272" s="11" t="s">
        <v>3572</v>
      </c>
      <c r="B1272" s="11" t="s">
        <v>3986</v>
      </c>
      <c r="C1272" s="12" t="s">
        <v>3579</v>
      </c>
      <c r="D1272" s="13" t="s">
        <v>3991</v>
      </c>
      <c r="E1272" s="10" t="s">
        <v>390</v>
      </c>
      <c r="F1272" s="10" t="s">
        <v>3603</v>
      </c>
      <c r="G1272" s="12" t="s">
        <v>3988</v>
      </c>
      <c r="H1272" s="10" t="s">
        <v>216</v>
      </c>
      <c r="I1272" s="10" t="s">
        <v>1498</v>
      </c>
      <c r="J1272" s="12" t="s">
        <v>46</v>
      </c>
      <c r="K1272" s="10" t="s">
        <v>227</v>
      </c>
      <c r="L1272" s="16" t="s">
        <v>45</v>
      </c>
      <c r="M1272" s="10" t="s">
        <v>49</v>
      </c>
      <c r="N1272" s="10" t="s">
        <v>508</v>
      </c>
      <c r="O1272" s="10" t="s">
        <v>320</v>
      </c>
      <c r="P1272" s="9" t="str">
        <f t="shared" si="28"/>
        <v>N/I</v>
      </c>
      <c r="Q1272" s="9" t="str">
        <f t="shared" si="29"/>
        <v>N/I</v>
      </c>
      <c r="R1272" s="9" t="str">
        <f t="shared" si="32"/>
        <v>N/I</v>
      </c>
    </row>
    <row r="1273">
      <c r="A1273" s="11" t="s">
        <v>3572</v>
      </c>
      <c r="B1273" s="11" t="s">
        <v>3993</v>
      </c>
      <c r="C1273" s="12" t="s">
        <v>1691</v>
      </c>
      <c r="D1273" s="34" t="s">
        <v>3994</v>
      </c>
      <c r="E1273" s="10" t="s">
        <v>390</v>
      </c>
      <c r="F1273" s="10" t="s">
        <v>3593</v>
      </c>
      <c r="G1273" s="12" t="s">
        <v>3995</v>
      </c>
      <c r="H1273" s="10" t="s">
        <v>216</v>
      </c>
      <c r="I1273" s="10" t="s">
        <v>1498</v>
      </c>
      <c r="J1273" s="12" t="s">
        <v>46</v>
      </c>
      <c r="K1273" s="10" t="s">
        <v>227</v>
      </c>
      <c r="L1273" s="12" t="s">
        <v>3594</v>
      </c>
      <c r="M1273" s="10" t="s">
        <v>49</v>
      </c>
      <c r="N1273" s="10" t="s">
        <v>508</v>
      </c>
      <c r="O1273" s="10" t="s">
        <v>320</v>
      </c>
      <c r="P1273" s="9" t="str">
        <f t="shared" si="28"/>
        <v>N/I</v>
      </c>
      <c r="Q1273" s="9" t="str">
        <f t="shared" si="29"/>
        <v>N/I</v>
      </c>
      <c r="R1273" s="9" t="str">
        <f t="shared" si="32"/>
        <v>N/I</v>
      </c>
    </row>
    <row r="1274">
      <c r="A1274" s="11" t="s">
        <v>3572</v>
      </c>
      <c r="B1274" s="11" t="s">
        <v>3998</v>
      </c>
      <c r="C1274" s="12" t="s">
        <v>1691</v>
      </c>
      <c r="D1274" s="34" t="s">
        <v>3999</v>
      </c>
      <c r="E1274" s="10" t="s">
        <v>390</v>
      </c>
      <c r="F1274" s="10" t="s">
        <v>3593</v>
      </c>
      <c r="G1274" s="12" t="s">
        <v>3995</v>
      </c>
      <c r="H1274" s="10" t="s">
        <v>216</v>
      </c>
      <c r="I1274" s="10" t="s">
        <v>1498</v>
      </c>
      <c r="J1274" s="12" t="s">
        <v>46</v>
      </c>
      <c r="K1274" s="10" t="s">
        <v>227</v>
      </c>
      <c r="L1274" s="12" t="s">
        <v>3594</v>
      </c>
      <c r="M1274" s="10" t="s">
        <v>49</v>
      </c>
      <c r="N1274" s="10" t="s">
        <v>508</v>
      </c>
      <c r="O1274" s="10" t="s">
        <v>320</v>
      </c>
      <c r="P1274" s="9" t="str">
        <f t="shared" si="28"/>
        <v>N/I</v>
      </c>
      <c r="Q1274" s="9" t="str">
        <f t="shared" si="29"/>
        <v>N/I</v>
      </c>
      <c r="R1274" s="9" t="str">
        <f t="shared" si="32"/>
        <v>N/I</v>
      </c>
    </row>
    <row r="1275">
      <c r="A1275" s="11" t="s">
        <v>3572</v>
      </c>
      <c r="B1275" s="11" t="s">
        <v>4001</v>
      </c>
      <c r="C1275" s="12" t="s">
        <v>3579</v>
      </c>
      <c r="D1275" s="13" t="s">
        <v>4002</v>
      </c>
      <c r="E1275" s="10" t="s">
        <v>390</v>
      </c>
      <c r="F1275" s="10" t="s">
        <v>3603</v>
      </c>
      <c r="G1275" s="12" t="s">
        <v>3995</v>
      </c>
      <c r="H1275" s="10" t="s">
        <v>216</v>
      </c>
      <c r="I1275" s="10" t="s">
        <v>1498</v>
      </c>
      <c r="J1275" s="12" t="s">
        <v>46</v>
      </c>
      <c r="K1275" s="10" t="s">
        <v>227</v>
      </c>
      <c r="L1275" s="16" t="s">
        <v>45</v>
      </c>
      <c r="M1275" s="10" t="s">
        <v>49</v>
      </c>
      <c r="N1275" s="10" t="s">
        <v>508</v>
      </c>
      <c r="O1275" s="10" t="s">
        <v>320</v>
      </c>
      <c r="P1275" s="9" t="str">
        <f t="shared" si="28"/>
        <v>N/I</v>
      </c>
      <c r="Q1275" s="9" t="str">
        <f t="shared" si="29"/>
        <v>N/I</v>
      </c>
      <c r="R1275" s="9" t="str">
        <f t="shared" si="32"/>
        <v>N/I</v>
      </c>
    </row>
    <row r="1276">
      <c r="A1276" s="11" t="s">
        <v>3572</v>
      </c>
      <c r="B1276" s="11" t="s">
        <v>4004</v>
      </c>
      <c r="C1276" s="12" t="s">
        <v>3579</v>
      </c>
      <c r="D1276" s="13" t="s">
        <v>4005</v>
      </c>
      <c r="E1276" s="10" t="s">
        <v>390</v>
      </c>
      <c r="F1276" s="10" t="s">
        <v>3603</v>
      </c>
      <c r="G1276" s="12" t="s">
        <v>3995</v>
      </c>
      <c r="H1276" s="10" t="s">
        <v>216</v>
      </c>
      <c r="I1276" s="10" t="s">
        <v>1498</v>
      </c>
      <c r="J1276" s="12" t="s">
        <v>46</v>
      </c>
      <c r="K1276" s="10" t="s">
        <v>227</v>
      </c>
      <c r="L1276" s="16" t="s">
        <v>45</v>
      </c>
      <c r="M1276" s="10" t="s">
        <v>49</v>
      </c>
      <c r="N1276" s="10" t="s">
        <v>508</v>
      </c>
      <c r="O1276" s="10" t="s">
        <v>320</v>
      </c>
      <c r="P1276" s="9" t="str">
        <f t="shared" si="28"/>
        <v>N/I</v>
      </c>
      <c r="Q1276" s="9" t="str">
        <f t="shared" si="29"/>
        <v>N/I</v>
      </c>
      <c r="R1276" s="9" t="str">
        <f t="shared" si="32"/>
        <v>N/I</v>
      </c>
    </row>
    <row r="1277">
      <c r="A1277" s="11" t="s">
        <v>3572</v>
      </c>
      <c r="B1277" s="32" t="s">
        <v>4006</v>
      </c>
      <c r="C1277" s="12" t="s">
        <v>3579</v>
      </c>
      <c r="D1277" s="25" t="s">
        <v>187</v>
      </c>
      <c r="E1277" s="10" t="s">
        <v>390</v>
      </c>
      <c r="F1277" s="10" t="s">
        <v>3583</v>
      </c>
      <c r="G1277" s="12" t="s">
        <v>3995</v>
      </c>
      <c r="H1277" s="10" t="s">
        <v>216</v>
      </c>
      <c r="I1277" s="10" t="s">
        <v>1498</v>
      </c>
      <c r="J1277" s="12" t="s">
        <v>46</v>
      </c>
      <c r="K1277" s="10" t="s">
        <v>227</v>
      </c>
      <c r="L1277" s="16" t="s">
        <v>45</v>
      </c>
      <c r="M1277" s="10" t="s">
        <v>49</v>
      </c>
      <c r="N1277" s="10" t="s">
        <v>508</v>
      </c>
      <c r="O1277" s="16"/>
      <c r="P1277" s="9" t="str">
        <f t="shared" si="28"/>
        <v>N/I</v>
      </c>
      <c r="Q1277" s="9" t="str">
        <f t="shared" si="29"/>
        <v>N/I</v>
      </c>
      <c r="R1277" s="9" t="str">
        <f t="shared" si="32"/>
        <v>N/I</v>
      </c>
    </row>
    <row r="1278">
      <c r="A1278" s="11" t="s">
        <v>3572</v>
      </c>
      <c r="B1278" s="11" t="s">
        <v>4008</v>
      </c>
      <c r="C1278" s="12" t="s">
        <v>1691</v>
      </c>
      <c r="D1278" s="34" t="s">
        <v>4009</v>
      </c>
      <c r="E1278" s="10" t="s">
        <v>390</v>
      </c>
      <c r="F1278" s="10" t="s">
        <v>3593</v>
      </c>
      <c r="G1278" s="12" t="s">
        <v>4010</v>
      </c>
      <c r="H1278" s="10" t="s">
        <v>216</v>
      </c>
      <c r="I1278" s="10" t="s">
        <v>1498</v>
      </c>
      <c r="J1278" s="12" t="s">
        <v>46</v>
      </c>
      <c r="K1278" s="10" t="s">
        <v>227</v>
      </c>
      <c r="L1278" s="12" t="s">
        <v>3594</v>
      </c>
      <c r="M1278" s="10" t="s">
        <v>49</v>
      </c>
      <c r="N1278" s="10" t="s">
        <v>508</v>
      </c>
      <c r="O1278" s="10" t="s">
        <v>320</v>
      </c>
      <c r="P1278" s="9" t="str">
        <f t="shared" si="28"/>
        <v>N/I</v>
      </c>
      <c r="Q1278" s="9" t="str">
        <f t="shared" si="29"/>
        <v>N/I</v>
      </c>
      <c r="R1278" s="9" t="str">
        <f t="shared" si="32"/>
        <v>N/I</v>
      </c>
    </row>
    <row r="1279">
      <c r="A1279" s="11" t="s">
        <v>3572</v>
      </c>
      <c r="B1279" s="11" t="s">
        <v>4011</v>
      </c>
      <c r="C1279" s="12" t="s">
        <v>3579</v>
      </c>
      <c r="D1279" s="13" t="s">
        <v>4012</v>
      </c>
      <c r="E1279" s="10" t="s">
        <v>390</v>
      </c>
      <c r="F1279" s="10" t="s">
        <v>3603</v>
      </c>
      <c r="G1279" s="12" t="s">
        <v>4013</v>
      </c>
      <c r="H1279" s="10" t="s">
        <v>216</v>
      </c>
      <c r="I1279" s="10" t="s">
        <v>1498</v>
      </c>
      <c r="J1279" s="12" t="s">
        <v>46</v>
      </c>
      <c r="K1279" s="10" t="s">
        <v>227</v>
      </c>
      <c r="L1279" s="16" t="s">
        <v>45</v>
      </c>
      <c r="M1279" s="10" t="s">
        <v>49</v>
      </c>
      <c r="N1279" s="10" t="s">
        <v>508</v>
      </c>
      <c r="O1279" s="10" t="s">
        <v>320</v>
      </c>
      <c r="P1279" s="9" t="str">
        <f t="shared" si="28"/>
        <v>N/I</v>
      </c>
      <c r="Q1279" s="9" t="str">
        <f t="shared" si="29"/>
        <v>N/I</v>
      </c>
      <c r="R1279" s="9" t="str">
        <f t="shared" si="32"/>
        <v>N/I</v>
      </c>
    </row>
    <row r="1280">
      <c r="A1280" s="11" t="s">
        <v>3572</v>
      </c>
      <c r="B1280" s="11" t="s">
        <v>4016</v>
      </c>
      <c r="C1280" s="12" t="s">
        <v>3579</v>
      </c>
      <c r="D1280" s="13" t="s">
        <v>4017</v>
      </c>
      <c r="E1280" s="10" t="s">
        <v>390</v>
      </c>
      <c r="F1280" s="10" t="s">
        <v>3603</v>
      </c>
      <c r="G1280" s="12" t="s">
        <v>2470</v>
      </c>
      <c r="H1280" s="10" t="s">
        <v>216</v>
      </c>
      <c r="I1280" s="10" t="s">
        <v>1498</v>
      </c>
      <c r="J1280" s="12" t="s">
        <v>46</v>
      </c>
      <c r="K1280" s="10" t="s">
        <v>227</v>
      </c>
      <c r="L1280" s="16" t="s">
        <v>45</v>
      </c>
      <c r="M1280" s="10" t="s">
        <v>49</v>
      </c>
      <c r="N1280" s="10" t="s">
        <v>508</v>
      </c>
      <c r="O1280" s="10" t="s">
        <v>320</v>
      </c>
      <c r="P1280" s="9" t="str">
        <f t="shared" si="28"/>
        <v>N/I</v>
      </c>
      <c r="Q1280" s="9" t="str">
        <f t="shared" si="29"/>
        <v>N/I</v>
      </c>
      <c r="R1280" s="9" t="str">
        <f t="shared" si="32"/>
        <v>N/I</v>
      </c>
    </row>
    <row r="1281">
      <c r="A1281" s="11" t="s">
        <v>3572</v>
      </c>
      <c r="B1281" s="32" t="s">
        <v>4019</v>
      </c>
      <c r="C1281" s="12" t="s">
        <v>1691</v>
      </c>
      <c r="D1281" s="25" t="s">
        <v>187</v>
      </c>
      <c r="E1281" s="10" t="s">
        <v>292</v>
      </c>
      <c r="F1281" s="10" t="s">
        <v>3577</v>
      </c>
      <c r="G1281" s="12" t="s">
        <v>2470</v>
      </c>
      <c r="H1281" s="10" t="s">
        <v>216</v>
      </c>
      <c r="I1281" s="10" t="s">
        <v>290</v>
      </c>
      <c r="J1281" s="12" t="s">
        <v>46</v>
      </c>
      <c r="K1281" s="10" t="s">
        <v>291</v>
      </c>
      <c r="L1281" s="16" t="s">
        <v>45</v>
      </c>
      <c r="M1281" s="10" t="s">
        <v>49</v>
      </c>
      <c r="N1281" s="16" t="s">
        <v>45</v>
      </c>
      <c r="O1281" s="10" t="s">
        <v>50</v>
      </c>
      <c r="P1281" s="9" t="str">
        <f t="shared" si="28"/>
        <v>N/I</v>
      </c>
      <c r="Q1281" s="9" t="str">
        <f t="shared" si="29"/>
        <v>N/I</v>
      </c>
      <c r="R1281" s="9" t="str">
        <f t="shared" si="32"/>
        <v>N/I</v>
      </c>
    </row>
    <row r="1282">
      <c r="A1282" s="11" t="s">
        <v>3572</v>
      </c>
      <c r="B1282" s="11" t="s">
        <v>4021</v>
      </c>
      <c r="C1282" s="12" t="s">
        <v>3579</v>
      </c>
      <c r="D1282" s="13" t="s">
        <v>4022</v>
      </c>
      <c r="E1282" s="10" t="s">
        <v>390</v>
      </c>
      <c r="F1282" s="10" t="s">
        <v>3603</v>
      </c>
      <c r="G1282" s="12" t="s">
        <v>4023</v>
      </c>
      <c r="H1282" s="10" t="s">
        <v>216</v>
      </c>
      <c r="I1282" s="10" t="s">
        <v>1498</v>
      </c>
      <c r="J1282" s="12" t="s">
        <v>46</v>
      </c>
      <c r="K1282" s="10" t="s">
        <v>227</v>
      </c>
      <c r="L1282" s="16" t="s">
        <v>45</v>
      </c>
      <c r="M1282" s="10" t="s">
        <v>49</v>
      </c>
      <c r="N1282" s="10" t="s">
        <v>508</v>
      </c>
      <c r="O1282" s="10" t="s">
        <v>320</v>
      </c>
      <c r="P1282" s="9" t="str">
        <f t="shared" si="28"/>
        <v>N/I</v>
      </c>
      <c r="Q1282" s="9" t="str">
        <f t="shared" si="29"/>
        <v>N/I</v>
      </c>
      <c r="R1282" s="9" t="str">
        <f t="shared" si="32"/>
        <v>N/I</v>
      </c>
    </row>
    <row r="1283">
      <c r="A1283" s="11" t="s">
        <v>3572</v>
      </c>
      <c r="B1283" s="11" t="s">
        <v>4026</v>
      </c>
      <c r="C1283" s="12" t="s">
        <v>1691</v>
      </c>
      <c r="D1283" s="34" t="s">
        <v>4027</v>
      </c>
      <c r="E1283" s="10" t="s">
        <v>390</v>
      </c>
      <c r="F1283" s="10" t="s">
        <v>3593</v>
      </c>
      <c r="G1283" s="12" t="s">
        <v>4028</v>
      </c>
      <c r="H1283" s="10" t="s">
        <v>216</v>
      </c>
      <c r="I1283" s="10" t="s">
        <v>1498</v>
      </c>
      <c r="J1283" s="12" t="s">
        <v>46</v>
      </c>
      <c r="K1283" s="10" t="s">
        <v>227</v>
      </c>
      <c r="L1283" s="12" t="s">
        <v>3594</v>
      </c>
      <c r="M1283" s="10" t="s">
        <v>49</v>
      </c>
      <c r="N1283" s="10" t="s">
        <v>508</v>
      </c>
      <c r="O1283" s="10" t="s">
        <v>320</v>
      </c>
      <c r="P1283" s="9" t="str">
        <f t="shared" si="28"/>
        <v>N/I</v>
      </c>
      <c r="Q1283" s="9" t="str">
        <f t="shared" si="29"/>
        <v>N/I</v>
      </c>
      <c r="R1283" s="9" t="str">
        <f t="shared" si="32"/>
        <v>N/I</v>
      </c>
    </row>
    <row r="1284">
      <c r="A1284" s="11" t="s">
        <v>3572</v>
      </c>
      <c r="B1284" s="11" t="s">
        <v>4026</v>
      </c>
      <c r="C1284" s="12" t="s">
        <v>3579</v>
      </c>
      <c r="D1284" s="13" t="s">
        <v>4031</v>
      </c>
      <c r="E1284" s="10" t="s">
        <v>390</v>
      </c>
      <c r="F1284" s="10" t="s">
        <v>3603</v>
      </c>
      <c r="G1284" s="12" t="s">
        <v>4028</v>
      </c>
      <c r="H1284" s="10" t="s">
        <v>216</v>
      </c>
      <c r="I1284" s="10" t="s">
        <v>1498</v>
      </c>
      <c r="J1284" s="12" t="s">
        <v>46</v>
      </c>
      <c r="K1284" s="10" t="s">
        <v>227</v>
      </c>
      <c r="L1284" s="16" t="s">
        <v>45</v>
      </c>
      <c r="M1284" s="10" t="s">
        <v>49</v>
      </c>
      <c r="N1284" s="10" t="s">
        <v>508</v>
      </c>
      <c r="O1284" s="10" t="s">
        <v>320</v>
      </c>
      <c r="P1284" s="9" t="str">
        <f t="shared" si="28"/>
        <v>N/I</v>
      </c>
      <c r="Q1284" s="9" t="str">
        <f t="shared" si="29"/>
        <v>N/I</v>
      </c>
      <c r="R1284" s="9" t="str">
        <f t="shared" si="32"/>
        <v>N/I</v>
      </c>
    </row>
    <row r="1285">
      <c r="A1285" s="11" t="s">
        <v>3572</v>
      </c>
      <c r="B1285" s="11" t="s">
        <v>4034</v>
      </c>
      <c r="C1285" s="12" t="s">
        <v>1691</v>
      </c>
      <c r="D1285" s="34" t="s">
        <v>4035</v>
      </c>
      <c r="E1285" s="10" t="s">
        <v>390</v>
      </c>
      <c r="F1285" s="10" t="s">
        <v>3593</v>
      </c>
      <c r="G1285" s="12" t="s">
        <v>4036</v>
      </c>
      <c r="H1285" s="10" t="s">
        <v>216</v>
      </c>
      <c r="I1285" s="10" t="s">
        <v>1498</v>
      </c>
      <c r="J1285" s="12" t="s">
        <v>46</v>
      </c>
      <c r="K1285" s="10" t="s">
        <v>227</v>
      </c>
      <c r="L1285" s="12" t="s">
        <v>3594</v>
      </c>
      <c r="M1285" s="10" t="s">
        <v>49</v>
      </c>
      <c r="N1285" s="10" t="s">
        <v>508</v>
      </c>
      <c r="O1285" s="10" t="s">
        <v>320</v>
      </c>
      <c r="P1285" s="9" t="str">
        <f t="shared" si="28"/>
        <v>N/I</v>
      </c>
      <c r="Q1285" s="9" t="str">
        <f t="shared" si="29"/>
        <v>N/I</v>
      </c>
      <c r="R1285" s="9" t="str">
        <f t="shared" si="32"/>
        <v>N/I</v>
      </c>
    </row>
    <row r="1286">
      <c r="A1286" s="11" t="s">
        <v>3572</v>
      </c>
      <c r="B1286" s="11" t="s">
        <v>4034</v>
      </c>
      <c r="C1286" s="12" t="s">
        <v>3579</v>
      </c>
      <c r="D1286" s="27" t="s">
        <v>4039</v>
      </c>
      <c r="E1286" s="10" t="s">
        <v>390</v>
      </c>
      <c r="F1286" s="10" t="s">
        <v>3603</v>
      </c>
      <c r="G1286" s="12" t="s">
        <v>4036</v>
      </c>
      <c r="H1286" s="10" t="s">
        <v>216</v>
      </c>
      <c r="I1286" s="10" t="s">
        <v>1498</v>
      </c>
      <c r="J1286" s="12" t="s">
        <v>46</v>
      </c>
      <c r="K1286" s="10" t="s">
        <v>227</v>
      </c>
      <c r="L1286" s="16" t="s">
        <v>45</v>
      </c>
      <c r="M1286" s="10" t="s">
        <v>49</v>
      </c>
      <c r="N1286" s="10" t="s">
        <v>508</v>
      </c>
      <c r="O1286" s="10" t="s">
        <v>320</v>
      </c>
      <c r="P1286" s="9" t="str">
        <f t="shared" si="28"/>
        <v>N/I</v>
      </c>
      <c r="Q1286" s="9" t="str">
        <f t="shared" si="29"/>
        <v>N/I</v>
      </c>
      <c r="R1286" s="9" t="str">
        <f t="shared" si="32"/>
        <v>N/I</v>
      </c>
    </row>
    <row r="1287">
      <c r="A1287" s="11" t="s">
        <v>3572</v>
      </c>
      <c r="B1287" s="11" t="s">
        <v>4042</v>
      </c>
      <c r="C1287" s="12" t="s">
        <v>3579</v>
      </c>
      <c r="D1287" s="27" t="s">
        <v>4043</v>
      </c>
      <c r="E1287" s="10" t="s">
        <v>390</v>
      </c>
      <c r="F1287" s="10" t="s">
        <v>3603</v>
      </c>
      <c r="G1287" s="12" t="s">
        <v>4036</v>
      </c>
      <c r="H1287" s="10" t="s">
        <v>216</v>
      </c>
      <c r="I1287" s="10" t="s">
        <v>1498</v>
      </c>
      <c r="J1287" s="12" t="s">
        <v>46</v>
      </c>
      <c r="K1287" s="10" t="s">
        <v>227</v>
      </c>
      <c r="L1287" s="16" t="s">
        <v>45</v>
      </c>
      <c r="M1287" s="10" t="s">
        <v>49</v>
      </c>
      <c r="N1287" s="10" t="s">
        <v>508</v>
      </c>
      <c r="O1287" s="10" t="s">
        <v>320</v>
      </c>
      <c r="P1287" s="9" t="str">
        <f t="shared" si="28"/>
        <v>N/I</v>
      </c>
      <c r="Q1287" s="9" t="str">
        <f t="shared" si="29"/>
        <v>N/I</v>
      </c>
      <c r="R1287" s="9" t="str">
        <f t="shared" si="32"/>
        <v>N/I</v>
      </c>
    </row>
    <row r="1288">
      <c r="A1288" s="11" t="s">
        <v>3572</v>
      </c>
      <c r="B1288" s="32" t="s">
        <v>4045</v>
      </c>
      <c r="C1288" s="12" t="s">
        <v>3579</v>
      </c>
      <c r="D1288" s="25" t="s">
        <v>187</v>
      </c>
      <c r="E1288" s="10" t="s">
        <v>291</v>
      </c>
      <c r="F1288" s="10" t="s">
        <v>3583</v>
      </c>
      <c r="G1288" s="12" t="s">
        <v>4046</v>
      </c>
      <c r="H1288" s="10" t="s">
        <v>216</v>
      </c>
      <c r="I1288" s="10" t="s">
        <v>290</v>
      </c>
      <c r="J1288" s="10" t="s">
        <v>318</v>
      </c>
      <c r="K1288" s="10" t="s">
        <v>319</v>
      </c>
      <c r="L1288" s="16" t="s">
        <v>45</v>
      </c>
      <c r="M1288" s="10" t="s">
        <v>49</v>
      </c>
      <c r="N1288" s="10" t="s">
        <v>508</v>
      </c>
      <c r="O1288" s="10" t="s">
        <v>50</v>
      </c>
      <c r="P1288" s="9" t="str">
        <f t="shared" si="28"/>
        <v>N/I</v>
      </c>
      <c r="Q1288" s="9" t="str">
        <f t="shared" si="29"/>
        <v>N/I</v>
      </c>
      <c r="R1288" s="9" t="str">
        <f t="shared" si="32"/>
        <v>N/I</v>
      </c>
    </row>
    <row r="1289">
      <c r="A1289" s="11" t="s">
        <v>3572</v>
      </c>
      <c r="B1289" s="11" t="s">
        <v>4049</v>
      </c>
      <c r="C1289" s="12" t="s">
        <v>1691</v>
      </c>
      <c r="D1289" s="34" t="s">
        <v>4050</v>
      </c>
      <c r="E1289" s="10" t="s">
        <v>390</v>
      </c>
      <c r="F1289" s="10" t="s">
        <v>3593</v>
      </c>
      <c r="G1289" s="12" t="s">
        <v>4051</v>
      </c>
      <c r="H1289" s="10" t="s">
        <v>216</v>
      </c>
      <c r="I1289" s="10" t="s">
        <v>1498</v>
      </c>
      <c r="J1289" s="12" t="s">
        <v>46</v>
      </c>
      <c r="K1289" s="10" t="s">
        <v>227</v>
      </c>
      <c r="L1289" s="12" t="s">
        <v>3594</v>
      </c>
      <c r="M1289" s="10" t="s">
        <v>49</v>
      </c>
      <c r="N1289" s="10" t="s">
        <v>508</v>
      </c>
      <c r="O1289" s="10" t="s">
        <v>320</v>
      </c>
      <c r="P1289" s="9" t="str">
        <f t="shared" si="28"/>
        <v>N/I</v>
      </c>
      <c r="Q1289" s="9" t="str">
        <f t="shared" si="29"/>
        <v>N/I</v>
      </c>
      <c r="R1289" s="9" t="str">
        <f t="shared" si="32"/>
        <v>N/I</v>
      </c>
    </row>
    <row r="1290">
      <c r="A1290" s="11" t="s">
        <v>3572</v>
      </c>
      <c r="B1290" s="11" t="s">
        <v>4049</v>
      </c>
      <c r="C1290" s="12" t="s">
        <v>3579</v>
      </c>
      <c r="D1290" s="27" t="s">
        <v>4054</v>
      </c>
      <c r="E1290" s="10" t="s">
        <v>390</v>
      </c>
      <c r="F1290" s="10" t="s">
        <v>3603</v>
      </c>
      <c r="G1290" s="12" t="s">
        <v>4051</v>
      </c>
      <c r="H1290" s="10" t="s">
        <v>216</v>
      </c>
      <c r="I1290" s="10" t="s">
        <v>1498</v>
      </c>
      <c r="J1290" s="12" t="s">
        <v>46</v>
      </c>
      <c r="K1290" s="10" t="s">
        <v>227</v>
      </c>
      <c r="L1290" s="16" t="s">
        <v>45</v>
      </c>
      <c r="M1290" s="10" t="s">
        <v>49</v>
      </c>
      <c r="N1290" s="10" t="s">
        <v>508</v>
      </c>
      <c r="O1290" s="10" t="s">
        <v>320</v>
      </c>
      <c r="P1290" s="9" t="str">
        <f t="shared" si="28"/>
        <v>N/I</v>
      </c>
      <c r="Q1290" s="9" t="str">
        <f t="shared" si="29"/>
        <v>N/I</v>
      </c>
      <c r="R1290" s="9" t="str">
        <f t="shared" si="32"/>
        <v>N/I</v>
      </c>
    </row>
    <row r="1291">
      <c r="A1291" s="11" t="s">
        <v>3572</v>
      </c>
      <c r="B1291" s="11" t="s">
        <v>4049</v>
      </c>
      <c r="C1291" s="12" t="s">
        <v>3579</v>
      </c>
      <c r="D1291" s="27" t="s">
        <v>4057</v>
      </c>
      <c r="E1291" s="10" t="s">
        <v>390</v>
      </c>
      <c r="F1291" s="10" t="s">
        <v>3603</v>
      </c>
      <c r="G1291" s="12" t="s">
        <v>4051</v>
      </c>
      <c r="H1291" s="10" t="s">
        <v>216</v>
      </c>
      <c r="I1291" s="10" t="s">
        <v>1498</v>
      </c>
      <c r="J1291" s="12" t="s">
        <v>46</v>
      </c>
      <c r="K1291" s="10" t="s">
        <v>227</v>
      </c>
      <c r="L1291" s="16" t="s">
        <v>45</v>
      </c>
      <c r="M1291" s="10" t="s">
        <v>49</v>
      </c>
      <c r="N1291" s="10" t="s">
        <v>508</v>
      </c>
      <c r="O1291" s="10" t="s">
        <v>320</v>
      </c>
      <c r="P1291" s="9" t="str">
        <f t="shared" si="28"/>
        <v>N/I</v>
      </c>
      <c r="Q1291" s="9" t="str">
        <f t="shared" si="29"/>
        <v>N/I</v>
      </c>
      <c r="R1291" s="9" t="str">
        <f t="shared" si="32"/>
        <v>N/I</v>
      </c>
    </row>
    <row r="1292">
      <c r="A1292" s="11" t="s">
        <v>3572</v>
      </c>
      <c r="B1292" s="11" t="s">
        <v>4058</v>
      </c>
      <c r="C1292" s="12" t="s">
        <v>3579</v>
      </c>
      <c r="D1292" s="27" t="s">
        <v>4059</v>
      </c>
      <c r="E1292" s="10" t="s">
        <v>390</v>
      </c>
      <c r="F1292" s="10" t="s">
        <v>3603</v>
      </c>
      <c r="G1292" s="12" t="s">
        <v>4060</v>
      </c>
      <c r="H1292" s="10" t="s">
        <v>216</v>
      </c>
      <c r="I1292" s="10" t="s">
        <v>1498</v>
      </c>
      <c r="J1292" s="12" t="s">
        <v>46</v>
      </c>
      <c r="K1292" s="10" t="s">
        <v>227</v>
      </c>
      <c r="L1292" s="16" t="s">
        <v>45</v>
      </c>
      <c r="M1292" s="10" t="s">
        <v>49</v>
      </c>
      <c r="N1292" s="10" t="s">
        <v>508</v>
      </c>
      <c r="O1292" s="10" t="s">
        <v>320</v>
      </c>
      <c r="P1292" s="9" t="str">
        <f t="shared" si="28"/>
        <v>N/I</v>
      </c>
      <c r="Q1292" s="9" t="str">
        <f t="shared" si="29"/>
        <v>N/I</v>
      </c>
      <c r="R1292" s="9" t="str">
        <f t="shared" si="32"/>
        <v>N/I</v>
      </c>
    </row>
    <row r="1293">
      <c r="A1293" s="11" t="s">
        <v>3572</v>
      </c>
      <c r="B1293" s="32" t="s">
        <v>4063</v>
      </c>
      <c r="C1293" s="12" t="s">
        <v>1691</v>
      </c>
      <c r="D1293" s="25" t="s">
        <v>187</v>
      </c>
      <c r="E1293" s="10" t="s">
        <v>292</v>
      </c>
      <c r="F1293" s="10" t="s">
        <v>3577</v>
      </c>
      <c r="G1293" s="12" t="s">
        <v>4060</v>
      </c>
      <c r="H1293" s="10" t="s">
        <v>216</v>
      </c>
      <c r="I1293" s="10" t="s">
        <v>290</v>
      </c>
      <c r="J1293" s="12" t="s">
        <v>46</v>
      </c>
      <c r="K1293" s="10" t="s">
        <v>291</v>
      </c>
      <c r="L1293" s="16" t="s">
        <v>45</v>
      </c>
      <c r="M1293" s="10" t="s">
        <v>49</v>
      </c>
      <c r="N1293" s="16" t="s">
        <v>45</v>
      </c>
      <c r="O1293" s="10" t="s">
        <v>50</v>
      </c>
      <c r="P1293" s="9" t="str">
        <f t="shared" si="28"/>
        <v>N/I</v>
      </c>
      <c r="Q1293" s="9" t="str">
        <f t="shared" si="29"/>
        <v>N/I</v>
      </c>
      <c r="R1293" s="9" t="str">
        <f t="shared" si="32"/>
        <v>N/I</v>
      </c>
    </row>
    <row r="1294">
      <c r="A1294" s="11" t="s">
        <v>3572</v>
      </c>
      <c r="B1294" s="11" t="s">
        <v>4065</v>
      </c>
      <c r="C1294" s="12" t="s">
        <v>1691</v>
      </c>
      <c r="D1294" s="34" t="s">
        <v>4066</v>
      </c>
      <c r="E1294" s="10" t="s">
        <v>390</v>
      </c>
      <c r="F1294" s="10" t="s">
        <v>3593</v>
      </c>
      <c r="G1294" s="12" t="s">
        <v>2475</v>
      </c>
      <c r="H1294" s="10" t="s">
        <v>216</v>
      </c>
      <c r="I1294" s="10" t="s">
        <v>1498</v>
      </c>
      <c r="J1294" s="12" t="s">
        <v>46</v>
      </c>
      <c r="K1294" s="10" t="s">
        <v>227</v>
      </c>
      <c r="L1294" s="12" t="s">
        <v>3594</v>
      </c>
      <c r="M1294" s="10" t="s">
        <v>49</v>
      </c>
      <c r="N1294" s="10" t="s">
        <v>508</v>
      </c>
      <c r="O1294" s="10" t="s">
        <v>320</v>
      </c>
      <c r="P1294" s="9" t="str">
        <f t="shared" si="28"/>
        <v>N/I</v>
      </c>
      <c r="Q1294" s="9" t="str">
        <f t="shared" si="29"/>
        <v>N/I</v>
      </c>
      <c r="R1294" s="9" t="str">
        <f t="shared" si="32"/>
        <v>N/I</v>
      </c>
    </row>
    <row r="1295">
      <c r="A1295" s="11" t="s">
        <v>3572</v>
      </c>
      <c r="B1295" s="11" t="s">
        <v>4069</v>
      </c>
      <c r="C1295" s="12" t="s">
        <v>3579</v>
      </c>
      <c r="D1295" s="13" t="s">
        <v>4070</v>
      </c>
      <c r="E1295" s="10" t="s">
        <v>390</v>
      </c>
      <c r="F1295" s="10" t="s">
        <v>3603</v>
      </c>
      <c r="G1295" s="12" t="s">
        <v>2475</v>
      </c>
      <c r="H1295" s="10" t="s">
        <v>216</v>
      </c>
      <c r="I1295" s="10" t="s">
        <v>1498</v>
      </c>
      <c r="J1295" s="12" t="s">
        <v>46</v>
      </c>
      <c r="K1295" s="10" t="s">
        <v>227</v>
      </c>
      <c r="L1295" s="16" t="s">
        <v>45</v>
      </c>
      <c r="M1295" s="10" t="s">
        <v>49</v>
      </c>
      <c r="N1295" s="10" t="s">
        <v>508</v>
      </c>
      <c r="O1295" s="10" t="s">
        <v>320</v>
      </c>
      <c r="P1295" s="9" t="str">
        <f t="shared" si="28"/>
        <v>N/I</v>
      </c>
      <c r="Q1295" s="9" t="str">
        <f t="shared" si="29"/>
        <v>N/I</v>
      </c>
      <c r="R1295" s="9" t="str">
        <f t="shared" si="32"/>
        <v>N/I</v>
      </c>
    </row>
    <row r="1296">
      <c r="A1296" s="11" t="s">
        <v>3572</v>
      </c>
      <c r="B1296" s="11" t="s">
        <v>4072</v>
      </c>
      <c r="C1296" s="12" t="s">
        <v>1691</v>
      </c>
      <c r="D1296" s="34" t="s">
        <v>4073</v>
      </c>
      <c r="E1296" s="10" t="s">
        <v>390</v>
      </c>
      <c r="F1296" s="10" t="s">
        <v>3593</v>
      </c>
      <c r="G1296" s="12" t="s">
        <v>215</v>
      </c>
      <c r="H1296" s="10" t="s">
        <v>216</v>
      </c>
      <c r="I1296" s="10" t="s">
        <v>1498</v>
      </c>
      <c r="J1296" s="12" t="s">
        <v>46</v>
      </c>
      <c r="K1296" s="10" t="s">
        <v>227</v>
      </c>
      <c r="L1296" s="12" t="s">
        <v>3594</v>
      </c>
      <c r="M1296" s="10" t="s">
        <v>49</v>
      </c>
      <c r="N1296" s="10" t="s">
        <v>508</v>
      </c>
      <c r="O1296" s="10" t="s">
        <v>320</v>
      </c>
      <c r="P1296" s="9" t="str">
        <f t="shared" si="28"/>
        <v>N/I</v>
      </c>
      <c r="Q1296" s="9" t="str">
        <f t="shared" si="29"/>
        <v>N/I</v>
      </c>
      <c r="R1296" s="9" t="str">
        <f t="shared" si="32"/>
        <v>N/I</v>
      </c>
    </row>
    <row r="1297">
      <c r="A1297" s="11" t="s">
        <v>3572</v>
      </c>
      <c r="B1297" s="11" t="s">
        <v>4076</v>
      </c>
      <c r="C1297" s="12" t="s">
        <v>1691</v>
      </c>
      <c r="D1297" s="34" t="s">
        <v>4077</v>
      </c>
      <c r="E1297" s="10" t="s">
        <v>390</v>
      </c>
      <c r="F1297" s="10" t="s">
        <v>3593</v>
      </c>
      <c r="G1297" s="12" t="s">
        <v>215</v>
      </c>
      <c r="H1297" s="10" t="s">
        <v>216</v>
      </c>
      <c r="I1297" s="10" t="s">
        <v>1498</v>
      </c>
      <c r="J1297" s="12" t="s">
        <v>46</v>
      </c>
      <c r="K1297" s="10" t="s">
        <v>227</v>
      </c>
      <c r="L1297" s="12" t="s">
        <v>3594</v>
      </c>
      <c r="M1297" s="10" t="s">
        <v>49</v>
      </c>
      <c r="N1297" s="10" t="s">
        <v>508</v>
      </c>
      <c r="O1297" s="10" t="s">
        <v>320</v>
      </c>
      <c r="P1297" s="9" t="str">
        <f t="shared" si="28"/>
        <v>N/I</v>
      </c>
      <c r="Q1297" s="9" t="str">
        <f t="shared" si="29"/>
        <v>N/I</v>
      </c>
      <c r="R1297" s="9" t="str">
        <f t="shared" si="32"/>
        <v>N/I</v>
      </c>
    </row>
    <row r="1298">
      <c r="A1298" s="11" t="s">
        <v>3572</v>
      </c>
      <c r="B1298" s="11" t="s">
        <v>4080</v>
      </c>
      <c r="C1298" s="12" t="s">
        <v>1691</v>
      </c>
      <c r="D1298" s="16" t="s">
        <v>4081</v>
      </c>
      <c r="E1298" s="10" t="s">
        <v>390</v>
      </c>
      <c r="F1298" s="10" t="s">
        <v>3593</v>
      </c>
      <c r="G1298" s="12" t="s">
        <v>215</v>
      </c>
      <c r="H1298" s="10" t="s">
        <v>216</v>
      </c>
      <c r="I1298" s="10" t="s">
        <v>1498</v>
      </c>
      <c r="J1298" s="12" t="s">
        <v>46</v>
      </c>
      <c r="K1298" s="10" t="s">
        <v>227</v>
      </c>
      <c r="L1298" s="12" t="s">
        <v>3594</v>
      </c>
      <c r="M1298" s="10" t="s">
        <v>49</v>
      </c>
      <c r="N1298" s="10" t="s">
        <v>508</v>
      </c>
      <c r="O1298" s="10" t="s">
        <v>320</v>
      </c>
      <c r="P1298" s="9" t="str">
        <f t="shared" si="28"/>
        <v>N/I</v>
      </c>
      <c r="Q1298" s="9" t="str">
        <f t="shared" si="29"/>
        <v>N/I</v>
      </c>
      <c r="R1298" s="9" t="str">
        <f t="shared" si="32"/>
        <v>N/I</v>
      </c>
    </row>
    <row r="1299">
      <c r="A1299" s="11" t="s">
        <v>3572</v>
      </c>
      <c r="B1299" s="11" t="s">
        <v>4084</v>
      </c>
      <c r="C1299" s="12" t="s">
        <v>3579</v>
      </c>
      <c r="D1299" s="27" t="s">
        <v>4085</v>
      </c>
      <c r="E1299" s="10" t="s">
        <v>390</v>
      </c>
      <c r="F1299" s="10" t="s">
        <v>3603</v>
      </c>
      <c r="G1299" s="12" t="s">
        <v>215</v>
      </c>
      <c r="H1299" s="10" t="s">
        <v>216</v>
      </c>
      <c r="I1299" s="10" t="s">
        <v>1498</v>
      </c>
      <c r="J1299" s="12" t="s">
        <v>46</v>
      </c>
      <c r="K1299" s="10" t="s">
        <v>227</v>
      </c>
      <c r="L1299" s="16" t="s">
        <v>45</v>
      </c>
      <c r="M1299" s="10" t="s">
        <v>49</v>
      </c>
      <c r="N1299" s="10" t="s">
        <v>508</v>
      </c>
      <c r="O1299" s="10" t="s">
        <v>320</v>
      </c>
      <c r="P1299" s="9" t="str">
        <f t="shared" si="28"/>
        <v>N/I</v>
      </c>
      <c r="Q1299" s="9" t="str">
        <f t="shared" si="29"/>
        <v>N/I</v>
      </c>
      <c r="R1299" s="9" t="str">
        <f t="shared" si="32"/>
        <v>N/I</v>
      </c>
    </row>
    <row r="1300">
      <c r="A1300" s="11" t="s">
        <v>3572</v>
      </c>
      <c r="B1300" s="32" t="s">
        <v>4084</v>
      </c>
      <c r="C1300" s="12" t="s">
        <v>3579</v>
      </c>
      <c r="D1300" s="25" t="s">
        <v>187</v>
      </c>
      <c r="E1300" s="10" t="s">
        <v>390</v>
      </c>
      <c r="F1300" s="10" t="s">
        <v>3583</v>
      </c>
      <c r="G1300" s="12" t="s">
        <v>215</v>
      </c>
      <c r="H1300" s="10" t="s">
        <v>216</v>
      </c>
      <c r="I1300" s="10" t="s">
        <v>1498</v>
      </c>
      <c r="J1300" s="12" t="s">
        <v>46</v>
      </c>
      <c r="K1300" s="10" t="s">
        <v>227</v>
      </c>
      <c r="L1300" s="16" t="s">
        <v>45</v>
      </c>
      <c r="M1300" s="10" t="s">
        <v>49</v>
      </c>
      <c r="N1300" s="10" t="s">
        <v>508</v>
      </c>
      <c r="O1300" s="16"/>
      <c r="P1300" s="9" t="str">
        <f t="shared" si="28"/>
        <v>N/I</v>
      </c>
      <c r="Q1300" s="9" t="str">
        <f t="shared" si="29"/>
        <v>N/I</v>
      </c>
      <c r="R1300" s="9" t="str">
        <f t="shared" si="32"/>
        <v>N/I</v>
      </c>
    </row>
    <row r="1301">
      <c r="A1301" s="11" t="s">
        <v>3572</v>
      </c>
      <c r="B1301" s="32" t="s">
        <v>4084</v>
      </c>
      <c r="C1301" s="12" t="s">
        <v>1691</v>
      </c>
      <c r="D1301" s="27" t="s">
        <v>4086</v>
      </c>
      <c r="E1301" s="10" t="s">
        <v>292</v>
      </c>
      <c r="F1301" s="10" t="s">
        <v>3577</v>
      </c>
      <c r="G1301" s="12" t="s">
        <v>215</v>
      </c>
      <c r="H1301" s="10" t="s">
        <v>216</v>
      </c>
      <c r="I1301" s="10" t="s">
        <v>290</v>
      </c>
      <c r="J1301" s="12" t="s">
        <v>46</v>
      </c>
      <c r="K1301" s="10" t="s">
        <v>291</v>
      </c>
      <c r="L1301" s="16" t="s">
        <v>45</v>
      </c>
      <c r="M1301" s="10" t="s">
        <v>49</v>
      </c>
      <c r="N1301" s="16" t="s">
        <v>45</v>
      </c>
      <c r="O1301" s="10" t="s">
        <v>50</v>
      </c>
      <c r="P1301" s="9" t="str">
        <f t="shared" si="28"/>
        <v>N/I</v>
      </c>
      <c r="Q1301" s="9" t="str">
        <f t="shared" si="29"/>
        <v>N/I</v>
      </c>
      <c r="R1301" s="9" t="str">
        <f t="shared" si="32"/>
        <v>N/I</v>
      </c>
    </row>
    <row r="1302">
      <c r="A1302" s="11" t="s">
        <v>3572</v>
      </c>
      <c r="B1302" s="11" t="s">
        <v>4087</v>
      </c>
      <c r="C1302" s="12" t="s">
        <v>1691</v>
      </c>
      <c r="D1302" s="34" t="s">
        <v>4088</v>
      </c>
      <c r="E1302" s="10" t="s">
        <v>390</v>
      </c>
      <c r="F1302" s="10" t="s">
        <v>3593</v>
      </c>
      <c r="G1302" s="12" t="s">
        <v>4089</v>
      </c>
      <c r="H1302" s="10" t="s">
        <v>216</v>
      </c>
      <c r="I1302" s="10" t="s">
        <v>1498</v>
      </c>
      <c r="J1302" s="12" t="s">
        <v>46</v>
      </c>
      <c r="K1302" s="10" t="s">
        <v>227</v>
      </c>
      <c r="L1302" s="12" t="s">
        <v>3594</v>
      </c>
      <c r="M1302" s="10" t="s">
        <v>49</v>
      </c>
      <c r="N1302" s="10" t="s">
        <v>508</v>
      </c>
      <c r="O1302" s="10" t="s">
        <v>320</v>
      </c>
      <c r="P1302" s="9" t="str">
        <f t="shared" si="28"/>
        <v>N/I</v>
      </c>
      <c r="Q1302" s="9" t="str">
        <f t="shared" si="29"/>
        <v>N/I</v>
      </c>
      <c r="R1302" s="9" t="str">
        <f t="shared" si="32"/>
        <v>N/I</v>
      </c>
    </row>
    <row r="1303">
      <c r="A1303" s="11" t="s">
        <v>3572</v>
      </c>
      <c r="B1303" s="11" t="s">
        <v>4092</v>
      </c>
      <c r="C1303" s="12" t="s">
        <v>3579</v>
      </c>
      <c r="D1303" s="13" t="s">
        <v>4093</v>
      </c>
      <c r="E1303" s="10" t="s">
        <v>390</v>
      </c>
      <c r="F1303" s="10" t="s">
        <v>3603</v>
      </c>
      <c r="G1303" s="12" t="s">
        <v>4094</v>
      </c>
      <c r="H1303" s="10" t="s">
        <v>216</v>
      </c>
      <c r="I1303" s="10" t="s">
        <v>1498</v>
      </c>
      <c r="J1303" s="12" t="s">
        <v>46</v>
      </c>
      <c r="K1303" s="10" t="s">
        <v>227</v>
      </c>
      <c r="L1303" s="16" t="s">
        <v>45</v>
      </c>
      <c r="M1303" s="10" t="s">
        <v>49</v>
      </c>
      <c r="N1303" s="10" t="s">
        <v>508</v>
      </c>
      <c r="O1303" s="10" t="s">
        <v>320</v>
      </c>
      <c r="P1303" s="9" t="str">
        <f t="shared" si="28"/>
        <v>N/I</v>
      </c>
      <c r="Q1303" s="9" t="str">
        <f t="shared" si="29"/>
        <v>N/I</v>
      </c>
      <c r="R1303" s="9" t="str">
        <f t="shared" si="32"/>
        <v>N/I</v>
      </c>
    </row>
    <row r="1304">
      <c r="A1304" s="11" t="s">
        <v>3572</v>
      </c>
      <c r="B1304" s="11" t="s">
        <v>4095</v>
      </c>
      <c r="C1304" s="12" t="s">
        <v>1691</v>
      </c>
      <c r="D1304" s="34" t="s">
        <v>4096</v>
      </c>
      <c r="E1304" s="10" t="s">
        <v>390</v>
      </c>
      <c r="F1304" s="10" t="s">
        <v>3593</v>
      </c>
      <c r="G1304" s="12" t="s">
        <v>4097</v>
      </c>
      <c r="H1304" s="10" t="s">
        <v>216</v>
      </c>
      <c r="I1304" s="10" t="s">
        <v>1498</v>
      </c>
      <c r="J1304" s="12" t="s">
        <v>46</v>
      </c>
      <c r="K1304" s="10" t="s">
        <v>227</v>
      </c>
      <c r="L1304" s="12" t="s">
        <v>3594</v>
      </c>
      <c r="M1304" s="10" t="s">
        <v>49</v>
      </c>
      <c r="N1304" s="10" t="s">
        <v>508</v>
      </c>
      <c r="O1304" s="10" t="s">
        <v>320</v>
      </c>
      <c r="P1304" s="9" t="str">
        <f t="shared" si="28"/>
        <v>N/I</v>
      </c>
      <c r="Q1304" s="9" t="str">
        <f t="shared" si="29"/>
        <v>N/I</v>
      </c>
      <c r="R1304" s="9" t="str">
        <f t="shared" si="32"/>
        <v>N/I</v>
      </c>
    </row>
    <row r="1305">
      <c r="A1305" s="11" t="s">
        <v>3572</v>
      </c>
      <c r="B1305" s="11" t="s">
        <v>4095</v>
      </c>
      <c r="C1305" s="12" t="s">
        <v>3579</v>
      </c>
      <c r="D1305" s="13" t="s">
        <v>4100</v>
      </c>
      <c r="E1305" s="10" t="s">
        <v>390</v>
      </c>
      <c r="F1305" s="10" t="s">
        <v>3603</v>
      </c>
      <c r="G1305" s="12" t="s">
        <v>4097</v>
      </c>
      <c r="H1305" s="10" t="s">
        <v>216</v>
      </c>
      <c r="I1305" s="10" t="s">
        <v>1498</v>
      </c>
      <c r="J1305" s="12" t="s">
        <v>46</v>
      </c>
      <c r="K1305" s="10" t="s">
        <v>227</v>
      </c>
      <c r="L1305" s="16" t="s">
        <v>45</v>
      </c>
      <c r="M1305" s="10" t="s">
        <v>49</v>
      </c>
      <c r="N1305" s="10" t="s">
        <v>508</v>
      </c>
      <c r="O1305" s="10" t="s">
        <v>320</v>
      </c>
      <c r="P1305" s="9" t="str">
        <f t="shared" si="28"/>
        <v>N/I</v>
      </c>
      <c r="Q1305" s="9" t="str">
        <f t="shared" si="29"/>
        <v>N/I</v>
      </c>
      <c r="R1305" s="9" t="str">
        <f t="shared" si="32"/>
        <v>N/I</v>
      </c>
    </row>
    <row r="1306">
      <c r="A1306" s="11" t="s">
        <v>3572</v>
      </c>
      <c r="B1306" s="11" t="s">
        <v>4103</v>
      </c>
      <c r="C1306" s="12" t="s">
        <v>1691</v>
      </c>
      <c r="D1306" s="34" t="s">
        <v>4104</v>
      </c>
      <c r="E1306" s="10" t="s">
        <v>390</v>
      </c>
      <c r="F1306" s="10" t="s">
        <v>3593</v>
      </c>
      <c r="G1306" s="12" t="s">
        <v>4105</v>
      </c>
      <c r="H1306" s="10" t="s">
        <v>216</v>
      </c>
      <c r="I1306" s="10" t="s">
        <v>1498</v>
      </c>
      <c r="J1306" s="12" t="s">
        <v>46</v>
      </c>
      <c r="K1306" s="10" t="s">
        <v>227</v>
      </c>
      <c r="L1306" s="12" t="s">
        <v>3594</v>
      </c>
      <c r="M1306" s="10" t="s">
        <v>49</v>
      </c>
      <c r="N1306" s="10" t="s">
        <v>508</v>
      </c>
      <c r="O1306" s="10" t="s">
        <v>320</v>
      </c>
      <c r="P1306" s="9" t="str">
        <f t="shared" si="28"/>
        <v>N/I</v>
      </c>
      <c r="Q1306" s="9" t="str">
        <f t="shared" si="29"/>
        <v>N/I</v>
      </c>
      <c r="R1306" s="9" t="str">
        <f t="shared" si="32"/>
        <v>N/I</v>
      </c>
    </row>
    <row r="1307">
      <c r="A1307" s="11" t="s">
        <v>3572</v>
      </c>
      <c r="B1307" s="11" t="s">
        <v>4103</v>
      </c>
      <c r="C1307" s="12" t="s">
        <v>3579</v>
      </c>
      <c r="D1307" s="13" t="s">
        <v>4108</v>
      </c>
      <c r="E1307" s="10" t="s">
        <v>390</v>
      </c>
      <c r="F1307" s="10" t="s">
        <v>3603</v>
      </c>
      <c r="G1307" s="12" t="s">
        <v>4105</v>
      </c>
      <c r="H1307" s="10" t="s">
        <v>216</v>
      </c>
      <c r="I1307" s="10" t="s">
        <v>1498</v>
      </c>
      <c r="J1307" s="12" t="s">
        <v>46</v>
      </c>
      <c r="K1307" s="10" t="s">
        <v>227</v>
      </c>
      <c r="L1307" s="16" t="s">
        <v>45</v>
      </c>
      <c r="M1307" s="10" t="s">
        <v>49</v>
      </c>
      <c r="N1307" s="10" t="s">
        <v>508</v>
      </c>
      <c r="O1307" s="10" t="s">
        <v>320</v>
      </c>
      <c r="P1307" s="9" t="str">
        <f t="shared" si="28"/>
        <v>N/I</v>
      </c>
      <c r="Q1307" s="9" t="str">
        <f t="shared" si="29"/>
        <v>N/I</v>
      </c>
      <c r="R1307" s="9" t="str">
        <f t="shared" si="32"/>
        <v>N/I</v>
      </c>
    </row>
    <row r="1308">
      <c r="A1308" s="11" t="s">
        <v>3572</v>
      </c>
      <c r="B1308" s="11"/>
      <c r="C1308" s="12" t="s">
        <v>1691</v>
      </c>
      <c r="D1308" s="57" t="s">
        <v>187</v>
      </c>
      <c r="E1308" s="10" t="s">
        <v>390</v>
      </c>
      <c r="F1308" s="10" t="s">
        <v>3593</v>
      </c>
      <c r="G1308" s="12"/>
      <c r="H1308" s="10" t="s">
        <v>216</v>
      </c>
      <c r="I1308" s="10" t="s">
        <v>1498</v>
      </c>
      <c r="J1308" s="12" t="s">
        <v>46</v>
      </c>
      <c r="K1308" s="10" t="s">
        <v>227</v>
      </c>
      <c r="L1308" s="12" t="s">
        <v>3594</v>
      </c>
      <c r="M1308" s="10" t="s">
        <v>49</v>
      </c>
      <c r="N1308" s="10" t="s">
        <v>508</v>
      </c>
      <c r="O1308" s="10" t="s">
        <v>320</v>
      </c>
      <c r="P1308" s="9" t="str">
        <f t="shared" si="28"/>
        <v>N/I</v>
      </c>
      <c r="Q1308" s="9" t="str">
        <f t="shared" si="29"/>
        <v>N/I</v>
      </c>
      <c r="R1308" s="9" t="str">
        <f t="shared" si="32"/>
        <v>N/I</v>
      </c>
    </row>
    <row r="1309">
      <c r="A1309" s="11" t="s">
        <v>3572</v>
      </c>
      <c r="B1309" s="11" t="s">
        <v>4072</v>
      </c>
      <c r="C1309" s="12" t="s">
        <v>3579</v>
      </c>
      <c r="D1309" s="34" t="s">
        <v>4110</v>
      </c>
      <c r="E1309" s="10" t="s">
        <v>390</v>
      </c>
      <c r="F1309" s="10" t="s">
        <v>3603</v>
      </c>
      <c r="G1309" s="12" t="s">
        <v>215</v>
      </c>
      <c r="H1309" s="10" t="s">
        <v>216</v>
      </c>
      <c r="I1309" s="10" t="s">
        <v>1498</v>
      </c>
      <c r="J1309" s="12" t="s">
        <v>46</v>
      </c>
      <c r="K1309" s="10" t="s">
        <v>227</v>
      </c>
      <c r="L1309" s="16" t="s">
        <v>45</v>
      </c>
      <c r="M1309" s="10" t="s">
        <v>49</v>
      </c>
      <c r="N1309" s="10" t="s">
        <v>508</v>
      </c>
      <c r="O1309" s="10" t="s">
        <v>320</v>
      </c>
      <c r="P1309" s="9" t="str">
        <f t="shared" si="28"/>
        <v>N/I</v>
      </c>
      <c r="Q1309" s="9" t="str">
        <f t="shared" si="29"/>
        <v>N/I</v>
      </c>
      <c r="R1309" s="9" t="str">
        <f t="shared" si="32"/>
        <v>N/I</v>
      </c>
    </row>
    <row r="1310">
      <c r="A1310" s="11" t="s">
        <v>4112</v>
      </c>
      <c r="B1310" s="11" t="s">
        <v>4113</v>
      </c>
      <c r="C1310" s="12" t="s">
        <v>94</v>
      </c>
      <c r="D1310" s="42" t="s">
        <v>4114</v>
      </c>
      <c r="E1310" s="16" t="s">
        <v>45</v>
      </c>
      <c r="F1310" s="10" t="s">
        <v>4118</v>
      </c>
      <c r="G1310" s="12" t="s">
        <v>4115</v>
      </c>
      <c r="H1310" s="10" t="s">
        <v>521</v>
      </c>
      <c r="I1310" s="16" t="s">
        <v>45</v>
      </c>
      <c r="J1310" s="16" t="s">
        <v>45</v>
      </c>
      <c r="K1310" s="16" t="s">
        <v>45</v>
      </c>
      <c r="L1310" s="16" t="s">
        <v>45</v>
      </c>
      <c r="M1310" s="10" t="s">
        <v>49</v>
      </c>
      <c r="N1310" s="16" t="s">
        <v>45</v>
      </c>
      <c r="O1310" s="10" t="s">
        <v>320</v>
      </c>
      <c r="P1310" s="9" t="str">
        <f t="shared" si="28"/>
        <v>N/I</v>
      </c>
      <c r="Q1310" s="9" t="str">
        <f t="shared" si="29"/>
        <v>N/I</v>
      </c>
      <c r="R1310" s="9" t="str">
        <f t="shared" si="32"/>
        <v>N/I</v>
      </c>
    </row>
    <row r="1311">
      <c r="A1311" s="11" t="s">
        <v>4120</v>
      </c>
      <c r="B1311" s="32" t="s">
        <v>4121</v>
      </c>
      <c r="C1311" s="12" t="s">
        <v>55</v>
      </c>
      <c r="D1311" s="42" t="s">
        <v>4122</v>
      </c>
      <c r="E1311" s="12" t="s">
        <v>4125</v>
      </c>
      <c r="F1311" s="10" t="s">
        <v>4124</v>
      </c>
      <c r="G1311" s="12" t="s">
        <v>246</v>
      </c>
      <c r="H1311" s="10" t="s">
        <v>247</v>
      </c>
      <c r="I1311" s="10" t="s">
        <v>354</v>
      </c>
      <c r="J1311" s="12" t="s">
        <v>46</v>
      </c>
      <c r="K1311" s="10" t="s">
        <v>226</v>
      </c>
      <c r="L1311" s="10" t="s">
        <v>4126</v>
      </c>
      <c r="M1311" s="10" t="s">
        <v>49</v>
      </c>
      <c r="N1311" s="16" t="s">
        <v>45</v>
      </c>
      <c r="O1311" s="10" t="s">
        <v>320</v>
      </c>
      <c r="P1311" s="9" t="str">
        <f t="shared" si="28"/>
        <v>N/I</v>
      </c>
      <c r="Q1311" s="9" t="str">
        <f t="shared" si="29"/>
        <v>N/I</v>
      </c>
      <c r="R1311" s="9" t="str">
        <f t="shared" si="32"/>
        <v>N/I</v>
      </c>
    </row>
    <row r="1312">
      <c r="A1312" s="11" t="s">
        <v>4120</v>
      </c>
      <c r="B1312" s="32" t="s">
        <v>4127</v>
      </c>
      <c r="C1312" s="12" t="s">
        <v>55</v>
      </c>
      <c r="D1312" s="42" t="s">
        <v>4128</v>
      </c>
      <c r="E1312" s="12" t="s">
        <v>4125</v>
      </c>
      <c r="F1312" s="10" t="s">
        <v>4124</v>
      </c>
      <c r="G1312" s="12" t="s">
        <v>188</v>
      </c>
      <c r="H1312" s="10" t="s">
        <v>189</v>
      </c>
      <c r="I1312" s="10" t="s">
        <v>354</v>
      </c>
      <c r="J1312" s="12" t="s">
        <v>46</v>
      </c>
      <c r="K1312" s="10" t="s">
        <v>226</v>
      </c>
      <c r="L1312" s="10" t="s">
        <v>4126</v>
      </c>
      <c r="M1312" s="10" t="s">
        <v>49</v>
      </c>
      <c r="N1312" s="16" t="s">
        <v>45</v>
      </c>
      <c r="O1312" s="10" t="s">
        <v>320</v>
      </c>
      <c r="P1312" s="9" t="str">
        <f t="shared" si="28"/>
        <v>N/I</v>
      </c>
      <c r="Q1312" s="9" t="str">
        <f t="shared" si="29"/>
        <v>N/I</v>
      </c>
      <c r="R1312" s="9" t="str">
        <f t="shared" si="32"/>
        <v>N/I</v>
      </c>
    </row>
    <row r="1313">
      <c r="A1313" s="11" t="s">
        <v>4120</v>
      </c>
      <c r="B1313" s="32" t="s">
        <v>4129</v>
      </c>
      <c r="C1313" s="12" t="s">
        <v>55</v>
      </c>
      <c r="D1313" s="42" t="s">
        <v>4130</v>
      </c>
      <c r="E1313" s="12" t="s">
        <v>4125</v>
      </c>
      <c r="F1313" s="10" t="s">
        <v>4124</v>
      </c>
      <c r="G1313" s="12" t="s">
        <v>1514</v>
      </c>
      <c r="H1313" s="10" t="s">
        <v>283</v>
      </c>
      <c r="I1313" s="10" t="s">
        <v>354</v>
      </c>
      <c r="J1313" s="12" t="s">
        <v>46</v>
      </c>
      <c r="K1313" s="10" t="s">
        <v>226</v>
      </c>
      <c r="L1313" s="10" t="s">
        <v>4126</v>
      </c>
      <c r="M1313" s="10" t="s">
        <v>49</v>
      </c>
      <c r="N1313" s="16" t="s">
        <v>45</v>
      </c>
      <c r="O1313" s="10" t="s">
        <v>320</v>
      </c>
      <c r="P1313" s="9" t="str">
        <f t="shared" si="28"/>
        <v>N/I</v>
      </c>
      <c r="Q1313" s="9" t="str">
        <f t="shared" si="29"/>
        <v>N/I</v>
      </c>
      <c r="R1313" s="9" t="str">
        <f t="shared" si="32"/>
        <v>N/I</v>
      </c>
    </row>
    <row r="1314">
      <c r="A1314" s="11" t="s">
        <v>4120</v>
      </c>
      <c r="B1314" s="32" t="s">
        <v>4129</v>
      </c>
      <c r="C1314" s="12" t="s">
        <v>55</v>
      </c>
      <c r="D1314" s="42" t="s">
        <v>4133</v>
      </c>
      <c r="E1314" s="12" t="s">
        <v>4125</v>
      </c>
      <c r="F1314" s="10" t="s">
        <v>4124</v>
      </c>
      <c r="G1314" s="12" t="s">
        <v>1514</v>
      </c>
      <c r="H1314" s="10" t="s">
        <v>283</v>
      </c>
      <c r="I1314" s="10" t="s">
        <v>354</v>
      </c>
      <c r="J1314" s="12" t="s">
        <v>46</v>
      </c>
      <c r="K1314" s="10" t="s">
        <v>226</v>
      </c>
      <c r="L1314" s="10" t="s">
        <v>4126</v>
      </c>
      <c r="M1314" s="10" t="s">
        <v>49</v>
      </c>
      <c r="N1314" s="16" t="s">
        <v>45</v>
      </c>
      <c r="O1314" s="10" t="s">
        <v>320</v>
      </c>
      <c r="P1314" s="9" t="str">
        <f t="shared" si="28"/>
        <v>N/I</v>
      </c>
      <c r="Q1314" s="9" t="str">
        <f t="shared" si="29"/>
        <v>N/I</v>
      </c>
      <c r="R1314" s="9" t="str">
        <f t="shared" si="32"/>
        <v>N/I</v>
      </c>
    </row>
    <row r="1315">
      <c r="A1315" s="11" t="s">
        <v>4120</v>
      </c>
      <c r="B1315" s="32" t="s">
        <v>4134</v>
      </c>
      <c r="C1315" s="12" t="s">
        <v>55</v>
      </c>
      <c r="D1315" s="42" t="s">
        <v>4135</v>
      </c>
      <c r="E1315" s="12" t="s">
        <v>4125</v>
      </c>
      <c r="F1315" s="10" t="s">
        <v>4124</v>
      </c>
      <c r="G1315" s="12" t="s">
        <v>1268</v>
      </c>
      <c r="H1315" s="10" t="s">
        <v>858</v>
      </c>
      <c r="I1315" s="10" t="s">
        <v>354</v>
      </c>
      <c r="J1315" s="12" t="s">
        <v>46</v>
      </c>
      <c r="K1315" s="10" t="s">
        <v>226</v>
      </c>
      <c r="L1315" s="10" t="s">
        <v>4126</v>
      </c>
      <c r="M1315" s="10" t="s">
        <v>49</v>
      </c>
      <c r="N1315" s="16" t="s">
        <v>45</v>
      </c>
      <c r="O1315" s="10" t="s">
        <v>320</v>
      </c>
      <c r="P1315" s="9" t="str">
        <f t="shared" si="28"/>
        <v>N/I</v>
      </c>
      <c r="Q1315" s="9" t="str">
        <f t="shared" si="29"/>
        <v>N/I</v>
      </c>
      <c r="R1315" s="9" t="str">
        <f t="shared" si="32"/>
        <v>N/I</v>
      </c>
    </row>
    <row r="1316">
      <c r="A1316" s="11" t="s">
        <v>4120</v>
      </c>
      <c r="B1316" s="32" t="s">
        <v>4134</v>
      </c>
      <c r="C1316" s="12" t="s">
        <v>55</v>
      </c>
      <c r="D1316" s="42" t="s">
        <v>4136</v>
      </c>
      <c r="E1316" s="12" t="s">
        <v>4125</v>
      </c>
      <c r="F1316" s="10" t="s">
        <v>4124</v>
      </c>
      <c r="G1316" s="12" t="s">
        <v>1268</v>
      </c>
      <c r="H1316" s="10" t="s">
        <v>858</v>
      </c>
      <c r="I1316" s="10" t="s">
        <v>354</v>
      </c>
      <c r="J1316" s="12" t="s">
        <v>46</v>
      </c>
      <c r="K1316" s="10" t="s">
        <v>226</v>
      </c>
      <c r="L1316" s="10" t="s">
        <v>4126</v>
      </c>
      <c r="M1316" s="10" t="s">
        <v>49</v>
      </c>
      <c r="N1316" s="16" t="s">
        <v>45</v>
      </c>
      <c r="O1316" s="10" t="s">
        <v>320</v>
      </c>
      <c r="P1316" s="9" t="str">
        <f t="shared" si="28"/>
        <v>N/I</v>
      </c>
      <c r="Q1316" s="9" t="str">
        <f t="shared" si="29"/>
        <v>N/I</v>
      </c>
      <c r="R1316" s="9" t="str">
        <f t="shared" si="32"/>
        <v>N/I</v>
      </c>
    </row>
    <row r="1317">
      <c r="A1317" s="11" t="s">
        <v>4120</v>
      </c>
      <c r="B1317" s="32" t="s">
        <v>4137</v>
      </c>
      <c r="C1317" s="12" t="s">
        <v>55</v>
      </c>
      <c r="D1317" s="42" t="s">
        <v>4138</v>
      </c>
      <c r="E1317" s="12" t="s">
        <v>4125</v>
      </c>
      <c r="F1317" s="10" t="s">
        <v>4124</v>
      </c>
      <c r="G1317" s="12" t="s">
        <v>869</v>
      </c>
      <c r="H1317" s="10" t="s">
        <v>870</v>
      </c>
      <c r="I1317" s="10" t="s">
        <v>354</v>
      </c>
      <c r="J1317" s="12" t="s">
        <v>46</v>
      </c>
      <c r="K1317" s="10" t="s">
        <v>226</v>
      </c>
      <c r="L1317" s="10" t="s">
        <v>4126</v>
      </c>
      <c r="M1317" s="10" t="s">
        <v>49</v>
      </c>
      <c r="N1317" s="16" t="s">
        <v>45</v>
      </c>
      <c r="O1317" s="10" t="s">
        <v>320</v>
      </c>
      <c r="P1317" s="9" t="str">
        <f t="shared" si="28"/>
        <v>N/I</v>
      </c>
      <c r="Q1317" s="9" t="str">
        <f t="shared" si="29"/>
        <v>N/I</v>
      </c>
      <c r="R1317" s="9" t="str">
        <f t="shared" si="32"/>
        <v>N/I</v>
      </c>
    </row>
    <row r="1318">
      <c r="A1318" s="11" t="s">
        <v>4120</v>
      </c>
      <c r="B1318" s="32" t="s">
        <v>4137</v>
      </c>
      <c r="C1318" s="12" t="s">
        <v>55</v>
      </c>
      <c r="D1318" s="42" t="s">
        <v>4140</v>
      </c>
      <c r="E1318" s="12" t="s">
        <v>4125</v>
      </c>
      <c r="F1318" s="10" t="s">
        <v>4124</v>
      </c>
      <c r="G1318" s="12" t="s">
        <v>869</v>
      </c>
      <c r="H1318" s="10" t="s">
        <v>870</v>
      </c>
      <c r="I1318" s="10" t="s">
        <v>354</v>
      </c>
      <c r="J1318" s="12" t="s">
        <v>46</v>
      </c>
      <c r="K1318" s="10" t="s">
        <v>226</v>
      </c>
      <c r="L1318" s="10" t="s">
        <v>4126</v>
      </c>
      <c r="M1318" s="10" t="s">
        <v>49</v>
      </c>
      <c r="N1318" s="16" t="s">
        <v>45</v>
      </c>
      <c r="O1318" s="10" t="s">
        <v>320</v>
      </c>
      <c r="P1318" s="9" t="str">
        <f t="shared" si="28"/>
        <v>N/I</v>
      </c>
      <c r="Q1318" s="9" t="str">
        <f t="shared" si="29"/>
        <v>N/I</v>
      </c>
      <c r="R1318" s="9" t="str">
        <f t="shared" si="32"/>
        <v>N/I</v>
      </c>
    </row>
    <row r="1319">
      <c r="A1319" s="11" t="s">
        <v>4142</v>
      </c>
      <c r="B1319" s="32"/>
      <c r="C1319" s="12" t="s">
        <v>94</v>
      </c>
      <c r="D1319" s="20" t="s">
        <v>4143</v>
      </c>
      <c r="E1319" s="16" t="s">
        <v>45</v>
      </c>
      <c r="F1319" s="10" t="s">
        <v>4146</v>
      </c>
      <c r="G1319" s="12" t="s">
        <v>463</v>
      </c>
      <c r="H1319" s="10" t="s">
        <v>222</v>
      </c>
      <c r="I1319" s="16" t="s">
        <v>45</v>
      </c>
      <c r="J1319" s="16" t="s">
        <v>45</v>
      </c>
      <c r="K1319" s="16" t="s">
        <v>45</v>
      </c>
      <c r="L1319" s="16" t="s">
        <v>45</v>
      </c>
      <c r="M1319" s="10" t="s">
        <v>49</v>
      </c>
      <c r="N1319" s="16" t="s">
        <v>45</v>
      </c>
      <c r="O1319" s="10" t="s">
        <v>50</v>
      </c>
      <c r="P1319" s="9" t="str">
        <f t="shared" si="28"/>
        <v>N/I</v>
      </c>
      <c r="Q1319" s="9" t="str">
        <f t="shared" si="29"/>
        <v>N/I</v>
      </c>
      <c r="R1319" s="9" t="str">
        <f t="shared" si="32"/>
        <v>N/I</v>
      </c>
    </row>
    <row r="1320">
      <c r="A1320" s="11" t="s">
        <v>4142</v>
      </c>
      <c r="B1320" s="32"/>
      <c r="C1320" s="12" t="s">
        <v>94</v>
      </c>
      <c r="D1320" s="20" t="s">
        <v>4147</v>
      </c>
      <c r="E1320" s="16" t="s">
        <v>45</v>
      </c>
      <c r="F1320" s="10" t="s">
        <v>4146</v>
      </c>
      <c r="G1320" s="12" t="s">
        <v>463</v>
      </c>
      <c r="H1320" s="10" t="s">
        <v>222</v>
      </c>
      <c r="I1320" s="16" t="s">
        <v>45</v>
      </c>
      <c r="J1320" s="16" t="s">
        <v>45</v>
      </c>
      <c r="K1320" s="16" t="s">
        <v>45</v>
      </c>
      <c r="L1320" s="16" t="s">
        <v>45</v>
      </c>
      <c r="M1320" s="10" t="s">
        <v>49</v>
      </c>
      <c r="N1320" s="16" t="s">
        <v>45</v>
      </c>
      <c r="O1320" s="10" t="s">
        <v>50</v>
      </c>
      <c r="P1320" s="9" t="str">
        <f t="shared" si="28"/>
        <v>N/I</v>
      </c>
      <c r="Q1320" s="9" t="str">
        <f t="shared" si="29"/>
        <v>N/I</v>
      </c>
      <c r="R1320" s="9" t="str">
        <f t="shared" si="32"/>
        <v>N/I</v>
      </c>
    </row>
    <row r="1321">
      <c r="A1321" s="11" t="s">
        <v>4149</v>
      </c>
      <c r="B1321" s="32" t="s">
        <v>4150</v>
      </c>
      <c r="C1321" s="12" t="s">
        <v>502</v>
      </c>
      <c r="D1321" s="16" t="s">
        <v>4151</v>
      </c>
      <c r="E1321" s="10" t="s">
        <v>227</v>
      </c>
      <c r="F1321" s="10" t="s">
        <v>4152</v>
      </c>
      <c r="G1321" s="12" t="s">
        <v>246</v>
      </c>
      <c r="H1321" s="10" t="s">
        <v>247</v>
      </c>
      <c r="I1321" s="10" t="s">
        <v>680</v>
      </c>
      <c r="J1321" s="12" t="s">
        <v>46</v>
      </c>
      <c r="K1321" s="10" t="s">
        <v>4153</v>
      </c>
      <c r="L1321" s="16" t="s">
        <v>45</v>
      </c>
      <c r="M1321" s="10" t="s">
        <v>49</v>
      </c>
      <c r="N1321" s="10" t="s">
        <v>291</v>
      </c>
      <c r="O1321" s="10" t="s">
        <v>50</v>
      </c>
      <c r="P1321" s="9" t="str">
        <f t="shared" si="28"/>
        <v>N/I</v>
      </c>
      <c r="Q1321" s="9" t="str">
        <f t="shared" si="29"/>
        <v>N/I</v>
      </c>
      <c r="R1321" s="9" t="str">
        <f t="shared" si="32"/>
        <v>N/I</v>
      </c>
    </row>
    <row r="1322">
      <c r="A1322" s="11" t="s">
        <v>4149</v>
      </c>
      <c r="B1322" s="32" t="s">
        <v>4150</v>
      </c>
      <c r="C1322" s="12" t="s">
        <v>502</v>
      </c>
      <c r="D1322" s="16" t="s">
        <v>4154</v>
      </c>
      <c r="E1322" s="10" t="s">
        <v>227</v>
      </c>
      <c r="F1322" s="10" t="s">
        <v>4152</v>
      </c>
      <c r="G1322" s="12" t="s">
        <v>246</v>
      </c>
      <c r="H1322" s="10" t="s">
        <v>247</v>
      </c>
      <c r="I1322" s="10" t="s">
        <v>680</v>
      </c>
      <c r="J1322" s="12" t="s">
        <v>46</v>
      </c>
      <c r="K1322" s="10" t="s">
        <v>4153</v>
      </c>
      <c r="L1322" s="16" t="s">
        <v>45</v>
      </c>
      <c r="M1322" s="10" t="s">
        <v>49</v>
      </c>
      <c r="N1322" s="10" t="s">
        <v>291</v>
      </c>
      <c r="O1322" s="10" t="s">
        <v>50</v>
      </c>
      <c r="P1322" s="9" t="str">
        <f t="shared" si="28"/>
        <v>N/I</v>
      </c>
      <c r="Q1322" s="9" t="str">
        <f t="shared" si="29"/>
        <v>N/I</v>
      </c>
      <c r="R1322" s="9" t="str">
        <f t="shared" si="32"/>
        <v>N/I</v>
      </c>
    </row>
    <row r="1323">
      <c r="A1323" s="11" t="s">
        <v>4149</v>
      </c>
      <c r="B1323" s="32" t="s">
        <v>4150</v>
      </c>
      <c r="C1323" s="12" t="s">
        <v>502</v>
      </c>
      <c r="D1323" s="16" t="s">
        <v>4155</v>
      </c>
      <c r="E1323" s="10" t="s">
        <v>227</v>
      </c>
      <c r="F1323" s="10" t="s">
        <v>4156</v>
      </c>
      <c r="G1323" s="12" t="s">
        <v>246</v>
      </c>
      <c r="H1323" s="10" t="s">
        <v>247</v>
      </c>
      <c r="I1323" s="10" t="s">
        <v>680</v>
      </c>
      <c r="J1323" s="12" t="s">
        <v>46</v>
      </c>
      <c r="K1323" s="10" t="s">
        <v>4153</v>
      </c>
      <c r="L1323" s="16" t="s">
        <v>45</v>
      </c>
      <c r="M1323" s="10" t="s">
        <v>49</v>
      </c>
      <c r="N1323" s="10" t="s">
        <v>291</v>
      </c>
      <c r="O1323" s="10" t="s">
        <v>50</v>
      </c>
      <c r="P1323" s="9" t="str">
        <f t="shared" si="28"/>
        <v>N/I</v>
      </c>
      <c r="Q1323" s="9" t="str">
        <f t="shared" si="29"/>
        <v>N/I</v>
      </c>
      <c r="R1323" s="9" t="str">
        <f t="shared" si="32"/>
        <v>N/I</v>
      </c>
    </row>
    <row r="1324">
      <c r="A1324" s="11" t="s">
        <v>4149</v>
      </c>
      <c r="B1324" s="32" t="s">
        <v>4157</v>
      </c>
      <c r="C1324" s="12" t="s">
        <v>502</v>
      </c>
      <c r="D1324" s="16" t="s">
        <v>4158</v>
      </c>
      <c r="E1324" s="10" t="s">
        <v>227</v>
      </c>
      <c r="F1324" s="10" t="s">
        <v>4156</v>
      </c>
      <c r="G1324" s="12" t="s">
        <v>246</v>
      </c>
      <c r="H1324" s="10" t="s">
        <v>247</v>
      </c>
      <c r="I1324" s="10" t="s">
        <v>680</v>
      </c>
      <c r="J1324" s="12" t="s">
        <v>46</v>
      </c>
      <c r="K1324" s="10" t="s">
        <v>4153</v>
      </c>
      <c r="L1324" s="16" t="s">
        <v>45</v>
      </c>
      <c r="M1324" s="10" t="s">
        <v>49</v>
      </c>
      <c r="N1324" s="10" t="s">
        <v>291</v>
      </c>
      <c r="O1324" s="10" t="s">
        <v>50</v>
      </c>
      <c r="P1324" s="9" t="str">
        <f t="shared" si="28"/>
        <v>N/I</v>
      </c>
      <c r="Q1324" s="9" t="str">
        <f t="shared" si="29"/>
        <v>N/I</v>
      </c>
      <c r="R1324" s="9" t="str">
        <f t="shared" si="32"/>
        <v>N/I</v>
      </c>
    </row>
    <row r="1325">
      <c r="A1325" s="11" t="s">
        <v>4149</v>
      </c>
      <c r="B1325" s="32" t="s">
        <v>4157</v>
      </c>
      <c r="C1325" s="12" t="s">
        <v>502</v>
      </c>
      <c r="D1325" s="16" t="s">
        <v>4161</v>
      </c>
      <c r="E1325" s="10" t="s">
        <v>227</v>
      </c>
      <c r="F1325" s="10" t="s">
        <v>4156</v>
      </c>
      <c r="G1325" s="12" t="s">
        <v>246</v>
      </c>
      <c r="H1325" s="10" t="s">
        <v>247</v>
      </c>
      <c r="I1325" s="10" t="s">
        <v>680</v>
      </c>
      <c r="J1325" s="12" t="s">
        <v>46</v>
      </c>
      <c r="K1325" s="10" t="s">
        <v>4153</v>
      </c>
      <c r="L1325" s="16" t="s">
        <v>45</v>
      </c>
      <c r="M1325" s="10" t="s">
        <v>49</v>
      </c>
      <c r="N1325" s="10" t="s">
        <v>291</v>
      </c>
      <c r="O1325" s="10" t="s">
        <v>50</v>
      </c>
      <c r="P1325" s="9" t="str">
        <f t="shared" si="28"/>
        <v>N/I</v>
      </c>
      <c r="Q1325" s="9" t="str">
        <f t="shared" si="29"/>
        <v>N/I</v>
      </c>
      <c r="R1325" s="9" t="str">
        <f t="shared" si="32"/>
        <v>N/I</v>
      </c>
    </row>
    <row r="1326">
      <c r="A1326" s="11" t="s">
        <v>4149</v>
      </c>
      <c r="B1326" s="32" t="s">
        <v>4157</v>
      </c>
      <c r="C1326" s="12" t="s">
        <v>502</v>
      </c>
      <c r="D1326" s="16" t="s">
        <v>4162</v>
      </c>
      <c r="E1326" s="10" t="s">
        <v>227</v>
      </c>
      <c r="F1326" s="10" t="s">
        <v>4156</v>
      </c>
      <c r="G1326" s="12" t="s">
        <v>246</v>
      </c>
      <c r="H1326" s="10" t="s">
        <v>247</v>
      </c>
      <c r="I1326" s="10" t="s">
        <v>680</v>
      </c>
      <c r="J1326" s="12" t="s">
        <v>46</v>
      </c>
      <c r="K1326" s="10" t="s">
        <v>4153</v>
      </c>
      <c r="L1326" s="16" t="s">
        <v>45</v>
      </c>
      <c r="M1326" s="10" t="s">
        <v>49</v>
      </c>
      <c r="N1326" s="10" t="s">
        <v>291</v>
      </c>
      <c r="O1326" s="10" t="s">
        <v>50</v>
      </c>
      <c r="P1326" s="9" t="str">
        <f t="shared" si="28"/>
        <v>N/I</v>
      </c>
      <c r="Q1326" s="9" t="str">
        <f t="shared" si="29"/>
        <v>N/I</v>
      </c>
      <c r="R1326" s="9" t="str">
        <f t="shared" si="32"/>
        <v>N/I</v>
      </c>
    </row>
    <row r="1327">
      <c r="A1327" s="11" t="s">
        <v>4149</v>
      </c>
      <c r="B1327" s="32" t="s">
        <v>4157</v>
      </c>
      <c r="C1327" s="12" t="s">
        <v>502</v>
      </c>
      <c r="D1327" s="16" t="s">
        <v>4163</v>
      </c>
      <c r="E1327" s="10" t="s">
        <v>227</v>
      </c>
      <c r="F1327" s="10" t="s">
        <v>4156</v>
      </c>
      <c r="G1327" s="12" t="s">
        <v>246</v>
      </c>
      <c r="H1327" s="10" t="s">
        <v>247</v>
      </c>
      <c r="I1327" s="10" t="s">
        <v>680</v>
      </c>
      <c r="J1327" s="12" t="s">
        <v>46</v>
      </c>
      <c r="K1327" s="10" t="s">
        <v>4153</v>
      </c>
      <c r="L1327" s="16" t="s">
        <v>45</v>
      </c>
      <c r="M1327" s="10" t="s">
        <v>49</v>
      </c>
      <c r="N1327" s="10" t="s">
        <v>291</v>
      </c>
      <c r="O1327" s="10" t="s">
        <v>50</v>
      </c>
      <c r="P1327" s="9" t="str">
        <f t="shared" si="28"/>
        <v>N/I</v>
      </c>
      <c r="Q1327" s="9" t="str">
        <f t="shared" si="29"/>
        <v>N/I</v>
      </c>
      <c r="R1327" s="9" t="str">
        <f t="shared" si="32"/>
        <v>N/I</v>
      </c>
    </row>
    <row r="1328">
      <c r="A1328" s="11" t="s">
        <v>4149</v>
      </c>
      <c r="B1328" s="32" t="s">
        <v>4164</v>
      </c>
      <c r="C1328" s="12" t="s">
        <v>502</v>
      </c>
      <c r="D1328" s="16" t="s">
        <v>4165</v>
      </c>
      <c r="E1328" s="10" t="s">
        <v>227</v>
      </c>
      <c r="F1328" s="10" t="s">
        <v>4156</v>
      </c>
      <c r="G1328" s="12" t="s">
        <v>246</v>
      </c>
      <c r="H1328" s="10" t="s">
        <v>247</v>
      </c>
      <c r="I1328" s="10" t="s">
        <v>680</v>
      </c>
      <c r="J1328" s="12" t="s">
        <v>46</v>
      </c>
      <c r="K1328" s="10" t="s">
        <v>4153</v>
      </c>
      <c r="L1328" s="16" t="s">
        <v>45</v>
      </c>
      <c r="M1328" s="10" t="s">
        <v>49</v>
      </c>
      <c r="N1328" s="10" t="s">
        <v>291</v>
      </c>
      <c r="O1328" s="10" t="s">
        <v>50</v>
      </c>
      <c r="P1328" s="9" t="str">
        <f t="shared" si="28"/>
        <v>N/I</v>
      </c>
      <c r="Q1328" s="9" t="str">
        <f t="shared" si="29"/>
        <v>N/I</v>
      </c>
      <c r="R1328" s="9" t="str">
        <f t="shared" si="32"/>
        <v>N/I</v>
      </c>
    </row>
    <row r="1329">
      <c r="A1329" s="11" t="s">
        <v>4149</v>
      </c>
      <c r="B1329" s="32" t="s">
        <v>4157</v>
      </c>
      <c r="C1329" s="12" t="s">
        <v>502</v>
      </c>
      <c r="D1329" s="16" t="s">
        <v>4166</v>
      </c>
      <c r="E1329" s="10" t="s">
        <v>227</v>
      </c>
      <c r="F1329" s="10" t="s">
        <v>4156</v>
      </c>
      <c r="G1329" s="12" t="s">
        <v>246</v>
      </c>
      <c r="H1329" s="10" t="s">
        <v>247</v>
      </c>
      <c r="I1329" s="10" t="s">
        <v>680</v>
      </c>
      <c r="J1329" s="12" t="s">
        <v>46</v>
      </c>
      <c r="K1329" s="10" t="s">
        <v>4153</v>
      </c>
      <c r="L1329" s="16" t="s">
        <v>45</v>
      </c>
      <c r="M1329" s="10" t="s">
        <v>49</v>
      </c>
      <c r="N1329" s="10" t="s">
        <v>291</v>
      </c>
      <c r="O1329" s="10" t="s">
        <v>50</v>
      </c>
      <c r="P1329" s="9" t="str">
        <f t="shared" si="28"/>
        <v>N/I</v>
      </c>
      <c r="Q1329" s="9" t="str">
        <f t="shared" si="29"/>
        <v>N/I</v>
      </c>
      <c r="R1329" s="9" t="str">
        <f t="shared" si="32"/>
        <v>N/I</v>
      </c>
    </row>
    <row r="1330">
      <c r="A1330" s="11" t="s">
        <v>4149</v>
      </c>
      <c r="B1330" s="32" t="s">
        <v>4164</v>
      </c>
      <c r="C1330" s="12" t="s">
        <v>502</v>
      </c>
      <c r="D1330" s="16" t="s">
        <v>4167</v>
      </c>
      <c r="E1330" s="10" t="s">
        <v>227</v>
      </c>
      <c r="F1330" s="10" t="s">
        <v>4156</v>
      </c>
      <c r="G1330" s="12" t="s">
        <v>246</v>
      </c>
      <c r="H1330" s="10" t="s">
        <v>247</v>
      </c>
      <c r="I1330" s="10" t="s">
        <v>680</v>
      </c>
      <c r="J1330" s="12" t="s">
        <v>46</v>
      </c>
      <c r="K1330" s="10" t="s">
        <v>4153</v>
      </c>
      <c r="L1330" s="16" t="s">
        <v>45</v>
      </c>
      <c r="M1330" s="10" t="s">
        <v>49</v>
      </c>
      <c r="N1330" s="10" t="s">
        <v>291</v>
      </c>
      <c r="O1330" s="10" t="s">
        <v>50</v>
      </c>
      <c r="P1330" s="9" t="str">
        <f t="shared" si="28"/>
        <v>N/I</v>
      </c>
      <c r="Q1330" s="9" t="str">
        <f t="shared" si="29"/>
        <v>N/I</v>
      </c>
      <c r="R1330" s="9" t="str">
        <f t="shared" si="32"/>
        <v>N/I</v>
      </c>
    </row>
    <row r="1331">
      <c r="A1331" s="11" t="s">
        <v>4149</v>
      </c>
      <c r="B1331" s="32" t="s">
        <v>4150</v>
      </c>
      <c r="C1331" s="12" t="s">
        <v>502</v>
      </c>
      <c r="D1331" s="20" t="s">
        <v>4168</v>
      </c>
      <c r="E1331" s="10" t="s">
        <v>227</v>
      </c>
      <c r="F1331" s="10" t="s">
        <v>4156</v>
      </c>
      <c r="G1331" s="12" t="s">
        <v>246</v>
      </c>
      <c r="H1331" s="10" t="s">
        <v>247</v>
      </c>
      <c r="I1331" s="10" t="s">
        <v>680</v>
      </c>
      <c r="J1331" s="12" t="s">
        <v>46</v>
      </c>
      <c r="K1331" s="10" t="s">
        <v>4153</v>
      </c>
      <c r="L1331" s="16" t="s">
        <v>45</v>
      </c>
      <c r="M1331" s="10" t="s">
        <v>49</v>
      </c>
      <c r="N1331" s="10" t="s">
        <v>291</v>
      </c>
      <c r="O1331" s="10" t="s">
        <v>50</v>
      </c>
      <c r="P1331" s="9" t="str">
        <f t="shared" si="28"/>
        <v>N/I</v>
      </c>
      <c r="Q1331" s="9" t="str">
        <f t="shared" si="29"/>
        <v>N/I</v>
      </c>
      <c r="R1331" s="9" t="str">
        <f t="shared" si="32"/>
        <v>N/I</v>
      </c>
    </row>
    <row r="1332">
      <c r="A1332" s="11" t="s">
        <v>4149</v>
      </c>
      <c r="B1332" s="32" t="s">
        <v>4150</v>
      </c>
      <c r="C1332" s="12" t="s">
        <v>502</v>
      </c>
      <c r="D1332" s="20" t="s">
        <v>4171</v>
      </c>
      <c r="E1332" s="10" t="s">
        <v>227</v>
      </c>
      <c r="F1332" s="10" t="s">
        <v>4156</v>
      </c>
      <c r="G1332" s="12" t="s">
        <v>246</v>
      </c>
      <c r="H1332" s="10" t="s">
        <v>247</v>
      </c>
      <c r="I1332" s="10" t="s">
        <v>680</v>
      </c>
      <c r="J1332" s="12" t="s">
        <v>46</v>
      </c>
      <c r="K1332" s="10" t="s">
        <v>4153</v>
      </c>
      <c r="L1332" s="16" t="s">
        <v>45</v>
      </c>
      <c r="M1332" s="10" t="s">
        <v>49</v>
      </c>
      <c r="N1332" s="10" t="s">
        <v>291</v>
      </c>
      <c r="O1332" s="10" t="s">
        <v>50</v>
      </c>
      <c r="P1332" s="9" t="str">
        <f t="shared" si="28"/>
        <v>N/I</v>
      </c>
      <c r="Q1332" s="9" t="str">
        <f t="shared" si="29"/>
        <v>N/I</v>
      </c>
      <c r="R1332" s="9" t="str">
        <f t="shared" si="32"/>
        <v>N/I</v>
      </c>
    </row>
    <row r="1333">
      <c r="A1333" s="11" t="s">
        <v>4173</v>
      </c>
      <c r="B1333" s="32" t="s">
        <v>4174</v>
      </c>
      <c r="C1333" s="12" t="s">
        <v>52</v>
      </c>
      <c r="D1333" s="19" t="s">
        <v>4175</v>
      </c>
      <c r="E1333" s="10" t="s">
        <v>227</v>
      </c>
      <c r="F1333" s="10" t="s">
        <v>4177</v>
      </c>
      <c r="G1333" s="12" t="s">
        <v>324</v>
      </c>
      <c r="H1333" s="10" t="s">
        <v>197</v>
      </c>
      <c r="I1333" s="10" t="s">
        <v>354</v>
      </c>
      <c r="J1333" s="10" t="s">
        <v>318</v>
      </c>
      <c r="K1333" s="10" t="s">
        <v>319</v>
      </c>
      <c r="L1333" s="16" t="s">
        <v>45</v>
      </c>
      <c r="M1333" s="16" t="s">
        <v>45</v>
      </c>
      <c r="N1333" s="16" t="s">
        <v>45</v>
      </c>
      <c r="O1333" s="10" t="s">
        <v>320</v>
      </c>
      <c r="P1333" s="9" t="str">
        <f t="shared" si="28"/>
        <v>N/I</v>
      </c>
      <c r="Q1333" s="9" t="str">
        <f t="shared" si="29"/>
        <v>N/I</v>
      </c>
      <c r="R1333" s="9" t="str">
        <f t="shared" si="32"/>
        <v>N/I</v>
      </c>
    </row>
    <row r="1334">
      <c r="A1334" s="11" t="s">
        <v>4173</v>
      </c>
      <c r="B1334" s="32" t="s">
        <v>4174</v>
      </c>
      <c r="C1334" s="12" t="s">
        <v>52</v>
      </c>
      <c r="D1334" s="19" t="s">
        <v>4178</v>
      </c>
      <c r="E1334" s="10" t="s">
        <v>227</v>
      </c>
      <c r="F1334" s="10" t="s">
        <v>4177</v>
      </c>
      <c r="G1334" s="12" t="s">
        <v>324</v>
      </c>
      <c r="H1334" s="10" t="s">
        <v>197</v>
      </c>
      <c r="I1334" s="10" t="s">
        <v>354</v>
      </c>
      <c r="J1334" s="10" t="s">
        <v>318</v>
      </c>
      <c r="K1334" s="10" t="s">
        <v>319</v>
      </c>
      <c r="L1334" s="16" t="s">
        <v>45</v>
      </c>
      <c r="M1334" s="16" t="s">
        <v>45</v>
      </c>
      <c r="N1334" s="16" t="s">
        <v>45</v>
      </c>
      <c r="O1334" s="10" t="s">
        <v>320</v>
      </c>
      <c r="P1334" s="9" t="str">
        <f t="shared" si="28"/>
        <v>N/I</v>
      </c>
      <c r="Q1334" s="9" t="str">
        <f t="shared" si="29"/>
        <v>N/I</v>
      </c>
      <c r="R1334" s="9" t="str">
        <f t="shared" si="32"/>
        <v>N/I</v>
      </c>
    </row>
    <row r="1335">
      <c r="A1335" s="11" t="s">
        <v>4173</v>
      </c>
      <c r="B1335" s="32" t="s">
        <v>4174</v>
      </c>
      <c r="C1335" s="12" t="s">
        <v>52</v>
      </c>
      <c r="D1335" s="19" t="s">
        <v>4179</v>
      </c>
      <c r="E1335" s="10" t="s">
        <v>227</v>
      </c>
      <c r="F1335" s="10" t="s">
        <v>4177</v>
      </c>
      <c r="G1335" s="12" t="s">
        <v>324</v>
      </c>
      <c r="H1335" s="10" t="s">
        <v>197</v>
      </c>
      <c r="I1335" s="10" t="s">
        <v>354</v>
      </c>
      <c r="J1335" s="10" t="s">
        <v>318</v>
      </c>
      <c r="K1335" s="10" t="s">
        <v>319</v>
      </c>
      <c r="L1335" s="16" t="s">
        <v>45</v>
      </c>
      <c r="M1335" s="16" t="s">
        <v>45</v>
      </c>
      <c r="N1335" s="16" t="s">
        <v>45</v>
      </c>
      <c r="O1335" s="10" t="s">
        <v>320</v>
      </c>
      <c r="P1335" s="9" t="str">
        <f t="shared" si="28"/>
        <v>N/I</v>
      </c>
      <c r="Q1335" s="9" t="str">
        <f t="shared" si="29"/>
        <v>N/I</v>
      </c>
      <c r="R1335" s="9" t="str">
        <f t="shared" si="32"/>
        <v>N/I</v>
      </c>
    </row>
    <row r="1336">
      <c r="A1336" s="11" t="s">
        <v>4173</v>
      </c>
      <c r="B1336" s="32" t="s">
        <v>4174</v>
      </c>
      <c r="C1336" s="12" t="s">
        <v>52</v>
      </c>
      <c r="D1336" s="19" t="s">
        <v>4180</v>
      </c>
      <c r="E1336" s="10" t="s">
        <v>227</v>
      </c>
      <c r="F1336" s="10" t="s">
        <v>4177</v>
      </c>
      <c r="G1336" s="12" t="s">
        <v>324</v>
      </c>
      <c r="H1336" s="10" t="s">
        <v>197</v>
      </c>
      <c r="I1336" s="10" t="s">
        <v>354</v>
      </c>
      <c r="J1336" s="10" t="s">
        <v>318</v>
      </c>
      <c r="K1336" s="10" t="s">
        <v>319</v>
      </c>
      <c r="L1336" s="16" t="s">
        <v>45</v>
      </c>
      <c r="M1336" s="16" t="s">
        <v>45</v>
      </c>
      <c r="N1336" s="16" t="s">
        <v>45</v>
      </c>
      <c r="O1336" s="10" t="s">
        <v>320</v>
      </c>
      <c r="P1336" s="9" t="str">
        <f t="shared" si="28"/>
        <v>N/I</v>
      </c>
      <c r="Q1336" s="9" t="str">
        <f t="shared" si="29"/>
        <v>N/I</v>
      </c>
      <c r="R1336" s="9" t="str">
        <f t="shared" si="32"/>
        <v>N/I</v>
      </c>
    </row>
    <row r="1337">
      <c r="A1337" s="11" t="s">
        <v>4173</v>
      </c>
      <c r="B1337" s="32" t="s">
        <v>4174</v>
      </c>
      <c r="C1337" s="12" t="s">
        <v>52</v>
      </c>
      <c r="D1337" s="19" t="s">
        <v>4181</v>
      </c>
      <c r="E1337" s="10" t="s">
        <v>227</v>
      </c>
      <c r="F1337" s="10" t="s">
        <v>4177</v>
      </c>
      <c r="G1337" s="12" t="s">
        <v>324</v>
      </c>
      <c r="H1337" s="10" t="s">
        <v>197</v>
      </c>
      <c r="I1337" s="10" t="s">
        <v>354</v>
      </c>
      <c r="J1337" s="10" t="s">
        <v>318</v>
      </c>
      <c r="K1337" s="10" t="s">
        <v>319</v>
      </c>
      <c r="L1337" s="16" t="s">
        <v>45</v>
      </c>
      <c r="M1337" s="16" t="s">
        <v>45</v>
      </c>
      <c r="N1337" s="16" t="s">
        <v>45</v>
      </c>
      <c r="O1337" s="10" t="s">
        <v>320</v>
      </c>
      <c r="P1337" s="9" t="str">
        <f t="shared" si="28"/>
        <v>N/I</v>
      </c>
      <c r="Q1337" s="9" t="str">
        <f t="shared" si="29"/>
        <v>N/I</v>
      </c>
      <c r="R1337" s="9" t="str">
        <f t="shared" si="32"/>
        <v>N/I</v>
      </c>
    </row>
    <row r="1338">
      <c r="A1338" s="11" t="s">
        <v>4173</v>
      </c>
      <c r="B1338" s="32" t="s">
        <v>4174</v>
      </c>
      <c r="C1338" s="12" t="s">
        <v>448</v>
      </c>
      <c r="D1338" s="19" t="s">
        <v>4182</v>
      </c>
      <c r="E1338" s="10" t="s">
        <v>227</v>
      </c>
      <c r="F1338" s="10" t="s">
        <v>4177</v>
      </c>
      <c r="G1338" s="12" t="s">
        <v>324</v>
      </c>
      <c r="H1338" s="10" t="s">
        <v>197</v>
      </c>
      <c r="I1338" s="10" t="s">
        <v>354</v>
      </c>
      <c r="J1338" s="10" t="s">
        <v>318</v>
      </c>
      <c r="K1338" s="10" t="s">
        <v>319</v>
      </c>
      <c r="L1338" s="16" t="s">
        <v>45</v>
      </c>
      <c r="M1338" s="16" t="s">
        <v>45</v>
      </c>
      <c r="N1338" s="16" t="s">
        <v>45</v>
      </c>
      <c r="O1338" s="10" t="s">
        <v>320</v>
      </c>
      <c r="P1338" s="9" t="str">
        <f t="shared" si="28"/>
        <v>N/I</v>
      </c>
      <c r="Q1338" s="9" t="str">
        <f t="shared" si="29"/>
        <v>N/I</v>
      </c>
      <c r="R1338" s="9" t="str">
        <f t="shared" si="32"/>
        <v>N/I</v>
      </c>
    </row>
    <row r="1339">
      <c r="A1339" s="11" t="s">
        <v>4183</v>
      </c>
      <c r="B1339" s="32"/>
      <c r="C1339" s="12" t="s">
        <v>448</v>
      </c>
      <c r="D1339" s="20" t="s">
        <v>4184</v>
      </c>
      <c r="E1339" s="16" t="s">
        <v>45</v>
      </c>
      <c r="F1339" s="10" t="s">
        <v>4187</v>
      </c>
      <c r="G1339" s="12" t="s">
        <v>332</v>
      </c>
      <c r="H1339" s="10" t="s">
        <v>197</v>
      </c>
      <c r="I1339" s="16" t="s">
        <v>45</v>
      </c>
      <c r="J1339" s="16" t="s">
        <v>45</v>
      </c>
      <c r="K1339" s="16" t="s">
        <v>45</v>
      </c>
      <c r="L1339" s="16" t="s">
        <v>45</v>
      </c>
      <c r="M1339" s="10" t="s">
        <v>49</v>
      </c>
      <c r="N1339" s="16" t="s">
        <v>45</v>
      </c>
      <c r="O1339" s="16" t="s">
        <v>45</v>
      </c>
      <c r="P1339" s="9" t="str">
        <f t="shared" si="28"/>
        <v>N/I</v>
      </c>
      <c r="Q1339" s="9" t="str">
        <f t="shared" si="29"/>
        <v>N/I</v>
      </c>
      <c r="R1339" s="9" t="str">
        <f t="shared" si="32"/>
        <v>N/I</v>
      </c>
    </row>
    <row r="1340">
      <c r="A1340" s="11" t="s">
        <v>4183</v>
      </c>
      <c r="B1340" s="32"/>
      <c r="C1340" s="12" t="s">
        <v>448</v>
      </c>
      <c r="D1340" s="20" t="s">
        <v>4188</v>
      </c>
      <c r="E1340" s="10" t="s">
        <v>227</v>
      </c>
      <c r="F1340" s="10" t="s">
        <v>4191</v>
      </c>
      <c r="G1340" s="12" t="s">
        <v>131</v>
      </c>
      <c r="H1340" s="10" t="s">
        <v>132</v>
      </c>
      <c r="I1340" s="10" t="s">
        <v>680</v>
      </c>
      <c r="J1340" s="10" t="s">
        <v>318</v>
      </c>
      <c r="K1340" s="10" t="s">
        <v>319</v>
      </c>
      <c r="L1340" s="16" t="s">
        <v>45</v>
      </c>
      <c r="M1340" s="10" t="s">
        <v>49</v>
      </c>
      <c r="N1340" s="16" t="s">
        <v>45</v>
      </c>
      <c r="O1340" s="10" t="s">
        <v>50</v>
      </c>
      <c r="P1340" s="9" t="str">
        <f t="shared" si="28"/>
        <v>N/I</v>
      </c>
      <c r="Q1340" s="9" t="str">
        <f t="shared" si="29"/>
        <v>N/I</v>
      </c>
      <c r="R1340" s="9" t="str">
        <f t="shared" si="32"/>
        <v>N/I</v>
      </c>
    </row>
    <row r="1341">
      <c r="A1341" s="11" t="s">
        <v>4193</v>
      </c>
      <c r="B1341" s="32" t="s">
        <v>4194</v>
      </c>
      <c r="C1341" s="12" t="s">
        <v>94</v>
      </c>
      <c r="D1341" s="27" t="s">
        <v>4195</v>
      </c>
      <c r="E1341" s="16" t="s">
        <v>45</v>
      </c>
      <c r="F1341" s="10" t="s">
        <v>4198</v>
      </c>
      <c r="G1341" s="12" t="s">
        <v>3477</v>
      </c>
      <c r="H1341" s="10" t="s">
        <v>89</v>
      </c>
      <c r="I1341" s="16" t="s">
        <v>45</v>
      </c>
      <c r="J1341" s="16" t="s">
        <v>45</v>
      </c>
      <c r="K1341" s="16" t="s">
        <v>45</v>
      </c>
      <c r="L1341" s="16" t="s">
        <v>45</v>
      </c>
      <c r="M1341" s="16" t="s">
        <v>45</v>
      </c>
      <c r="N1341" s="16" t="s">
        <v>45</v>
      </c>
      <c r="O1341" s="16" t="s">
        <v>45</v>
      </c>
      <c r="P1341" s="9" t="str">
        <f t="shared" si="28"/>
        <v>N/I</v>
      </c>
      <c r="Q1341" s="9" t="str">
        <f t="shared" si="29"/>
        <v>N/I</v>
      </c>
      <c r="R1341" s="9" t="str">
        <f t="shared" si="32"/>
        <v>N/I</v>
      </c>
    </row>
    <row r="1342">
      <c r="A1342" s="11" t="s">
        <v>4193</v>
      </c>
      <c r="B1342" s="32" t="s">
        <v>4194</v>
      </c>
      <c r="C1342" s="12" t="s">
        <v>94</v>
      </c>
      <c r="D1342" s="27" t="s">
        <v>4199</v>
      </c>
      <c r="E1342" s="16" t="s">
        <v>45</v>
      </c>
      <c r="F1342" s="10" t="s">
        <v>4198</v>
      </c>
      <c r="G1342" s="12" t="s">
        <v>3477</v>
      </c>
      <c r="H1342" s="10" t="s">
        <v>89</v>
      </c>
      <c r="I1342" s="16" t="s">
        <v>45</v>
      </c>
      <c r="J1342" s="16" t="s">
        <v>45</v>
      </c>
      <c r="K1342" s="16" t="s">
        <v>45</v>
      </c>
      <c r="L1342" s="16" t="s">
        <v>45</v>
      </c>
      <c r="M1342" s="16" t="s">
        <v>45</v>
      </c>
      <c r="N1342" s="16" t="s">
        <v>45</v>
      </c>
      <c r="O1342" s="16" t="s">
        <v>45</v>
      </c>
      <c r="P1342" s="9" t="str">
        <f t="shared" si="28"/>
        <v>N/I</v>
      </c>
      <c r="Q1342" s="9" t="str">
        <f t="shared" si="29"/>
        <v>N/I</v>
      </c>
      <c r="R1342" s="9" t="str">
        <f t="shared" si="32"/>
        <v>N/I</v>
      </c>
    </row>
    <row r="1343">
      <c r="A1343" s="11" t="s">
        <v>4193</v>
      </c>
      <c r="B1343" s="32" t="s">
        <v>4194</v>
      </c>
      <c r="C1343" s="12" t="s">
        <v>37</v>
      </c>
      <c r="D1343" s="27" t="s">
        <v>4200</v>
      </c>
      <c r="E1343" s="16" t="s">
        <v>45</v>
      </c>
      <c r="F1343" s="10" t="s">
        <v>4198</v>
      </c>
      <c r="G1343" s="12" t="s">
        <v>3477</v>
      </c>
      <c r="H1343" s="10" t="s">
        <v>89</v>
      </c>
      <c r="I1343" s="16" t="s">
        <v>45</v>
      </c>
      <c r="J1343" s="16" t="s">
        <v>45</v>
      </c>
      <c r="K1343" s="16" t="s">
        <v>45</v>
      </c>
      <c r="L1343" s="16" t="s">
        <v>45</v>
      </c>
      <c r="M1343" s="16" t="s">
        <v>45</v>
      </c>
      <c r="N1343" s="16" t="s">
        <v>45</v>
      </c>
      <c r="O1343" s="16" t="s">
        <v>45</v>
      </c>
      <c r="P1343" s="9" t="str">
        <f t="shared" si="28"/>
        <v>N/I</v>
      </c>
      <c r="Q1343" s="9" t="str">
        <f t="shared" si="29"/>
        <v>N/I</v>
      </c>
      <c r="R1343" s="9" t="str">
        <f t="shared" si="32"/>
        <v>N/I</v>
      </c>
    </row>
    <row r="1344">
      <c r="A1344" s="11" t="s">
        <v>4193</v>
      </c>
      <c r="B1344" s="32" t="s">
        <v>4194</v>
      </c>
      <c r="C1344" s="12" t="s">
        <v>37</v>
      </c>
      <c r="D1344" s="27" t="s">
        <v>4201</v>
      </c>
      <c r="E1344" s="16" t="s">
        <v>45</v>
      </c>
      <c r="F1344" s="10" t="s">
        <v>4198</v>
      </c>
      <c r="G1344" s="12" t="s">
        <v>3477</v>
      </c>
      <c r="H1344" s="10" t="s">
        <v>89</v>
      </c>
      <c r="I1344" s="16" t="s">
        <v>45</v>
      </c>
      <c r="J1344" s="16" t="s">
        <v>45</v>
      </c>
      <c r="K1344" s="16" t="s">
        <v>45</v>
      </c>
      <c r="L1344" s="16" t="s">
        <v>45</v>
      </c>
      <c r="M1344" s="16" t="s">
        <v>45</v>
      </c>
      <c r="N1344" s="16" t="s">
        <v>45</v>
      </c>
      <c r="O1344" s="16" t="s">
        <v>45</v>
      </c>
      <c r="P1344" s="9" t="str">
        <f t="shared" si="28"/>
        <v>N/I</v>
      </c>
      <c r="Q1344" s="9" t="str">
        <f t="shared" si="29"/>
        <v>N/I</v>
      </c>
      <c r="R1344" s="9" t="str">
        <f t="shared" si="32"/>
        <v>N/I</v>
      </c>
    </row>
    <row r="1345">
      <c r="A1345" s="11" t="s">
        <v>4203</v>
      </c>
      <c r="B1345" s="32" t="s">
        <v>4204</v>
      </c>
      <c r="C1345" s="12" t="s">
        <v>94</v>
      </c>
      <c r="D1345" s="19" t="s">
        <v>4205</v>
      </c>
      <c r="E1345" s="16" t="s">
        <v>45</v>
      </c>
      <c r="F1345" s="10" t="s">
        <v>4209</v>
      </c>
      <c r="G1345" s="12" t="s">
        <v>4206</v>
      </c>
      <c r="H1345" s="10" t="s">
        <v>1097</v>
      </c>
      <c r="I1345" s="10" t="s">
        <v>2497</v>
      </c>
      <c r="J1345" s="16" t="s">
        <v>45</v>
      </c>
      <c r="K1345" s="16" t="s">
        <v>45</v>
      </c>
      <c r="L1345" s="10" t="s">
        <v>2893</v>
      </c>
      <c r="M1345" s="10" t="s">
        <v>49</v>
      </c>
      <c r="N1345" s="16" t="s">
        <v>45</v>
      </c>
      <c r="O1345" s="16" t="s">
        <v>45</v>
      </c>
      <c r="P1345" s="9" t="str">
        <f t="shared" si="28"/>
        <v>N/I</v>
      </c>
      <c r="Q1345" s="9" t="str">
        <f t="shared" si="29"/>
        <v>N/I</v>
      </c>
      <c r="R1345" s="9" t="str">
        <f t="shared" si="32"/>
        <v>N/I</v>
      </c>
    </row>
    <row r="1346">
      <c r="A1346" s="11" t="s">
        <v>4211</v>
      </c>
      <c r="B1346" s="11" t="s">
        <v>4212</v>
      </c>
      <c r="C1346" s="12" t="s">
        <v>94</v>
      </c>
      <c r="D1346" s="16">
        <v>150220.0</v>
      </c>
      <c r="E1346" s="10" t="s">
        <v>442</v>
      </c>
      <c r="F1346" s="10" t="s">
        <v>4215</v>
      </c>
      <c r="G1346" s="12" t="s">
        <v>380</v>
      </c>
      <c r="H1346" s="10" t="s">
        <v>197</v>
      </c>
      <c r="I1346" s="10" t="s">
        <v>290</v>
      </c>
      <c r="J1346" s="12" t="s">
        <v>46</v>
      </c>
      <c r="K1346" s="10" t="s">
        <v>441</v>
      </c>
      <c r="L1346" s="16" t="s">
        <v>45</v>
      </c>
      <c r="M1346" s="10" t="s">
        <v>2289</v>
      </c>
      <c r="N1346" s="10" t="s">
        <v>319</v>
      </c>
      <c r="O1346" s="10" t="s">
        <v>50</v>
      </c>
      <c r="P1346" s="9" t="str">
        <f t="shared" si="28"/>
        <v>N/I</v>
      </c>
      <c r="Q1346" s="9" t="str">
        <f t="shared" si="29"/>
        <v>N/I</v>
      </c>
      <c r="R1346" s="9" t="str">
        <f t="shared" si="32"/>
        <v>N/I</v>
      </c>
    </row>
    <row r="1347">
      <c r="A1347" s="11" t="s">
        <v>4217</v>
      </c>
      <c r="B1347" s="32"/>
      <c r="C1347" s="12" t="s">
        <v>4218</v>
      </c>
      <c r="D1347" s="20" t="s">
        <v>4219</v>
      </c>
      <c r="E1347" s="16" t="s">
        <v>45</v>
      </c>
      <c r="F1347" s="10" t="s">
        <v>4222</v>
      </c>
      <c r="G1347" s="12" t="s">
        <v>246</v>
      </c>
      <c r="H1347" s="10" t="s">
        <v>247</v>
      </c>
      <c r="I1347" s="10" t="s">
        <v>2497</v>
      </c>
      <c r="J1347" s="12" t="s">
        <v>46</v>
      </c>
      <c r="K1347" s="10" t="s">
        <v>48</v>
      </c>
      <c r="L1347" s="16" t="s">
        <v>45</v>
      </c>
      <c r="M1347" s="10" t="s">
        <v>49</v>
      </c>
      <c r="N1347" s="10" t="s">
        <v>292</v>
      </c>
      <c r="O1347" s="10" t="s">
        <v>50</v>
      </c>
      <c r="P1347" s="9" t="str">
        <f t="shared" si="28"/>
        <v>N/I</v>
      </c>
      <c r="Q1347" s="9" t="str">
        <f t="shared" si="29"/>
        <v>N/I</v>
      </c>
      <c r="R1347" s="9" t="str">
        <f t="shared" si="32"/>
        <v>N/I</v>
      </c>
    </row>
    <row r="1348">
      <c r="A1348" s="11" t="s">
        <v>4224</v>
      </c>
      <c r="B1348" s="32"/>
      <c r="C1348" s="12" t="s">
        <v>448</v>
      </c>
      <c r="D1348" s="19" t="s">
        <v>4225</v>
      </c>
      <c r="E1348" s="10" t="s">
        <v>442</v>
      </c>
      <c r="F1348" s="10" t="s">
        <v>4228</v>
      </c>
      <c r="G1348" s="12" t="s">
        <v>246</v>
      </c>
      <c r="H1348" s="10" t="s">
        <v>247</v>
      </c>
      <c r="I1348" s="10" t="s">
        <v>706</v>
      </c>
      <c r="J1348" s="10" t="s">
        <v>318</v>
      </c>
      <c r="K1348" s="10" t="s">
        <v>319</v>
      </c>
      <c r="L1348" s="16" t="s">
        <v>45</v>
      </c>
      <c r="M1348" s="10" t="s">
        <v>49</v>
      </c>
      <c r="N1348" s="10" t="s">
        <v>227</v>
      </c>
      <c r="O1348" s="10" t="s">
        <v>320</v>
      </c>
      <c r="P1348" s="9" t="str">
        <f t="shared" si="28"/>
        <v>N/I</v>
      </c>
      <c r="Q1348" s="9" t="str">
        <f t="shared" si="29"/>
        <v>N/I</v>
      </c>
      <c r="R1348" s="9" t="str">
        <f t="shared" si="32"/>
        <v>N/I</v>
      </c>
    </row>
    <row r="1349">
      <c r="A1349" s="11" t="s">
        <v>4224</v>
      </c>
      <c r="B1349" s="32"/>
      <c r="C1349" s="12" t="s">
        <v>448</v>
      </c>
      <c r="D1349" s="19" t="s">
        <v>4229</v>
      </c>
      <c r="E1349" s="10" t="s">
        <v>442</v>
      </c>
      <c r="F1349" s="10" t="s">
        <v>4228</v>
      </c>
      <c r="G1349" s="12" t="s">
        <v>246</v>
      </c>
      <c r="H1349" s="10" t="s">
        <v>247</v>
      </c>
      <c r="I1349" s="10" t="s">
        <v>706</v>
      </c>
      <c r="J1349" s="10" t="s">
        <v>318</v>
      </c>
      <c r="K1349" s="10" t="s">
        <v>319</v>
      </c>
      <c r="L1349" s="16" t="s">
        <v>45</v>
      </c>
      <c r="M1349" s="10" t="s">
        <v>49</v>
      </c>
      <c r="N1349" s="10" t="s">
        <v>227</v>
      </c>
      <c r="O1349" s="10" t="s">
        <v>320</v>
      </c>
      <c r="P1349" s="9" t="str">
        <f t="shared" si="28"/>
        <v>N/I</v>
      </c>
      <c r="Q1349" s="9" t="str">
        <f t="shared" si="29"/>
        <v>N/I</v>
      </c>
      <c r="R1349" s="9" t="str">
        <f t="shared" si="32"/>
        <v>N/I</v>
      </c>
    </row>
    <row r="1350">
      <c r="A1350" s="11" t="s">
        <v>4231</v>
      </c>
      <c r="B1350" s="32" t="s">
        <v>4232</v>
      </c>
      <c r="C1350" s="12" t="s">
        <v>94</v>
      </c>
      <c r="D1350" s="19" t="s">
        <v>4233</v>
      </c>
      <c r="E1350" s="10" t="s">
        <v>291</v>
      </c>
      <c r="F1350" s="10" t="s">
        <v>4237</v>
      </c>
      <c r="G1350" s="12" t="s">
        <v>4234</v>
      </c>
      <c r="H1350" s="10" t="s">
        <v>870</v>
      </c>
      <c r="I1350" s="10" t="s">
        <v>706</v>
      </c>
      <c r="J1350" s="10" t="s">
        <v>318</v>
      </c>
      <c r="K1350" s="10" t="s">
        <v>319</v>
      </c>
      <c r="L1350" s="10" t="s">
        <v>4238</v>
      </c>
      <c r="M1350" s="10" t="s">
        <v>49</v>
      </c>
      <c r="N1350" s="10" t="s">
        <v>390</v>
      </c>
      <c r="O1350" s="10" t="s">
        <v>320</v>
      </c>
      <c r="P1350" s="9" t="str">
        <f t="shared" si="28"/>
        <v>N/I</v>
      </c>
      <c r="Q1350" s="9" t="str">
        <f t="shared" si="29"/>
        <v>N/I</v>
      </c>
      <c r="R1350" s="9" t="str">
        <f t="shared" si="32"/>
        <v>N/I</v>
      </c>
    </row>
    <row r="1351">
      <c r="A1351" s="11" t="s">
        <v>4240</v>
      </c>
      <c r="B1351" s="32" t="s">
        <v>4241</v>
      </c>
      <c r="C1351" s="12" t="s">
        <v>94</v>
      </c>
      <c r="D1351" s="41" t="s">
        <v>4242</v>
      </c>
      <c r="E1351" s="10" t="s">
        <v>291</v>
      </c>
      <c r="F1351" s="10" t="s">
        <v>4245</v>
      </c>
      <c r="G1351" s="12" t="s">
        <v>1345</v>
      </c>
      <c r="H1351" s="10" t="s">
        <v>521</v>
      </c>
      <c r="I1351" s="10" t="s">
        <v>4246</v>
      </c>
      <c r="J1351" s="12" t="s">
        <v>355</v>
      </c>
      <c r="K1351" s="10" t="s">
        <v>291</v>
      </c>
      <c r="L1351" s="16" t="s">
        <v>45</v>
      </c>
      <c r="M1351" s="10" t="s">
        <v>49</v>
      </c>
      <c r="N1351" s="16" t="s">
        <v>45</v>
      </c>
      <c r="O1351" s="10" t="s">
        <v>50</v>
      </c>
      <c r="P1351" s="9" t="str">
        <f t="shared" si="28"/>
        <v>N/I</v>
      </c>
      <c r="Q1351" s="9" t="str">
        <f t="shared" si="29"/>
        <v>N/I</v>
      </c>
      <c r="R1351" s="9" t="str">
        <f t="shared" si="32"/>
        <v>N/I</v>
      </c>
    </row>
    <row r="1352">
      <c r="A1352" s="11" t="s">
        <v>4240</v>
      </c>
      <c r="B1352" s="32" t="s">
        <v>4247</v>
      </c>
      <c r="C1352" s="12" t="s">
        <v>94</v>
      </c>
      <c r="D1352" s="41" t="s">
        <v>4248</v>
      </c>
      <c r="E1352" s="10" t="s">
        <v>291</v>
      </c>
      <c r="F1352" s="10" t="s">
        <v>4245</v>
      </c>
      <c r="G1352" s="12"/>
      <c r="H1352" s="10" t="s">
        <v>521</v>
      </c>
      <c r="I1352" s="10" t="s">
        <v>4246</v>
      </c>
      <c r="J1352" s="12" t="s">
        <v>355</v>
      </c>
      <c r="K1352" s="10" t="s">
        <v>291</v>
      </c>
      <c r="L1352" s="16" t="s">
        <v>45</v>
      </c>
      <c r="M1352" s="10" t="s">
        <v>49</v>
      </c>
      <c r="N1352" s="16" t="s">
        <v>45</v>
      </c>
      <c r="O1352" s="10" t="s">
        <v>50</v>
      </c>
      <c r="P1352" s="9" t="str">
        <f t="shared" si="28"/>
        <v>N/I</v>
      </c>
      <c r="Q1352" s="9" t="str">
        <f t="shared" si="29"/>
        <v>N/I</v>
      </c>
      <c r="R1352" s="9" t="str">
        <f t="shared" si="32"/>
        <v>N/I</v>
      </c>
    </row>
    <row r="1353">
      <c r="A1353" s="11" t="s">
        <v>4240</v>
      </c>
      <c r="B1353" s="11" t="s">
        <v>4251</v>
      </c>
      <c r="C1353" s="12" t="s">
        <v>94</v>
      </c>
      <c r="D1353" s="41" t="s">
        <v>4252</v>
      </c>
      <c r="E1353" s="16" t="s">
        <v>45</v>
      </c>
      <c r="F1353" s="10" t="s">
        <v>4256</v>
      </c>
      <c r="G1353" s="12" t="s">
        <v>4253</v>
      </c>
      <c r="H1353" s="10" t="s">
        <v>521</v>
      </c>
      <c r="I1353" s="10" t="s">
        <v>2497</v>
      </c>
      <c r="J1353" s="12" t="s">
        <v>355</v>
      </c>
      <c r="K1353" s="16" t="s">
        <v>45</v>
      </c>
      <c r="L1353" s="16" t="s">
        <v>45</v>
      </c>
      <c r="M1353" s="10" t="s">
        <v>49</v>
      </c>
      <c r="N1353" s="16" t="s">
        <v>45</v>
      </c>
      <c r="O1353" s="10" t="s">
        <v>320</v>
      </c>
      <c r="P1353" s="9" t="str">
        <f t="shared" si="28"/>
        <v>N/I</v>
      </c>
      <c r="Q1353" s="9" t="str">
        <f t="shared" si="29"/>
        <v>N/I</v>
      </c>
      <c r="R1353" s="9" t="str">
        <f t="shared" si="32"/>
        <v>N/I</v>
      </c>
    </row>
    <row r="1354">
      <c r="A1354" s="11" t="s">
        <v>4240</v>
      </c>
      <c r="B1354" s="11" t="s">
        <v>4257</v>
      </c>
      <c r="C1354" s="12" t="s">
        <v>94</v>
      </c>
      <c r="D1354" s="41" t="s">
        <v>4258</v>
      </c>
      <c r="E1354" s="16" t="s">
        <v>45</v>
      </c>
      <c r="F1354" s="10" t="s">
        <v>4256</v>
      </c>
      <c r="G1354" s="12" t="s">
        <v>534</v>
      </c>
      <c r="H1354" s="10" t="s">
        <v>521</v>
      </c>
      <c r="I1354" s="10" t="s">
        <v>2497</v>
      </c>
      <c r="J1354" s="12" t="s">
        <v>355</v>
      </c>
      <c r="K1354" s="16" t="s">
        <v>45</v>
      </c>
      <c r="L1354" s="16" t="s">
        <v>45</v>
      </c>
      <c r="M1354" s="10" t="s">
        <v>49</v>
      </c>
      <c r="N1354" s="16" t="s">
        <v>45</v>
      </c>
      <c r="O1354" s="10" t="s">
        <v>320</v>
      </c>
      <c r="P1354" s="9" t="str">
        <f t="shared" si="28"/>
        <v>N/I</v>
      </c>
      <c r="Q1354" s="9" t="str">
        <f t="shared" si="29"/>
        <v>N/I</v>
      </c>
      <c r="R1354" s="9" t="str">
        <f t="shared" si="32"/>
        <v>N/I</v>
      </c>
    </row>
    <row r="1355">
      <c r="A1355" s="11" t="s">
        <v>4240</v>
      </c>
      <c r="B1355" s="11" t="s">
        <v>4261</v>
      </c>
      <c r="C1355" s="12" t="s">
        <v>94</v>
      </c>
      <c r="D1355" s="41" t="s">
        <v>4262</v>
      </c>
      <c r="E1355" s="16" t="s">
        <v>45</v>
      </c>
      <c r="F1355" s="10" t="s">
        <v>4256</v>
      </c>
      <c r="G1355" s="12" t="s">
        <v>4263</v>
      </c>
      <c r="H1355" s="10" t="s">
        <v>521</v>
      </c>
      <c r="I1355" s="10" t="s">
        <v>2497</v>
      </c>
      <c r="J1355" s="12" t="s">
        <v>355</v>
      </c>
      <c r="K1355" s="16" t="s">
        <v>45</v>
      </c>
      <c r="L1355" s="16" t="s">
        <v>45</v>
      </c>
      <c r="M1355" s="10" t="s">
        <v>49</v>
      </c>
      <c r="N1355" s="16" t="s">
        <v>45</v>
      </c>
      <c r="O1355" s="10" t="s">
        <v>320</v>
      </c>
      <c r="P1355" s="9" t="str">
        <f t="shared" si="28"/>
        <v>N/I</v>
      </c>
      <c r="Q1355" s="9" t="str">
        <f t="shared" si="29"/>
        <v>N/I</v>
      </c>
      <c r="R1355" s="9" t="str">
        <f t="shared" si="32"/>
        <v>N/I</v>
      </c>
    </row>
    <row r="1356">
      <c r="A1356" s="11" t="s">
        <v>4240</v>
      </c>
      <c r="B1356" s="11" t="s">
        <v>4266</v>
      </c>
      <c r="C1356" s="12" t="s">
        <v>94</v>
      </c>
      <c r="D1356" s="19" t="s">
        <v>4267</v>
      </c>
      <c r="E1356" s="10" t="s">
        <v>2423</v>
      </c>
      <c r="F1356" s="10" t="s">
        <v>4271</v>
      </c>
      <c r="G1356" s="12" t="s">
        <v>4268</v>
      </c>
      <c r="H1356" s="10" t="s">
        <v>521</v>
      </c>
      <c r="I1356" s="12" t="s">
        <v>4272</v>
      </c>
      <c r="J1356" s="10" t="s">
        <v>318</v>
      </c>
      <c r="K1356" s="10" t="s">
        <v>319</v>
      </c>
      <c r="L1356" s="16" t="s">
        <v>45</v>
      </c>
      <c r="M1356" s="10" t="s">
        <v>49</v>
      </c>
      <c r="N1356" s="10" t="s">
        <v>2498</v>
      </c>
      <c r="O1356" s="10" t="s">
        <v>320</v>
      </c>
      <c r="P1356" s="9" t="str">
        <f t="shared" si="28"/>
        <v>N/I</v>
      </c>
      <c r="Q1356" s="9" t="str">
        <f t="shared" si="29"/>
        <v>N/I</v>
      </c>
      <c r="R1356" s="9" t="str">
        <f t="shared" si="32"/>
        <v>N/I</v>
      </c>
    </row>
    <row r="1357">
      <c r="A1357" s="11" t="s">
        <v>4240</v>
      </c>
      <c r="B1357" s="11" t="s">
        <v>4273</v>
      </c>
      <c r="C1357" s="12" t="s">
        <v>94</v>
      </c>
      <c r="D1357" s="19" t="s">
        <v>4274</v>
      </c>
      <c r="E1357" s="10" t="s">
        <v>2423</v>
      </c>
      <c r="F1357" s="10" t="s">
        <v>4271</v>
      </c>
      <c r="G1357" s="12" t="s">
        <v>4275</v>
      </c>
      <c r="H1357" s="10" t="s">
        <v>521</v>
      </c>
      <c r="I1357" s="12" t="s">
        <v>4272</v>
      </c>
      <c r="J1357" s="10" t="s">
        <v>318</v>
      </c>
      <c r="K1357" s="10" t="s">
        <v>319</v>
      </c>
      <c r="L1357" s="16" t="s">
        <v>45</v>
      </c>
      <c r="M1357" s="10" t="s">
        <v>49</v>
      </c>
      <c r="N1357" s="10" t="s">
        <v>2498</v>
      </c>
      <c r="O1357" s="10" t="s">
        <v>320</v>
      </c>
      <c r="P1357" s="9" t="str">
        <f t="shared" si="28"/>
        <v>N/I</v>
      </c>
      <c r="Q1357" s="9" t="str">
        <f t="shared" si="29"/>
        <v>N/I</v>
      </c>
      <c r="R1357" s="9" t="str">
        <f t="shared" si="32"/>
        <v>N/I</v>
      </c>
    </row>
    <row r="1358">
      <c r="A1358" s="11" t="s">
        <v>4240</v>
      </c>
      <c r="B1358" s="11" t="s">
        <v>4273</v>
      </c>
      <c r="C1358" s="12" t="s">
        <v>94</v>
      </c>
      <c r="D1358" s="19" t="s">
        <v>4278</v>
      </c>
      <c r="E1358" s="10" t="s">
        <v>2423</v>
      </c>
      <c r="F1358" s="10" t="s">
        <v>4271</v>
      </c>
      <c r="G1358" s="12" t="s">
        <v>4275</v>
      </c>
      <c r="H1358" s="10" t="s">
        <v>521</v>
      </c>
      <c r="I1358" s="12" t="s">
        <v>4272</v>
      </c>
      <c r="J1358" s="10" t="s">
        <v>318</v>
      </c>
      <c r="K1358" s="10" t="s">
        <v>319</v>
      </c>
      <c r="L1358" s="16" t="s">
        <v>45</v>
      </c>
      <c r="M1358" s="10" t="s">
        <v>49</v>
      </c>
      <c r="N1358" s="10" t="s">
        <v>2498</v>
      </c>
      <c r="O1358" s="10" t="s">
        <v>320</v>
      </c>
      <c r="P1358" s="9" t="str">
        <f t="shared" si="28"/>
        <v>N/I</v>
      </c>
      <c r="Q1358" s="9" t="str">
        <f t="shared" si="29"/>
        <v>N/I</v>
      </c>
      <c r="R1358" s="9" t="str">
        <f t="shared" si="32"/>
        <v>N/I</v>
      </c>
    </row>
    <row r="1359">
      <c r="A1359" s="11" t="s">
        <v>4240</v>
      </c>
      <c r="B1359" s="32" t="s">
        <v>4279</v>
      </c>
      <c r="C1359" s="12" t="s">
        <v>94</v>
      </c>
      <c r="D1359" s="20" t="s">
        <v>4280</v>
      </c>
      <c r="E1359" s="10" t="s">
        <v>291</v>
      </c>
      <c r="F1359" s="10" t="s">
        <v>4284</v>
      </c>
      <c r="G1359" s="12" t="s">
        <v>4281</v>
      </c>
      <c r="H1359" s="10" t="s">
        <v>521</v>
      </c>
      <c r="I1359" s="10" t="s">
        <v>706</v>
      </c>
      <c r="J1359" s="12" t="s">
        <v>46</v>
      </c>
      <c r="K1359" s="10" t="s">
        <v>226</v>
      </c>
      <c r="L1359" s="16" t="s">
        <v>45</v>
      </c>
      <c r="M1359" s="10" t="s">
        <v>49</v>
      </c>
      <c r="N1359" s="10" t="s">
        <v>508</v>
      </c>
      <c r="O1359" s="10" t="s">
        <v>50</v>
      </c>
      <c r="P1359" s="9" t="str">
        <f t="shared" si="28"/>
        <v>N/I</v>
      </c>
      <c r="Q1359" s="9" t="str">
        <f t="shared" si="29"/>
        <v>N/I</v>
      </c>
      <c r="R1359" s="9" t="str">
        <f t="shared" si="32"/>
        <v>N/I</v>
      </c>
    </row>
    <row r="1360">
      <c r="A1360" s="11" t="s">
        <v>4240</v>
      </c>
      <c r="B1360" s="11" t="s">
        <v>4285</v>
      </c>
      <c r="C1360" s="12" t="s">
        <v>94</v>
      </c>
      <c r="D1360" s="41" t="s">
        <v>4286</v>
      </c>
      <c r="E1360" s="16" t="s">
        <v>45</v>
      </c>
      <c r="F1360" s="10" t="s">
        <v>4256</v>
      </c>
      <c r="G1360" s="12" t="s">
        <v>4287</v>
      </c>
      <c r="H1360" s="10" t="s">
        <v>521</v>
      </c>
      <c r="I1360" s="10" t="s">
        <v>2497</v>
      </c>
      <c r="J1360" s="12" t="s">
        <v>355</v>
      </c>
      <c r="K1360" s="16" t="s">
        <v>45</v>
      </c>
      <c r="L1360" s="16" t="s">
        <v>45</v>
      </c>
      <c r="M1360" s="10" t="s">
        <v>49</v>
      </c>
      <c r="N1360" s="16" t="s">
        <v>45</v>
      </c>
      <c r="O1360" s="10" t="s">
        <v>320</v>
      </c>
      <c r="P1360" s="9" t="str">
        <f t="shared" si="28"/>
        <v>N/I</v>
      </c>
      <c r="Q1360" s="9" t="str">
        <f t="shared" si="29"/>
        <v>N/I</v>
      </c>
      <c r="R1360" s="9" t="str">
        <f t="shared" si="32"/>
        <v>N/I</v>
      </c>
    </row>
    <row r="1361">
      <c r="A1361" s="11" t="s">
        <v>4240</v>
      </c>
      <c r="B1361" s="11" t="s">
        <v>4290</v>
      </c>
      <c r="C1361" s="12" t="s">
        <v>94</v>
      </c>
      <c r="D1361" s="19" t="s">
        <v>4291</v>
      </c>
      <c r="E1361" s="10" t="s">
        <v>2423</v>
      </c>
      <c r="F1361" s="10" t="s">
        <v>4271</v>
      </c>
      <c r="G1361" s="12" t="s">
        <v>4292</v>
      </c>
      <c r="H1361" s="10" t="s">
        <v>521</v>
      </c>
      <c r="I1361" s="12" t="s">
        <v>4272</v>
      </c>
      <c r="J1361" s="10" t="s">
        <v>318</v>
      </c>
      <c r="K1361" s="10" t="s">
        <v>319</v>
      </c>
      <c r="L1361" s="16" t="s">
        <v>45</v>
      </c>
      <c r="M1361" s="10" t="s">
        <v>49</v>
      </c>
      <c r="N1361" s="10" t="s">
        <v>2498</v>
      </c>
      <c r="O1361" s="10" t="s">
        <v>320</v>
      </c>
      <c r="P1361" s="9" t="str">
        <f t="shared" si="28"/>
        <v>N/I</v>
      </c>
      <c r="Q1361" s="9" t="str">
        <f t="shared" si="29"/>
        <v>N/I</v>
      </c>
      <c r="R1361" s="9" t="str">
        <f t="shared" si="32"/>
        <v>N/I</v>
      </c>
    </row>
    <row r="1362">
      <c r="A1362" s="11" t="s">
        <v>4240</v>
      </c>
      <c r="B1362" s="11" t="s">
        <v>4295</v>
      </c>
      <c r="C1362" s="12" t="s">
        <v>94</v>
      </c>
      <c r="D1362" s="19" t="s">
        <v>4296</v>
      </c>
      <c r="E1362" s="10" t="s">
        <v>2423</v>
      </c>
      <c r="F1362" s="10" t="s">
        <v>4271</v>
      </c>
      <c r="G1362" s="12" t="s">
        <v>4292</v>
      </c>
      <c r="H1362" s="10" t="s">
        <v>521</v>
      </c>
      <c r="I1362" s="12" t="s">
        <v>4272</v>
      </c>
      <c r="J1362" s="10" t="s">
        <v>318</v>
      </c>
      <c r="K1362" s="10" t="s">
        <v>319</v>
      </c>
      <c r="L1362" s="16" t="s">
        <v>45</v>
      </c>
      <c r="M1362" s="10" t="s">
        <v>49</v>
      </c>
      <c r="N1362" s="10" t="s">
        <v>2498</v>
      </c>
      <c r="O1362" s="10" t="s">
        <v>320</v>
      </c>
      <c r="P1362" s="9" t="str">
        <f t="shared" si="28"/>
        <v>N/I</v>
      </c>
      <c r="Q1362" s="9" t="str">
        <f t="shared" si="29"/>
        <v>N/I</v>
      </c>
      <c r="R1362" s="9" t="str">
        <f t="shared" si="32"/>
        <v>N/I</v>
      </c>
    </row>
    <row r="1363">
      <c r="A1363" s="11" t="s">
        <v>4240</v>
      </c>
      <c r="B1363" s="11" t="s">
        <v>4297</v>
      </c>
      <c r="C1363" s="12" t="s">
        <v>94</v>
      </c>
      <c r="D1363" s="19" t="s">
        <v>4298</v>
      </c>
      <c r="E1363" s="10" t="s">
        <v>2423</v>
      </c>
      <c r="F1363" s="10" t="s">
        <v>4271</v>
      </c>
      <c r="G1363" s="12" t="s">
        <v>4292</v>
      </c>
      <c r="H1363" s="10" t="s">
        <v>521</v>
      </c>
      <c r="I1363" s="12" t="s">
        <v>4272</v>
      </c>
      <c r="J1363" s="10" t="s">
        <v>318</v>
      </c>
      <c r="K1363" s="10" t="s">
        <v>319</v>
      </c>
      <c r="L1363" s="16" t="s">
        <v>45</v>
      </c>
      <c r="M1363" s="10" t="s">
        <v>49</v>
      </c>
      <c r="N1363" s="10" t="s">
        <v>2498</v>
      </c>
      <c r="O1363" s="10" t="s">
        <v>320</v>
      </c>
      <c r="P1363" s="9" t="str">
        <f t="shared" si="28"/>
        <v>N/I</v>
      </c>
      <c r="Q1363" s="9" t="str">
        <f t="shared" si="29"/>
        <v>N/I</v>
      </c>
      <c r="R1363" s="9" t="str">
        <f t="shared" si="32"/>
        <v>N/I</v>
      </c>
    </row>
    <row r="1364">
      <c r="A1364" s="11" t="s">
        <v>4240</v>
      </c>
      <c r="B1364" s="11" t="s">
        <v>4290</v>
      </c>
      <c r="C1364" s="12" t="s">
        <v>94</v>
      </c>
      <c r="D1364" s="19" t="s">
        <v>4300</v>
      </c>
      <c r="E1364" s="10" t="s">
        <v>2423</v>
      </c>
      <c r="F1364" s="10" t="s">
        <v>4271</v>
      </c>
      <c r="G1364" s="12" t="s">
        <v>4292</v>
      </c>
      <c r="H1364" s="10" t="s">
        <v>521</v>
      </c>
      <c r="I1364" s="12" t="s">
        <v>4272</v>
      </c>
      <c r="J1364" s="10" t="s">
        <v>318</v>
      </c>
      <c r="K1364" s="10" t="s">
        <v>319</v>
      </c>
      <c r="L1364" s="16" t="s">
        <v>45</v>
      </c>
      <c r="M1364" s="10" t="s">
        <v>49</v>
      </c>
      <c r="N1364" s="10" t="s">
        <v>2498</v>
      </c>
      <c r="O1364" s="10" t="s">
        <v>320</v>
      </c>
      <c r="P1364" s="9" t="str">
        <f t="shared" si="28"/>
        <v>N/I</v>
      </c>
      <c r="Q1364" s="9" t="str">
        <f t="shared" si="29"/>
        <v>N/I</v>
      </c>
      <c r="R1364" s="9" t="str">
        <f t="shared" si="32"/>
        <v>N/I</v>
      </c>
    </row>
    <row r="1365">
      <c r="A1365" s="11" t="s">
        <v>4240</v>
      </c>
      <c r="B1365" s="11" t="s">
        <v>4301</v>
      </c>
      <c r="C1365" s="12" t="s">
        <v>94</v>
      </c>
      <c r="D1365" s="41" t="s">
        <v>4302</v>
      </c>
      <c r="E1365" s="16" t="s">
        <v>45</v>
      </c>
      <c r="F1365" s="10" t="s">
        <v>4256</v>
      </c>
      <c r="G1365" s="12" t="s">
        <v>4292</v>
      </c>
      <c r="H1365" s="10" t="s">
        <v>521</v>
      </c>
      <c r="I1365" s="10" t="s">
        <v>2497</v>
      </c>
      <c r="J1365" s="12" t="s">
        <v>355</v>
      </c>
      <c r="K1365" s="16" t="s">
        <v>45</v>
      </c>
      <c r="L1365" s="16" t="s">
        <v>45</v>
      </c>
      <c r="M1365" s="10" t="s">
        <v>49</v>
      </c>
      <c r="N1365" s="16" t="s">
        <v>45</v>
      </c>
      <c r="O1365" s="10" t="s">
        <v>320</v>
      </c>
      <c r="P1365" s="9" t="str">
        <f t="shared" si="28"/>
        <v>N/I</v>
      </c>
      <c r="Q1365" s="9" t="str">
        <f t="shared" si="29"/>
        <v>N/I</v>
      </c>
      <c r="R1365" s="9" t="str">
        <f t="shared" si="32"/>
        <v>N/I</v>
      </c>
    </row>
    <row r="1366">
      <c r="A1366" s="11" t="s">
        <v>4240</v>
      </c>
      <c r="B1366" s="11" t="s">
        <v>4304</v>
      </c>
      <c r="C1366" s="12" t="s">
        <v>94</v>
      </c>
      <c r="D1366" s="41" t="s">
        <v>4305</v>
      </c>
      <c r="E1366" s="16" t="s">
        <v>45</v>
      </c>
      <c r="F1366" s="10" t="s">
        <v>4256</v>
      </c>
      <c r="G1366" s="12" t="s">
        <v>4292</v>
      </c>
      <c r="H1366" s="10" t="s">
        <v>521</v>
      </c>
      <c r="I1366" s="10" t="s">
        <v>2497</v>
      </c>
      <c r="J1366" s="12" t="s">
        <v>355</v>
      </c>
      <c r="K1366" s="16" t="s">
        <v>45</v>
      </c>
      <c r="L1366" s="16" t="s">
        <v>45</v>
      </c>
      <c r="M1366" s="10" t="s">
        <v>49</v>
      </c>
      <c r="N1366" s="16" t="s">
        <v>45</v>
      </c>
      <c r="O1366" s="10" t="s">
        <v>320</v>
      </c>
      <c r="P1366" s="9" t="str">
        <f t="shared" si="28"/>
        <v>N/I</v>
      </c>
      <c r="Q1366" s="9" t="str">
        <f t="shared" si="29"/>
        <v>N/I</v>
      </c>
      <c r="R1366" s="9" t="str">
        <f t="shared" si="32"/>
        <v>N/I</v>
      </c>
    </row>
    <row r="1367">
      <c r="A1367" s="11" t="s">
        <v>4240</v>
      </c>
      <c r="B1367" s="11" t="s">
        <v>4307</v>
      </c>
      <c r="C1367" s="12" t="s">
        <v>94</v>
      </c>
      <c r="D1367" s="41" t="s">
        <v>4308</v>
      </c>
      <c r="E1367" s="16" t="s">
        <v>45</v>
      </c>
      <c r="F1367" s="10" t="s">
        <v>4256</v>
      </c>
      <c r="G1367" s="12" t="s">
        <v>4309</v>
      </c>
      <c r="H1367" s="10" t="s">
        <v>521</v>
      </c>
      <c r="I1367" s="10" t="s">
        <v>2497</v>
      </c>
      <c r="J1367" s="12" t="s">
        <v>355</v>
      </c>
      <c r="K1367" s="16" t="s">
        <v>45</v>
      </c>
      <c r="L1367" s="16" t="s">
        <v>45</v>
      </c>
      <c r="M1367" s="10" t="s">
        <v>49</v>
      </c>
      <c r="N1367" s="16" t="s">
        <v>45</v>
      </c>
      <c r="O1367" s="10" t="s">
        <v>320</v>
      </c>
      <c r="P1367" s="9" t="str">
        <f t="shared" si="28"/>
        <v>N/I</v>
      </c>
      <c r="Q1367" s="9" t="str">
        <f t="shared" si="29"/>
        <v>N/I</v>
      </c>
      <c r="R1367" s="9" t="str">
        <f t="shared" si="32"/>
        <v>N/I</v>
      </c>
    </row>
    <row r="1368">
      <c r="A1368" s="11" t="s">
        <v>4240</v>
      </c>
      <c r="B1368" s="11" t="s">
        <v>4312</v>
      </c>
      <c r="C1368" s="12" t="s">
        <v>94</v>
      </c>
      <c r="D1368" s="41" t="s">
        <v>4313</v>
      </c>
      <c r="E1368" s="16" t="s">
        <v>45</v>
      </c>
      <c r="F1368" s="10" t="s">
        <v>4256</v>
      </c>
      <c r="G1368" s="12" t="s">
        <v>4314</v>
      </c>
      <c r="H1368" s="10" t="s">
        <v>521</v>
      </c>
      <c r="I1368" s="10" t="s">
        <v>2497</v>
      </c>
      <c r="J1368" s="12" t="s">
        <v>355</v>
      </c>
      <c r="K1368" s="16" t="s">
        <v>45</v>
      </c>
      <c r="L1368" s="16" t="s">
        <v>45</v>
      </c>
      <c r="M1368" s="10" t="s">
        <v>49</v>
      </c>
      <c r="N1368" s="16" t="s">
        <v>45</v>
      </c>
      <c r="O1368" s="10" t="s">
        <v>320</v>
      </c>
      <c r="P1368" s="9" t="str">
        <f t="shared" si="28"/>
        <v>N/I</v>
      </c>
      <c r="Q1368" s="9" t="str">
        <f t="shared" si="29"/>
        <v>N/I</v>
      </c>
      <c r="R1368" s="9" t="str">
        <f t="shared" si="32"/>
        <v>N/I</v>
      </c>
    </row>
    <row r="1369">
      <c r="A1369" s="11" t="s">
        <v>4240</v>
      </c>
      <c r="B1369" s="11" t="s">
        <v>4317</v>
      </c>
      <c r="C1369" s="12" t="s">
        <v>94</v>
      </c>
      <c r="D1369" s="19" t="s">
        <v>4318</v>
      </c>
      <c r="E1369" s="10" t="s">
        <v>2423</v>
      </c>
      <c r="F1369" s="10" t="s">
        <v>4271</v>
      </c>
      <c r="G1369" s="12" t="s">
        <v>4319</v>
      </c>
      <c r="H1369" s="10" t="s">
        <v>521</v>
      </c>
      <c r="I1369" s="12" t="s">
        <v>4272</v>
      </c>
      <c r="J1369" s="10" t="s">
        <v>318</v>
      </c>
      <c r="K1369" s="10" t="s">
        <v>319</v>
      </c>
      <c r="L1369" s="16" t="s">
        <v>45</v>
      </c>
      <c r="M1369" s="10" t="s">
        <v>49</v>
      </c>
      <c r="N1369" s="10" t="s">
        <v>2498</v>
      </c>
      <c r="O1369" s="10" t="s">
        <v>320</v>
      </c>
      <c r="P1369" s="9" t="str">
        <f t="shared" si="28"/>
        <v>N/I</v>
      </c>
      <c r="Q1369" s="9" t="str">
        <f t="shared" si="29"/>
        <v>N/I</v>
      </c>
      <c r="R1369" s="9" t="str">
        <f t="shared" si="32"/>
        <v>N/I</v>
      </c>
    </row>
    <row r="1370">
      <c r="A1370" s="11" t="s">
        <v>4240</v>
      </c>
      <c r="B1370" s="11" t="s">
        <v>4322</v>
      </c>
      <c r="C1370" s="12" t="s">
        <v>94</v>
      </c>
      <c r="D1370" s="41" t="s">
        <v>4323</v>
      </c>
      <c r="E1370" s="16" t="s">
        <v>45</v>
      </c>
      <c r="F1370" s="10" t="s">
        <v>4256</v>
      </c>
      <c r="G1370" s="12" t="s">
        <v>4324</v>
      </c>
      <c r="H1370" s="10" t="s">
        <v>521</v>
      </c>
      <c r="I1370" s="10" t="s">
        <v>2497</v>
      </c>
      <c r="J1370" s="12" t="s">
        <v>355</v>
      </c>
      <c r="K1370" s="16" t="s">
        <v>45</v>
      </c>
      <c r="L1370" s="16" t="s">
        <v>45</v>
      </c>
      <c r="M1370" s="10" t="s">
        <v>49</v>
      </c>
      <c r="N1370" s="16" t="s">
        <v>45</v>
      </c>
      <c r="O1370" s="10" t="s">
        <v>320</v>
      </c>
      <c r="P1370" s="9" t="str">
        <f t="shared" si="28"/>
        <v>N/I</v>
      </c>
      <c r="Q1370" s="9" t="str">
        <f t="shared" si="29"/>
        <v>N/I</v>
      </c>
      <c r="R1370" s="9" t="str">
        <f t="shared" si="32"/>
        <v>N/I</v>
      </c>
    </row>
    <row r="1371">
      <c r="A1371" s="11" t="s">
        <v>4240</v>
      </c>
      <c r="B1371" s="11" t="s">
        <v>4327</v>
      </c>
      <c r="C1371" s="12" t="s">
        <v>94</v>
      </c>
      <c r="D1371" s="41" t="s">
        <v>4328</v>
      </c>
      <c r="E1371" s="16" t="s">
        <v>45</v>
      </c>
      <c r="F1371" s="10" t="s">
        <v>4256</v>
      </c>
      <c r="G1371" s="12" t="s">
        <v>4329</v>
      </c>
      <c r="H1371" s="10" t="s">
        <v>521</v>
      </c>
      <c r="I1371" s="10" t="s">
        <v>2497</v>
      </c>
      <c r="J1371" s="12" t="s">
        <v>355</v>
      </c>
      <c r="K1371" s="16" t="s">
        <v>45</v>
      </c>
      <c r="L1371" s="16" t="s">
        <v>45</v>
      </c>
      <c r="M1371" s="10" t="s">
        <v>49</v>
      </c>
      <c r="N1371" s="16" t="s">
        <v>45</v>
      </c>
      <c r="O1371" s="10" t="s">
        <v>320</v>
      </c>
      <c r="P1371" s="9" t="str">
        <f t="shared" si="28"/>
        <v>N/I</v>
      </c>
      <c r="Q1371" s="9" t="str">
        <f t="shared" si="29"/>
        <v>N/I</v>
      </c>
      <c r="R1371" s="9" t="str">
        <f t="shared" si="32"/>
        <v>N/I</v>
      </c>
    </row>
    <row r="1372">
      <c r="A1372" s="11" t="s">
        <v>4240</v>
      </c>
      <c r="B1372" s="11" t="s">
        <v>4332</v>
      </c>
      <c r="C1372" s="12" t="s">
        <v>94</v>
      </c>
      <c r="D1372" s="41" t="s">
        <v>4333</v>
      </c>
      <c r="E1372" s="16" t="s">
        <v>45</v>
      </c>
      <c r="F1372" s="10" t="s">
        <v>4256</v>
      </c>
      <c r="G1372" s="12" t="s">
        <v>4334</v>
      </c>
      <c r="H1372" s="10" t="s">
        <v>521</v>
      </c>
      <c r="I1372" s="10" t="s">
        <v>2497</v>
      </c>
      <c r="J1372" s="12" t="s">
        <v>355</v>
      </c>
      <c r="K1372" s="16" t="s">
        <v>45</v>
      </c>
      <c r="L1372" s="16" t="s">
        <v>45</v>
      </c>
      <c r="M1372" s="10" t="s">
        <v>49</v>
      </c>
      <c r="N1372" s="16" t="s">
        <v>45</v>
      </c>
      <c r="O1372" s="10" t="s">
        <v>320</v>
      </c>
      <c r="P1372" s="9" t="str">
        <f t="shared" si="28"/>
        <v>N/I</v>
      </c>
      <c r="Q1372" s="9" t="str">
        <f t="shared" si="29"/>
        <v>N/I</v>
      </c>
      <c r="R1372" s="9" t="str">
        <f t="shared" si="32"/>
        <v>N/I</v>
      </c>
    </row>
    <row r="1373">
      <c r="A1373" s="11" t="s">
        <v>4240</v>
      </c>
      <c r="B1373" s="11" t="s">
        <v>4337</v>
      </c>
      <c r="C1373" s="12" t="s">
        <v>94</v>
      </c>
      <c r="D1373" s="41" t="s">
        <v>4338</v>
      </c>
      <c r="E1373" s="16" t="s">
        <v>45</v>
      </c>
      <c r="F1373" s="10" t="s">
        <v>4256</v>
      </c>
      <c r="G1373" s="12" t="s">
        <v>4339</v>
      </c>
      <c r="H1373" s="10" t="s">
        <v>521</v>
      </c>
      <c r="I1373" s="10" t="s">
        <v>2497</v>
      </c>
      <c r="J1373" s="12" t="s">
        <v>355</v>
      </c>
      <c r="K1373" s="16" t="s">
        <v>45</v>
      </c>
      <c r="L1373" s="16" t="s">
        <v>45</v>
      </c>
      <c r="M1373" s="10" t="s">
        <v>49</v>
      </c>
      <c r="N1373" s="16" t="s">
        <v>45</v>
      </c>
      <c r="O1373" s="10" t="s">
        <v>320</v>
      </c>
      <c r="P1373" s="9" t="str">
        <f t="shared" si="28"/>
        <v>N/I</v>
      </c>
      <c r="Q1373" s="9" t="str">
        <f t="shared" si="29"/>
        <v>N/I</v>
      </c>
      <c r="R1373" s="9" t="str">
        <f t="shared" si="32"/>
        <v>N/I</v>
      </c>
    </row>
    <row r="1374">
      <c r="A1374" s="11" t="s">
        <v>4240</v>
      </c>
      <c r="B1374" s="11" t="s">
        <v>4342</v>
      </c>
      <c r="C1374" s="12" t="s">
        <v>94</v>
      </c>
      <c r="D1374" s="41" t="s">
        <v>4343</v>
      </c>
      <c r="E1374" s="16" t="s">
        <v>45</v>
      </c>
      <c r="F1374" s="10" t="s">
        <v>4256</v>
      </c>
      <c r="G1374" s="12" t="s">
        <v>4344</v>
      </c>
      <c r="H1374" s="10" t="s">
        <v>521</v>
      </c>
      <c r="I1374" s="10" t="s">
        <v>2497</v>
      </c>
      <c r="J1374" s="12" t="s">
        <v>355</v>
      </c>
      <c r="K1374" s="16" t="s">
        <v>45</v>
      </c>
      <c r="L1374" s="16" t="s">
        <v>45</v>
      </c>
      <c r="M1374" s="10" t="s">
        <v>49</v>
      </c>
      <c r="N1374" s="16" t="s">
        <v>45</v>
      </c>
      <c r="O1374" s="10" t="s">
        <v>320</v>
      </c>
      <c r="P1374" s="9" t="str">
        <f t="shared" si="28"/>
        <v>N/I</v>
      </c>
      <c r="Q1374" s="9" t="str">
        <f t="shared" si="29"/>
        <v>N/I</v>
      </c>
      <c r="R1374" s="9" t="str">
        <f t="shared" si="32"/>
        <v>N/I</v>
      </c>
    </row>
    <row r="1375">
      <c r="A1375" s="11" t="s">
        <v>4240</v>
      </c>
      <c r="B1375" s="32" t="s">
        <v>4347</v>
      </c>
      <c r="C1375" s="12" t="s">
        <v>502</v>
      </c>
      <c r="D1375" s="20" t="s">
        <v>4348</v>
      </c>
      <c r="E1375" s="16" t="s">
        <v>45</v>
      </c>
      <c r="F1375" s="10" t="s">
        <v>4351</v>
      </c>
      <c r="G1375" s="12" t="s">
        <v>615</v>
      </c>
      <c r="H1375" s="10" t="s">
        <v>521</v>
      </c>
      <c r="I1375" s="10" t="s">
        <v>706</v>
      </c>
      <c r="J1375" s="16" t="s">
        <v>45</v>
      </c>
      <c r="K1375" s="16" t="s">
        <v>45</v>
      </c>
      <c r="L1375" s="16" t="s">
        <v>45</v>
      </c>
      <c r="M1375" s="16" t="s">
        <v>45</v>
      </c>
      <c r="N1375" s="16" t="s">
        <v>45</v>
      </c>
      <c r="O1375" s="16" t="s">
        <v>45</v>
      </c>
      <c r="P1375" s="9" t="str">
        <f t="shared" si="28"/>
        <v>N/I</v>
      </c>
      <c r="Q1375" s="9" t="str">
        <f t="shared" si="29"/>
        <v>N/I</v>
      </c>
      <c r="R1375" s="9" t="str">
        <f t="shared" si="32"/>
        <v>N/I</v>
      </c>
    </row>
    <row r="1376">
      <c r="A1376" s="11" t="s">
        <v>4240</v>
      </c>
      <c r="B1376" s="11" t="s">
        <v>4352</v>
      </c>
      <c r="C1376" s="12" t="s">
        <v>94</v>
      </c>
      <c r="D1376" s="41" t="s">
        <v>4353</v>
      </c>
      <c r="E1376" s="16" t="s">
        <v>45</v>
      </c>
      <c r="F1376" s="10" t="s">
        <v>4256</v>
      </c>
      <c r="G1376" s="12" t="s">
        <v>1345</v>
      </c>
      <c r="H1376" s="10" t="s">
        <v>521</v>
      </c>
      <c r="I1376" s="10" t="s">
        <v>2497</v>
      </c>
      <c r="J1376" s="12" t="s">
        <v>355</v>
      </c>
      <c r="K1376" s="16" t="s">
        <v>45</v>
      </c>
      <c r="L1376" s="16" t="s">
        <v>45</v>
      </c>
      <c r="M1376" s="10" t="s">
        <v>49</v>
      </c>
      <c r="N1376" s="16" t="s">
        <v>45</v>
      </c>
      <c r="O1376" s="10" t="s">
        <v>320</v>
      </c>
      <c r="P1376" s="9" t="str">
        <f t="shared" si="28"/>
        <v>N/I</v>
      </c>
      <c r="Q1376" s="9" t="str">
        <f t="shared" si="29"/>
        <v>N/I</v>
      </c>
      <c r="R1376" s="9" t="str">
        <f t="shared" si="32"/>
        <v>N/I</v>
      </c>
    </row>
    <row r="1377">
      <c r="A1377" s="11" t="s">
        <v>4240</v>
      </c>
      <c r="B1377" s="11" t="s">
        <v>4356</v>
      </c>
      <c r="C1377" s="12" t="s">
        <v>94</v>
      </c>
      <c r="D1377" s="41" t="s">
        <v>4357</v>
      </c>
      <c r="E1377" s="16" t="s">
        <v>45</v>
      </c>
      <c r="F1377" s="10" t="s">
        <v>4256</v>
      </c>
      <c r="G1377" s="12" t="s">
        <v>4358</v>
      </c>
      <c r="H1377" s="10" t="s">
        <v>521</v>
      </c>
      <c r="I1377" s="10" t="s">
        <v>2497</v>
      </c>
      <c r="J1377" s="12" t="s">
        <v>355</v>
      </c>
      <c r="K1377" s="16" t="s">
        <v>45</v>
      </c>
      <c r="L1377" s="16" t="s">
        <v>45</v>
      </c>
      <c r="M1377" s="10" t="s">
        <v>49</v>
      </c>
      <c r="N1377" s="16" t="s">
        <v>45</v>
      </c>
      <c r="O1377" s="10" t="s">
        <v>320</v>
      </c>
      <c r="P1377" s="9" t="str">
        <f t="shared" si="28"/>
        <v>N/I</v>
      </c>
      <c r="Q1377" s="9" t="str">
        <f t="shared" si="29"/>
        <v>N/I</v>
      </c>
      <c r="R1377" s="9" t="str">
        <f t="shared" si="32"/>
        <v>N/I</v>
      </c>
    </row>
    <row r="1378">
      <c r="A1378" s="11" t="s">
        <v>4240</v>
      </c>
      <c r="B1378" s="11" t="s">
        <v>4361</v>
      </c>
      <c r="C1378" s="12" t="s">
        <v>94</v>
      </c>
      <c r="D1378" s="41" t="s">
        <v>4362</v>
      </c>
      <c r="E1378" s="16" t="s">
        <v>45</v>
      </c>
      <c r="F1378" s="10" t="s">
        <v>4256</v>
      </c>
      <c r="G1378" s="12" t="s">
        <v>4115</v>
      </c>
      <c r="H1378" s="10" t="s">
        <v>521</v>
      </c>
      <c r="I1378" s="10" t="s">
        <v>2497</v>
      </c>
      <c r="J1378" s="12" t="s">
        <v>355</v>
      </c>
      <c r="K1378" s="16" t="s">
        <v>45</v>
      </c>
      <c r="L1378" s="16" t="s">
        <v>45</v>
      </c>
      <c r="M1378" s="10" t="s">
        <v>49</v>
      </c>
      <c r="N1378" s="16" t="s">
        <v>45</v>
      </c>
      <c r="O1378" s="10" t="s">
        <v>320</v>
      </c>
      <c r="P1378" s="9" t="str">
        <f t="shared" si="28"/>
        <v>N/I</v>
      </c>
      <c r="Q1378" s="9" t="str">
        <f t="shared" si="29"/>
        <v>N/I</v>
      </c>
      <c r="R1378" s="9" t="str">
        <f t="shared" si="32"/>
        <v>N/I</v>
      </c>
    </row>
    <row r="1379">
      <c r="A1379" s="11" t="s">
        <v>4240</v>
      </c>
      <c r="B1379" s="11" t="s">
        <v>4365</v>
      </c>
      <c r="C1379" s="12" t="s">
        <v>94</v>
      </c>
      <c r="D1379" s="41" t="s">
        <v>4366</v>
      </c>
      <c r="E1379" s="16" t="s">
        <v>45</v>
      </c>
      <c r="F1379" s="10" t="s">
        <v>4256</v>
      </c>
      <c r="G1379" s="12" t="s">
        <v>4367</v>
      </c>
      <c r="H1379" s="10" t="s">
        <v>521</v>
      </c>
      <c r="I1379" s="10" t="s">
        <v>2497</v>
      </c>
      <c r="J1379" s="12" t="s">
        <v>355</v>
      </c>
      <c r="K1379" s="16" t="s">
        <v>45</v>
      </c>
      <c r="L1379" s="16" t="s">
        <v>45</v>
      </c>
      <c r="M1379" s="10" t="s">
        <v>49</v>
      </c>
      <c r="N1379" s="16" t="s">
        <v>45</v>
      </c>
      <c r="O1379" s="10" t="s">
        <v>320</v>
      </c>
      <c r="P1379" s="9" t="str">
        <f t="shared" si="28"/>
        <v>N/I</v>
      </c>
      <c r="Q1379" s="9" t="str">
        <f t="shared" si="29"/>
        <v>N/I</v>
      </c>
      <c r="R1379" s="9" t="str">
        <f t="shared" si="32"/>
        <v>N/I</v>
      </c>
    </row>
    <row r="1380">
      <c r="A1380" s="11" t="s">
        <v>4240</v>
      </c>
      <c r="B1380" s="11" t="s">
        <v>4370</v>
      </c>
      <c r="C1380" s="12" t="s">
        <v>94</v>
      </c>
      <c r="D1380" s="41" t="s">
        <v>4371</v>
      </c>
      <c r="E1380" s="16" t="s">
        <v>45</v>
      </c>
      <c r="F1380" s="10" t="s">
        <v>4256</v>
      </c>
      <c r="G1380" s="12" t="s">
        <v>4372</v>
      </c>
      <c r="H1380" s="10" t="s">
        <v>521</v>
      </c>
      <c r="I1380" s="10" t="s">
        <v>2497</v>
      </c>
      <c r="J1380" s="12" t="s">
        <v>355</v>
      </c>
      <c r="K1380" s="16" t="s">
        <v>45</v>
      </c>
      <c r="L1380" s="16" t="s">
        <v>45</v>
      </c>
      <c r="M1380" s="10" t="s">
        <v>49</v>
      </c>
      <c r="N1380" s="16" t="s">
        <v>45</v>
      </c>
      <c r="O1380" s="10" t="s">
        <v>320</v>
      </c>
      <c r="P1380" s="9" t="str">
        <f t="shared" si="28"/>
        <v>N/I</v>
      </c>
      <c r="Q1380" s="9" t="str">
        <f t="shared" si="29"/>
        <v>N/I</v>
      </c>
      <c r="R1380" s="9" t="str">
        <f t="shared" si="32"/>
        <v>N/I</v>
      </c>
    </row>
    <row r="1381">
      <c r="A1381" s="11" t="s">
        <v>4240</v>
      </c>
      <c r="B1381" s="11" t="s">
        <v>4375</v>
      </c>
      <c r="C1381" s="12" t="s">
        <v>94</v>
      </c>
      <c r="D1381" s="41" t="s">
        <v>4376</v>
      </c>
      <c r="E1381" s="16" t="s">
        <v>45</v>
      </c>
      <c r="F1381" s="10" t="s">
        <v>4256</v>
      </c>
      <c r="G1381" s="12" t="s">
        <v>4377</v>
      </c>
      <c r="H1381" s="10" t="s">
        <v>521</v>
      </c>
      <c r="I1381" s="10" t="s">
        <v>2497</v>
      </c>
      <c r="J1381" s="12" t="s">
        <v>355</v>
      </c>
      <c r="K1381" s="16" t="s">
        <v>45</v>
      </c>
      <c r="L1381" s="16" t="s">
        <v>45</v>
      </c>
      <c r="M1381" s="10" t="s">
        <v>49</v>
      </c>
      <c r="N1381" s="16" t="s">
        <v>45</v>
      </c>
      <c r="O1381" s="10" t="s">
        <v>320</v>
      </c>
      <c r="P1381" s="9" t="str">
        <f t="shared" si="28"/>
        <v>N/I</v>
      </c>
      <c r="Q1381" s="9" t="str">
        <f t="shared" si="29"/>
        <v>N/I</v>
      </c>
      <c r="R1381" s="9" t="str">
        <f t="shared" si="32"/>
        <v>N/I</v>
      </c>
    </row>
    <row r="1382">
      <c r="A1382" s="11" t="s">
        <v>4240</v>
      </c>
      <c r="B1382" s="11" t="s">
        <v>4380</v>
      </c>
      <c r="C1382" s="12" t="s">
        <v>94</v>
      </c>
      <c r="D1382" s="41" t="s">
        <v>4381</v>
      </c>
      <c r="E1382" s="16" t="s">
        <v>45</v>
      </c>
      <c r="F1382" s="10" t="s">
        <v>4256</v>
      </c>
      <c r="G1382" s="12" t="s">
        <v>4382</v>
      </c>
      <c r="H1382" s="10" t="s">
        <v>521</v>
      </c>
      <c r="I1382" s="10" t="s">
        <v>2497</v>
      </c>
      <c r="J1382" s="12" t="s">
        <v>355</v>
      </c>
      <c r="K1382" s="16" t="s">
        <v>45</v>
      </c>
      <c r="L1382" s="16" t="s">
        <v>45</v>
      </c>
      <c r="M1382" s="10" t="s">
        <v>49</v>
      </c>
      <c r="N1382" s="16" t="s">
        <v>45</v>
      </c>
      <c r="O1382" s="10" t="s">
        <v>320</v>
      </c>
      <c r="P1382" s="9" t="str">
        <f t="shared" si="28"/>
        <v>N/I</v>
      </c>
      <c r="Q1382" s="9" t="str">
        <f t="shared" si="29"/>
        <v>N/I</v>
      </c>
      <c r="R1382" s="9" t="str">
        <f t="shared" si="32"/>
        <v>N/I</v>
      </c>
    </row>
    <row r="1383">
      <c r="A1383" s="11" t="s">
        <v>4240</v>
      </c>
      <c r="B1383" s="32" t="s">
        <v>4385</v>
      </c>
      <c r="C1383" s="12" t="s">
        <v>94</v>
      </c>
      <c r="D1383" s="20" t="s">
        <v>4386</v>
      </c>
      <c r="E1383" s="10" t="s">
        <v>291</v>
      </c>
      <c r="F1383" s="10" t="s">
        <v>4284</v>
      </c>
      <c r="G1383" s="12" t="s">
        <v>2713</v>
      </c>
      <c r="H1383" s="10" t="s">
        <v>521</v>
      </c>
      <c r="I1383" s="10" t="s">
        <v>706</v>
      </c>
      <c r="J1383" s="12" t="s">
        <v>46</v>
      </c>
      <c r="K1383" s="10" t="s">
        <v>226</v>
      </c>
      <c r="L1383" s="16" t="s">
        <v>45</v>
      </c>
      <c r="M1383" s="10" t="s">
        <v>49</v>
      </c>
      <c r="N1383" s="10" t="s">
        <v>508</v>
      </c>
      <c r="O1383" s="10" t="s">
        <v>50</v>
      </c>
      <c r="P1383" s="9" t="str">
        <f t="shared" si="28"/>
        <v>N/I</v>
      </c>
      <c r="Q1383" s="9" t="str">
        <f t="shared" si="29"/>
        <v>N/I</v>
      </c>
      <c r="R1383" s="9" t="str">
        <f t="shared" si="32"/>
        <v>N/I</v>
      </c>
    </row>
    <row r="1384">
      <c r="A1384" s="11" t="s">
        <v>4240</v>
      </c>
      <c r="B1384" s="11" t="s">
        <v>4389</v>
      </c>
      <c r="C1384" s="12" t="s">
        <v>94</v>
      </c>
      <c r="D1384" s="41" t="s">
        <v>4390</v>
      </c>
      <c r="E1384" s="16" t="s">
        <v>45</v>
      </c>
      <c r="F1384" s="10" t="s">
        <v>4256</v>
      </c>
      <c r="G1384" s="12" t="s">
        <v>4391</v>
      </c>
      <c r="H1384" s="10" t="s">
        <v>521</v>
      </c>
      <c r="I1384" s="10" t="s">
        <v>2497</v>
      </c>
      <c r="J1384" s="12" t="s">
        <v>355</v>
      </c>
      <c r="K1384" s="16" t="s">
        <v>45</v>
      </c>
      <c r="L1384" s="16" t="s">
        <v>45</v>
      </c>
      <c r="M1384" s="10" t="s">
        <v>49</v>
      </c>
      <c r="N1384" s="16" t="s">
        <v>45</v>
      </c>
      <c r="O1384" s="10" t="s">
        <v>320</v>
      </c>
      <c r="P1384" s="9" t="str">
        <f t="shared" si="28"/>
        <v>N/I</v>
      </c>
      <c r="Q1384" s="9" t="str">
        <f t="shared" si="29"/>
        <v>N/I</v>
      </c>
      <c r="R1384" s="9" t="str">
        <f t="shared" si="32"/>
        <v>N/I</v>
      </c>
    </row>
    <row r="1385">
      <c r="A1385" s="11" t="s">
        <v>4240</v>
      </c>
      <c r="B1385" s="11" t="s">
        <v>4394</v>
      </c>
      <c r="C1385" s="12" t="s">
        <v>94</v>
      </c>
      <c r="D1385" s="41" t="s">
        <v>4395</v>
      </c>
      <c r="E1385" s="16" t="s">
        <v>45</v>
      </c>
      <c r="F1385" s="10" t="s">
        <v>4256</v>
      </c>
      <c r="G1385" s="12" t="s">
        <v>4396</v>
      </c>
      <c r="H1385" s="10" t="s">
        <v>521</v>
      </c>
      <c r="I1385" s="10" t="s">
        <v>2497</v>
      </c>
      <c r="J1385" s="12" t="s">
        <v>355</v>
      </c>
      <c r="K1385" s="16" t="s">
        <v>45</v>
      </c>
      <c r="L1385" s="16" t="s">
        <v>45</v>
      </c>
      <c r="M1385" s="10" t="s">
        <v>49</v>
      </c>
      <c r="N1385" s="16" t="s">
        <v>45</v>
      </c>
      <c r="O1385" s="10" t="s">
        <v>320</v>
      </c>
      <c r="P1385" s="9" t="str">
        <f t="shared" si="28"/>
        <v>N/I</v>
      </c>
      <c r="Q1385" s="9" t="str">
        <f t="shared" si="29"/>
        <v>N/I</v>
      </c>
      <c r="R1385" s="9" t="str">
        <f t="shared" si="32"/>
        <v>N/I</v>
      </c>
    </row>
    <row r="1386">
      <c r="A1386" s="11" t="s">
        <v>4400</v>
      </c>
      <c r="B1386" s="32"/>
      <c r="C1386" s="12" t="s">
        <v>94</v>
      </c>
      <c r="D1386" s="19" t="s">
        <v>4401</v>
      </c>
      <c r="E1386" s="10" t="s">
        <v>390</v>
      </c>
      <c r="F1386" s="10" t="s">
        <v>4404</v>
      </c>
      <c r="G1386" s="12" t="s">
        <v>651</v>
      </c>
      <c r="H1386" s="10" t="s">
        <v>652</v>
      </c>
      <c r="I1386" s="16" t="s">
        <v>45</v>
      </c>
      <c r="J1386" s="12" t="s">
        <v>46</v>
      </c>
      <c r="K1386" s="10" t="s">
        <v>226</v>
      </c>
      <c r="L1386" s="16" t="s">
        <v>45</v>
      </c>
      <c r="M1386" s="10" t="s">
        <v>49</v>
      </c>
      <c r="N1386" s="16" t="s">
        <v>45</v>
      </c>
      <c r="O1386" s="10" t="s">
        <v>320</v>
      </c>
      <c r="P1386" s="9" t="str">
        <f t="shared" si="28"/>
        <v>N/I</v>
      </c>
      <c r="Q1386" s="9" t="str">
        <f t="shared" si="29"/>
        <v>N/I</v>
      </c>
      <c r="R1386" s="9" t="str">
        <f t="shared" si="32"/>
        <v>N/I</v>
      </c>
    </row>
    <row r="1387">
      <c r="A1387" s="11" t="s">
        <v>4400</v>
      </c>
      <c r="B1387" s="32"/>
      <c r="C1387" s="12" t="s">
        <v>94</v>
      </c>
      <c r="D1387" s="19" t="s">
        <v>4405</v>
      </c>
      <c r="E1387" s="10" t="s">
        <v>390</v>
      </c>
      <c r="F1387" s="10" t="s">
        <v>4404</v>
      </c>
      <c r="G1387" s="12" t="s">
        <v>651</v>
      </c>
      <c r="H1387" s="10" t="s">
        <v>652</v>
      </c>
      <c r="I1387" s="16" t="s">
        <v>45</v>
      </c>
      <c r="J1387" s="12" t="s">
        <v>46</v>
      </c>
      <c r="K1387" s="10" t="s">
        <v>226</v>
      </c>
      <c r="L1387" s="16" t="s">
        <v>45</v>
      </c>
      <c r="M1387" s="10" t="s">
        <v>49</v>
      </c>
      <c r="N1387" s="16" t="s">
        <v>45</v>
      </c>
      <c r="O1387" s="10" t="s">
        <v>320</v>
      </c>
      <c r="P1387" s="9" t="str">
        <f t="shared" si="28"/>
        <v>N/I</v>
      </c>
      <c r="Q1387" s="9" t="str">
        <f t="shared" si="29"/>
        <v>N/I</v>
      </c>
      <c r="R1387" s="9" t="str">
        <f t="shared" si="32"/>
        <v>N/I</v>
      </c>
    </row>
    <row r="1388">
      <c r="A1388" s="11" t="s">
        <v>4407</v>
      </c>
      <c r="B1388" s="11" t="s">
        <v>4408</v>
      </c>
      <c r="C1388" s="12" t="s">
        <v>448</v>
      </c>
      <c r="D1388" s="16">
        <v>170086.0</v>
      </c>
      <c r="E1388" s="10" t="s">
        <v>227</v>
      </c>
      <c r="F1388" s="10" t="s">
        <v>4411</v>
      </c>
      <c r="G1388" s="12" t="s">
        <v>246</v>
      </c>
      <c r="H1388" s="10" t="s">
        <v>247</v>
      </c>
      <c r="I1388" s="10" t="s">
        <v>2497</v>
      </c>
      <c r="J1388" s="12" t="s">
        <v>46</v>
      </c>
      <c r="K1388" s="10" t="s">
        <v>227</v>
      </c>
      <c r="L1388" s="16" t="s">
        <v>45</v>
      </c>
      <c r="M1388" s="10" t="s">
        <v>49</v>
      </c>
      <c r="N1388" s="16" t="s">
        <v>45</v>
      </c>
      <c r="O1388" s="10" t="s">
        <v>50</v>
      </c>
      <c r="P1388" s="9" t="str">
        <f t="shared" si="28"/>
        <v>N/I</v>
      </c>
      <c r="Q1388" s="9" t="str">
        <f t="shared" si="29"/>
        <v>N/I</v>
      </c>
      <c r="R1388" s="9" t="str">
        <f t="shared" si="32"/>
        <v>N/I</v>
      </c>
    </row>
    <row r="1389">
      <c r="A1389" s="11" t="s">
        <v>4407</v>
      </c>
      <c r="B1389" s="11" t="s">
        <v>4412</v>
      </c>
      <c r="C1389" s="12" t="s">
        <v>448</v>
      </c>
      <c r="D1389" s="16">
        <v>170089.0</v>
      </c>
      <c r="E1389" s="10" t="s">
        <v>227</v>
      </c>
      <c r="F1389" s="10" t="s">
        <v>4411</v>
      </c>
      <c r="G1389" s="12" t="s">
        <v>246</v>
      </c>
      <c r="H1389" s="10" t="s">
        <v>247</v>
      </c>
      <c r="I1389" s="10" t="s">
        <v>2497</v>
      </c>
      <c r="J1389" s="12" t="s">
        <v>46</v>
      </c>
      <c r="K1389" s="10" t="s">
        <v>227</v>
      </c>
      <c r="L1389" s="16" t="s">
        <v>45</v>
      </c>
      <c r="M1389" s="10" t="s">
        <v>49</v>
      </c>
      <c r="N1389" s="16" t="s">
        <v>45</v>
      </c>
      <c r="O1389" s="10" t="s">
        <v>50</v>
      </c>
      <c r="P1389" s="9" t="str">
        <f t="shared" si="28"/>
        <v>N/I</v>
      </c>
      <c r="Q1389" s="9" t="str">
        <f t="shared" si="29"/>
        <v>N/I</v>
      </c>
      <c r="R1389" s="9" t="str">
        <f t="shared" si="32"/>
        <v>N/I</v>
      </c>
    </row>
    <row r="1390">
      <c r="A1390" s="11" t="s">
        <v>4407</v>
      </c>
      <c r="B1390" s="11" t="s">
        <v>4413</v>
      </c>
      <c r="C1390" s="12" t="s">
        <v>448</v>
      </c>
      <c r="D1390" s="16">
        <v>170091.0</v>
      </c>
      <c r="E1390" s="10" t="s">
        <v>227</v>
      </c>
      <c r="F1390" s="10" t="s">
        <v>4411</v>
      </c>
      <c r="G1390" s="12" t="s">
        <v>246</v>
      </c>
      <c r="H1390" s="10" t="s">
        <v>247</v>
      </c>
      <c r="I1390" s="10" t="s">
        <v>2497</v>
      </c>
      <c r="J1390" s="12" t="s">
        <v>46</v>
      </c>
      <c r="K1390" s="10" t="s">
        <v>227</v>
      </c>
      <c r="L1390" s="16" t="s">
        <v>45</v>
      </c>
      <c r="M1390" s="10" t="s">
        <v>49</v>
      </c>
      <c r="N1390" s="16" t="s">
        <v>45</v>
      </c>
      <c r="O1390" s="10" t="s">
        <v>50</v>
      </c>
      <c r="P1390" s="9" t="str">
        <f t="shared" si="28"/>
        <v>N/I</v>
      </c>
      <c r="Q1390" s="9" t="str">
        <f t="shared" si="29"/>
        <v>N/I</v>
      </c>
      <c r="R1390" s="9" t="str">
        <f t="shared" si="32"/>
        <v>N/I</v>
      </c>
    </row>
    <row r="1391">
      <c r="A1391" s="11" t="s">
        <v>4407</v>
      </c>
      <c r="B1391" s="11" t="s">
        <v>4414</v>
      </c>
      <c r="C1391" s="12" t="s">
        <v>448</v>
      </c>
      <c r="D1391" s="16">
        <v>170093.0</v>
      </c>
      <c r="E1391" s="10" t="s">
        <v>227</v>
      </c>
      <c r="F1391" s="10" t="s">
        <v>4411</v>
      </c>
      <c r="G1391" s="12" t="s">
        <v>246</v>
      </c>
      <c r="H1391" s="10" t="s">
        <v>247</v>
      </c>
      <c r="I1391" s="10" t="s">
        <v>2497</v>
      </c>
      <c r="J1391" s="12" t="s">
        <v>46</v>
      </c>
      <c r="K1391" s="10" t="s">
        <v>227</v>
      </c>
      <c r="L1391" s="16" t="s">
        <v>45</v>
      </c>
      <c r="M1391" s="10" t="s">
        <v>49</v>
      </c>
      <c r="N1391" s="16" t="s">
        <v>45</v>
      </c>
      <c r="O1391" s="10" t="s">
        <v>50</v>
      </c>
      <c r="P1391" s="9" t="str">
        <f t="shared" si="28"/>
        <v>N/I</v>
      </c>
      <c r="Q1391" s="9" t="str">
        <f t="shared" si="29"/>
        <v>N/I</v>
      </c>
      <c r="R1391" s="9" t="str">
        <f t="shared" si="32"/>
        <v>N/I</v>
      </c>
    </row>
    <row r="1392">
      <c r="A1392" s="11" t="s">
        <v>4407</v>
      </c>
      <c r="B1392" s="11" t="s">
        <v>4413</v>
      </c>
      <c r="C1392" s="12" t="s">
        <v>448</v>
      </c>
      <c r="D1392" s="16">
        <v>170088.0</v>
      </c>
      <c r="E1392" s="10" t="s">
        <v>227</v>
      </c>
      <c r="F1392" s="10" t="s">
        <v>4411</v>
      </c>
      <c r="G1392" s="12" t="s">
        <v>246</v>
      </c>
      <c r="H1392" s="10" t="s">
        <v>247</v>
      </c>
      <c r="I1392" s="10" t="s">
        <v>2497</v>
      </c>
      <c r="J1392" s="12" t="s">
        <v>46</v>
      </c>
      <c r="K1392" s="10" t="s">
        <v>227</v>
      </c>
      <c r="L1392" s="16" t="s">
        <v>45</v>
      </c>
      <c r="M1392" s="10" t="s">
        <v>49</v>
      </c>
      <c r="N1392" s="16" t="s">
        <v>45</v>
      </c>
      <c r="O1392" s="10" t="s">
        <v>50</v>
      </c>
      <c r="P1392" s="9" t="str">
        <f t="shared" si="28"/>
        <v>N/I</v>
      </c>
      <c r="Q1392" s="9" t="str">
        <f t="shared" si="29"/>
        <v>N/I</v>
      </c>
      <c r="R1392" s="9" t="str">
        <f t="shared" si="32"/>
        <v>N/I</v>
      </c>
    </row>
    <row r="1393">
      <c r="A1393" s="11" t="s">
        <v>4407</v>
      </c>
      <c r="B1393" s="11" t="s">
        <v>4415</v>
      </c>
      <c r="C1393" s="12" t="s">
        <v>448</v>
      </c>
      <c r="D1393" s="16">
        <v>170100.0</v>
      </c>
      <c r="E1393" s="10" t="s">
        <v>227</v>
      </c>
      <c r="F1393" s="10" t="s">
        <v>4411</v>
      </c>
      <c r="G1393" s="12" t="s">
        <v>246</v>
      </c>
      <c r="H1393" s="10" t="s">
        <v>247</v>
      </c>
      <c r="I1393" s="10" t="s">
        <v>2497</v>
      </c>
      <c r="J1393" s="12" t="s">
        <v>46</v>
      </c>
      <c r="K1393" s="10" t="s">
        <v>227</v>
      </c>
      <c r="L1393" s="16" t="s">
        <v>45</v>
      </c>
      <c r="M1393" s="10" t="s">
        <v>49</v>
      </c>
      <c r="N1393" s="16" t="s">
        <v>45</v>
      </c>
      <c r="O1393" s="10" t="s">
        <v>50</v>
      </c>
      <c r="P1393" s="9" t="str">
        <f t="shared" si="28"/>
        <v>N/I</v>
      </c>
      <c r="Q1393" s="9" t="str">
        <f t="shared" si="29"/>
        <v>N/I</v>
      </c>
      <c r="R1393" s="9" t="str">
        <f t="shared" si="32"/>
        <v>N/I</v>
      </c>
    </row>
    <row r="1394">
      <c r="A1394" s="11" t="s">
        <v>4417</v>
      </c>
      <c r="B1394" s="32" t="s">
        <v>4418</v>
      </c>
      <c r="C1394" s="12" t="s">
        <v>52</v>
      </c>
      <c r="D1394" s="19" t="s">
        <v>4419</v>
      </c>
      <c r="E1394" s="10" t="s">
        <v>227</v>
      </c>
      <c r="F1394" s="10" t="s">
        <v>4420</v>
      </c>
      <c r="G1394" s="12" t="s">
        <v>324</v>
      </c>
      <c r="H1394" s="10" t="s">
        <v>197</v>
      </c>
      <c r="I1394" s="16" t="s">
        <v>45</v>
      </c>
      <c r="J1394" s="12" t="s">
        <v>46</v>
      </c>
      <c r="K1394" s="10" t="s">
        <v>226</v>
      </c>
      <c r="L1394" s="16" t="s">
        <v>45</v>
      </c>
      <c r="M1394" s="10" t="s">
        <v>49</v>
      </c>
      <c r="N1394" s="16" t="s">
        <v>45</v>
      </c>
      <c r="O1394" s="10" t="s">
        <v>50</v>
      </c>
      <c r="P1394" s="9" t="str">
        <f t="shared" si="28"/>
        <v>N/I</v>
      </c>
      <c r="Q1394" s="9" t="str">
        <f t="shared" si="29"/>
        <v>N/I</v>
      </c>
      <c r="R1394" s="9" t="str">
        <f t="shared" si="32"/>
        <v>N/I</v>
      </c>
    </row>
    <row r="1395">
      <c r="A1395" s="11" t="s">
        <v>4417</v>
      </c>
      <c r="B1395" s="32" t="s">
        <v>4174</v>
      </c>
      <c r="C1395" s="12" t="s">
        <v>52</v>
      </c>
      <c r="D1395" s="19" t="s">
        <v>4421</v>
      </c>
      <c r="E1395" s="10" t="s">
        <v>227</v>
      </c>
      <c r="F1395" s="10" t="s">
        <v>4420</v>
      </c>
      <c r="G1395" s="12" t="s">
        <v>324</v>
      </c>
      <c r="H1395" s="10" t="s">
        <v>197</v>
      </c>
      <c r="I1395" s="16" t="s">
        <v>45</v>
      </c>
      <c r="J1395" s="12" t="s">
        <v>46</v>
      </c>
      <c r="K1395" s="10" t="s">
        <v>226</v>
      </c>
      <c r="L1395" s="16" t="s">
        <v>45</v>
      </c>
      <c r="M1395" s="10" t="s">
        <v>49</v>
      </c>
      <c r="N1395" s="16" t="s">
        <v>45</v>
      </c>
      <c r="O1395" s="10" t="s">
        <v>50</v>
      </c>
      <c r="P1395" s="9" t="str">
        <f t="shared" si="28"/>
        <v>N/I</v>
      </c>
      <c r="Q1395" s="9" t="str">
        <f t="shared" si="29"/>
        <v>N/I</v>
      </c>
      <c r="R1395" s="9" t="str">
        <f t="shared" si="32"/>
        <v>N/I</v>
      </c>
    </row>
    <row r="1396">
      <c r="A1396" s="11" t="s">
        <v>4417</v>
      </c>
      <c r="B1396" s="32" t="s">
        <v>4174</v>
      </c>
      <c r="C1396" s="12" t="s">
        <v>52</v>
      </c>
      <c r="D1396" s="19" t="s">
        <v>4422</v>
      </c>
      <c r="E1396" s="10" t="s">
        <v>227</v>
      </c>
      <c r="F1396" s="10" t="s">
        <v>4423</v>
      </c>
      <c r="G1396" s="12" t="s">
        <v>324</v>
      </c>
      <c r="H1396" s="10" t="s">
        <v>197</v>
      </c>
      <c r="I1396" s="16" t="s">
        <v>45</v>
      </c>
      <c r="J1396" s="12" t="s">
        <v>46</v>
      </c>
      <c r="K1396" s="10" t="s">
        <v>226</v>
      </c>
      <c r="L1396" s="16" t="s">
        <v>45</v>
      </c>
      <c r="M1396" s="10" t="s">
        <v>49</v>
      </c>
      <c r="N1396" s="16" t="s">
        <v>45</v>
      </c>
      <c r="O1396" s="10" t="s">
        <v>50</v>
      </c>
      <c r="P1396" s="9" t="str">
        <f t="shared" si="28"/>
        <v>N/I</v>
      </c>
      <c r="Q1396" s="9" t="str">
        <f t="shared" si="29"/>
        <v>N/I</v>
      </c>
      <c r="R1396" s="9" t="str">
        <f t="shared" si="32"/>
        <v>N/I</v>
      </c>
    </row>
    <row r="1397">
      <c r="A1397" s="11" t="s">
        <v>4417</v>
      </c>
      <c r="B1397" s="32" t="s">
        <v>4174</v>
      </c>
      <c r="C1397" s="12" t="s">
        <v>52</v>
      </c>
      <c r="D1397" s="19" t="s">
        <v>4424</v>
      </c>
      <c r="E1397" s="10" t="s">
        <v>227</v>
      </c>
      <c r="F1397" s="10" t="s">
        <v>4423</v>
      </c>
      <c r="G1397" s="12" t="s">
        <v>324</v>
      </c>
      <c r="H1397" s="10" t="s">
        <v>197</v>
      </c>
      <c r="I1397" s="16" t="s">
        <v>45</v>
      </c>
      <c r="J1397" s="12" t="s">
        <v>46</v>
      </c>
      <c r="K1397" s="10" t="s">
        <v>226</v>
      </c>
      <c r="L1397" s="16" t="s">
        <v>45</v>
      </c>
      <c r="M1397" s="10" t="s">
        <v>49</v>
      </c>
      <c r="N1397" s="16" t="s">
        <v>45</v>
      </c>
      <c r="O1397" s="10" t="s">
        <v>50</v>
      </c>
      <c r="P1397" s="9" t="str">
        <f t="shared" si="28"/>
        <v>N/I</v>
      </c>
      <c r="Q1397" s="9" t="str">
        <f t="shared" si="29"/>
        <v>N/I</v>
      </c>
      <c r="R1397" s="9" t="str">
        <f t="shared" si="32"/>
        <v>N/I</v>
      </c>
    </row>
    <row r="1398">
      <c r="A1398" s="11" t="s">
        <v>4417</v>
      </c>
      <c r="B1398" s="32" t="s">
        <v>4174</v>
      </c>
      <c r="C1398" s="12" t="s">
        <v>68</v>
      </c>
      <c r="D1398" s="19" t="s">
        <v>4425</v>
      </c>
      <c r="E1398" s="10" t="s">
        <v>227</v>
      </c>
      <c r="F1398" s="10" t="s">
        <v>4426</v>
      </c>
      <c r="G1398" s="12" t="s">
        <v>324</v>
      </c>
      <c r="H1398" s="10" t="s">
        <v>197</v>
      </c>
      <c r="I1398" s="16" t="s">
        <v>45</v>
      </c>
      <c r="J1398" s="12" t="s">
        <v>46</v>
      </c>
      <c r="K1398" s="10" t="s">
        <v>226</v>
      </c>
      <c r="L1398" s="16" t="s">
        <v>45</v>
      </c>
      <c r="M1398" s="10" t="s">
        <v>49</v>
      </c>
      <c r="N1398" s="16" t="s">
        <v>45</v>
      </c>
      <c r="O1398" s="10" t="s">
        <v>50</v>
      </c>
      <c r="P1398" s="9" t="str">
        <f t="shared" si="28"/>
        <v>N/I</v>
      </c>
      <c r="Q1398" s="9" t="str">
        <f t="shared" si="29"/>
        <v>N/I</v>
      </c>
      <c r="R1398" s="9" t="str">
        <f t="shared" si="32"/>
        <v>N/I</v>
      </c>
    </row>
    <row r="1399">
      <c r="A1399" s="11" t="s">
        <v>4417</v>
      </c>
      <c r="B1399" s="32" t="s">
        <v>4174</v>
      </c>
      <c r="C1399" s="12" t="s">
        <v>52</v>
      </c>
      <c r="D1399" s="19" t="s">
        <v>4427</v>
      </c>
      <c r="E1399" s="10" t="s">
        <v>227</v>
      </c>
      <c r="F1399" s="10" t="s">
        <v>4428</v>
      </c>
      <c r="G1399" s="12" t="s">
        <v>324</v>
      </c>
      <c r="H1399" s="10" t="s">
        <v>197</v>
      </c>
      <c r="I1399" s="16" t="s">
        <v>45</v>
      </c>
      <c r="J1399" s="12" t="s">
        <v>46</v>
      </c>
      <c r="K1399" s="10" t="s">
        <v>226</v>
      </c>
      <c r="L1399" s="16" t="s">
        <v>45</v>
      </c>
      <c r="M1399" s="10" t="s">
        <v>49</v>
      </c>
      <c r="N1399" s="16" t="s">
        <v>45</v>
      </c>
      <c r="O1399" s="10" t="s">
        <v>50</v>
      </c>
      <c r="P1399" s="9" t="str">
        <f t="shared" si="28"/>
        <v>N/I</v>
      </c>
      <c r="Q1399" s="9" t="str">
        <f t="shared" si="29"/>
        <v>N/I</v>
      </c>
      <c r="R1399" s="9" t="str">
        <f t="shared" si="32"/>
        <v>N/I</v>
      </c>
    </row>
    <row r="1400">
      <c r="A1400" s="11" t="s">
        <v>4417</v>
      </c>
      <c r="B1400" s="32" t="s">
        <v>4174</v>
      </c>
      <c r="C1400" s="12" t="s">
        <v>52</v>
      </c>
      <c r="D1400" s="34" t="s">
        <v>4429</v>
      </c>
      <c r="E1400" s="10" t="s">
        <v>227</v>
      </c>
      <c r="F1400" s="10" t="s">
        <v>4428</v>
      </c>
      <c r="G1400" s="12" t="s">
        <v>324</v>
      </c>
      <c r="H1400" s="10" t="s">
        <v>197</v>
      </c>
      <c r="I1400" s="16" t="s">
        <v>45</v>
      </c>
      <c r="J1400" s="12" t="s">
        <v>46</v>
      </c>
      <c r="K1400" s="10" t="s">
        <v>226</v>
      </c>
      <c r="L1400" s="16" t="s">
        <v>45</v>
      </c>
      <c r="M1400" s="10" t="s">
        <v>49</v>
      </c>
      <c r="N1400" s="16" t="s">
        <v>45</v>
      </c>
      <c r="O1400" s="10" t="s">
        <v>50</v>
      </c>
      <c r="P1400" s="9" t="str">
        <f t="shared" si="28"/>
        <v>N/I</v>
      </c>
      <c r="Q1400" s="9" t="str">
        <f t="shared" si="29"/>
        <v>N/I</v>
      </c>
      <c r="R1400" s="9" t="str">
        <f t="shared" si="32"/>
        <v>N/I</v>
      </c>
    </row>
    <row r="1401">
      <c r="A1401" s="11" t="s">
        <v>4417</v>
      </c>
      <c r="B1401" s="32" t="s">
        <v>4174</v>
      </c>
      <c r="C1401" s="12" t="s">
        <v>52</v>
      </c>
      <c r="D1401" s="34" t="s">
        <v>4430</v>
      </c>
      <c r="E1401" s="10" t="s">
        <v>227</v>
      </c>
      <c r="F1401" s="10" t="s">
        <v>4428</v>
      </c>
      <c r="G1401" s="12" t="s">
        <v>324</v>
      </c>
      <c r="H1401" s="10" t="s">
        <v>197</v>
      </c>
      <c r="I1401" s="16" t="s">
        <v>45</v>
      </c>
      <c r="J1401" s="12" t="s">
        <v>46</v>
      </c>
      <c r="K1401" s="10" t="s">
        <v>226</v>
      </c>
      <c r="L1401" s="16" t="s">
        <v>45</v>
      </c>
      <c r="M1401" s="10" t="s">
        <v>49</v>
      </c>
      <c r="N1401" s="16" t="s">
        <v>45</v>
      </c>
      <c r="O1401" s="10" t="s">
        <v>50</v>
      </c>
      <c r="P1401" s="9" t="str">
        <f t="shared" si="28"/>
        <v>N/I</v>
      </c>
      <c r="Q1401" s="9" t="str">
        <f t="shared" si="29"/>
        <v>N/I</v>
      </c>
      <c r="R1401" s="9" t="str">
        <f t="shared" si="32"/>
        <v>N/I</v>
      </c>
    </row>
    <row r="1402">
      <c r="A1402" s="11" t="s">
        <v>4417</v>
      </c>
      <c r="B1402" s="32" t="s">
        <v>4174</v>
      </c>
      <c r="C1402" s="12" t="s">
        <v>52</v>
      </c>
      <c r="D1402" s="34" t="s">
        <v>4431</v>
      </c>
      <c r="E1402" s="10" t="s">
        <v>227</v>
      </c>
      <c r="F1402" s="10" t="s">
        <v>4428</v>
      </c>
      <c r="G1402" s="12" t="s">
        <v>324</v>
      </c>
      <c r="H1402" s="10" t="s">
        <v>197</v>
      </c>
      <c r="I1402" s="16" t="s">
        <v>45</v>
      </c>
      <c r="J1402" s="12" t="s">
        <v>46</v>
      </c>
      <c r="K1402" s="10" t="s">
        <v>226</v>
      </c>
      <c r="L1402" s="16" t="s">
        <v>45</v>
      </c>
      <c r="M1402" s="10" t="s">
        <v>49</v>
      </c>
      <c r="N1402" s="16" t="s">
        <v>45</v>
      </c>
      <c r="O1402" s="10" t="s">
        <v>50</v>
      </c>
      <c r="P1402" s="9" t="str">
        <f t="shared" si="28"/>
        <v>N/I</v>
      </c>
      <c r="Q1402" s="9" t="str">
        <f t="shared" si="29"/>
        <v>N/I</v>
      </c>
      <c r="R1402" s="9" t="str">
        <f t="shared" si="32"/>
        <v>N/I</v>
      </c>
    </row>
    <row r="1403">
      <c r="A1403" s="11" t="s">
        <v>4417</v>
      </c>
      <c r="B1403" s="32" t="s">
        <v>4174</v>
      </c>
      <c r="C1403" s="12" t="s">
        <v>52</v>
      </c>
      <c r="D1403" s="34" t="s">
        <v>4432</v>
      </c>
      <c r="E1403" s="10" t="s">
        <v>227</v>
      </c>
      <c r="F1403" s="10" t="s">
        <v>4428</v>
      </c>
      <c r="G1403" s="12" t="s">
        <v>324</v>
      </c>
      <c r="H1403" s="10" t="s">
        <v>197</v>
      </c>
      <c r="I1403" s="16" t="s">
        <v>45</v>
      </c>
      <c r="J1403" s="12" t="s">
        <v>46</v>
      </c>
      <c r="K1403" s="10" t="s">
        <v>226</v>
      </c>
      <c r="L1403" s="16" t="s">
        <v>45</v>
      </c>
      <c r="M1403" s="10" t="s">
        <v>49</v>
      </c>
      <c r="N1403" s="16" t="s">
        <v>45</v>
      </c>
      <c r="O1403" s="10" t="s">
        <v>50</v>
      </c>
      <c r="P1403" s="9" t="str">
        <f t="shared" si="28"/>
        <v>N/I</v>
      </c>
      <c r="Q1403" s="9" t="str">
        <f t="shared" si="29"/>
        <v>N/I</v>
      </c>
      <c r="R1403" s="9" t="str">
        <f t="shared" si="32"/>
        <v>N/I</v>
      </c>
    </row>
    <row r="1404">
      <c r="A1404" s="11" t="s">
        <v>4417</v>
      </c>
      <c r="B1404" s="32" t="s">
        <v>4174</v>
      </c>
      <c r="C1404" s="12" t="s">
        <v>52</v>
      </c>
      <c r="D1404" s="34" t="s">
        <v>4433</v>
      </c>
      <c r="E1404" s="10" t="s">
        <v>227</v>
      </c>
      <c r="F1404" s="10" t="s">
        <v>4428</v>
      </c>
      <c r="G1404" s="12" t="s">
        <v>324</v>
      </c>
      <c r="H1404" s="10" t="s">
        <v>197</v>
      </c>
      <c r="I1404" s="16" t="s">
        <v>45</v>
      </c>
      <c r="J1404" s="12" t="s">
        <v>46</v>
      </c>
      <c r="K1404" s="10" t="s">
        <v>226</v>
      </c>
      <c r="L1404" s="16" t="s">
        <v>45</v>
      </c>
      <c r="M1404" s="10" t="s">
        <v>49</v>
      </c>
      <c r="N1404" s="16" t="s">
        <v>45</v>
      </c>
      <c r="O1404" s="10" t="s">
        <v>50</v>
      </c>
      <c r="P1404" s="9" t="str">
        <f t="shared" si="28"/>
        <v>N/I</v>
      </c>
      <c r="Q1404" s="9" t="str">
        <f t="shared" si="29"/>
        <v>N/I</v>
      </c>
      <c r="R1404" s="9" t="str">
        <f t="shared" si="32"/>
        <v>N/I</v>
      </c>
    </row>
    <row r="1405">
      <c r="A1405" s="11" t="s">
        <v>4417</v>
      </c>
      <c r="B1405" s="32" t="s">
        <v>4174</v>
      </c>
      <c r="C1405" s="12" t="s">
        <v>52</v>
      </c>
      <c r="D1405" s="34" t="s">
        <v>4434</v>
      </c>
      <c r="E1405" s="10" t="s">
        <v>227</v>
      </c>
      <c r="F1405" s="10" t="s">
        <v>4428</v>
      </c>
      <c r="G1405" s="12" t="s">
        <v>324</v>
      </c>
      <c r="H1405" s="10" t="s">
        <v>197</v>
      </c>
      <c r="I1405" s="16" t="s">
        <v>45</v>
      </c>
      <c r="J1405" s="12" t="s">
        <v>46</v>
      </c>
      <c r="K1405" s="10" t="s">
        <v>226</v>
      </c>
      <c r="L1405" s="16" t="s">
        <v>45</v>
      </c>
      <c r="M1405" s="10" t="s">
        <v>49</v>
      </c>
      <c r="N1405" s="16" t="s">
        <v>45</v>
      </c>
      <c r="O1405" s="10" t="s">
        <v>50</v>
      </c>
      <c r="P1405" s="9" t="str">
        <f t="shared" si="28"/>
        <v>N/I</v>
      </c>
      <c r="Q1405" s="9" t="str">
        <f t="shared" si="29"/>
        <v>N/I</v>
      </c>
      <c r="R1405" s="9" t="str">
        <f t="shared" si="32"/>
        <v>N/I</v>
      </c>
    </row>
    <row r="1406">
      <c r="A1406" s="11" t="s">
        <v>4417</v>
      </c>
      <c r="B1406" s="32" t="s">
        <v>4174</v>
      </c>
      <c r="C1406" s="12" t="s">
        <v>52</v>
      </c>
      <c r="D1406" s="34" t="s">
        <v>4435</v>
      </c>
      <c r="E1406" s="10" t="s">
        <v>227</v>
      </c>
      <c r="F1406" s="10" t="s">
        <v>4428</v>
      </c>
      <c r="G1406" s="12" t="s">
        <v>324</v>
      </c>
      <c r="H1406" s="10" t="s">
        <v>197</v>
      </c>
      <c r="I1406" s="16" t="s">
        <v>45</v>
      </c>
      <c r="J1406" s="12" t="s">
        <v>46</v>
      </c>
      <c r="K1406" s="10" t="s">
        <v>226</v>
      </c>
      <c r="L1406" s="16" t="s">
        <v>45</v>
      </c>
      <c r="M1406" s="10" t="s">
        <v>49</v>
      </c>
      <c r="N1406" s="16" t="s">
        <v>45</v>
      </c>
      <c r="O1406" s="10" t="s">
        <v>50</v>
      </c>
      <c r="P1406" s="9" t="str">
        <f t="shared" si="28"/>
        <v>N/I</v>
      </c>
      <c r="Q1406" s="9" t="str">
        <f t="shared" si="29"/>
        <v>N/I</v>
      </c>
      <c r="R1406" s="9" t="str">
        <f t="shared" si="32"/>
        <v>N/I</v>
      </c>
    </row>
    <row r="1407">
      <c r="A1407" s="11" t="s">
        <v>4417</v>
      </c>
      <c r="B1407" s="32" t="s">
        <v>4174</v>
      </c>
      <c r="C1407" s="12" t="s">
        <v>52</v>
      </c>
      <c r="D1407" s="34" t="s">
        <v>4436</v>
      </c>
      <c r="E1407" s="10" t="s">
        <v>227</v>
      </c>
      <c r="F1407" s="10" t="s">
        <v>4428</v>
      </c>
      <c r="G1407" s="12" t="s">
        <v>324</v>
      </c>
      <c r="H1407" s="10" t="s">
        <v>197</v>
      </c>
      <c r="I1407" s="16" t="s">
        <v>45</v>
      </c>
      <c r="J1407" s="12" t="s">
        <v>46</v>
      </c>
      <c r="K1407" s="10" t="s">
        <v>226</v>
      </c>
      <c r="L1407" s="16" t="s">
        <v>45</v>
      </c>
      <c r="M1407" s="10" t="s">
        <v>49</v>
      </c>
      <c r="N1407" s="16" t="s">
        <v>45</v>
      </c>
      <c r="O1407" s="10" t="s">
        <v>50</v>
      </c>
      <c r="P1407" s="9" t="str">
        <f t="shared" si="28"/>
        <v>N/I</v>
      </c>
      <c r="Q1407" s="9" t="str">
        <f t="shared" si="29"/>
        <v>N/I</v>
      </c>
      <c r="R1407" s="9" t="str">
        <f t="shared" si="32"/>
        <v>N/I</v>
      </c>
    </row>
    <row r="1408">
      <c r="A1408" s="11" t="s">
        <v>4417</v>
      </c>
      <c r="B1408" s="32" t="s">
        <v>4174</v>
      </c>
      <c r="C1408" s="12" t="s">
        <v>52</v>
      </c>
      <c r="D1408" s="34" t="s">
        <v>4437</v>
      </c>
      <c r="E1408" s="10" t="s">
        <v>227</v>
      </c>
      <c r="F1408" s="10" t="s">
        <v>4428</v>
      </c>
      <c r="G1408" s="12" t="s">
        <v>324</v>
      </c>
      <c r="H1408" s="10" t="s">
        <v>197</v>
      </c>
      <c r="I1408" s="16" t="s">
        <v>45</v>
      </c>
      <c r="J1408" s="12" t="s">
        <v>46</v>
      </c>
      <c r="K1408" s="10" t="s">
        <v>226</v>
      </c>
      <c r="L1408" s="16" t="s">
        <v>45</v>
      </c>
      <c r="M1408" s="10" t="s">
        <v>49</v>
      </c>
      <c r="N1408" s="16" t="s">
        <v>45</v>
      </c>
      <c r="O1408" s="10" t="s">
        <v>50</v>
      </c>
      <c r="P1408" s="9" t="str">
        <f t="shared" si="28"/>
        <v>N/I</v>
      </c>
      <c r="Q1408" s="9" t="str">
        <f t="shared" si="29"/>
        <v>N/I</v>
      </c>
      <c r="R1408" s="9" t="str">
        <f t="shared" si="32"/>
        <v>N/I</v>
      </c>
    </row>
    <row r="1409">
      <c r="A1409" s="11" t="s">
        <v>4439</v>
      </c>
      <c r="B1409" s="59" t="s">
        <v>4440</v>
      </c>
      <c r="C1409" s="12" t="s">
        <v>94</v>
      </c>
      <c r="D1409" s="60" t="s">
        <v>4441</v>
      </c>
      <c r="E1409" s="10" t="s">
        <v>387</v>
      </c>
      <c r="F1409" s="10" t="s">
        <v>4444</v>
      </c>
      <c r="G1409" s="12" t="s">
        <v>246</v>
      </c>
      <c r="H1409" s="10" t="s">
        <v>247</v>
      </c>
      <c r="I1409" s="16" t="s">
        <v>45</v>
      </c>
      <c r="J1409" s="12" t="s">
        <v>46</v>
      </c>
      <c r="K1409" s="10" t="s">
        <v>226</v>
      </c>
      <c r="L1409" s="10" t="s">
        <v>291</v>
      </c>
      <c r="M1409" s="10" t="s">
        <v>49</v>
      </c>
      <c r="N1409" s="16" t="s">
        <v>45</v>
      </c>
      <c r="O1409" s="10" t="s">
        <v>1499</v>
      </c>
      <c r="P1409" s="9" t="str">
        <f t="shared" si="28"/>
        <v>N/I</v>
      </c>
      <c r="Q1409" s="9" t="str">
        <f t="shared" si="29"/>
        <v>N/I</v>
      </c>
      <c r="R1409" s="9" t="str">
        <f t="shared" si="32"/>
        <v>N/I</v>
      </c>
    </row>
    <row r="1410">
      <c r="A1410" s="11" t="s">
        <v>4439</v>
      </c>
      <c r="B1410" s="59" t="s">
        <v>4440</v>
      </c>
      <c r="C1410" s="12" t="s">
        <v>94</v>
      </c>
      <c r="D1410" s="60" t="s">
        <v>4445</v>
      </c>
      <c r="E1410" s="10" t="s">
        <v>387</v>
      </c>
      <c r="F1410" s="10" t="s">
        <v>4444</v>
      </c>
      <c r="G1410" s="12" t="s">
        <v>246</v>
      </c>
      <c r="H1410" s="10" t="s">
        <v>247</v>
      </c>
      <c r="I1410" s="16" t="s">
        <v>45</v>
      </c>
      <c r="J1410" s="12" t="s">
        <v>46</v>
      </c>
      <c r="K1410" s="10" t="s">
        <v>226</v>
      </c>
      <c r="L1410" s="10" t="s">
        <v>291</v>
      </c>
      <c r="M1410" s="10" t="s">
        <v>49</v>
      </c>
      <c r="N1410" s="16" t="s">
        <v>45</v>
      </c>
      <c r="O1410" s="10" t="s">
        <v>1499</v>
      </c>
      <c r="P1410" s="9" t="str">
        <f t="shared" si="28"/>
        <v>N/I</v>
      </c>
      <c r="Q1410" s="9" t="str">
        <f t="shared" si="29"/>
        <v>N/I</v>
      </c>
      <c r="R1410" s="9" t="str">
        <f t="shared" si="32"/>
        <v>N/I</v>
      </c>
    </row>
    <row r="1411">
      <c r="A1411" s="11" t="s">
        <v>4447</v>
      </c>
      <c r="B1411" s="32" t="s">
        <v>4448</v>
      </c>
      <c r="C1411" s="12" t="s">
        <v>448</v>
      </c>
      <c r="D1411" s="27" t="s">
        <v>4449</v>
      </c>
      <c r="E1411" s="10" t="s">
        <v>390</v>
      </c>
      <c r="F1411" s="10" t="s">
        <v>4452</v>
      </c>
      <c r="G1411" s="12" t="s">
        <v>188</v>
      </c>
      <c r="H1411" s="10" t="s">
        <v>189</v>
      </c>
      <c r="I1411" s="10" t="s">
        <v>354</v>
      </c>
      <c r="J1411" s="10" t="s">
        <v>318</v>
      </c>
      <c r="K1411" s="10" t="s">
        <v>319</v>
      </c>
      <c r="L1411" s="10" t="s">
        <v>291</v>
      </c>
      <c r="M1411" s="10" t="s">
        <v>49</v>
      </c>
      <c r="N1411" s="16" t="s">
        <v>45</v>
      </c>
      <c r="O1411" s="10" t="s">
        <v>50</v>
      </c>
      <c r="P1411" s="9" t="str">
        <f t="shared" si="28"/>
        <v>N/I</v>
      </c>
      <c r="Q1411" s="9" t="str">
        <f t="shared" si="29"/>
        <v>N/I</v>
      </c>
      <c r="R1411" s="9" t="str">
        <f t="shared" si="32"/>
        <v>N/I</v>
      </c>
    </row>
    <row r="1412">
      <c r="A1412" s="11" t="s">
        <v>4447</v>
      </c>
      <c r="B1412" s="32" t="s">
        <v>4453</v>
      </c>
      <c r="C1412" s="12" t="s">
        <v>448</v>
      </c>
      <c r="D1412" s="61" t="s">
        <v>4454</v>
      </c>
      <c r="E1412" s="10" t="s">
        <v>390</v>
      </c>
      <c r="F1412" s="10" t="s">
        <v>4457</v>
      </c>
      <c r="G1412" s="12" t="s">
        <v>188</v>
      </c>
      <c r="H1412" s="10" t="s">
        <v>189</v>
      </c>
      <c r="I1412" s="10" t="s">
        <v>290</v>
      </c>
      <c r="J1412" s="12" t="s">
        <v>46</v>
      </c>
      <c r="K1412" s="10" t="s">
        <v>226</v>
      </c>
      <c r="L1412" s="16" t="s">
        <v>45</v>
      </c>
      <c r="M1412" s="10" t="s">
        <v>49</v>
      </c>
      <c r="N1412" s="10" t="s">
        <v>780</v>
      </c>
      <c r="O1412" s="10" t="s">
        <v>50</v>
      </c>
      <c r="P1412" s="9" t="str">
        <f t="shared" si="28"/>
        <v>N/I</v>
      </c>
      <c r="Q1412" s="9" t="str">
        <f t="shared" si="29"/>
        <v>N/I</v>
      </c>
      <c r="R1412" s="9" t="str">
        <f t="shared" si="32"/>
        <v>N/I</v>
      </c>
    </row>
    <row r="1413">
      <c r="A1413" s="11" t="s">
        <v>4447</v>
      </c>
      <c r="B1413" s="32" t="s">
        <v>4453</v>
      </c>
      <c r="C1413" s="12" t="s">
        <v>448</v>
      </c>
      <c r="D1413" s="61" t="s">
        <v>4458</v>
      </c>
      <c r="E1413" s="10" t="s">
        <v>390</v>
      </c>
      <c r="F1413" s="10" t="s">
        <v>4457</v>
      </c>
      <c r="G1413" s="12" t="s">
        <v>188</v>
      </c>
      <c r="H1413" s="10" t="s">
        <v>189</v>
      </c>
      <c r="I1413" s="10" t="s">
        <v>290</v>
      </c>
      <c r="J1413" s="12" t="s">
        <v>46</v>
      </c>
      <c r="K1413" s="10" t="s">
        <v>226</v>
      </c>
      <c r="L1413" s="16" t="s">
        <v>45</v>
      </c>
      <c r="M1413" s="10" t="s">
        <v>49</v>
      </c>
      <c r="N1413" s="10" t="s">
        <v>780</v>
      </c>
      <c r="O1413" s="10" t="s">
        <v>50</v>
      </c>
      <c r="P1413" s="9" t="str">
        <f t="shared" si="28"/>
        <v>N/I</v>
      </c>
      <c r="Q1413" s="9" t="str">
        <f t="shared" si="29"/>
        <v>N/I</v>
      </c>
      <c r="R1413" s="9" t="str">
        <f t="shared" si="32"/>
        <v>N/I</v>
      </c>
    </row>
    <row r="1414">
      <c r="A1414" s="11" t="s">
        <v>4447</v>
      </c>
      <c r="B1414" s="32" t="s">
        <v>4453</v>
      </c>
      <c r="C1414" s="12" t="s">
        <v>448</v>
      </c>
      <c r="D1414" s="61" t="s">
        <v>4459</v>
      </c>
      <c r="E1414" s="10" t="s">
        <v>390</v>
      </c>
      <c r="F1414" s="10" t="s">
        <v>4457</v>
      </c>
      <c r="G1414" s="12" t="s">
        <v>188</v>
      </c>
      <c r="H1414" s="10" t="s">
        <v>189</v>
      </c>
      <c r="I1414" s="10" t="s">
        <v>290</v>
      </c>
      <c r="J1414" s="12" t="s">
        <v>46</v>
      </c>
      <c r="K1414" s="10" t="s">
        <v>226</v>
      </c>
      <c r="L1414" s="16" t="s">
        <v>45</v>
      </c>
      <c r="M1414" s="10" t="s">
        <v>49</v>
      </c>
      <c r="N1414" s="10" t="s">
        <v>780</v>
      </c>
      <c r="O1414" s="10" t="s">
        <v>50</v>
      </c>
      <c r="P1414" s="9" t="str">
        <f t="shared" si="28"/>
        <v>N/I</v>
      </c>
      <c r="Q1414" s="9" t="str">
        <f t="shared" si="29"/>
        <v>N/I</v>
      </c>
      <c r="R1414" s="9" t="str">
        <f t="shared" si="32"/>
        <v>N/I</v>
      </c>
    </row>
    <row r="1415">
      <c r="A1415" s="11" t="s">
        <v>4447</v>
      </c>
      <c r="B1415" s="32" t="s">
        <v>4460</v>
      </c>
      <c r="C1415" s="12" t="s">
        <v>448</v>
      </c>
      <c r="D1415" s="34" t="s">
        <v>4461</v>
      </c>
      <c r="E1415" s="10" t="s">
        <v>390</v>
      </c>
      <c r="F1415" s="10" t="s">
        <v>4464</v>
      </c>
      <c r="G1415" s="12" t="s">
        <v>204</v>
      </c>
      <c r="H1415" s="10" t="s">
        <v>189</v>
      </c>
      <c r="I1415" s="10" t="s">
        <v>354</v>
      </c>
      <c r="J1415" s="10" t="s">
        <v>318</v>
      </c>
      <c r="K1415" s="10" t="s">
        <v>319</v>
      </c>
      <c r="L1415" s="10" t="s">
        <v>291</v>
      </c>
      <c r="M1415" s="10" t="s">
        <v>49</v>
      </c>
      <c r="N1415" s="16" t="s">
        <v>45</v>
      </c>
      <c r="O1415" s="10" t="s">
        <v>50</v>
      </c>
      <c r="P1415" s="9" t="str">
        <f t="shared" si="28"/>
        <v>N/I</v>
      </c>
      <c r="Q1415" s="9" t="str">
        <f t="shared" si="29"/>
        <v>N/I</v>
      </c>
      <c r="R1415" s="9" t="str">
        <f t="shared" si="32"/>
        <v>N/I</v>
      </c>
    </row>
    <row r="1416">
      <c r="A1416" s="11" t="s">
        <v>4447</v>
      </c>
      <c r="B1416" s="32" t="s">
        <v>4465</v>
      </c>
      <c r="C1416" s="12" t="s">
        <v>448</v>
      </c>
      <c r="D1416" s="34" t="s">
        <v>4466</v>
      </c>
      <c r="E1416" s="10" t="s">
        <v>390</v>
      </c>
      <c r="F1416" s="10" t="s">
        <v>4464</v>
      </c>
      <c r="G1416" s="12" t="s">
        <v>4467</v>
      </c>
      <c r="H1416" s="10" t="s">
        <v>189</v>
      </c>
      <c r="I1416" s="10" t="s">
        <v>354</v>
      </c>
      <c r="J1416" s="10" t="s">
        <v>318</v>
      </c>
      <c r="K1416" s="10" t="s">
        <v>319</v>
      </c>
      <c r="L1416" s="10" t="s">
        <v>291</v>
      </c>
      <c r="M1416" s="10" t="s">
        <v>49</v>
      </c>
      <c r="N1416" s="16" t="s">
        <v>45</v>
      </c>
      <c r="O1416" s="10" t="s">
        <v>50</v>
      </c>
      <c r="P1416" s="9" t="str">
        <f t="shared" si="28"/>
        <v>N/I</v>
      </c>
      <c r="Q1416" s="9" t="str">
        <f t="shared" si="29"/>
        <v>N/I</v>
      </c>
      <c r="R1416" s="9" t="str">
        <f t="shared" si="32"/>
        <v>N/I</v>
      </c>
    </row>
    <row r="1417">
      <c r="A1417" s="11" t="s">
        <v>4471</v>
      </c>
      <c r="B1417" s="11" t="s">
        <v>4472</v>
      </c>
      <c r="C1417" s="12" t="s">
        <v>94</v>
      </c>
      <c r="D1417" s="34" t="s">
        <v>4473</v>
      </c>
      <c r="E1417" s="10" t="s">
        <v>291</v>
      </c>
      <c r="F1417" s="10" t="s">
        <v>4477</v>
      </c>
      <c r="G1417" s="12" t="s">
        <v>4474</v>
      </c>
      <c r="H1417" s="10" t="s">
        <v>1097</v>
      </c>
      <c r="I1417" s="10" t="s">
        <v>290</v>
      </c>
      <c r="J1417" s="12" t="s">
        <v>46</v>
      </c>
      <c r="K1417" s="10" t="s">
        <v>291</v>
      </c>
      <c r="L1417" s="16" t="s">
        <v>45</v>
      </c>
      <c r="M1417" s="10" t="s">
        <v>49</v>
      </c>
      <c r="N1417" s="10" t="s">
        <v>508</v>
      </c>
      <c r="O1417" s="10" t="s">
        <v>50</v>
      </c>
      <c r="P1417" s="9" t="str">
        <f t="shared" si="28"/>
        <v>N/I</v>
      </c>
      <c r="Q1417" s="9" t="str">
        <f t="shared" si="29"/>
        <v>N/I</v>
      </c>
      <c r="R1417" s="9" t="str">
        <f t="shared" si="32"/>
        <v>N/I</v>
      </c>
    </row>
    <row r="1418">
      <c r="A1418" s="11" t="s">
        <v>4471</v>
      </c>
      <c r="B1418" s="11" t="s">
        <v>4478</v>
      </c>
      <c r="C1418" s="12" t="s">
        <v>94</v>
      </c>
      <c r="D1418" s="13" t="s">
        <v>4479</v>
      </c>
      <c r="E1418" s="10" t="s">
        <v>291</v>
      </c>
      <c r="F1418" s="10" t="s">
        <v>4483</v>
      </c>
      <c r="G1418" s="12" t="s">
        <v>4480</v>
      </c>
      <c r="H1418" s="10" t="s">
        <v>1097</v>
      </c>
      <c r="I1418" s="10" t="s">
        <v>290</v>
      </c>
      <c r="J1418" s="12" t="s">
        <v>46</v>
      </c>
      <c r="K1418" s="10" t="s">
        <v>291</v>
      </c>
      <c r="L1418" s="16" t="s">
        <v>45</v>
      </c>
      <c r="M1418" s="10" t="s">
        <v>49</v>
      </c>
      <c r="N1418" s="10" t="s">
        <v>508</v>
      </c>
      <c r="O1418" s="10" t="s">
        <v>50</v>
      </c>
      <c r="P1418" s="9" t="str">
        <f t="shared" si="28"/>
        <v>N/I</v>
      </c>
      <c r="Q1418" s="9" t="str">
        <f t="shared" si="29"/>
        <v>N/I</v>
      </c>
      <c r="R1418" s="9" t="str">
        <f t="shared" si="32"/>
        <v>N/I</v>
      </c>
    </row>
    <row r="1419">
      <c r="A1419" s="11" t="s">
        <v>4471</v>
      </c>
      <c r="B1419" s="11" t="s">
        <v>4484</v>
      </c>
      <c r="C1419" s="12" t="s">
        <v>94</v>
      </c>
      <c r="D1419" s="34" t="s">
        <v>4485</v>
      </c>
      <c r="E1419" s="10" t="s">
        <v>291</v>
      </c>
      <c r="F1419" s="10" t="s">
        <v>4477</v>
      </c>
      <c r="G1419" s="12" t="s">
        <v>4486</v>
      </c>
      <c r="H1419" s="10" t="s">
        <v>1097</v>
      </c>
      <c r="I1419" s="10" t="s">
        <v>290</v>
      </c>
      <c r="J1419" s="12" t="s">
        <v>46</v>
      </c>
      <c r="K1419" s="10" t="s">
        <v>291</v>
      </c>
      <c r="L1419" s="16" t="s">
        <v>45</v>
      </c>
      <c r="M1419" s="10" t="s">
        <v>49</v>
      </c>
      <c r="N1419" s="10" t="s">
        <v>508</v>
      </c>
      <c r="O1419" s="10" t="s">
        <v>50</v>
      </c>
      <c r="P1419" s="9" t="str">
        <f t="shared" si="28"/>
        <v>N/I</v>
      </c>
      <c r="Q1419" s="9" t="str">
        <f t="shared" si="29"/>
        <v>N/I</v>
      </c>
      <c r="R1419" s="9" t="str">
        <f t="shared" si="32"/>
        <v>N/I</v>
      </c>
    </row>
    <row r="1420">
      <c r="A1420" s="11" t="s">
        <v>4471</v>
      </c>
      <c r="B1420" s="11" t="s">
        <v>4489</v>
      </c>
      <c r="C1420" s="12" t="s">
        <v>94</v>
      </c>
      <c r="D1420" s="13" t="s">
        <v>4490</v>
      </c>
      <c r="E1420" s="10" t="s">
        <v>291</v>
      </c>
      <c r="F1420" s="10" t="s">
        <v>4483</v>
      </c>
      <c r="G1420" s="12" t="s">
        <v>4491</v>
      </c>
      <c r="H1420" s="10" t="s">
        <v>1097</v>
      </c>
      <c r="I1420" s="10" t="s">
        <v>290</v>
      </c>
      <c r="J1420" s="12" t="s">
        <v>46</v>
      </c>
      <c r="K1420" s="10" t="s">
        <v>291</v>
      </c>
      <c r="L1420" s="16" t="s">
        <v>45</v>
      </c>
      <c r="M1420" s="10" t="s">
        <v>49</v>
      </c>
      <c r="N1420" s="10" t="s">
        <v>508</v>
      </c>
      <c r="O1420" s="10" t="s">
        <v>50</v>
      </c>
      <c r="P1420" s="9" t="str">
        <f t="shared" si="28"/>
        <v>N/I</v>
      </c>
      <c r="Q1420" s="9" t="str">
        <f t="shared" si="29"/>
        <v>N/I</v>
      </c>
      <c r="R1420" s="9" t="str">
        <f t="shared" si="32"/>
        <v>N/I</v>
      </c>
    </row>
    <row r="1421">
      <c r="A1421" s="11" t="s">
        <v>4471</v>
      </c>
      <c r="B1421" s="11" t="s">
        <v>4489</v>
      </c>
      <c r="C1421" s="12" t="s">
        <v>94</v>
      </c>
      <c r="D1421" s="13" t="s">
        <v>4494</v>
      </c>
      <c r="E1421" s="10" t="s">
        <v>291</v>
      </c>
      <c r="F1421" s="10" t="s">
        <v>4483</v>
      </c>
      <c r="G1421" s="12" t="s">
        <v>4491</v>
      </c>
      <c r="H1421" s="10" t="s">
        <v>1097</v>
      </c>
      <c r="I1421" s="10" t="s">
        <v>290</v>
      </c>
      <c r="J1421" s="12" t="s">
        <v>46</v>
      </c>
      <c r="K1421" s="10" t="s">
        <v>291</v>
      </c>
      <c r="L1421" s="16" t="s">
        <v>45</v>
      </c>
      <c r="M1421" s="10" t="s">
        <v>49</v>
      </c>
      <c r="N1421" s="10" t="s">
        <v>508</v>
      </c>
      <c r="O1421" s="10" t="s">
        <v>50</v>
      </c>
      <c r="P1421" s="9" t="str">
        <f t="shared" si="28"/>
        <v>N/I</v>
      </c>
      <c r="Q1421" s="9" t="str">
        <f t="shared" si="29"/>
        <v>N/I</v>
      </c>
      <c r="R1421" s="9" t="str">
        <f t="shared" si="32"/>
        <v>N/I</v>
      </c>
    </row>
    <row r="1422">
      <c r="A1422" s="11" t="s">
        <v>4471</v>
      </c>
      <c r="B1422" s="11" t="s">
        <v>4495</v>
      </c>
      <c r="C1422" s="12" t="s">
        <v>94</v>
      </c>
      <c r="D1422" s="34" t="s">
        <v>4496</v>
      </c>
      <c r="E1422" s="10" t="s">
        <v>291</v>
      </c>
      <c r="F1422" s="10" t="s">
        <v>4477</v>
      </c>
      <c r="G1422" s="12" t="s">
        <v>4497</v>
      </c>
      <c r="H1422" s="10" t="s">
        <v>1097</v>
      </c>
      <c r="I1422" s="10" t="s">
        <v>290</v>
      </c>
      <c r="J1422" s="12" t="s">
        <v>46</v>
      </c>
      <c r="K1422" s="10" t="s">
        <v>291</v>
      </c>
      <c r="L1422" s="16" t="s">
        <v>45</v>
      </c>
      <c r="M1422" s="10" t="s">
        <v>49</v>
      </c>
      <c r="N1422" s="10" t="s">
        <v>508</v>
      </c>
      <c r="O1422" s="10" t="s">
        <v>50</v>
      </c>
      <c r="P1422" s="9" t="str">
        <f t="shared" si="28"/>
        <v>N/I</v>
      </c>
      <c r="Q1422" s="9" t="str">
        <f t="shared" si="29"/>
        <v>N/I</v>
      </c>
      <c r="R1422" s="9" t="str">
        <f t="shared" si="32"/>
        <v>N/I</v>
      </c>
    </row>
    <row r="1423">
      <c r="A1423" s="11" t="s">
        <v>4471</v>
      </c>
      <c r="B1423" s="11" t="s">
        <v>4500</v>
      </c>
      <c r="C1423" s="12" t="s">
        <v>94</v>
      </c>
      <c r="D1423" s="13" t="s">
        <v>4501</v>
      </c>
      <c r="E1423" s="10" t="s">
        <v>291</v>
      </c>
      <c r="F1423" s="10" t="s">
        <v>4483</v>
      </c>
      <c r="G1423" s="12" t="s">
        <v>4502</v>
      </c>
      <c r="H1423" s="10" t="s">
        <v>1097</v>
      </c>
      <c r="I1423" s="10" t="s">
        <v>290</v>
      </c>
      <c r="J1423" s="12" t="s">
        <v>46</v>
      </c>
      <c r="K1423" s="10" t="s">
        <v>291</v>
      </c>
      <c r="L1423" s="16" t="s">
        <v>45</v>
      </c>
      <c r="M1423" s="10" t="s">
        <v>49</v>
      </c>
      <c r="N1423" s="10" t="s">
        <v>508</v>
      </c>
      <c r="O1423" s="10" t="s">
        <v>50</v>
      </c>
      <c r="P1423" s="9" t="str">
        <f t="shared" si="28"/>
        <v>N/I</v>
      </c>
      <c r="Q1423" s="9" t="str">
        <f t="shared" si="29"/>
        <v>N/I</v>
      </c>
      <c r="R1423" s="9" t="str">
        <f t="shared" si="32"/>
        <v>N/I</v>
      </c>
    </row>
    <row r="1424">
      <c r="A1424" s="11" t="s">
        <v>4471</v>
      </c>
      <c r="B1424" s="11" t="s">
        <v>4505</v>
      </c>
      <c r="C1424" s="12" t="s">
        <v>94</v>
      </c>
      <c r="D1424" s="34" t="s">
        <v>4506</v>
      </c>
      <c r="E1424" s="10" t="s">
        <v>291</v>
      </c>
      <c r="F1424" s="10" t="s">
        <v>4477</v>
      </c>
      <c r="G1424" s="12" t="s">
        <v>4507</v>
      </c>
      <c r="H1424" s="10" t="s">
        <v>1097</v>
      </c>
      <c r="I1424" s="10" t="s">
        <v>290</v>
      </c>
      <c r="J1424" s="12" t="s">
        <v>46</v>
      </c>
      <c r="K1424" s="10" t="s">
        <v>291</v>
      </c>
      <c r="L1424" s="16" t="s">
        <v>45</v>
      </c>
      <c r="M1424" s="10" t="s">
        <v>49</v>
      </c>
      <c r="N1424" s="10" t="s">
        <v>508</v>
      </c>
      <c r="O1424" s="10" t="s">
        <v>50</v>
      </c>
      <c r="P1424" s="9" t="str">
        <f t="shared" si="28"/>
        <v>N/I</v>
      </c>
      <c r="Q1424" s="9" t="str">
        <f t="shared" si="29"/>
        <v>N/I</v>
      </c>
      <c r="R1424" s="9" t="str">
        <f t="shared" si="32"/>
        <v>N/I</v>
      </c>
    </row>
    <row r="1425">
      <c r="A1425" s="11" t="s">
        <v>4471</v>
      </c>
      <c r="B1425" s="11" t="s">
        <v>4509</v>
      </c>
      <c r="C1425" s="12" t="s">
        <v>94</v>
      </c>
      <c r="D1425" s="16" t="s">
        <v>4510</v>
      </c>
      <c r="E1425" s="10" t="s">
        <v>291</v>
      </c>
      <c r="F1425" s="10" t="s">
        <v>4513</v>
      </c>
      <c r="G1425" s="12" t="s">
        <v>1096</v>
      </c>
      <c r="H1425" s="10" t="s">
        <v>1097</v>
      </c>
      <c r="I1425" s="10" t="s">
        <v>290</v>
      </c>
      <c r="J1425" s="12" t="s">
        <v>46</v>
      </c>
      <c r="K1425" s="10" t="s">
        <v>291</v>
      </c>
      <c r="L1425" s="16" t="s">
        <v>45</v>
      </c>
      <c r="M1425" s="10" t="s">
        <v>49</v>
      </c>
      <c r="N1425" s="10" t="s">
        <v>292</v>
      </c>
      <c r="O1425" s="10" t="s">
        <v>50</v>
      </c>
      <c r="P1425" s="9" t="str">
        <f t="shared" si="28"/>
        <v>N/I</v>
      </c>
      <c r="Q1425" s="9" t="str">
        <f t="shared" si="29"/>
        <v>N/I</v>
      </c>
      <c r="R1425" s="9" t="str">
        <f t="shared" si="32"/>
        <v>N/I</v>
      </c>
    </row>
    <row r="1426">
      <c r="A1426" s="11" t="s">
        <v>4471</v>
      </c>
      <c r="B1426" s="11" t="s">
        <v>4509</v>
      </c>
      <c r="C1426" s="12" t="s">
        <v>94</v>
      </c>
      <c r="D1426" s="16" t="s">
        <v>4514</v>
      </c>
      <c r="E1426" s="10" t="s">
        <v>291</v>
      </c>
      <c r="F1426" s="10" t="s">
        <v>4513</v>
      </c>
      <c r="G1426" s="12" t="s">
        <v>1096</v>
      </c>
      <c r="H1426" s="10" t="s">
        <v>1097</v>
      </c>
      <c r="I1426" s="10" t="s">
        <v>290</v>
      </c>
      <c r="J1426" s="12" t="s">
        <v>46</v>
      </c>
      <c r="K1426" s="10" t="s">
        <v>291</v>
      </c>
      <c r="L1426" s="16" t="s">
        <v>45</v>
      </c>
      <c r="M1426" s="10" t="s">
        <v>49</v>
      </c>
      <c r="N1426" s="10" t="s">
        <v>292</v>
      </c>
      <c r="O1426" s="10" t="s">
        <v>50</v>
      </c>
      <c r="P1426" s="9" t="str">
        <f t="shared" si="28"/>
        <v>N/I</v>
      </c>
      <c r="Q1426" s="9" t="str">
        <f t="shared" si="29"/>
        <v>N/I</v>
      </c>
      <c r="R1426" s="9" t="str">
        <f t="shared" si="32"/>
        <v>N/I</v>
      </c>
    </row>
    <row r="1427">
      <c r="A1427" s="11" t="s">
        <v>4471</v>
      </c>
      <c r="B1427" s="11" t="s">
        <v>4509</v>
      </c>
      <c r="C1427" s="12" t="s">
        <v>94</v>
      </c>
      <c r="D1427" s="16" t="s">
        <v>4515</v>
      </c>
      <c r="E1427" s="10" t="s">
        <v>291</v>
      </c>
      <c r="F1427" s="10" t="s">
        <v>4513</v>
      </c>
      <c r="G1427" s="12" t="s">
        <v>1096</v>
      </c>
      <c r="H1427" s="10" t="s">
        <v>1097</v>
      </c>
      <c r="I1427" s="10" t="s">
        <v>290</v>
      </c>
      <c r="J1427" s="12" t="s">
        <v>46</v>
      </c>
      <c r="K1427" s="10" t="s">
        <v>291</v>
      </c>
      <c r="L1427" s="16" t="s">
        <v>45</v>
      </c>
      <c r="M1427" s="10" t="s">
        <v>49</v>
      </c>
      <c r="N1427" s="10" t="s">
        <v>292</v>
      </c>
      <c r="O1427" s="10" t="s">
        <v>50</v>
      </c>
      <c r="P1427" s="9" t="str">
        <f t="shared" si="28"/>
        <v>N/I</v>
      </c>
      <c r="Q1427" s="9" t="str">
        <f t="shared" si="29"/>
        <v>N/I</v>
      </c>
      <c r="R1427" s="9" t="str">
        <f t="shared" si="32"/>
        <v>N/I</v>
      </c>
    </row>
    <row r="1428">
      <c r="A1428" s="11" t="s">
        <v>4471</v>
      </c>
      <c r="B1428" s="11" t="s">
        <v>4509</v>
      </c>
      <c r="C1428" s="12" t="s">
        <v>94</v>
      </c>
      <c r="D1428" s="16" t="s">
        <v>4516</v>
      </c>
      <c r="E1428" s="10" t="s">
        <v>291</v>
      </c>
      <c r="F1428" s="10" t="s">
        <v>4513</v>
      </c>
      <c r="G1428" s="12" t="s">
        <v>1096</v>
      </c>
      <c r="H1428" s="10" t="s">
        <v>1097</v>
      </c>
      <c r="I1428" s="10" t="s">
        <v>290</v>
      </c>
      <c r="J1428" s="12" t="s">
        <v>46</v>
      </c>
      <c r="K1428" s="10" t="s">
        <v>291</v>
      </c>
      <c r="L1428" s="16" t="s">
        <v>45</v>
      </c>
      <c r="M1428" s="10" t="s">
        <v>49</v>
      </c>
      <c r="N1428" s="10" t="s">
        <v>292</v>
      </c>
      <c r="O1428" s="10" t="s">
        <v>50</v>
      </c>
      <c r="P1428" s="9" t="str">
        <f t="shared" si="28"/>
        <v>N/I</v>
      </c>
      <c r="Q1428" s="9" t="str">
        <f t="shared" si="29"/>
        <v>N/I</v>
      </c>
      <c r="R1428" s="9" t="str">
        <f t="shared" si="32"/>
        <v>N/I</v>
      </c>
    </row>
    <row r="1429">
      <c r="A1429" s="11" t="s">
        <v>4471</v>
      </c>
      <c r="B1429" s="11" t="s">
        <v>4517</v>
      </c>
      <c r="C1429" s="12" t="s">
        <v>94</v>
      </c>
      <c r="D1429" s="16" t="s">
        <v>4518</v>
      </c>
      <c r="E1429" s="10" t="s">
        <v>291</v>
      </c>
      <c r="F1429" s="10" t="s">
        <v>4513</v>
      </c>
      <c r="G1429" s="12" t="s">
        <v>1096</v>
      </c>
      <c r="H1429" s="10" t="s">
        <v>1097</v>
      </c>
      <c r="I1429" s="10" t="s">
        <v>290</v>
      </c>
      <c r="J1429" s="12" t="s">
        <v>46</v>
      </c>
      <c r="K1429" s="10" t="s">
        <v>291</v>
      </c>
      <c r="L1429" s="16" t="s">
        <v>45</v>
      </c>
      <c r="M1429" s="10" t="s">
        <v>49</v>
      </c>
      <c r="N1429" s="10" t="s">
        <v>292</v>
      </c>
      <c r="O1429" s="10" t="s">
        <v>50</v>
      </c>
      <c r="P1429" s="9" t="str">
        <f t="shared" si="28"/>
        <v>N/I</v>
      </c>
      <c r="Q1429" s="9" t="str">
        <f t="shared" si="29"/>
        <v>N/I</v>
      </c>
      <c r="R1429" s="9" t="str">
        <f t="shared" si="32"/>
        <v>N/I</v>
      </c>
    </row>
    <row r="1430">
      <c r="A1430" s="11" t="s">
        <v>4471</v>
      </c>
      <c r="B1430" s="11" t="s">
        <v>4517</v>
      </c>
      <c r="C1430" s="12" t="s">
        <v>94</v>
      </c>
      <c r="D1430" s="16" t="s">
        <v>4521</v>
      </c>
      <c r="E1430" s="10" t="s">
        <v>291</v>
      </c>
      <c r="F1430" s="10" t="s">
        <v>4513</v>
      </c>
      <c r="G1430" s="12" t="s">
        <v>1096</v>
      </c>
      <c r="H1430" s="10" t="s">
        <v>1097</v>
      </c>
      <c r="I1430" s="10" t="s">
        <v>290</v>
      </c>
      <c r="J1430" s="12" t="s">
        <v>46</v>
      </c>
      <c r="K1430" s="10" t="s">
        <v>291</v>
      </c>
      <c r="L1430" s="16" t="s">
        <v>45</v>
      </c>
      <c r="M1430" s="10" t="s">
        <v>49</v>
      </c>
      <c r="N1430" s="10" t="s">
        <v>292</v>
      </c>
      <c r="O1430" s="10" t="s">
        <v>50</v>
      </c>
      <c r="P1430" s="9" t="str">
        <f t="shared" si="28"/>
        <v>N/I</v>
      </c>
      <c r="Q1430" s="9" t="str">
        <f t="shared" si="29"/>
        <v>N/I</v>
      </c>
      <c r="R1430" s="9" t="str">
        <f t="shared" si="32"/>
        <v>N/I</v>
      </c>
    </row>
    <row r="1431">
      <c r="A1431" s="11" t="s">
        <v>4471</v>
      </c>
      <c r="B1431" s="11" t="s">
        <v>4517</v>
      </c>
      <c r="C1431" s="12" t="s">
        <v>94</v>
      </c>
      <c r="D1431" s="16" t="s">
        <v>4522</v>
      </c>
      <c r="E1431" s="10" t="s">
        <v>291</v>
      </c>
      <c r="F1431" s="10" t="s">
        <v>4513</v>
      </c>
      <c r="G1431" s="12" t="s">
        <v>1096</v>
      </c>
      <c r="H1431" s="10" t="s">
        <v>1097</v>
      </c>
      <c r="I1431" s="10" t="s">
        <v>290</v>
      </c>
      <c r="J1431" s="12" t="s">
        <v>46</v>
      </c>
      <c r="K1431" s="10" t="s">
        <v>291</v>
      </c>
      <c r="L1431" s="16" t="s">
        <v>45</v>
      </c>
      <c r="M1431" s="10" t="s">
        <v>49</v>
      </c>
      <c r="N1431" s="10" t="s">
        <v>292</v>
      </c>
      <c r="O1431" s="10" t="s">
        <v>50</v>
      </c>
      <c r="P1431" s="9" t="str">
        <f t="shared" si="28"/>
        <v>N/I</v>
      </c>
      <c r="Q1431" s="9" t="str">
        <f t="shared" si="29"/>
        <v>N/I</v>
      </c>
      <c r="R1431" s="9" t="str">
        <f t="shared" si="32"/>
        <v>N/I</v>
      </c>
    </row>
    <row r="1432">
      <c r="A1432" s="11" t="s">
        <v>4471</v>
      </c>
      <c r="B1432" s="11" t="s">
        <v>4523</v>
      </c>
      <c r="C1432" s="12" t="s">
        <v>94</v>
      </c>
      <c r="D1432" s="34" t="s">
        <v>4524</v>
      </c>
      <c r="E1432" s="10" t="s">
        <v>291</v>
      </c>
      <c r="F1432" s="10" t="s">
        <v>4527</v>
      </c>
      <c r="G1432" s="12" t="s">
        <v>1096</v>
      </c>
      <c r="H1432" s="10" t="s">
        <v>1097</v>
      </c>
      <c r="I1432" s="10" t="s">
        <v>290</v>
      </c>
      <c r="J1432" s="12" t="s">
        <v>46</v>
      </c>
      <c r="K1432" s="10" t="s">
        <v>291</v>
      </c>
      <c r="L1432" s="16" t="s">
        <v>45</v>
      </c>
      <c r="M1432" s="10" t="s">
        <v>49</v>
      </c>
      <c r="N1432" s="10" t="s">
        <v>508</v>
      </c>
      <c r="O1432" s="10" t="s">
        <v>50</v>
      </c>
      <c r="P1432" s="9" t="str">
        <f t="shared" si="28"/>
        <v>N/I</v>
      </c>
      <c r="Q1432" s="9" t="str">
        <f t="shared" si="29"/>
        <v>N/I</v>
      </c>
      <c r="R1432" s="9" t="str">
        <f t="shared" si="32"/>
        <v>N/I</v>
      </c>
    </row>
    <row r="1433">
      <c r="A1433" s="11" t="s">
        <v>4471</v>
      </c>
      <c r="B1433" s="11" t="s">
        <v>4528</v>
      </c>
      <c r="C1433" s="12" t="s">
        <v>94</v>
      </c>
      <c r="D1433" s="34" t="s">
        <v>4529</v>
      </c>
      <c r="E1433" s="10" t="s">
        <v>291</v>
      </c>
      <c r="F1433" s="10" t="s">
        <v>4527</v>
      </c>
      <c r="G1433" s="12" t="s">
        <v>1096</v>
      </c>
      <c r="H1433" s="10" t="s">
        <v>1097</v>
      </c>
      <c r="I1433" s="10" t="s">
        <v>290</v>
      </c>
      <c r="J1433" s="12" t="s">
        <v>46</v>
      </c>
      <c r="K1433" s="10" t="s">
        <v>291</v>
      </c>
      <c r="L1433" s="16" t="s">
        <v>45</v>
      </c>
      <c r="M1433" s="10" t="s">
        <v>49</v>
      </c>
      <c r="N1433" s="10" t="s">
        <v>508</v>
      </c>
      <c r="O1433" s="10" t="s">
        <v>50</v>
      </c>
      <c r="P1433" s="9" t="str">
        <f t="shared" si="28"/>
        <v>N/I</v>
      </c>
      <c r="Q1433" s="9" t="str">
        <f t="shared" si="29"/>
        <v>N/I</v>
      </c>
      <c r="R1433" s="9" t="str">
        <f t="shared" si="32"/>
        <v>N/I</v>
      </c>
    </row>
    <row r="1434">
      <c r="A1434" s="11" t="s">
        <v>4471</v>
      </c>
      <c r="B1434" s="11" t="s">
        <v>4530</v>
      </c>
      <c r="C1434" s="12" t="s">
        <v>94</v>
      </c>
      <c r="D1434" s="13" t="s">
        <v>4531</v>
      </c>
      <c r="E1434" s="10" t="s">
        <v>291</v>
      </c>
      <c r="F1434" s="10" t="s">
        <v>4483</v>
      </c>
      <c r="G1434" s="12" t="s">
        <v>4532</v>
      </c>
      <c r="H1434" s="10" t="s">
        <v>1097</v>
      </c>
      <c r="I1434" s="10" t="s">
        <v>290</v>
      </c>
      <c r="J1434" s="12" t="s">
        <v>46</v>
      </c>
      <c r="K1434" s="10" t="s">
        <v>291</v>
      </c>
      <c r="L1434" s="16" t="s">
        <v>45</v>
      </c>
      <c r="M1434" s="10" t="s">
        <v>49</v>
      </c>
      <c r="N1434" s="10" t="s">
        <v>508</v>
      </c>
      <c r="O1434" s="10" t="s">
        <v>50</v>
      </c>
      <c r="P1434" s="9" t="str">
        <f t="shared" si="28"/>
        <v>N/I</v>
      </c>
      <c r="Q1434" s="9" t="str">
        <f t="shared" si="29"/>
        <v>N/I</v>
      </c>
      <c r="R1434" s="9" t="str">
        <f t="shared" si="32"/>
        <v>N/I</v>
      </c>
    </row>
    <row r="1435">
      <c r="A1435" s="11" t="s">
        <v>4471</v>
      </c>
      <c r="B1435" s="11" t="s">
        <v>4535</v>
      </c>
      <c r="C1435" s="12" t="s">
        <v>94</v>
      </c>
      <c r="D1435" s="34" t="s">
        <v>4536</v>
      </c>
      <c r="E1435" s="10" t="s">
        <v>291</v>
      </c>
      <c r="F1435" s="10" t="s">
        <v>4477</v>
      </c>
      <c r="G1435" s="12" t="s">
        <v>4537</v>
      </c>
      <c r="H1435" s="10" t="s">
        <v>1097</v>
      </c>
      <c r="I1435" s="10" t="s">
        <v>290</v>
      </c>
      <c r="J1435" s="12" t="s">
        <v>46</v>
      </c>
      <c r="K1435" s="10" t="s">
        <v>291</v>
      </c>
      <c r="L1435" s="16" t="s">
        <v>45</v>
      </c>
      <c r="M1435" s="10" t="s">
        <v>49</v>
      </c>
      <c r="N1435" s="10" t="s">
        <v>508</v>
      </c>
      <c r="O1435" s="10" t="s">
        <v>50</v>
      </c>
      <c r="P1435" s="9" t="str">
        <f t="shared" si="28"/>
        <v>N/I</v>
      </c>
      <c r="Q1435" s="9" t="str">
        <f t="shared" si="29"/>
        <v>N/I</v>
      </c>
      <c r="R1435" s="9" t="str">
        <f t="shared" si="32"/>
        <v>N/I</v>
      </c>
    </row>
    <row r="1436">
      <c r="A1436" s="11" t="s">
        <v>4471</v>
      </c>
      <c r="B1436" s="11" t="s">
        <v>4540</v>
      </c>
      <c r="C1436" s="12" t="s">
        <v>94</v>
      </c>
      <c r="D1436" s="34" t="s">
        <v>4541</v>
      </c>
      <c r="E1436" s="10" t="s">
        <v>291</v>
      </c>
      <c r="F1436" s="10" t="s">
        <v>4477</v>
      </c>
      <c r="G1436" s="12" t="s">
        <v>4542</v>
      </c>
      <c r="H1436" s="10" t="s">
        <v>1097</v>
      </c>
      <c r="I1436" s="10" t="s">
        <v>290</v>
      </c>
      <c r="J1436" s="12" t="s">
        <v>46</v>
      </c>
      <c r="K1436" s="10" t="s">
        <v>291</v>
      </c>
      <c r="L1436" s="16" t="s">
        <v>45</v>
      </c>
      <c r="M1436" s="10" t="s">
        <v>49</v>
      </c>
      <c r="N1436" s="10" t="s">
        <v>508</v>
      </c>
      <c r="O1436" s="10" t="s">
        <v>50</v>
      </c>
      <c r="P1436" s="9" t="str">
        <f t="shared" si="28"/>
        <v>N/I</v>
      </c>
      <c r="Q1436" s="9" t="str">
        <f t="shared" si="29"/>
        <v>N/I</v>
      </c>
      <c r="R1436" s="9" t="str">
        <f t="shared" si="32"/>
        <v>N/I</v>
      </c>
    </row>
    <row r="1437">
      <c r="A1437" s="11" t="s">
        <v>4471</v>
      </c>
      <c r="B1437" s="11" t="s">
        <v>4545</v>
      </c>
      <c r="C1437" s="12" t="s">
        <v>94</v>
      </c>
      <c r="D1437" s="13" t="s">
        <v>4546</v>
      </c>
      <c r="E1437" s="10" t="s">
        <v>291</v>
      </c>
      <c r="F1437" s="10" t="s">
        <v>4483</v>
      </c>
      <c r="G1437" s="12" t="s">
        <v>1212</v>
      </c>
      <c r="H1437" s="10" t="s">
        <v>1097</v>
      </c>
      <c r="I1437" s="10" t="s">
        <v>290</v>
      </c>
      <c r="J1437" s="12" t="s">
        <v>46</v>
      </c>
      <c r="K1437" s="10" t="s">
        <v>291</v>
      </c>
      <c r="L1437" s="16" t="s">
        <v>45</v>
      </c>
      <c r="M1437" s="10" t="s">
        <v>49</v>
      </c>
      <c r="N1437" s="10" t="s">
        <v>508</v>
      </c>
      <c r="O1437" s="10" t="s">
        <v>50</v>
      </c>
      <c r="P1437" s="9" t="str">
        <f t="shared" si="28"/>
        <v>N/I</v>
      </c>
      <c r="Q1437" s="9" t="str">
        <f t="shared" si="29"/>
        <v>N/I</v>
      </c>
      <c r="R1437" s="9" t="str">
        <f t="shared" si="32"/>
        <v>N/I</v>
      </c>
    </row>
    <row r="1438">
      <c r="A1438" s="11" t="s">
        <v>4471</v>
      </c>
      <c r="B1438" s="11" t="s">
        <v>4549</v>
      </c>
      <c r="C1438" s="12" t="s">
        <v>94</v>
      </c>
      <c r="D1438" s="34" t="s">
        <v>4550</v>
      </c>
      <c r="E1438" s="10" t="s">
        <v>291</v>
      </c>
      <c r="F1438" s="10" t="s">
        <v>4477</v>
      </c>
      <c r="G1438" s="12" t="s">
        <v>4551</v>
      </c>
      <c r="H1438" s="10" t="s">
        <v>1097</v>
      </c>
      <c r="I1438" s="10" t="s">
        <v>290</v>
      </c>
      <c r="J1438" s="12" t="s">
        <v>46</v>
      </c>
      <c r="K1438" s="10" t="s">
        <v>291</v>
      </c>
      <c r="L1438" s="16" t="s">
        <v>45</v>
      </c>
      <c r="M1438" s="10" t="s">
        <v>49</v>
      </c>
      <c r="N1438" s="10" t="s">
        <v>508</v>
      </c>
      <c r="O1438" s="10" t="s">
        <v>50</v>
      </c>
      <c r="P1438" s="9" t="str">
        <f t="shared" si="28"/>
        <v>N/I</v>
      </c>
      <c r="Q1438" s="9" t="str">
        <f t="shared" si="29"/>
        <v>N/I</v>
      </c>
      <c r="R1438" s="9" t="str">
        <f t="shared" si="32"/>
        <v>N/I</v>
      </c>
    </row>
    <row r="1439">
      <c r="A1439" s="11" t="s">
        <v>4471</v>
      </c>
      <c r="B1439" s="11" t="s">
        <v>4554</v>
      </c>
      <c r="C1439" s="12" t="s">
        <v>94</v>
      </c>
      <c r="D1439" s="34" t="s">
        <v>4555</v>
      </c>
      <c r="E1439" s="10" t="s">
        <v>291</v>
      </c>
      <c r="F1439" s="10" t="s">
        <v>4477</v>
      </c>
      <c r="G1439" s="12" t="s">
        <v>4556</v>
      </c>
      <c r="H1439" s="10" t="s">
        <v>1097</v>
      </c>
      <c r="I1439" s="10" t="s">
        <v>290</v>
      </c>
      <c r="J1439" s="12" t="s">
        <v>46</v>
      </c>
      <c r="K1439" s="10" t="s">
        <v>291</v>
      </c>
      <c r="L1439" s="16" t="s">
        <v>45</v>
      </c>
      <c r="M1439" s="10" t="s">
        <v>49</v>
      </c>
      <c r="N1439" s="10" t="s">
        <v>508</v>
      </c>
      <c r="O1439" s="10" t="s">
        <v>50</v>
      </c>
      <c r="P1439" s="9" t="str">
        <f t="shared" si="28"/>
        <v>N/I</v>
      </c>
      <c r="Q1439" s="9" t="str">
        <f t="shared" si="29"/>
        <v>N/I</v>
      </c>
      <c r="R1439" s="9" t="str">
        <f t="shared" si="32"/>
        <v>N/I</v>
      </c>
    </row>
    <row r="1440">
      <c r="A1440" s="11" t="s">
        <v>4471</v>
      </c>
      <c r="B1440" s="11" t="s">
        <v>4559</v>
      </c>
      <c r="C1440" s="12" t="s">
        <v>94</v>
      </c>
      <c r="D1440" s="34" t="s">
        <v>4560</v>
      </c>
      <c r="E1440" s="10" t="s">
        <v>291</v>
      </c>
      <c r="F1440" s="10" t="s">
        <v>4477</v>
      </c>
      <c r="G1440" s="12" t="s">
        <v>4561</v>
      </c>
      <c r="H1440" s="10" t="s">
        <v>1097</v>
      </c>
      <c r="I1440" s="10" t="s">
        <v>290</v>
      </c>
      <c r="J1440" s="12" t="s">
        <v>46</v>
      </c>
      <c r="K1440" s="10" t="s">
        <v>291</v>
      </c>
      <c r="L1440" s="16" t="s">
        <v>45</v>
      </c>
      <c r="M1440" s="10" t="s">
        <v>49</v>
      </c>
      <c r="N1440" s="10" t="s">
        <v>508</v>
      </c>
      <c r="O1440" s="10" t="s">
        <v>50</v>
      </c>
      <c r="P1440" s="9" t="str">
        <f t="shared" si="28"/>
        <v>N/I</v>
      </c>
      <c r="Q1440" s="9" t="str">
        <f t="shared" si="29"/>
        <v>N/I</v>
      </c>
      <c r="R1440" s="9" t="str">
        <f t="shared" si="32"/>
        <v>N/I</v>
      </c>
    </row>
    <row r="1441">
      <c r="A1441" s="11" t="s">
        <v>4471</v>
      </c>
      <c r="B1441" s="11" t="s">
        <v>4564</v>
      </c>
      <c r="C1441" s="12" t="s">
        <v>94</v>
      </c>
      <c r="D1441" s="34" t="s">
        <v>4565</v>
      </c>
      <c r="E1441" s="10" t="s">
        <v>291</v>
      </c>
      <c r="F1441" s="10" t="s">
        <v>4477</v>
      </c>
      <c r="G1441" s="12" t="s">
        <v>4566</v>
      </c>
      <c r="H1441" s="10" t="s">
        <v>1097</v>
      </c>
      <c r="I1441" s="10" t="s">
        <v>290</v>
      </c>
      <c r="J1441" s="12" t="s">
        <v>46</v>
      </c>
      <c r="K1441" s="10" t="s">
        <v>291</v>
      </c>
      <c r="L1441" s="16" t="s">
        <v>45</v>
      </c>
      <c r="M1441" s="10" t="s">
        <v>49</v>
      </c>
      <c r="N1441" s="10" t="s">
        <v>508</v>
      </c>
      <c r="O1441" s="10" t="s">
        <v>50</v>
      </c>
      <c r="P1441" s="9" t="str">
        <f t="shared" si="28"/>
        <v>N/I</v>
      </c>
      <c r="Q1441" s="9" t="str">
        <f t="shared" si="29"/>
        <v>N/I</v>
      </c>
      <c r="R1441" s="9" t="str">
        <f t="shared" si="32"/>
        <v>N/I</v>
      </c>
    </row>
    <row r="1442">
      <c r="A1442" s="11" t="s">
        <v>4471</v>
      </c>
      <c r="B1442" s="11" t="s">
        <v>4569</v>
      </c>
      <c r="C1442" s="12" t="s">
        <v>94</v>
      </c>
      <c r="D1442" s="34" t="s">
        <v>4570</v>
      </c>
      <c r="E1442" s="10" t="s">
        <v>291</v>
      </c>
      <c r="F1442" s="10" t="s">
        <v>4477</v>
      </c>
      <c r="G1442" s="12" t="s">
        <v>4571</v>
      </c>
      <c r="H1442" s="10" t="s">
        <v>1097</v>
      </c>
      <c r="I1442" s="10" t="s">
        <v>290</v>
      </c>
      <c r="J1442" s="12" t="s">
        <v>46</v>
      </c>
      <c r="K1442" s="10" t="s">
        <v>291</v>
      </c>
      <c r="L1442" s="16" t="s">
        <v>45</v>
      </c>
      <c r="M1442" s="10" t="s">
        <v>49</v>
      </c>
      <c r="N1442" s="10" t="s">
        <v>508</v>
      </c>
      <c r="O1442" s="10" t="s">
        <v>50</v>
      </c>
      <c r="P1442" s="9" t="str">
        <f t="shared" si="28"/>
        <v>N/I</v>
      </c>
      <c r="Q1442" s="9" t="str">
        <f t="shared" si="29"/>
        <v>N/I</v>
      </c>
      <c r="R1442" s="9" t="str">
        <f t="shared" si="32"/>
        <v>N/I</v>
      </c>
    </row>
    <row r="1443">
      <c r="A1443" s="11" t="s">
        <v>4471</v>
      </c>
      <c r="B1443" s="11" t="s">
        <v>4574</v>
      </c>
      <c r="C1443" s="12" t="s">
        <v>94</v>
      </c>
      <c r="D1443" s="13" t="s">
        <v>4575</v>
      </c>
      <c r="E1443" s="10" t="s">
        <v>291</v>
      </c>
      <c r="F1443" s="10" t="s">
        <v>4483</v>
      </c>
      <c r="G1443" s="12" t="s">
        <v>4576</v>
      </c>
      <c r="H1443" s="10" t="s">
        <v>1097</v>
      </c>
      <c r="I1443" s="10" t="s">
        <v>290</v>
      </c>
      <c r="J1443" s="12" t="s">
        <v>46</v>
      </c>
      <c r="K1443" s="10" t="s">
        <v>291</v>
      </c>
      <c r="L1443" s="16" t="s">
        <v>45</v>
      </c>
      <c r="M1443" s="10" t="s">
        <v>49</v>
      </c>
      <c r="N1443" s="10" t="s">
        <v>508</v>
      </c>
      <c r="O1443" s="10" t="s">
        <v>50</v>
      </c>
      <c r="P1443" s="9" t="str">
        <f t="shared" si="28"/>
        <v>N/I</v>
      </c>
      <c r="Q1443" s="9" t="str">
        <f t="shared" si="29"/>
        <v>N/I</v>
      </c>
      <c r="R1443" s="9" t="str">
        <f t="shared" si="32"/>
        <v>N/I</v>
      </c>
    </row>
    <row r="1444">
      <c r="A1444" s="11" t="s">
        <v>4471</v>
      </c>
      <c r="B1444" s="11" t="s">
        <v>4579</v>
      </c>
      <c r="C1444" s="12" t="s">
        <v>94</v>
      </c>
      <c r="D1444" s="16" t="s">
        <v>4580</v>
      </c>
      <c r="E1444" s="10" t="s">
        <v>291</v>
      </c>
      <c r="F1444" s="10" t="s">
        <v>4513</v>
      </c>
      <c r="G1444" s="12" t="s">
        <v>4581</v>
      </c>
      <c r="H1444" s="10" t="s">
        <v>1097</v>
      </c>
      <c r="I1444" s="10" t="s">
        <v>290</v>
      </c>
      <c r="J1444" s="12" t="s">
        <v>46</v>
      </c>
      <c r="K1444" s="10" t="s">
        <v>291</v>
      </c>
      <c r="L1444" s="16" t="s">
        <v>45</v>
      </c>
      <c r="M1444" s="10" t="s">
        <v>49</v>
      </c>
      <c r="N1444" s="10" t="s">
        <v>292</v>
      </c>
      <c r="O1444" s="10" t="s">
        <v>50</v>
      </c>
      <c r="P1444" s="9" t="str">
        <f t="shared" si="28"/>
        <v>N/I</v>
      </c>
      <c r="Q1444" s="9" t="str">
        <f t="shared" si="29"/>
        <v>N/I</v>
      </c>
      <c r="R1444" s="9" t="str">
        <f t="shared" si="32"/>
        <v>N/I</v>
      </c>
    </row>
    <row r="1445">
      <c r="A1445" s="11" t="s">
        <v>4471</v>
      </c>
      <c r="B1445" s="11" t="s">
        <v>4579</v>
      </c>
      <c r="C1445" s="12" t="s">
        <v>94</v>
      </c>
      <c r="D1445" s="16" t="s">
        <v>4584</v>
      </c>
      <c r="E1445" s="10" t="s">
        <v>291</v>
      </c>
      <c r="F1445" s="10" t="s">
        <v>4513</v>
      </c>
      <c r="G1445" s="12" t="s">
        <v>4581</v>
      </c>
      <c r="H1445" s="10" t="s">
        <v>1097</v>
      </c>
      <c r="I1445" s="10" t="s">
        <v>290</v>
      </c>
      <c r="J1445" s="12" t="s">
        <v>46</v>
      </c>
      <c r="K1445" s="10" t="s">
        <v>291</v>
      </c>
      <c r="L1445" s="16" t="s">
        <v>45</v>
      </c>
      <c r="M1445" s="10" t="s">
        <v>49</v>
      </c>
      <c r="N1445" s="10" t="s">
        <v>292</v>
      </c>
      <c r="O1445" s="10" t="s">
        <v>50</v>
      </c>
      <c r="P1445" s="9" t="str">
        <f t="shared" si="28"/>
        <v>N/I</v>
      </c>
      <c r="Q1445" s="9" t="str">
        <f t="shared" si="29"/>
        <v>N/I</v>
      </c>
      <c r="R1445" s="9" t="str">
        <f t="shared" si="32"/>
        <v>N/I</v>
      </c>
    </row>
    <row r="1446">
      <c r="A1446" s="11" t="s">
        <v>4471</v>
      </c>
      <c r="B1446" s="11" t="s">
        <v>4585</v>
      </c>
      <c r="C1446" s="12" t="s">
        <v>94</v>
      </c>
      <c r="D1446" s="34" t="s">
        <v>4586</v>
      </c>
      <c r="E1446" s="10" t="s">
        <v>291</v>
      </c>
      <c r="F1446" s="10" t="s">
        <v>4477</v>
      </c>
      <c r="G1446" s="12" t="s">
        <v>4587</v>
      </c>
      <c r="H1446" s="10" t="s">
        <v>1097</v>
      </c>
      <c r="I1446" s="10" t="s">
        <v>290</v>
      </c>
      <c r="J1446" s="12" t="s">
        <v>46</v>
      </c>
      <c r="K1446" s="10" t="s">
        <v>291</v>
      </c>
      <c r="L1446" s="16" t="s">
        <v>45</v>
      </c>
      <c r="M1446" s="10" t="s">
        <v>49</v>
      </c>
      <c r="N1446" s="10" t="s">
        <v>508</v>
      </c>
      <c r="O1446" s="10" t="s">
        <v>50</v>
      </c>
      <c r="P1446" s="9" t="str">
        <f t="shared" si="28"/>
        <v>N/I</v>
      </c>
      <c r="Q1446" s="9" t="str">
        <f t="shared" si="29"/>
        <v>N/I</v>
      </c>
      <c r="R1446" s="9" t="str">
        <f t="shared" si="32"/>
        <v>N/I</v>
      </c>
    </row>
    <row r="1447">
      <c r="A1447" s="11" t="s">
        <v>4471</v>
      </c>
      <c r="B1447" s="11" t="s">
        <v>4590</v>
      </c>
      <c r="C1447" s="12" t="s">
        <v>94</v>
      </c>
      <c r="D1447" s="16" t="s">
        <v>4591</v>
      </c>
      <c r="E1447" s="10" t="s">
        <v>291</v>
      </c>
      <c r="F1447" s="10" t="s">
        <v>4513</v>
      </c>
      <c r="G1447" s="12" t="s">
        <v>4206</v>
      </c>
      <c r="H1447" s="10" t="s">
        <v>1097</v>
      </c>
      <c r="I1447" s="10" t="s">
        <v>290</v>
      </c>
      <c r="J1447" s="12" t="s">
        <v>46</v>
      </c>
      <c r="K1447" s="10" t="s">
        <v>291</v>
      </c>
      <c r="L1447" s="16" t="s">
        <v>45</v>
      </c>
      <c r="M1447" s="10" t="s">
        <v>49</v>
      </c>
      <c r="N1447" s="10" t="s">
        <v>292</v>
      </c>
      <c r="O1447" s="10" t="s">
        <v>50</v>
      </c>
      <c r="P1447" s="9" t="str">
        <f t="shared" si="28"/>
        <v>N/I</v>
      </c>
      <c r="Q1447" s="9" t="str">
        <f t="shared" si="29"/>
        <v>N/I</v>
      </c>
      <c r="R1447" s="9" t="str">
        <f t="shared" si="32"/>
        <v>N/I</v>
      </c>
    </row>
    <row r="1448">
      <c r="A1448" s="11" t="s">
        <v>4471</v>
      </c>
      <c r="B1448" s="11" t="s">
        <v>4594</v>
      </c>
      <c r="C1448" s="12" t="s">
        <v>94</v>
      </c>
      <c r="D1448" s="13" t="s">
        <v>4595</v>
      </c>
      <c r="E1448" s="10" t="s">
        <v>291</v>
      </c>
      <c r="F1448" s="10" t="s">
        <v>4483</v>
      </c>
      <c r="G1448" s="12" t="s">
        <v>4596</v>
      </c>
      <c r="H1448" s="10" t="s">
        <v>1097</v>
      </c>
      <c r="I1448" s="10" t="s">
        <v>290</v>
      </c>
      <c r="J1448" s="12" t="s">
        <v>46</v>
      </c>
      <c r="K1448" s="10" t="s">
        <v>291</v>
      </c>
      <c r="L1448" s="16" t="s">
        <v>45</v>
      </c>
      <c r="M1448" s="10" t="s">
        <v>49</v>
      </c>
      <c r="N1448" s="10" t="s">
        <v>508</v>
      </c>
      <c r="O1448" s="10" t="s">
        <v>50</v>
      </c>
      <c r="P1448" s="9" t="str">
        <f t="shared" si="28"/>
        <v>N/I</v>
      </c>
      <c r="Q1448" s="9" t="str">
        <f t="shared" si="29"/>
        <v>N/I</v>
      </c>
      <c r="R1448" s="9" t="str">
        <f t="shared" si="32"/>
        <v>N/I</v>
      </c>
    </row>
    <row r="1449">
      <c r="A1449" s="11" t="s">
        <v>4471</v>
      </c>
      <c r="B1449" s="11" t="s">
        <v>4599</v>
      </c>
      <c r="C1449" s="12" t="s">
        <v>94</v>
      </c>
      <c r="D1449" s="13" t="s">
        <v>4600</v>
      </c>
      <c r="E1449" s="10" t="s">
        <v>291</v>
      </c>
      <c r="F1449" s="10" t="s">
        <v>4483</v>
      </c>
      <c r="G1449" s="12" t="s">
        <v>1441</v>
      </c>
      <c r="H1449" s="10" t="s">
        <v>1097</v>
      </c>
      <c r="I1449" s="10" t="s">
        <v>290</v>
      </c>
      <c r="J1449" s="12" t="s">
        <v>46</v>
      </c>
      <c r="K1449" s="10" t="s">
        <v>291</v>
      </c>
      <c r="L1449" s="16" t="s">
        <v>45</v>
      </c>
      <c r="M1449" s="10" t="s">
        <v>49</v>
      </c>
      <c r="N1449" s="10" t="s">
        <v>508</v>
      </c>
      <c r="O1449" s="10" t="s">
        <v>50</v>
      </c>
      <c r="P1449" s="9" t="str">
        <f t="shared" si="28"/>
        <v>N/I</v>
      </c>
      <c r="Q1449" s="9" t="str">
        <f t="shared" si="29"/>
        <v>N/I</v>
      </c>
      <c r="R1449" s="9" t="str">
        <f t="shared" si="32"/>
        <v>N/I</v>
      </c>
    </row>
    <row r="1450">
      <c r="A1450" s="11" t="s">
        <v>4471</v>
      </c>
      <c r="B1450" s="11" t="s">
        <v>4602</v>
      </c>
      <c r="C1450" s="12" t="s">
        <v>94</v>
      </c>
      <c r="D1450" s="16" t="s">
        <v>4603</v>
      </c>
      <c r="E1450" s="10" t="s">
        <v>291</v>
      </c>
      <c r="F1450" s="10" t="s">
        <v>4513</v>
      </c>
      <c r="G1450" s="12" t="s">
        <v>1474</v>
      </c>
      <c r="H1450" s="10" t="s">
        <v>1097</v>
      </c>
      <c r="I1450" s="10" t="s">
        <v>290</v>
      </c>
      <c r="J1450" s="12" t="s">
        <v>46</v>
      </c>
      <c r="K1450" s="10" t="s">
        <v>291</v>
      </c>
      <c r="L1450" s="16" t="s">
        <v>45</v>
      </c>
      <c r="M1450" s="10" t="s">
        <v>49</v>
      </c>
      <c r="N1450" s="10" t="s">
        <v>292</v>
      </c>
      <c r="O1450" s="10" t="s">
        <v>50</v>
      </c>
      <c r="P1450" s="9" t="str">
        <f t="shared" si="28"/>
        <v>N/I</v>
      </c>
      <c r="Q1450" s="9" t="str">
        <f t="shared" si="29"/>
        <v>N/I</v>
      </c>
      <c r="R1450" s="9" t="str">
        <f t="shared" si="32"/>
        <v>N/I</v>
      </c>
    </row>
    <row r="1451">
      <c r="A1451" s="11" t="s">
        <v>4471</v>
      </c>
      <c r="B1451" s="11" t="s">
        <v>4602</v>
      </c>
      <c r="C1451" s="12" t="s">
        <v>94</v>
      </c>
      <c r="D1451" s="13" t="s">
        <v>4606</v>
      </c>
      <c r="E1451" s="10" t="s">
        <v>291</v>
      </c>
      <c r="F1451" s="10" t="s">
        <v>4483</v>
      </c>
      <c r="G1451" s="12" t="s">
        <v>1474</v>
      </c>
      <c r="H1451" s="10" t="s">
        <v>1097</v>
      </c>
      <c r="I1451" s="10" t="s">
        <v>290</v>
      </c>
      <c r="J1451" s="12" t="s">
        <v>46</v>
      </c>
      <c r="K1451" s="10" t="s">
        <v>291</v>
      </c>
      <c r="L1451" s="16" t="s">
        <v>45</v>
      </c>
      <c r="M1451" s="10" t="s">
        <v>49</v>
      </c>
      <c r="N1451" s="10" t="s">
        <v>508</v>
      </c>
      <c r="O1451" s="10" t="s">
        <v>50</v>
      </c>
      <c r="P1451" s="9" t="str">
        <f t="shared" si="28"/>
        <v>N/I</v>
      </c>
      <c r="Q1451" s="9" t="str">
        <f t="shared" si="29"/>
        <v>N/I</v>
      </c>
      <c r="R1451" s="9" t="str">
        <f t="shared" si="32"/>
        <v>N/I</v>
      </c>
    </row>
    <row r="1452">
      <c r="A1452" s="11" t="s">
        <v>4610</v>
      </c>
      <c r="B1452" s="11" t="s">
        <v>4611</v>
      </c>
      <c r="C1452" s="12" t="s">
        <v>94</v>
      </c>
      <c r="D1452" s="34" t="s">
        <v>4612</v>
      </c>
      <c r="E1452" s="10" t="s">
        <v>390</v>
      </c>
      <c r="F1452" s="10" t="s">
        <v>4615</v>
      </c>
      <c r="G1452" s="12" t="s">
        <v>62</v>
      </c>
      <c r="H1452" s="10" t="s">
        <v>63</v>
      </c>
      <c r="I1452" s="16" t="s">
        <v>45</v>
      </c>
      <c r="J1452" s="12" t="s">
        <v>46</v>
      </c>
      <c r="K1452" s="10" t="s">
        <v>226</v>
      </c>
      <c r="L1452" s="16" t="s">
        <v>45</v>
      </c>
      <c r="M1452" s="10" t="s">
        <v>49</v>
      </c>
      <c r="N1452" s="16" t="s">
        <v>45</v>
      </c>
      <c r="O1452" s="10" t="s">
        <v>320</v>
      </c>
      <c r="P1452" s="9" t="str">
        <f t="shared" si="28"/>
        <v>N/I</v>
      </c>
      <c r="Q1452" s="9" t="str">
        <f t="shared" si="29"/>
        <v>N/I</v>
      </c>
      <c r="R1452" s="9" t="str">
        <f t="shared" si="32"/>
        <v>N/I</v>
      </c>
    </row>
    <row r="1453">
      <c r="A1453" s="11" t="s">
        <v>4610</v>
      </c>
      <c r="B1453" s="11" t="s">
        <v>4616</v>
      </c>
      <c r="C1453" s="12" t="s">
        <v>94</v>
      </c>
      <c r="D1453" s="34" t="s">
        <v>4617</v>
      </c>
      <c r="E1453" s="10" t="s">
        <v>390</v>
      </c>
      <c r="F1453" s="10" t="s">
        <v>4615</v>
      </c>
      <c r="G1453" s="12" t="s">
        <v>70</v>
      </c>
      <c r="H1453" s="10" t="s">
        <v>63</v>
      </c>
      <c r="I1453" s="16" t="s">
        <v>45</v>
      </c>
      <c r="J1453" s="12" t="s">
        <v>46</v>
      </c>
      <c r="K1453" s="10" t="s">
        <v>226</v>
      </c>
      <c r="L1453" s="16" t="s">
        <v>45</v>
      </c>
      <c r="M1453" s="10" t="s">
        <v>49</v>
      </c>
      <c r="N1453" s="16" t="s">
        <v>45</v>
      </c>
      <c r="O1453" s="10" t="s">
        <v>320</v>
      </c>
      <c r="P1453" s="9" t="str">
        <f t="shared" si="28"/>
        <v>N/I</v>
      </c>
      <c r="Q1453" s="9" t="str">
        <f t="shared" si="29"/>
        <v>N/I</v>
      </c>
      <c r="R1453" s="9" t="str">
        <f t="shared" si="32"/>
        <v>N/I</v>
      </c>
    </row>
    <row r="1454">
      <c r="A1454" s="11" t="s">
        <v>4610</v>
      </c>
      <c r="B1454" s="11" t="s">
        <v>4620</v>
      </c>
      <c r="C1454" s="12" t="s">
        <v>94</v>
      </c>
      <c r="D1454" s="34" t="s">
        <v>4621</v>
      </c>
      <c r="E1454" s="10" t="s">
        <v>390</v>
      </c>
      <c r="F1454" s="10" t="s">
        <v>4615</v>
      </c>
      <c r="G1454" s="12" t="s">
        <v>70</v>
      </c>
      <c r="H1454" s="10" t="s">
        <v>63</v>
      </c>
      <c r="I1454" s="16" t="s">
        <v>45</v>
      </c>
      <c r="J1454" s="12" t="s">
        <v>46</v>
      </c>
      <c r="K1454" s="10" t="s">
        <v>226</v>
      </c>
      <c r="L1454" s="16" t="s">
        <v>45</v>
      </c>
      <c r="M1454" s="10" t="s">
        <v>49</v>
      </c>
      <c r="N1454" s="16" t="s">
        <v>45</v>
      </c>
      <c r="O1454" s="10" t="s">
        <v>320</v>
      </c>
      <c r="P1454" s="9" t="str">
        <f t="shared" si="28"/>
        <v>N/I</v>
      </c>
      <c r="Q1454" s="9" t="str">
        <f t="shared" si="29"/>
        <v>N/I</v>
      </c>
      <c r="R1454" s="9" t="str">
        <f t="shared" si="32"/>
        <v>N/I</v>
      </c>
    </row>
    <row r="1455">
      <c r="A1455" s="11" t="s">
        <v>4610</v>
      </c>
      <c r="B1455" s="11" t="s">
        <v>4624</v>
      </c>
      <c r="C1455" s="12" t="s">
        <v>94</v>
      </c>
      <c r="D1455" s="34" t="s">
        <v>4625</v>
      </c>
      <c r="E1455" s="10" t="s">
        <v>390</v>
      </c>
      <c r="F1455" s="10" t="s">
        <v>4615</v>
      </c>
      <c r="G1455" s="12" t="s">
        <v>70</v>
      </c>
      <c r="H1455" s="10" t="s">
        <v>63</v>
      </c>
      <c r="I1455" s="16" t="s">
        <v>45</v>
      </c>
      <c r="J1455" s="12" t="s">
        <v>46</v>
      </c>
      <c r="K1455" s="10" t="s">
        <v>226</v>
      </c>
      <c r="L1455" s="16" t="s">
        <v>45</v>
      </c>
      <c r="M1455" s="10" t="s">
        <v>49</v>
      </c>
      <c r="N1455" s="16" t="s">
        <v>45</v>
      </c>
      <c r="O1455" s="10" t="s">
        <v>320</v>
      </c>
      <c r="P1455" s="9" t="str">
        <f t="shared" si="28"/>
        <v>N/I</v>
      </c>
      <c r="Q1455" s="9" t="str">
        <f t="shared" si="29"/>
        <v>N/I</v>
      </c>
      <c r="R1455" s="9" t="str">
        <f t="shared" si="32"/>
        <v>N/I</v>
      </c>
    </row>
    <row r="1456">
      <c r="A1456" s="11" t="s">
        <v>4610</v>
      </c>
      <c r="B1456" s="11" t="s">
        <v>4620</v>
      </c>
      <c r="C1456" s="12" t="s">
        <v>94</v>
      </c>
      <c r="D1456" s="34" t="s">
        <v>4626</v>
      </c>
      <c r="E1456" s="10" t="s">
        <v>390</v>
      </c>
      <c r="F1456" s="10" t="s">
        <v>4615</v>
      </c>
      <c r="G1456" s="12" t="s">
        <v>70</v>
      </c>
      <c r="H1456" s="10" t="s">
        <v>63</v>
      </c>
      <c r="I1456" s="16" t="s">
        <v>45</v>
      </c>
      <c r="J1456" s="12" t="s">
        <v>46</v>
      </c>
      <c r="K1456" s="10" t="s">
        <v>226</v>
      </c>
      <c r="L1456" s="16" t="s">
        <v>45</v>
      </c>
      <c r="M1456" s="10" t="s">
        <v>49</v>
      </c>
      <c r="N1456" s="16" t="s">
        <v>45</v>
      </c>
      <c r="O1456" s="10" t="s">
        <v>320</v>
      </c>
      <c r="P1456" s="9" t="str">
        <f t="shared" si="28"/>
        <v>N/I</v>
      </c>
      <c r="Q1456" s="9" t="str">
        <f t="shared" si="29"/>
        <v>N/I</v>
      </c>
      <c r="R1456" s="9" t="str">
        <f t="shared" si="32"/>
        <v>N/I</v>
      </c>
    </row>
    <row r="1457">
      <c r="A1457" s="11" t="s">
        <v>4610</v>
      </c>
      <c r="B1457" s="11" t="s">
        <v>4627</v>
      </c>
      <c r="C1457" s="12" t="s">
        <v>94</v>
      </c>
      <c r="D1457" s="34" t="s">
        <v>4628</v>
      </c>
      <c r="E1457" s="10" t="s">
        <v>390</v>
      </c>
      <c r="F1457" s="10" t="s">
        <v>4615</v>
      </c>
      <c r="G1457" s="12" t="s">
        <v>70</v>
      </c>
      <c r="H1457" s="10" t="s">
        <v>63</v>
      </c>
      <c r="I1457" s="16" t="s">
        <v>45</v>
      </c>
      <c r="J1457" s="12" t="s">
        <v>46</v>
      </c>
      <c r="K1457" s="10" t="s">
        <v>226</v>
      </c>
      <c r="L1457" s="16" t="s">
        <v>45</v>
      </c>
      <c r="M1457" s="10" t="s">
        <v>49</v>
      </c>
      <c r="N1457" s="16" t="s">
        <v>45</v>
      </c>
      <c r="O1457" s="10" t="s">
        <v>320</v>
      </c>
      <c r="P1457" s="9" t="str">
        <f t="shared" si="28"/>
        <v>N/I</v>
      </c>
      <c r="Q1457" s="9" t="str">
        <f t="shared" si="29"/>
        <v>N/I</v>
      </c>
      <c r="R1457" s="9" t="str">
        <f t="shared" si="32"/>
        <v>N/I</v>
      </c>
    </row>
    <row r="1458">
      <c r="A1458" s="11" t="s">
        <v>4631</v>
      </c>
      <c r="B1458" s="11" t="s">
        <v>4632</v>
      </c>
      <c r="C1458" s="12" t="s">
        <v>94</v>
      </c>
      <c r="D1458" s="13" t="s">
        <v>4633</v>
      </c>
      <c r="E1458" s="10" t="s">
        <v>291</v>
      </c>
      <c r="F1458" s="10" t="s">
        <v>4636</v>
      </c>
      <c r="G1458" s="12" t="s">
        <v>713</v>
      </c>
      <c r="H1458" s="10" t="s">
        <v>283</v>
      </c>
      <c r="I1458" s="16" t="s">
        <v>45</v>
      </c>
      <c r="J1458" s="12" t="s">
        <v>46</v>
      </c>
      <c r="K1458" s="10" t="s">
        <v>4637</v>
      </c>
      <c r="L1458" s="16" t="s">
        <v>45</v>
      </c>
      <c r="M1458" s="10" t="s">
        <v>49</v>
      </c>
      <c r="N1458" s="16" t="s">
        <v>45</v>
      </c>
      <c r="O1458" s="10" t="s">
        <v>320</v>
      </c>
      <c r="P1458" s="9" t="str">
        <f t="shared" si="28"/>
        <v>N/I</v>
      </c>
      <c r="Q1458" s="9" t="str">
        <f t="shared" si="29"/>
        <v>N/I</v>
      </c>
      <c r="R1458" s="9" t="str">
        <f t="shared" si="32"/>
        <v>N/I</v>
      </c>
    </row>
    <row r="1459">
      <c r="A1459" s="11" t="s">
        <v>4631</v>
      </c>
      <c r="B1459" s="11" t="s">
        <v>4638</v>
      </c>
      <c r="C1459" s="12" t="s">
        <v>94</v>
      </c>
      <c r="D1459" s="13" t="s">
        <v>4639</v>
      </c>
      <c r="E1459" s="10" t="s">
        <v>291</v>
      </c>
      <c r="F1459" s="10" t="s">
        <v>4636</v>
      </c>
      <c r="G1459" s="12" t="s">
        <v>713</v>
      </c>
      <c r="H1459" s="10" t="s">
        <v>283</v>
      </c>
      <c r="I1459" s="16" t="s">
        <v>45</v>
      </c>
      <c r="J1459" s="12" t="s">
        <v>46</v>
      </c>
      <c r="K1459" s="10" t="s">
        <v>4637</v>
      </c>
      <c r="L1459" s="16" t="s">
        <v>45</v>
      </c>
      <c r="M1459" s="10" t="s">
        <v>49</v>
      </c>
      <c r="N1459" s="16" t="s">
        <v>45</v>
      </c>
      <c r="O1459" s="10" t="s">
        <v>320</v>
      </c>
      <c r="P1459" s="9" t="str">
        <f t="shared" si="28"/>
        <v>N/I</v>
      </c>
      <c r="Q1459" s="9" t="str">
        <f t="shared" si="29"/>
        <v>N/I</v>
      </c>
      <c r="R1459" s="9" t="str">
        <f t="shared" si="32"/>
        <v>N/I</v>
      </c>
    </row>
    <row r="1460">
      <c r="A1460" s="11" t="s">
        <v>4631</v>
      </c>
      <c r="B1460" s="11" t="s">
        <v>4641</v>
      </c>
      <c r="C1460" s="12" t="s">
        <v>94</v>
      </c>
      <c r="D1460" s="13" t="s">
        <v>4642</v>
      </c>
      <c r="E1460" s="10" t="s">
        <v>291</v>
      </c>
      <c r="F1460" s="10" t="s">
        <v>4636</v>
      </c>
      <c r="G1460" s="12" t="s">
        <v>713</v>
      </c>
      <c r="H1460" s="10" t="s">
        <v>283</v>
      </c>
      <c r="I1460" s="16" t="s">
        <v>45</v>
      </c>
      <c r="J1460" s="12" t="s">
        <v>46</v>
      </c>
      <c r="K1460" s="10" t="s">
        <v>4637</v>
      </c>
      <c r="L1460" s="16" t="s">
        <v>45</v>
      </c>
      <c r="M1460" s="10" t="s">
        <v>49</v>
      </c>
      <c r="N1460" s="16" t="s">
        <v>45</v>
      </c>
      <c r="O1460" s="10" t="s">
        <v>320</v>
      </c>
      <c r="P1460" s="9" t="str">
        <f t="shared" si="28"/>
        <v>N/I</v>
      </c>
      <c r="Q1460" s="9" t="str">
        <f t="shared" si="29"/>
        <v>N/I</v>
      </c>
      <c r="R1460" s="9" t="str">
        <f t="shared" si="32"/>
        <v>N/I</v>
      </c>
    </row>
    <row r="1461">
      <c r="A1461" s="11" t="s">
        <v>4631</v>
      </c>
      <c r="B1461" s="11" t="s">
        <v>4645</v>
      </c>
      <c r="C1461" s="12" t="s">
        <v>94</v>
      </c>
      <c r="D1461" s="13" t="s">
        <v>4646</v>
      </c>
      <c r="E1461" s="10" t="s">
        <v>291</v>
      </c>
      <c r="F1461" s="10" t="s">
        <v>4636</v>
      </c>
      <c r="G1461" s="12" t="s">
        <v>713</v>
      </c>
      <c r="H1461" s="10" t="s">
        <v>283</v>
      </c>
      <c r="I1461" s="16" t="s">
        <v>45</v>
      </c>
      <c r="J1461" s="12" t="s">
        <v>46</v>
      </c>
      <c r="K1461" s="10" t="s">
        <v>4637</v>
      </c>
      <c r="L1461" s="16" t="s">
        <v>45</v>
      </c>
      <c r="M1461" s="10" t="s">
        <v>49</v>
      </c>
      <c r="N1461" s="16" t="s">
        <v>45</v>
      </c>
      <c r="O1461" s="10" t="s">
        <v>320</v>
      </c>
      <c r="P1461" s="9" t="str">
        <f t="shared" si="28"/>
        <v>N/I</v>
      </c>
      <c r="Q1461" s="9" t="str">
        <f t="shared" si="29"/>
        <v>N/I</v>
      </c>
      <c r="R1461" s="9" t="str">
        <f t="shared" si="32"/>
        <v>N/I</v>
      </c>
    </row>
    <row r="1462">
      <c r="A1462" s="11" t="s">
        <v>4631</v>
      </c>
      <c r="B1462" s="11" t="s">
        <v>4649</v>
      </c>
      <c r="C1462" s="12" t="s">
        <v>94</v>
      </c>
      <c r="D1462" s="13" t="s">
        <v>4650</v>
      </c>
      <c r="E1462" s="10" t="s">
        <v>291</v>
      </c>
      <c r="F1462" s="10" t="s">
        <v>4636</v>
      </c>
      <c r="G1462" s="12" t="s">
        <v>713</v>
      </c>
      <c r="H1462" s="10" t="s">
        <v>283</v>
      </c>
      <c r="I1462" s="16" t="s">
        <v>45</v>
      </c>
      <c r="J1462" s="12" t="s">
        <v>46</v>
      </c>
      <c r="K1462" s="10" t="s">
        <v>4637</v>
      </c>
      <c r="L1462" s="16" t="s">
        <v>45</v>
      </c>
      <c r="M1462" s="10" t="s">
        <v>49</v>
      </c>
      <c r="N1462" s="16" t="s">
        <v>45</v>
      </c>
      <c r="O1462" s="10" t="s">
        <v>320</v>
      </c>
      <c r="P1462" s="9" t="str">
        <f t="shared" si="28"/>
        <v>N/I</v>
      </c>
      <c r="Q1462" s="9" t="str">
        <f t="shared" si="29"/>
        <v>N/I</v>
      </c>
      <c r="R1462" s="9" t="str">
        <f t="shared" si="32"/>
        <v>N/I</v>
      </c>
    </row>
    <row r="1463">
      <c r="A1463" s="11" t="s">
        <v>4631</v>
      </c>
      <c r="B1463" s="11" t="s">
        <v>4653</v>
      </c>
      <c r="C1463" s="12" t="s">
        <v>94</v>
      </c>
      <c r="D1463" s="13" t="s">
        <v>4654</v>
      </c>
      <c r="E1463" s="10" t="s">
        <v>291</v>
      </c>
      <c r="F1463" s="10" t="s">
        <v>4636</v>
      </c>
      <c r="G1463" s="12" t="s">
        <v>713</v>
      </c>
      <c r="H1463" s="10" t="s">
        <v>283</v>
      </c>
      <c r="I1463" s="16" t="s">
        <v>45</v>
      </c>
      <c r="J1463" s="12" t="s">
        <v>46</v>
      </c>
      <c r="K1463" s="10" t="s">
        <v>4637</v>
      </c>
      <c r="L1463" s="16" t="s">
        <v>45</v>
      </c>
      <c r="M1463" s="10" t="s">
        <v>49</v>
      </c>
      <c r="N1463" s="16" t="s">
        <v>45</v>
      </c>
      <c r="O1463" s="10" t="s">
        <v>320</v>
      </c>
      <c r="P1463" s="9" t="str">
        <f t="shared" si="28"/>
        <v>N/I</v>
      </c>
      <c r="Q1463" s="9" t="str">
        <f t="shared" si="29"/>
        <v>N/I</v>
      </c>
      <c r="R1463" s="9" t="str">
        <f t="shared" si="32"/>
        <v>N/I</v>
      </c>
    </row>
    <row r="1464">
      <c r="A1464" s="11" t="s">
        <v>4631</v>
      </c>
      <c r="B1464" s="11" t="s">
        <v>4657</v>
      </c>
      <c r="C1464" s="12" t="s">
        <v>94</v>
      </c>
      <c r="D1464" s="13" t="s">
        <v>4658</v>
      </c>
      <c r="E1464" s="10" t="s">
        <v>291</v>
      </c>
      <c r="F1464" s="10" t="s">
        <v>4636</v>
      </c>
      <c r="G1464" s="12" t="s">
        <v>713</v>
      </c>
      <c r="H1464" s="10" t="s">
        <v>283</v>
      </c>
      <c r="I1464" s="16" t="s">
        <v>45</v>
      </c>
      <c r="J1464" s="12" t="s">
        <v>46</v>
      </c>
      <c r="K1464" s="10" t="s">
        <v>4637</v>
      </c>
      <c r="L1464" s="16" t="s">
        <v>45</v>
      </c>
      <c r="M1464" s="10" t="s">
        <v>49</v>
      </c>
      <c r="N1464" s="16" t="s">
        <v>45</v>
      </c>
      <c r="O1464" s="10" t="s">
        <v>320</v>
      </c>
      <c r="P1464" s="9" t="str">
        <f t="shared" si="28"/>
        <v>N/I</v>
      </c>
      <c r="Q1464" s="9" t="str">
        <f t="shared" si="29"/>
        <v>N/I</v>
      </c>
      <c r="R1464" s="9" t="str">
        <f t="shared" si="32"/>
        <v>N/I</v>
      </c>
    </row>
    <row r="1465">
      <c r="A1465" s="11" t="s">
        <v>4631</v>
      </c>
      <c r="B1465" s="11" t="s">
        <v>4659</v>
      </c>
      <c r="C1465" s="12" t="s">
        <v>94</v>
      </c>
      <c r="D1465" s="13" t="s">
        <v>4660</v>
      </c>
      <c r="E1465" s="10" t="s">
        <v>291</v>
      </c>
      <c r="F1465" s="10" t="s">
        <v>4663</v>
      </c>
      <c r="G1465" s="12" t="s">
        <v>1626</v>
      </c>
      <c r="H1465" s="10" t="s">
        <v>283</v>
      </c>
      <c r="I1465" s="16" t="s">
        <v>45</v>
      </c>
      <c r="J1465" s="12" t="s">
        <v>46</v>
      </c>
      <c r="K1465" s="10" t="s">
        <v>4637</v>
      </c>
      <c r="L1465" s="16" t="s">
        <v>45</v>
      </c>
      <c r="M1465" s="10" t="s">
        <v>49</v>
      </c>
      <c r="N1465" s="16" t="s">
        <v>45</v>
      </c>
      <c r="O1465" s="10" t="s">
        <v>320</v>
      </c>
      <c r="P1465" s="9" t="str">
        <f t="shared" si="28"/>
        <v>N/I</v>
      </c>
      <c r="Q1465" s="9" t="str">
        <f t="shared" si="29"/>
        <v>N/I</v>
      </c>
      <c r="R1465" s="9" t="str">
        <f t="shared" si="32"/>
        <v>N/I</v>
      </c>
    </row>
    <row r="1466">
      <c r="A1466" s="11" t="s">
        <v>4631</v>
      </c>
      <c r="B1466" s="11" t="s">
        <v>4664</v>
      </c>
      <c r="C1466" s="12" t="s">
        <v>94</v>
      </c>
      <c r="D1466" s="13" t="s">
        <v>4665</v>
      </c>
      <c r="E1466" s="10" t="s">
        <v>291</v>
      </c>
      <c r="F1466" s="10" t="s">
        <v>4663</v>
      </c>
      <c r="G1466" s="12" t="s">
        <v>1557</v>
      </c>
      <c r="H1466" s="10" t="s">
        <v>283</v>
      </c>
      <c r="I1466" s="16" t="s">
        <v>45</v>
      </c>
      <c r="J1466" s="12" t="s">
        <v>46</v>
      </c>
      <c r="K1466" s="10" t="s">
        <v>4637</v>
      </c>
      <c r="L1466" s="16" t="s">
        <v>45</v>
      </c>
      <c r="M1466" s="10" t="s">
        <v>49</v>
      </c>
      <c r="N1466" s="16" t="s">
        <v>45</v>
      </c>
      <c r="O1466" s="10" t="s">
        <v>320</v>
      </c>
      <c r="P1466" s="9" t="str">
        <f t="shared" si="28"/>
        <v>N/I</v>
      </c>
      <c r="Q1466" s="9" t="str">
        <f t="shared" si="29"/>
        <v>N/I</v>
      </c>
      <c r="R1466" s="9" t="str">
        <f t="shared" si="32"/>
        <v>N/I</v>
      </c>
    </row>
    <row r="1467">
      <c r="A1467" s="11" t="s">
        <v>4631</v>
      </c>
      <c r="B1467" s="11" t="s">
        <v>4668</v>
      </c>
      <c r="C1467" s="12" t="s">
        <v>94</v>
      </c>
      <c r="D1467" s="13" t="s">
        <v>4669</v>
      </c>
      <c r="E1467" s="10" t="s">
        <v>291</v>
      </c>
      <c r="F1467" s="10" t="s">
        <v>4673</v>
      </c>
      <c r="G1467" s="12" t="s">
        <v>4670</v>
      </c>
      <c r="H1467" s="10" t="s">
        <v>283</v>
      </c>
      <c r="I1467" s="16" t="s">
        <v>45</v>
      </c>
      <c r="J1467" s="12" t="s">
        <v>46</v>
      </c>
      <c r="K1467" s="10" t="s">
        <v>4637</v>
      </c>
      <c r="L1467" s="16" t="s">
        <v>45</v>
      </c>
      <c r="M1467" s="10" t="s">
        <v>49</v>
      </c>
      <c r="N1467" s="16" t="s">
        <v>45</v>
      </c>
      <c r="O1467" s="10" t="s">
        <v>320</v>
      </c>
      <c r="P1467" s="9" t="str">
        <f t="shared" si="28"/>
        <v>N/I</v>
      </c>
      <c r="Q1467" s="9" t="str">
        <f t="shared" si="29"/>
        <v>N/I</v>
      </c>
      <c r="R1467" s="9" t="str">
        <f t="shared" si="32"/>
        <v>N/I</v>
      </c>
    </row>
    <row r="1468">
      <c r="A1468" s="11" t="s">
        <v>4631</v>
      </c>
      <c r="B1468" s="11" t="s">
        <v>4674</v>
      </c>
      <c r="C1468" s="12" t="s">
        <v>94</v>
      </c>
      <c r="D1468" s="13" t="s">
        <v>4675</v>
      </c>
      <c r="E1468" s="10" t="s">
        <v>291</v>
      </c>
      <c r="F1468" s="10" t="s">
        <v>4673</v>
      </c>
      <c r="G1468" s="12" t="s">
        <v>541</v>
      </c>
      <c r="H1468" s="10" t="s">
        <v>283</v>
      </c>
      <c r="I1468" s="16" t="s">
        <v>45</v>
      </c>
      <c r="J1468" s="12" t="s">
        <v>46</v>
      </c>
      <c r="K1468" s="10" t="s">
        <v>4637</v>
      </c>
      <c r="L1468" s="16" t="s">
        <v>45</v>
      </c>
      <c r="M1468" s="10" t="s">
        <v>49</v>
      </c>
      <c r="N1468" s="16" t="s">
        <v>45</v>
      </c>
      <c r="O1468" s="10" t="s">
        <v>320</v>
      </c>
      <c r="P1468" s="9" t="str">
        <f t="shared" si="28"/>
        <v>N/I</v>
      </c>
      <c r="Q1468" s="9" t="str">
        <f t="shared" si="29"/>
        <v>N/I</v>
      </c>
      <c r="R1468" s="9" t="str">
        <f t="shared" si="32"/>
        <v>N/I</v>
      </c>
    </row>
    <row r="1469">
      <c r="A1469" s="11" t="s">
        <v>4631</v>
      </c>
      <c r="B1469" s="11" t="s">
        <v>4678</v>
      </c>
      <c r="C1469" s="12" t="s">
        <v>94</v>
      </c>
      <c r="D1469" s="13" t="s">
        <v>4679</v>
      </c>
      <c r="E1469" s="10" t="s">
        <v>291</v>
      </c>
      <c r="F1469" s="10" t="s">
        <v>4673</v>
      </c>
      <c r="G1469" s="12" t="s">
        <v>596</v>
      </c>
      <c r="H1469" s="10" t="s">
        <v>283</v>
      </c>
      <c r="I1469" s="16" t="s">
        <v>45</v>
      </c>
      <c r="J1469" s="12" t="s">
        <v>46</v>
      </c>
      <c r="K1469" s="10" t="s">
        <v>4637</v>
      </c>
      <c r="L1469" s="16" t="s">
        <v>45</v>
      </c>
      <c r="M1469" s="10" t="s">
        <v>49</v>
      </c>
      <c r="N1469" s="16" t="s">
        <v>45</v>
      </c>
      <c r="O1469" s="10" t="s">
        <v>320</v>
      </c>
      <c r="P1469" s="9" t="str">
        <f t="shared" si="28"/>
        <v>N/I</v>
      </c>
      <c r="Q1469" s="9" t="str">
        <f t="shared" si="29"/>
        <v>N/I</v>
      </c>
      <c r="R1469" s="9" t="str">
        <f t="shared" si="32"/>
        <v>N/I</v>
      </c>
    </row>
    <row r="1470">
      <c r="A1470" s="11" t="s">
        <v>4631</v>
      </c>
      <c r="B1470" s="11" t="s">
        <v>4682</v>
      </c>
      <c r="C1470" s="12" t="s">
        <v>94</v>
      </c>
      <c r="D1470" s="13" t="s">
        <v>4683</v>
      </c>
      <c r="E1470" s="10" t="s">
        <v>291</v>
      </c>
      <c r="F1470" s="10" t="s">
        <v>4673</v>
      </c>
      <c r="G1470" s="12" t="s">
        <v>1597</v>
      </c>
      <c r="H1470" s="10" t="s">
        <v>283</v>
      </c>
      <c r="I1470" s="16" t="s">
        <v>45</v>
      </c>
      <c r="J1470" s="12" t="s">
        <v>46</v>
      </c>
      <c r="K1470" s="10" t="s">
        <v>4637</v>
      </c>
      <c r="L1470" s="16" t="s">
        <v>45</v>
      </c>
      <c r="M1470" s="10" t="s">
        <v>49</v>
      </c>
      <c r="N1470" s="16" t="s">
        <v>45</v>
      </c>
      <c r="O1470" s="10" t="s">
        <v>320</v>
      </c>
      <c r="P1470" s="9" t="str">
        <f t="shared" si="28"/>
        <v>N/I</v>
      </c>
      <c r="Q1470" s="9" t="str">
        <f t="shared" si="29"/>
        <v>N/I</v>
      </c>
      <c r="R1470" s="9" t="str">
        <f t="shared" si="32"/>
        <v>N/I</v>
      </c>
    </row>
    <row r="1471">
      <c r="A1471" s="11" t="s">
        <v>4687</v>
      </c>
      <c r="B1471" s="11" t="s">
        <v>4688</v>
      </c>
      <c r="C1471" s="12" t="s">
        <v>94</v>
      </c>
      <c r="D1471" s="36" t="s">
        <v>4689</v>
      </c>
      <c r="E1471" s="10" t="s">
        <v>291</v>
      </c>
      <c r="F1471" s="10" t="s">
        <v>4693</v>
      </c>
      <c r="G1471" s="12" t="s">
        <v>4690</v>
      </c>
      <c r="H1471" s="10" t="s">
        <v>222</v>
      </c>
      <c r="I1471" s="10" t="s">
        <v>290</v>
      </c>
      <c r="J1471" s="10" t="s">
        <v>318</v>
      </c>
      <c r="K1471" s="10" t="s">
        <v>319</v>
      </c>
      <c r="L1471" s="16" t="s">
        <v>45</v>
      </c>
      <c r="M1471" s="10" t="s">
        <v>49</v>
      </c>
      <c r="N1471" s="10" t="s">
        <v>508</v>
      </c>
      <c r="O1471" s="10" t="s">
        <v>50</v>
      </c>
      <c r="P1471" s="9" t="str">
        <f t="shared" si="28"/>
        <v>N/I</v>
      </c>
      <c r="Q1471" s="9" t="str">
        <f t="shared" si="29"/>
        <v>N/I</v>
      </c>
      <c r="R1471" s="9" t="str">
        <f t="shared" si="32"/>
        <v>N/I</v>
      </c>
    </row>
    <row r="1472">
      <c r="A1472" s="11" t="s">
        <v>4687</v>
      </c>
      <c r="B1472" s="11" t="s">
        <v>4694</v>
      </c>
      <c r="C1472" s="12" t="s">
        <v>94</v>
      </c>
      <c r="D1472" s="34" t="s">
        <v>4695</v>
      </c>
      <c r="E1472" s="10" t="s">
        <v>291</v>
      </c>
      <c r="F1472" s="10" t="s">
        <v>4699</v>
      </c>
      <c r="G1472" s="12" t="s">
        <v>4696</v>
      </c>
      <c r="H1472" s="10" t="s">
        <v>222</v>
      </c>
      <c r="I1472" s="10" t="s">
        <v>290</v>
      </c>
      <c r="J1472" s="10" t="s">
        <v>318</v>
      </c>
      <c r="K1472" s="10" t="s">
        <v>319</v>
      </c>
      <c r="L1472" s="16" t="s">
        <v>45</v>
      </c>
      <c r="M1472" s="10" t="s">
        <v>49</v>
      </c>
      <c r="N1472" s="10" t="s">
        <v>508</v>
      </c>
      <c r="O1472" s="10" t="s">
        <v>50</v>
      </c>
      <c r="P1472" s="9" t="str">
        <f t="shared" si="28"/>
        <v>N/I</v>
      </c>
      <c r="Q1472" s="9" t="str">
        <f t="shared" si="29"/>
        <v>N/I</v>
      </c>
      <c r="R1472" s="9" t="str">
        <f t="shared" si="32"/>
        <v>N/I</v>
      </c>
    </row>
    <row r="1473">
      <c r="A1473" s="11" t="s">
        <v>4687</v>
      </c>
      <c r="B1473" s="11" t="s">
        <v>4700</v>
      </c>
      <c r="C1473" s="12" t="s">
        <v>94</v>
      </c>
      <c r="D1473" s="34" t="s">
        <v>4701</v>
      </c>
      <c r="E1473" s="10" t="s">
        <v>291</v>
      </c>
      <c r="F1473" s="10" t="s">
        <v>4699</v>
      </c>
      <c r="G1473" s="12" t="s">
        <v>4702</v>
      </c>
      <c r="H1473" s="10" t="s">
        <v>222</v>
      </c>
      <c r="I1473" s="10" t="s">
        <v>290</v>
      </c>
      <c r="J1473" s="10" t="s">
        <v>318</v>
      </c>
      <c r="K1473" s="10" t="s">
        <v>319</v>
      </c>
      <c r="L1473" s="16" t="s">
        <v>45</v>
      </c>
      <c r="M1473" s="10" t="s">
        <v>49</v>
      </c>
      <c r="N1473" s="10" t="s">
        <v>508</v>
      </c>
      <c r="O1473" s="10" t="s">
        <v>50</v>
      </c>
      <c r="P1473" s="9" t="str">
        <f t="shared" si="28"/>
        <v>N/I</v>
      </c>
      <c r="Q1473" s="9" t="str">
        <f t="shared" si="29"/>
        <v>N/I</v>
      </c>
      <c r="R1473" s="9" t="str">
        <f t="shared" si="32"/>
        <v>N/I</v>
      </c>
    </row>
    <row r="1474">
      <c r="A1474" s="11" t="s">
        <v>4687</v>
      </c>
      <c r="B1474" s="11" t="s">
        <v>4705</v>
      </c>
      <c r="C1474" s="12" t="s">
        <v>94</v>
      </c>
      <c r="D1474" s="34" t="s">
        <v>4706</v>
      </c>
      <c r="E1474" s="10" t="s">
        <v>291</v>
      </c>
      <c r="F1474" s="10" t="s">
        <v>4699</v>
      </c>
      <c r="G1474" s="12" t="s">
        <v>4707</v>
      </c>
      <c r="H1474" s="10" t="s">
        <v>222</v>
      </c>
      <c r="I1474" s="10" t="s">
        <v>290</v>
      </c>
      <c r="J1474" s="10" t="s">
        <v>318</v>
      </c>
      <c r="K1474" s="10" t="s">
        <v>319</v>
      </c>
      <c r="L1474" s="16" t="s">
        <v>45</v>
      </c>
      <c r="M1474" s="10" t="s">
        <v>49</v>
      </c>
      <c r="N1474" s="10" t="s">
        <v>508</v>
      </c>
      <c r="O1474" s="10" t="s">
        <v>50</v>
      </c>
      <c r="P1474" s="9" t="str">
        <f t="shared" si="28"/>
        <v>N/I</v>
      </c>
      <c r="Q1474" s="9" t="str">
        <f t="shared" si="29"/>
        <v>N/I</v>
      </c>
      <c r="R1474" s="9" t="str">
        <f t="shared" si="32"/>
        <v>N/I</v>
      </c>
    </row>
    <row r="1475">
      <c r="A1475" s="11" t="s">
        <v>4687</v>
      </c>
      <c r="B1475" s="11" t="s">
        <v>4710</v>
      </c>
      <c r="C1475" s="12" t="s">
        <v>94</v>
      </c>
      <c r="D1475" s="36" t="s">
        <v>4711</v>
      </c>
      <c r="E1475" s="10" t="s">
        <v>291</v>
      </c>
      <c r="F1475" s="10" t="s">
        <v>4693</v>
      </c>
      <c r="G1475" s="12" t="s">
        <v>4712</v>
      </c>
      <c r="H1475" s="10" t="s">
        <v>222</v>
      </c>
      <c r="I1475" s="10" t="s">
        <v>290</v>
      </c>
      <c r="J1475" s="10" t="s">
        <v>318</v>
      </c>
      <c r="K1475" s="10" t="s">
        <v>319</v>
      </c>
      <c r="L1475" s="16" t="s">
        <v>45</v>
      </c>
      <c r="M1475" s="10" t="s">
        <v>49</v>
      </c>
      <c r="N1475" s="10" t="s">
        <v>508</v>
      </c>
      <c r="O1475" s="10" t="s">
        <v>50</v>
      </c>
      <c r="P1475" s="9" t="str">
        <f t="shared" si="28"/>
        <v>N/I</v>
      </c>
      <c r="Q1475" s="9" t="str">
        <f t="shared" si="29"/>
        <v>N/I</v>
      </c>
      <c r="R1475" s="9" t="str">
        <f t="shared" si="32"/>
        <v>N/I</v>
      </c>
    </row>
    <row r="1476">
      <c r="A1476" s="11" t="s">
        <v>4687</v>
      </c>
      <c r="B1476" s="11" t="s">
        <v>4715</v>
      </c>
      <c r="C1476" s="12" t="s">
        <v>94</v>
      </c>
      <c r="D1476" s="36" t="s">
        <v>4716</v>
      </c>
      <c r="E1476" s="10" t="s">
        <v>291</v>
      </c>
      <c r="F1476" s="10" t="s">
        <v>4693</v>
      </c>
      <c r="G1476" s="12" t="s">
        <v>4717</v>
      </c>
      <c r="H1476" s="10" t="s">
        <v>222</v>
      </c>
      <c r="I1476" s="10" t="s">
        <v>290</v>
      </c>
      <c r="J1476" s="10" t="s">
        <v>318</v>
      </c>
      <c r="K1476" s="10" t="s">
        <v>319</v>
      </c>
      <c r="L1476" s="16" t="s">
        <v>45</v>
      </c>
      <c r="M1476" s="10" t="s">
        <v>49</v>
      </c>
      <c r="N1476" s="10" t="s">
        <v>508</v>
      </c>
      <c r="O1476" s="10" t="s">
        <v>50</v>
      </c>
      <c r="P1476" s="9" t="str">
        <f t="shared" si="28"/>
        <v>N/I</v>
      </c>
      <c r="Q1476" s="9" t="str">
        <f t="shared" si="29"/>
        <v>N/I</v>
      </c>
      <c r="R1476" s="9" t="str">
        <f t="shared" si="32"/>
        <v>N/I</v>
      </c>
    </row>
    <row r="1477">
      <c r="A1477" s="11" t="s">
        <v>4687</v>
      </c>
      <c r="B1477" s="11" t="s">
        <v>4719</v>
      </c>
      <c r="C1477" s="12" t="s">
        <v>94</v>
      </c>
      <c r="D1477" s="36" t="s">
        <v>4720</v>
      </c>
      <c r="E1477" s="10" t="s">
        <v>291</v>
      </c>
      <c r="F1477" s="10" t="s">
        <v>4693</v>
      </c>
      <c r="G1477" s="12" t="s">
        <v>4721</v>
      </c>
      <c r="H1477" s="10" t="s">
        <v>222</v>
      </c>
      <c r="I1477" s="10" t="s">
        <v>290</v>
      </c>
      <c r="J1477" s="10" t="s">
        <v>318</v>
      </c>
      <c r="K1477" s="10" t="s">
        <v>319</v>
      </c>
      <c r="L1477" s="16" t="s">
        <v>45</v>
      </c>
      <c r="M1477" s="10" t="s">
        <v>49</v>
      </c>
      <c r="N1477" s="10" t="s">
        <v>508</v>
      </c>
      <c r="O1477" s="10" t="s">
        <v>50</v>
      </c>
      <c r="P1477" s="9" t="str">
        <f t="shared" si="28"/>
        <v>N/I</v>
      </c>
      <c r="Q1477" s="9" t="str">
        <f t="shared" si="29"/>
        <v>N/I</v>
      </c>
      <c r="R1477" s="9" t="str">
        <f t="shared" si="32"/>
        <v>N/I</v>
      </c>
    </row>
    <row r="1478">
      <c r="A1478" s="11" t="s">
        <v>4687</v>
      </c>
      <c r="B1478" s="11" t="s">
        <v>4724</v>
      </c>
      <c r="C1478" s="12" t="s">
        <v>94</v>
      </c>
      <c r="D1478" s="34" t="s">
        <v>4725</v>
      </c>
      <c r="E1478" s="10" t="s">
        <v>291</v>
      </c>
      <c r="F1478" s="10" t="s">
        <v>4699</v>
      </c>
      <c r="G1478" s="12" t="s">
        <v>4726</v>
      </c>
      <c r="H1478" s="10" t="s">
        <v>222</v>
      </c>
      <c r="I1478" s="10" t="s">
        <v>290</v>
      </c>
      <c r="J1478" s="10" t="s">
        <v>318</v>
      </c>
      <c r="K1478" s="10" t="s">
        <v>319</v>
      </c>
      <c r="L1478" s="16" t="s">
        <v>45</v>
      </c>
      <c r="M1478" s="10" t="s">
        <v>49</v>
      </c>
      <c r="N1478" s="10" t="s">
        <v>508</v>
      </c>
      <c r="O1478" s="10" t="s">
        <v>50</v>
      </c>
      <c r="P1478" s="9" t="str">
        <f t="shared" si="28"/>
        <v>N/I</v>
      </c>
      <c r="Q1478" s="9" t="str">
        <f t="shared" si="29"/>
        <v>N/I</v>
      </c>
      <c r="R1478" s="9" t="str">
        <f t="shared" si="32"/>
        <v>N/I</v>
      </c>
    </row>
    <row r="1479">
      <c r="A1479" s="11" t="s">
        <v>4687</v>
      </c>
      <c r="B1479" s="11" t="s">
        <v>4729</v>
      </c>
      <c r="C1479" s="12" t="s">
        <v>94</v>
      </c>
      <c r="D1479" s="36" t="s">
        <v>4730</v>
      </c>
      <c r="E1479" s="10" t="s">
        <v>291</v>
      </c>
      <c r="F1479" s="10" t="s">
        <v>4693</v>
      </c>
      <c r="G1479" s="12" t="s">
        <v>4731</v>
      </c>
      <c r="H1479" s="10" t="s">
        <v>222</v>
      </c>
      <c r="I1479" s="10" t="s">
        <v>290</v>
      </c>
      <c r="J1479" s="10" t="s">
        <v>318</v>
      </c>
      <c r="K1479" s="10" t="s">
        <v>319</v>
      </c>
      <c r="L1479" s="16" t="s">
        <v>45</v>
      </c>
      <c r="M1479" s="10" t="s">
        <v>49</v>
      </c>
      <c r="N1479" s="10" t="s">
        <v>508</v>
      </c>
      <c r="O1479" s="10" t="s">
        <v>50</v>
      </c>
      <c r="P1479" s="9" t="str">
        <f t="shared" si="28"/>
        <v>N/I</v>
      </c>
      <c r="Q1479" s="9" t="str">
        <f t="shared" si="29"/>
        <v>N/I</v>
      </c>
      <c r="R1479" s="9" t="str">
        <f t="shared" si="32"/>
        <v>N/I</v>
      </c>
    </row>
    <row r="1480">
      <c r="A1480" s="11" t="s">
        <v>4687</v>
      </c>
      <c r="B1480" s="11" t="s">
        <v>4733</v>
      </c>
      <c r="C1480" s="12" t="s">
        <v>94</v>
      </c>
      <c r="D1480" s="36" t="s">
        <v>4734</v>
      </c>
      <c r="E1480" s="10" t="s">
        <v>291</v>
      </c>
      <c r="F1480" s="10" t="s">
        <v>4693</v>
      </c>
      <c r="G1480" s="12" t="s">
        <v>4735</v>
      </c>
      <c r="H1480" s="10" t="s">
        <v>222</v>
      </c>
      <c r="I1480" s="10" t="s">
        <v>290</v>
      </c>
      <c r="J1480" s="10" t="s">
        <v>318</v>
      </c>
      <c r="K1480" s="10" t="s">
        <v>319</v>
      </c>
      <c r="L1480" s="16" t="s">
        <v>45</v>
      </c>
      <c r="M1480" s="10" t="s">
        <v>49</v>
      </c>
      <c r="N1480" s="10" t="s">
        <v>508</v>
      </c>
      <c r="O1480" s="10" t="s">
        <v>50</v>
      </c>
      <c r="P1480" s="9" t="str">
        <f t="shared" si="28"/>
        <v>N/I</v>
      </c>
      <c r="Q1480" s="9" t="str">
        <f t="shared" si="29"/>
        <v>N/I</v>
      </c>
      <c r="R1480" s="9" t="str">
        <f t="shared" si="32"/>
        <v>N/I</v>
      </c>
    </row>
    <row r="1481">
      <c r="A1481" s="11" t="s">
        <v>4687</v>
      </c>
      <c r="B1481" s="11" t="s">
        <v>4738</v>
      </c>
      <c r="C1481" s="12" t="s">
        <v>94</v>
      </c>
      <c r="D1481" s="36" t="s">
        <v>4739</v>
      </c>
      <c r="E1481" s="10" t="s">
        <v>291</v>
      </c>
      <c r="F1481" s="10" t="s">
        <v>4693</v>
      </c>
      <c r="G1481" s="12" t="s">
        <v>463</v>
      </c>
      <c r="H1481" s="10" t="s">
        <v>222</v>
      </c>
      <c r="I1481" s="10" t="s">
        <v>290</v>
      </c>
      <c r="J1481" s="10" t="s">
        <v>318</v>
      </c>
      <c r="K1481" s="10" t="s">
        <v>319</v>
      </c>
      <c r="L1481" s="16" t="s">
        <v>45</v>
      </c>
      <c r="M1481" s="10" t="s">
        <v>49</v>
      </c>
      <c r="N1481" s="10" t="s">
        <v>508</v>
      </c>
      <c r="O1481" s="10" t="s">
        <v>50</v>
      </c>
      <c r="P1481" s="9" t="str">
        <f t="shared" si="28"/>
        <v>N/I</v>
      </c>
      <c r="Q1481" s="9" t="str">
        <f t="shared" si="29"/>
        <v>N/I</v>
      </c>
      <c r="R1481" s="9" t="str">
        <f t="shared" si="32"/>
        <v>N/I</v>
      </c>
    </row>
    <row r="1482">
      <c r="A1482" s="11" t="s">
        <v>4687</v>
      </c>
      <c r="B1482" s="11" t="s">
        <v>4742</v>
      </c>
      <c r="C1482" s="12" t="s">
        <v>3579</v>
      </c>
      <c r="D1482" s="27" t="s">
        <v>4743</v>
      </c>
      <c r="E1482" s="10" t="s">
        <v>390</v>
      </c>
      <c r="F1482" s="10" t="s">
        <v>4746</v>
      </c>
      <c r="G1482" s="12" t="s">
        <v>463</v>
      </c>
      <c r="H1482" s="10" t="s">
        <v>222</v>
      </c>
      <c r="I1482" s="16" t="s">
        <v>45</v>
      </c>
      <c r="J1482" s="12" t="s">
        <v>46</v>
      </c>
      <c r="K1482" s="10" t="s">
        <v>226</v>
      </c>
      <c r="L1482" s="16" t="s">
        <v>45</v>
      </c>
      <c r="M1482" s="10" t="s">
        <v>49</v>
      </c>
      <c r="N1482" s="16" t="s">
        <v>45</v>
      </c>
      <c r="O1482" s="10" t="s">
        <v>320</v>
      </c>
      <c r="P1482" s="9" t="str">
        <f t="shared" si="28"/>
        <v>N/I</v>
      </c>
      <c r="Q1482" s="9" t="str">
        <f t="shared" si="29"/>
        <v>N/I</v>
      </c>
      <c r="R1482" s="9" t="str">
        <f t="shared" si="32"/>
        <v>N/I</v>
      </c>
    </row>
    <row r="1483">
      <c r="A1483" s="11" t="s">
        <v>4687</v>
      </c>
      <c r="B1483" s="11" t="s">
        <v>4747</v>
      </c>
      <c r="C1483" s="12" t="s">
        <v>3579</v>
      </c>
      <c r="D1483" s="27" t="s">
        <v>4748</v>
      </c>
      <c r="E1483" s="10" t="s">
        <v>390</v>
      </c>
      <c r="F1483" s="10" t="s">
        <v>4746</v>
      </c>
      <c r="G1483" s="12" t="s">
        <v>463</v>
      </c>
      <c r="H1483" s="10" t="s">
        <v>222</v>
      </c>
      <c r="I1483" s="16" t="s">
        <v>45</v>
      </c>
      <c r="J1483" s="12" t="s">
        <v>46</v>
      </c>
      <c r="K1483" s="10" t="s">
        <v>226</v>
      </c>
      <c r="L1483" s="16" t="s">
        <v>45</v>
      </c>
      <c r="M1483" s="10" t="s">
        <v>49</v>
      </c>
      <c r="N1483" s="16" t="s">
        <v>45</v>
      </c>
      <c r="O1483" s="10" t="s">
        <v>320</v>
      </c>
      <c r="P1483" s="9" t="str">
        <f t="shared" si="28"/>
        <v>N/I</v>
      </c>
      <c r="Q1483" s="9" t="str">
        <f t="shared" si="29"/>
        <v>N/I</v>
      </c>
      <c r="R1483" s="9" t="str">
        <f t="shared" si="32"/>
        <v>N/I</v>
      </c>
    </row>
    <row r="1484">
      <c r="A1484" s="11" t="s">
        <v>4687</v>
      </c>
      <c r="B1484" s="11" t="s">
        <v>4751</v>
      </c>
      <c r="C1484" s="12" t="s">
        <v>3579</v>
      </c>
      <c r="D1484" s="27" t="s">
        <v>4752</v>
      </c>
      <c r="E1484" s="10" t="s">
        <v>390</v>
      </c>
      <c r="F1484" s="10" t="s">
        <v>4746</v>
      </c>
      <c r="G1484" s="12" t="s">
        <v>463</v>
      </c>
      <c r="H1484" s="10" t="s">
        <v>222</v>
      </c>
      <c r="I1484" s="16" t="s">
        <v>45</v>
      </c>
      <c r="J1484" s="12" t="s">
        <v>46</v>
      </c>
      <c r="K1484" s="10" t="s">
        <v>226</v>
      </c>
      <c r="L1484" s="16" t="s">
        <v>45</v>
      </c>
      <c r="M1484" s="10" t="s">
        <v>49</v>
      </c>
      <c r="N1484" s="16" t="s">
        <v>45</v>
      </c>
      <c r="O1484" s="10" t="s">
        <v>320</v>
      </c>
      <c r="P1484" s="9" t="str">
        <f t="shared" si="28"/>
        <v>N/I</v>
      </c>
      <c r="Q1484" s="9" t="str">
        <f t="shared" si="29"/>
        <v>N/I</v>
      </c>
      <c r="R1484" s="9" t="str">
        <f t="shared" si="32"/>
        <v>N/I</v>
      </c>
    </row>
    <row r="1485">
      <c r="A1485" s="11" t="s">
        <v>4687</v>
      </c>
      <c r="B1485" s="11" t="s">
        <v>4755</v>
      </c>
      <c r="C1485" s="12" t="s">
        <v>3579</v>
      </c>
      <c r="D1485" s="27" t="s">
        <v>4756</v>
      </c>
      <c r="E1485" s="10" t="s">
        <v>390</v>
      </c>
      <c r="F1485" s="10" t="s">
        <v>4746</v>
      </c>
      <c r="G1485" s="12" t="s">
        <v>463</v>
      </c>
      <c r="H1485" s="10" t="s">
        <v>222</v>
      </c>
      <c r="I1485" s="16" t="s">
        <v>45</v>
      </c>
      <c r="J1485" s="12" t="s">
        <v>46</v>
      </c>
      <c r="K1485" s="10" t="s">
        <v>226</v>
      </c>
      <c r="L1485" s="16" t="s">
        <v>45</v>
      </c>
      <c r="M1485" s="10" t="s">
        <v>49</v>
      </c>
      <c r="N1485" s="16" t="s">
        <v>45</v>
      </c>
      <c r="O1485" s="10" t="s">
        <v>320</v>
      </c>
      <c r="P1485" s="9" t="str">
        <f t="shared" si="28"/>
        <v>N/I</v>
      </c>
      <c r="Q1485" s="9" t="str">
        <f t="shared" si="29"/>
        <v>N/I</v>
      </c>
      <c r="R1485" s="9" t="str">
        <f t="shared" si="32"/>
        <v>N/I</v>
      </c>
    </row>
    <row r="1486">
      <c r="A1486" s="11" t="s">
        <v>4687</v>
      </c>
      <c r="B1486" s="11" t="s">
        <v>4758</v>
      </c>
      <c r="C1486" s="12" t="s">
        <v>3579</v>
      </c>
      <c r="D1486" s="27" t="s">
        <v>4759</v>
      </c>
      <c r="E1486" s="10" t="s">
        <v>291</v>
      </c>
      <c r="F1486" s="10" t="s">
        <v>4746</v>
      </c>
      <c r="G1486" s="12" t="s">
        <v>463</v>
      </c>
      <c r="H1486" s="10" t="s">
        <v>222</v>
      </c>
      <c r="I1486" s="16" t="s">
        <v>45</v>
      </c>
      <c r="J1486" s="12" t="s">
        <v>46</v>
      </c>
      <c r="K1486" s="10" t="s">
        <v>4637</v>
      </c>
      <c r="L1486" s="16" t="s">
        <v>45</v>
      </c>
      <c r="M1486" s="10" t="s">
        <v>49</v>
      </c>
      <c r="N1486" s="16" t="s">
        <v>45</v>
      </c>
      <c r="O1486" s="10" t="s">
        <v>320</v>
      </c>
      <c r="P1486" s="9" t="str">
        <f t="shared" si="28"/>
        <v>N/I</v>
      </c>
      <c r="Q1486" s="9" t="str">
        <f t="shared" si="29"/>
        <v>N/I</v>
      </c>
      <c r="R1486" s="9" t="str">
        <f t="shared" si="32"/>
        <v>N/I</v>
      </c>
    </row>
    <row r="1487">
      <c r="A1487" s="11" t="s">
        <v>4687</v>
      </c>
      <c r="B1487" s="11" t="s">
        <v>4758</v>
      </c>
      <c r="C1487" s="12" t="s">
        <v>3579</v>
      </c>
      <c r="D1487" s="27" t="s">
        <v>4761</v>
      </c>
      <c r="E1487" s="10" t="s">
        <v>291</v>
      </c>
      <c r="F1487" s="10" t="s">
        <v>4746</v>
      </c>
      <c r="G1487" s="12" t="s">
        <v>463</v>
      </c>
      <c r="H1487" s="10" t="s">
        <v>222</v>
      </c>
      <c r="I1487" s="16" t="s">
        <v>45</v>
      </c>
      <c r="J1487" s="12" t="s">
        <v>46</v>
      </c>
      <c r="K1487" s="10" t="s">
        <v>4637</v>
      </c>
      <c r="L1487" s="16" t="s">
        <v>45</v>
      </c>
      <c r="M1487" s="10" t="s">
        <v>49</v>
      </c>
      <c r="N1487" s="16" t="s">
        <v>45</v>
      </c>
      <c r="O1487" s="10" t="s">
        <v>320</v>
      </c>
      <c r="P1487" s="9" t="str">
        <f t="shared" si="28"/>
        <v>N/I</v>
      </c>
      <c r="Q1487" s="9" t="str">
        <f t="shared" si="29"/>
        <v>N/I</v>
      </c>
      <c r="R1487" s="9" t="str">
        <f t="shared" si="32"/>
        <v>N/I</v>
      </c>
    </row>
    <row r="1488">
      <c r="A1488" s="11" t="s">
        <v>4687</v>
      </c>
      <c r="B1488" s="11" t="s">
        <v>4762</v>
      </c>
      <c r="C1488" s="12" t="s">
        <v>3579</v>
      </c>
      <c r="D1488" s="27" t="s">
        <v>4763</v>
      </c>
      <c r="E1488" s="10" t="s">
        <v>291</v>
      </c>
      <c r="F1488" s="10" t="s">
        <v>4746</v>
      </c>
      <c r="G1488" s="12" t="s">
        <v>3365</v>
      </c>
      <c r="H1488" s="10" t="s">
        <v>222</v>
      </c>
      <c r="I1488" s="16" t="s">
        <v>45</v>
      </c>
      <c r="J1488" s="12" t="s">
        <v>46</v>
      </c>
      <c r="K1488" s="10" t="s">
        <v>4637</v>
      </c>
      <c r="L1488" s="16" t="s">
        <v>45</v>
      </c>
      <c r="M1488" s="10" t="s">
        <v>49</v>
      </c>
      <c r="N1488" s="16" t="s">
        <v>45</v>
      </c>
      <c r="O1488" s="10" t="s">
        <v>320</v>
      </c>
      <c r="P1488" s="9" t="str">
        <f t="shared" si="28"/>
        <v>N/I</v>
      </c>
      <c r="Q1488" s="9" t="str">
        <f t="shared" si="29"/>
        <v>N/I</v>
      </c>
      <c r="R1488" s="9" t="str">
        <f t="shared" si="32"/>
        <v>N/I</v>
      </c>
    </row>
    <row r="1489">
      <c r="A1489" s="11" t="s">
        <v>4687</v>
      </c>
      <c r="B1489" s="11" t="s">
        <v>4766</v>
      </c>
      <c r="C1489" s="12" t="s">
        <v>3579</v>
      </c>
      <c r="D1489" s="27" t="s">
        <v>4767</v>
      </c>
      <c r="E1489" s="10" t="s">
        <v>291</v>
      </c>
      <c r="F1489" s="10" t="s">
        <v>4746</v>
      </c>
      <c r="G1489" s="12" t="s">
        <v>4768</v>
      </c>
      <c r="H1489" s="10" t="s">
        <v>222</v>
      </c>
      <c r="I1489" s="16" t="s">
        <v>45</v>
      </c>
      <c r="J1489" s="12" t="s">
        <v>46</v>
      </c>
      <c r="K1489" s="10" t="s">
        <v>4637</v>
      </c>
      <c r="L1489" s="16" t="s">
        <v>45</v>
      </c>
      <c r="M1489" s="10" t="s">
        <v>49</v>
      </c>
      <c r="N1489" s="16" t="s">
        <v>45</v>
      </c>
      <c r="O1489" s="10" t="s">
        <v>320</v>
      </c>
      <c r="P1489" s="9" t="str">
        <f t="shared" si="28"/>
        <v>N/I</v>
      </c>
      <c r="Q1489" s="9" t="str">
        <f t="shared" si="29"/>
        <v>N/I</v>
      </c>
      <c r="R1489" s="9" t="str">
        <f t="shared" si="32"/>
        <v>N/I</v>
      </c>
    </row>
    <row r="1490">
      <c r="A1490" s="11" t="s">
        <v>4687</v>
      </c>
      <c r="B1490" s="11" t="s">
        <v>4771</v>
      </c>
      <c r="C1490" s="12" t="s">
        <v>3579</v>
      </c>
      <c r="D1490" s="27" t="s">
        <v>4772</v>
      </c>
      <c r="E1490" s="10" t="s">
        <v>291</v>
      </c>
      <c r="F1490" s="10" t="s">
        <v>4746</v>
      </c>
      <c r="G1490" s="12" t="s">
        <v>463</v>
      </c>
      <c r="H1490" s="10" t="s">
        <v>222</v>
      </c>
      <c r="I1490" s="16" t="s">
        <v>45</v>
      </c>
      <c r="J1490" s="12" t="s">
        <v>46</v>
      </c>
      <c r="K1490" s="10" t="s">
        <v>4637</v>
      </c>
      <c r="L1490" s="16" t="s">
        <v>45</v>
      </c>
      <c r="M1490" s="10" t="s">
        <v>49</v>
      </c>
      <c r="N1490" s="16" t="s">
        <v>45</v>
      </c>
      <c r="O1490" s="10" t="s">
        <v>320</v>
      </c>
      <c r="P1490" s="9" t="str">
        <f t="shared" si="28"/>
        <v>N/I</v>
      </c>
      <c r="Q1490" s="9" t="str">
        <f t="shared" si="29"/>
        <v>N/I</v>
      </c>
      <c r="R1490" s="9" t="str">
        <f t="shared" si="32"/>
        <v>N/I</v>
      </c>
    </row>
    <row r="1491">
      <c r="A1491" s="11" t="s">
        <v>4687</v>
      </c>
      <c r="B1491" s="11" t="s">
        <v>4742</v>
      </c>
      <c r="C1491" s="12" t="s">
        <v>3579</v>
      </c>
      <c r="D1491" s="25" t="s">
        <v>187</v>
      </c>
      <c r="E1491" s="10" t="s">
        <v>291</v>
      </c>
      <c r="F1491" s="10" t="s">
        <v>4746</v>
      </c>
      <c r="G1491" s="12" t="s">
        <v>463</v>
      </c>
      <c r="H1491" s="10" t="s">
        <v>222</v>
      </c>
      <c r="I1491" s="16" t="s">
        <v>45</v>
      </c>
      <c r="J1491" s="12" t="s">
        <v>46</v>
      </c>
      <c r="K1491" s="10" t="s">
        <v>4637</v>
      </c>
      <c r="L1491" s="16" t="s">
        <v>45</v>
      </c>
      <c r="M1491" s="10" t="s">
        <v>49</v>
      </c>
      <c r="N1491" s="16" t="s">
        <v>45</v>
      </c>
      <c r="O1491" s="10" t="s">
        <v>320</v>
      </c>
      <c r="P1491" s="9" t="str">
        <f t="shared" si="28"/>
        <v>N/I</v>
      </c>
      <c r="Q1491" s="9" t="str">
        <f t="shared" si="29"/>
        <v>N/I</v>
      </c>
      <c r="R1491" s="9" t="str">
        <f t="shared" si="32"/>
        <v>N/I</v>
      </c>
    </row>
    <row r="1492">
      <c r="A1492" s="11" t="s">
        <v>4687</v>
      </c>
      <c r="B1492" s="11" t="s">
        <v>4774</v>
      </c>
      <c r="C1492" s="12" t="s">
        <v>94</v>
      </c>
      <c r="D1492" s="36" t="s">
        <v>4775</v>
      </c>
      <c r="E1492" s="10" t="s">
        <v>291</v>
      </c>
      <c r="F1492" s="10" t="s">
        <v>4693</v>
      </c>
      <c r="G1492" s="12" t="s">
        <v>4776</v>
      </c>
      <c r="H1492" s="10" t="s">
        <v>222</v>
      </c>
      <c r="I1492" s="10" t="s">
        <v>290</v>
      </c>
      <c r="J1492" s="10" t="s">
        <v>318</v>
      </c>
      <c r="K1492" s="10" t="s">
        <v>319</v>
      </c>
      <c r="L1492" s="16" t="s">
        <v>45</v>
      </c>
      <c r="M1492" s="10" t="s">
        <v>49</v>
      </c>
      <c r="N1492" s="10" t="s">
        <v>508</v>
      </c>
      <c r="O1492" s="10" t="s">
        <v>50</v>
      </c>
      <c r="P1492" s="9" t="str">
        <f t="shared" si="28"/>
        <v>N/I</v>
      </c>
      <c r="Q1492" s="9" t="str">
        <f t="shared" si="29"/>
        <v>N/I</v>
      </c>
      <c r="R1492" s="9" t="str">
        <f t="shared" si="32"/>
        <v>N/I</v>
      </c>
    </row>
    <row r="1493">
      <c r="A1493" s="11" t="s">
        <v>4687</v>
      </c>
      <c r="B1493" s="11" t="s">
        <v>4779</v>
      </c>
      <c r="C1493" s="12" t="s">
        <v>94</v>
      </c>
      <c r="D1493" s="34" t="s">
        <v>4780</v>
      </c>
      <c r="E1493" s="10" t="s">
        <v>291</v>
      </c>
      <c r="F1493" s="10" t="s">
        <v>4699</v>
      </c>
      <c r="G1493" s="12" t="s">
        <v>4781</v>
      </c>
      <c r="H1493" s="10" t="s">
        <v>222</v>
      </c>
      <c r="I1493" s="10" t="s">
        <v>290</v>
      </c>
      <c r="J1493" s="10" t="s">
        <v>318</v>
      </c>
      <c r="K1493" s="10" t="s">
        <v>319</v>
      </c>
      <c r="L1493" s="16" t="s">
        <v>45</v>
      </c>
      <c r="M1493" s="10" t="s">
        <v>49</v>
      </c>
      <c r="N1493" s="10" t="s">
        <v>508</v>
      </c>
      <c r="O1493" s="10" t="s">
        <v>50</v>
      </c>
      <c r="P1493" s="9" t="str">
        <f t="shared" si="28"/>
        <v>N/I</v>
      </c>
      <c r="Q1493" s="9" t="str">
        <f t="shared" si="29"/>
        <v>N/I</v>
      </c>
      <c r="R1493" s="9" t="str">
        <f t="shared" si="32"/>
        <v>N/I</v>
      </c>
    </row>
    <row r="1494">
      <c r="A1494" s="11" t="s">
        <v>4687</v>
      </c>
      <c r="B1494" s="11" t="s">
        <v>4784</v>
      </c>
      <c r="C1494" s="12" t="s">
        <v>94</v>
      </c>
      <c r="D1494" s="34" t="s">
        <v>4785</v>
      </c>
      <c r="E1494" s="10" t="s">
        <v>291</v>
      </c>
      <c r="F1494" s="10" t="s">
        <v>4699</v>
      </c>
      <c r="G1494" s="12" t="s">
        <v>4786</v>
      </c>
      <c r="H1494" s="10" t="s">
        <v>222</v>
      </c>
      <c r="I1494" s="10" t="s">
        <v>290</v>
      </c>
      <c r="J1494" s="10" t="s">
        <v>318</v>
      </c>
      <c r="K1494" s="10" t="s">
        <v>319</v>
      </c>
      <c r="L1494" s="16" t="s">
        <v>45</v>
      </c>
      <c r="M1494" s="10" t="s">
        <v>49</v>
      </c>
      <c r="N1494" s="10" t="s">
        <v>508</v>
      </c>
      <c r="O1494" s="10" t="s">
        <v>50</v>
      </c>
      <c r="P1494" s="9" t="str">
        <f t="shared" si="28"/>
        <v>N/I</v>
      </c>
      <c r="Q1494" s="9" t="str">
        <f t="shared" si="29"/>
        <v>N/I</v>
      </c>
      <c r="R1494" s="9" t="str">
        <f t="shared" si="32"/>
        <v>N/I</v>
      </c>
    </row>
    <row r="1495">
      <c r="A1495" s="11" t="s">
        <v>4790</v>
      </c>
      <c r="B1495" s="32"/>
      <c r="C1495" s="12" t="s">
        <v>448</v>
      </c>
      <c r="D1495" s="36" t="s">
        <v>4791</v>
      </c>
      <c r="E1495" s="16" t="s">
        <v>45</v>
      </c>
      <c r="F1495" s="10" t="s">
        <v>4794</v>
      </c>
      <c r="G1495" s="12" t="s">
        <v>857</v>
      </c>
      <c r="H1495" s="10" t="s">
        <v>858</v>
      </c>
      <c r="I1495" s="10" t="s">
        <v>354</v>
      </c>
      <c r="J1495" s="16" t="s">
        <v>45</v>
      </c>
      <c r="K1495" s="16" t="s">
        <v>45</v>
      </c>
      <c r="L1495" s="16" t="s">
        <v>45</v>
      </c>
      <c r="M1495" s="10" t="s">
        <v>49</v>
      </c>
      <c r="N1495" s="16" t="s">
        <v>45</v>
      </c>
      <c r="O1495" s="10" t="s">
        <v>50</v>
      </c>
      <c r="P1495" s="9" t="str">
        <f t="shared" si="28"/>
        <v>N/I</v>
      </c>
      <c r="Q1495" s="9" t="str">
        <f t="shared" si="29"/>
        <v>N/I</v>
      </c>
      <c r="R1495" s="9" t="str">
        <f t="shared" si="32"/>
        <v>N/I</v>
      </c>
    </row>
    <row r="1496">
      <c r="A1496" s="11" t="s">
        <v>4796</v>
      </c>
      <c r="B1496" s="32"/>
      <c r="C1496" s="12" t="s">
        <v>94</v>
      </c>
      <c r="D1496" s="36">
        <v>150691.0</v>
      </c>
      <c r="E1496" s="16" t="s">
        <v>45</v>
      </c>
      <c r="F1496" s="10" t="s">
        <v>4800</v>
      </c>
      <c r="G1496" s="12" t="s">
        <v>4797</v>
      </c>
      <c r="H1496" s="10" t="s">
        <v>870</v>
      </c>
      <c r="I1496" s="16" t="s">
        <v>45</v>
      </c>
      <c r="J1496" s="16" t="s">
        <v>45</v>
      </c>
      <c r="K1496" s="16" t="s">
        <v>45</v>
      </c>
      <c r="L1496" s="16" t="s">
        <v>45</v>
      </c>
      <c r="M1496" s="10" t="s">
        <v>49</v>
      </c>
      <c r="N1496" s="16" t="s">
        <v>45</v>
      </c>
      <c r="O1496" s="16" t="s">
        <v>45</v>
      </c>
      <c r="P1496" s="9" t="str">
        <f t="shared" si="28"/>
        <v>N/I</v>
      </c>
      <c r="Q1496" s="9" t="str">
        <f t="shared" si="29"/>
        <v>N/I</v>
      </c>
      <c r="R1496" s="9" t="str">
        <f t="shared" si="32"/>
        <v>N/I</v>
      </c>
    </row>
    <row r="1497">
      <c r="A1497" s="11" t="s">
        <v>4796</v>
      </c>
      <c r="B1497" s="32"/>
      <c r="C1497" s="12" t="s">
        <v>94</v>
      </c>
      <c r="D1497" s="36">
        <v>150665.0</v>
      </c>
      <c r="E1497" s="16" t="s">
        <v>45</v>
      </c>
      <c r="F1497" s="10" t="s">
        <v>4800</v>
      </c>
      <c r="G1497" s="12" t="s">
        <v>3554</v>
      </c>
      <c r="H1497" s="10" t="s">
        <v>870</v>
      </c>
      <c r="I1497" s="16" t="s">
        <v>45</v>
      </c>
      <c r="J1497" s="16" t="s">
        <v>45</v>
      </c>
      <c r="K1497" s="16" t="s">
        <v>45</v>
      </c>
      <c r="L1497" s="16" t="s">
        <v>45</v>
      </c>
      <c r="M1497" s="10" t="s">
        <v>49</v>
      </c>
      <c r="N1497" s="16" t="s">
        <v>45</v>
      </c>
      <c r="O1497" s="16" t="s">
        <v>45</v>
      </c>
      <c r="P1497" s="9" t="str">
        <f t="shared" si="28"/>
        <v>N/I</v>
      </c>
      <c r="Q1497" s="9" t="str">
        <f t="shared" si="29"/>
        <v>N/I</v>
      </c>
      <c r="R1497" s="9" t="str">
        <f t="shared" si="32"/>
        <v>N/I</v>
      </c>
    </row>
    <row r="1498">
      <c r="A1498" s="11" t="s">
        <v>4796</v>
      </c>
      <c r="B1498" s="32"/>
      <c r="C1498" s="12" t="s">
        <v>94</v>
      </c>
      <c r="D1498" s="36">
        <v>150800.0</v>
      </c>
      <c r="E1498" s="16" t="s">
        <v>45</v>
      </c>
      <c r="F1498" s="10" t="s">
        <v>4800</v>
      </c>
      <c r="G1498" s="12" t="s">
        <v>869</v>
      </c>
      <c r="H1498" s="10" t="s">
        <v>870</v>
      </c>
      <c r="I1498" s="16" t="s">
        <v>45</v>
      </c>
      <c r="J1498" s="16" t="s">
        <v>45</v>
      </c>
      <c r="K1498" s="16" t="s">
        <v>45</v>
      </c>
      <c r="L1498" s="16" t="s">
        <v>45</v>
      </c>
      <c r="M1498" s="10" t="s">
        <v>49</v>
      </c>
      <c r="N1498" s="16" t="s">
        <v>45</v>
      </c>
      <c r="O1498" s="16" t="s">
        <v>45</v>
      </c>
      <c r="P1498" s="9" t="str">
        <f t="shared" si="28"/>
        <v>N/I</v>
      </c>
      <c r="Q1498" s="9" t="str">
        <f t="shared" si="29"/>
        <v>N/I</v>
      </c>
      <c r="R1498" s="9" t="str">
        <f t="shared" si="32"/>
        <v>N/I</v>
      </c>
    </row>
    <row r="1499">
      <c r="A1499" s="11" t="s">
        <v>4796</v>
      </c>
      <c r="B1499" s="32"/>
      <c r="C1499" s="12" t="s">
        <v>94</v>
      </c>
      <c r="D1499" s="36">
        <v>150661.0</v>
      </c>
      <c r="E1499" s="16" t="s">
        <v>45</v>
      </c>
      <c r="F1499" s="10" t="s">
        <v>4800</v>
      </c>
      <c r="G1499" s="12" t="s">
        <v>3568</v>
      </c>
      <c r="H1499" s="10" t="s">
        <v>870</v>
      </c>
      <c r="I1499" s="16" t="s">
        <v>45</v>
      </c>
      <c r="J1499" s="16" t="s">
        <v>45</v>
      </c>
      <c r="K1499" s="16" t="s">
        <v>45</v>
      </c>
      <c r="L1499" s="16" t="s">
        <v>45</v>
      </c>
      <c r="M1499" s="10" t="s">
        <v>49</v>
      </c>
      <c r="N1499" s="16" t="s">
        <v>45</v>
      </c>
      <c r="O1499" s="16" t="s">
        <v>45</v>
      </c>
      <c r="P1499" s="9" t="str">
        <f t="shared" si="28"/>
        <v>N/I</v>
      </c>
      <c r="Q1499" s="9" t="str">
        <f t="shared" si="29"/>
        <v>N/I</v>
      </c>
      <c r="R1499" s="9" t="str">
        <f t="shared" si="32"/>
        <v>N/I</v>
      </c>
    </row>
    <row r="1500">
      <c r="A1500" s="11" t="s">
        <v>4806</v>
      </c>
      <c r="B1500" s="11" t="s">
        <v>4807</v>
      </c>
      <c r="C1500" s="12" t="s">
        <v>94</v>
      </c>
      <c r="D1500" s="36" t="s">
        <v>4808</v>
      </c>
      <c r="E1500" s="10" t="s">
        <v>291</v>
      </c>
      <c r="F1500" s="10" t="s">
        <v>4811</v>
      </c>
      <c r="G1500" s="12" t="s">
        <v>790</v>
      </c>
      <c r="H1500" s="10" t="s">
        <v>791</v>
      </c>
      <c r="I1500" s="12" t="s">
        <v>4812</v>
      </c>
      <c r="J1500" s="10" t="s">
        <v>318</v>
      </c>
      <c r="K1500" s="10" t="s">
        <v>319</v>
      </c>
      <c r="L1500" s="16" t="s">
        <v>45</v>
      </c>
      <c r="M1500" s="10" t="s">
        <v>49</v>
      </c>
      <c r="N1500" s="16" t="s">
        <v>45</v>
      </c>
      <c r="O1500" s="10" t="s">
        <v>50</v>
      </c>
      <c r="P1500" s="9" t="str">
        <f t="shared" si="28"/>
        <v>N/I</v>
      </c>
      <c r="Q1500" s="9" t="str">
        <f t="shared" si="29"/>
        <v>N/I</v>
      </c>
      <c r="R1500" s="9" t="str">
        <f t="shared" si="32"/>
        <v>N/I</v>
      </c>
    </row>
    <row r="1501">
      <c r="A1501" s="11" t="s">
        <v>4814</v>
      </c>
      <c r="B1501" s="11" t="s">
        <v>4815</v>
      </c>
      <c r="C1501" s="12" t="s">
        <v>94</v>
      </c>
      <c r="D1501" s="16" t="s">
        <v>4816</v>
      </c>
      <c r="E1501" s="10" t="s">
        <v>291</v>
      </c>
      <c r="F1501" s="10" t="s">
        <v>4819</v>
      </c>
      <c r="G1501" s="12" t="s">
        <v>534</v>
      </c>
      <c r="H1501" s="10" t="s">
        <v>521</v>
      </c>
      <c r="I1501" s="10" t="s">
        <v>290</v>
      </c>
      <c r="J1501" s="10" t="s">
        <v>318</v>
      </c>
      <c r="K1501" s="10" t="s">
        <v>319</v>
      </c>
      <c r="L1501" s="16" t="s">
        <v>45</v>
      </c>
      <c r="M1501" s="10" t="s">
        <v>49</v>
      </c>
      <c r="N1501" s="16" t="s">
        <v>45</v>
      </c>
      <c r="O1501" s="10" t="s">
        <v>50</v>
      </c>
      <c r="P1501" s="9" t="str">
        <f t="shared" si="28"/>
        <v>N/I</v>
      </c>
      <c r="Q1501" s="9" t="str">
        <f t="shared" si="29"/>
        <v>N/I</v>
      </c>
      <c r="R1501" s="9" t="str">
        <f t="shared" si="32"/>
        <v>N/I</v>
      </c>
    </row>
    <row r="1502">
      <c r="A1502" s="11" t="s">
        <v>4814</v>
      </c>
      <c r="B1502" s="11" t="s">
        <v>4820</v>
      </c>
      <c r="C1502" s="12" t="s">
        <v>94</v>
      </c>
      <c r="D1502" s="36" t="s">
        <v>4821</v>
      </c>
      <c r="E1502" s="10" t="s">
        <v>291</v>
      </c>
      <c r="F1502" s="10" t="s">
        <v>4825</v>
      </c>
      <c r="G1502" s="12" t="s">
        <v>4822</v>
      </c>
      <c r="H1502" s="10" t="s">
        <v>521</v>
      </c>
      <c r="I1502" s="10" t="s">
        <v>290</v>
      </c>
      <c r="J1502" s="10" t="s">
        <v>318</v>
      </c>
      <c r="K1502" s="10" t="s">
        <v>319</v>
      </c>
      <c r="L1502" s="16" t="s">
        <v>45</v>
      </c>
      <c r="M1502" s="10" t="s">
        <v>49</v>
      </c>
      <c r="N1502" s="16" t="s">
        <v>45</v>
      </c>
      <c r="O1502" s="10" t="s">
        <v>50</v>
      </c>
      <c r="P1502" s="9" t="str">
        <f t="shared" si="28"/>
        <v>N/I</v>
      </c>
      <c r="Q1502" s="9" t="str">
        <f t="shared" si="29"/>
        <v>N/I</v>
      </c>
      <c r="R1502" s="9" t="str">
        <f t="shared" si="32"/>
        <v>N/I</v>
      </c>
    </row>
    <row r="1503">
      <c r="A1503" s="11" t="s">
        <v>4814</v>
      </c>
      <c r="B1503" s="11" t="s">
        <v>4826</v>
      </c>
      <c r="C1503" s="12" t="s">
        <v>94</v>
      </c>
      <c r="D1503" s="16" t="s">
        <v>4827</v>
      </c>
      <c r="E1503" s="10" t="s">
        <v>291</v>
      </c>
      <c r="F1503" s="10" t="s">
        <v>4819</v>
      </c>
      <c r="G1503" s="12" t="s">
        <v>4828</v>
      </c>
      <c r="H1503" s="10" t="s">
        <v>521</v>
      </c>
      <c r="I1503" s="10" t="s">
        <v>290</v>
      </c>
      <c r="J1503" s="10" t="s">
        <v>318</v>
      </c>
      <c r="K1503" s="10" t="s">
        <v>319</v>
      </c>
      <c r="L1503" s="16" t="s">
        <v>45</v>
      </c>
      <c r="M1503" s="10" t="s">
        <v>49</v>
      </c>
      <c r="N1503" s="16" t="s">
        <v>45</v>
      </c>
      <c r="O1503" s="10" t="s">
        <v>50</v>
      </c>
      <c r="P1503" s="9" t="str">
        <f t="shared" si="28"/>
        <v>N/I</v>
      </c>
      <c r="Q1503" s="9" t="str">
        <f t="shared" si="29"/>
        <v>N/I</v>
      </c>
      <c r="R1503" s="9" t="str">
        <f t="shared" si="32"/>
        <v>N/I</v>
      </c>
    </row>
    <row r="1504">
      <c r="A1504" s="11" t="s">
        <v>4814</v>
      </c>
      <c r="B1504" s="11" t="s">
        <v>4831</v>
      </c>
      <c r="C1504" s="12" t="s">
        <v>94</v>
      </c>
      <c r="D1504" s="16" t="s">
        <v>4832</v>
      </c>
      <c r="E1504" s="10" t="s">
        <v>291</v>
      </c>
      <c r="F1504" s="10" t="s">
        <v>4833</v>
      </c>
      <c r="G1504" s="12" t="s">
        <v>4281</v>
      </c>
      <c r="H1504" s="10" t="s">
        <v>521</v>
      </c>
      <c r="I1504" s="10" t="s">
        <v>290</v>
      </c>
      <c r="J1504" s="10" t="s">
        <v>318</v>
      </c>
      <c r="K1504" s="10" t="s">
        <v>319</v>
      </c>
      <c r="L1504" s="16" t="s">
        <v>45</v>
      </c>
      <c r="M1504" s="10" t="s">
        <v>49</v>
      </c>
      <c r="N1504" s="16" t="s">
        <v>45</v>
      </c>
      <c r="O1504" s="10" t="s">
        <v>50</v>
      </c>
      <c r="P1504" s="9" t="str">
        <f t="shared" si="28"/>
        <v>N/I</v>
      </c>
      <c r="Q1504" s="9" t="str">
        <f t="shared" si="29"/>
        <v>N/I</v>
      </c>
      <c r="R1504" s="9" t="str">
        <f t="shared" si="32"/>
        <v>N/I</v>
      </c>
    </row>
    <row r="1505">
      <c r="A1505" s="11" t="s">
        <v>4814</v>
      </c>
      <c r="B1505" s="11" t="s">
        <v>4834</v>
      </c>
      <c r="C1505" s="12" t="s">
        <v>94</v>
      </c>
      <c r="D1505" s="16" t="s">
        <v>4835</v>
      </c>
      <c r="E1505" s="10" t="s">
        <v>291</v>
      </c>
      <c r="F1505" s="10" t="s">
        <v>4839</v>
      </c>
      <c r="G1505" s="12" t="s">
        <v>4836</v>
      </c>
      <c r="H1505" s="10" t="s">
        <v>521</v>
      </c>
      <c r="I1505" s="10" t="s">
        <v>290</v>
      </c>
      <c r="J1505" s="10" t="s">
        <v>318</v>
      </c>
      <c r="K1505" s="10" t="s">
        <v>319</v>
      </c>
      <c r="L1505" s="16" t="s">
        <v>45</v>
      </c>
      <c r="M1505" s="10" t="s">
        <v>49</v>
      </c>
      <c r="N1505" s="16" t="s">
        <v>45</v>
      </c>
      <c r="O1505" s="10" t="s">
        <v>50</v>
      </c>
      <c r="P1505" s="9" t="str">
        <f t="shared" si="28"/>
        <v>N/I</v>
      </c>
      <c r="Q1505" s="9" t="str">
        <f t="shared" si="29"/>
        <v>N/I</v>
      </c>
      <c r="R1505" s="9" t="str">
        <f t="shared" si="32"/>
        <v>N/I</v>
      </c>
    </row>
    <row r="1506">
      <c r="A1506" s="11" t="s">
        <v>4814</v>
      </c>
      <c r="B1506" s="11" t="s">
        <v>4840</v>
      </c>
      <c r="C1506" s="12" t="s">
        <v>94</v>
      </c>
      <c r="D1506" s="36" t="s">
        <v>4841</v>
      </c>
      <c r="E1506" s="10" t="s">
        <v>291</v>
      </c>
      <c r="F1506" s="10" t="s">
        <v>4825</v>
      </c>
      <c r="G1506" s="12" t="s">
        <v>4324</v>
      </c>
      <c r="H1506" s="10" t="s">
        <v>521</v>
      </c>
      <c r="I1506" s="10" t="s">
        <v>290</v>
      </c>
      <c r="J1506" s="10" t="s">
        <v>318</v>
      </c>
      <c r="K1506" s="10" t="s">
        <v>319</v>
      </c>
      <c r="L1506" s="16" t="s">
        <v>45</v>
      </c>
      <c r="M1506" s="10" t="s">
        <v>49</v>
      </c>
      <c r="N1506" s="16" t="s">
        <v>45</v>
      </c>
      <c r="O1506" s="10" t="s">
        <v>50</v>
      </c>
      <c r="P1506" s="9" t="str">
        <f t="shared" si="28"/>
        <v>N/I</v>
      </c>
      <c r="Q1506" s="9" t="str">
        <f t="shared" si="29"/>
        <v>N/I</v>
      </c>
      <c r="R1506" s="9" t="str">
        <f t="shared" si="32"/>
        <v>N/I</v>
      </c>
    </row>
    <row r="1507">
      <c r="A1507" s="11" t="s">
        <v>4814</v>
      </c>
      <c r="B1507" s="11" t="s">
        <v>4844</v>
      </c>
      <c r="C1507" s="12" t="s">
        <v>94</v>
      </c>
      <c r="D1507" s="16" t="s">
        <v>4845</v>
      </c>
      <c r="E1507" s="10" t="s">
        <v>291</v>
      </c>
      <c r="F1507" s="10" t="s">
        <v>4819</v>
      </c>
      <c r="G1507" s="12" t="s">
        <v>4846</v>
      </c>
      <c r="H1507" s="10" t="s">
        <v>521</v>
      </c>
      <c r="I1507" s="10" t="s">
        <v>290</v>
      </c>
      <c r="J1507" s="10" t="s">
        <v>318</v>
      </c>
      <c r="K1507" s="10" t="s">
        <v>319</v>
      </c>
      <c r="L1507" s="16" t="s">
        <v>45</v>
      </c>
      <c r="M1507" s="10" t="s">
        <v>49</v>
      </c>
      <c r="N1507" s="16" t="s">
        <v>45</v>
      </c>
      <c r="O1507" s="10" t="s">
        <v>50</v>
      </c>
      <c r="P1507" s="9" t="str">
        <f t="shared" si="28"/>
        <v>N/I</v>
      </c>
      <c r="Q1507" s="9" t="str">
        <f t="shared" si="29"/>
        <v>N/I</v>
      </c>
      <c r="R1507" s="9" t="str">
        <f t="shared" si="32"/>
        <v>N/I</v>
      </c>
    </row>
    <row r="1508">
      <c r="A1508" s="11" t="s">
        <v>4814</v>
      </c>
      <c r="B1508" s="11" t="s">
        <v>4849</v>
      </c>
      <c r="C1508" s="12" t="s">
        <v>94</v>
      </c>
      <c r="D1508" s="16" t="s">
        <v>4850</v>
      </c>
      <c r="E1508" s="10" t="s">
        <v>291</v>
      </c>
      <c r="F1508" s="10" t="s">
        <v>4819</v>
      </c>
      <c r="G1508" s="12" t="s">
        <v>4851</v>
      </c>
      <c r="H1508" s="10" t="s">
        <v>521</v>
      </c>
      <c r="I1508" s="10" t="s">
        <v>290</v>
      </c>
      <c r="J1508" s="10" t="s">
        <v>318</v>
      </c>
      <c r="K1508" s="10" t="s">
        <v>319</v>
      </c>
      <c r="L1508" s="16" t="s">
        <v>45</v>
      </c>
      <c r="M1508" s="10" t="s">
        <v>49</v>
      </c>
      <c r="N1508" s="16" t="s">
        <v>45</v>
      </c>
      <c r="O1508" s="10" t="s">
        <v>50</v>
      </c>
      <c r="P1508" s="9" t="str">
        <f t="shared" si="28"/>
        <v>N/I</v>
      </c>
      <c r="Q1508" s="9" t="str">
        <f t="shared" si="29"/>
        <v>N/I</v>
      </c>
      <c r="R1508" s="9" t="str">
        <f t="shared" si="32"/>
        <v>N/I</v>
      </c>
    </row>
    <row r="1509">
      <c r="A1509" s="11" t="s">
        <v>4814</v>
      </c>
      <c r="B1509" s="11" t="s">
        <v>4853</v>
      </c>
      <c r="C1509" s="12" t="s">
        <v>94</v>
      </c>
      <c r="D1509" s="16" t="s">
        <v>4854</v>
      </c>
      <c r="E1509" s="10" t="s">
        <v>291</v>
      </c>
      <c r="F1509" s="10" t="s">
        <v>4819</v>
      </c>
      <c r="G1509" s="12" t="s">
        <v>4855</v>
      </c>
      <c r="H1509" s="10" t="s">
        <v>521</v>
      </c>
      <c r="I1509" s="10" t="s">
        <v>290</v>
      </c>
      <c r="J1509" s="10" t="s">
        <v>318</v>
      </c>
      <c r="K1509" s="10" t="s">
        <v>319</v>
      </c>
      <c r="L1509" s="16" t="s">
        <v>45</v>
      </c>
      <c r="M1509" s="10" t="s">
        <v>49</v>
      </c>
      <c r="N1509" s="16" t="s">
        <v>45</v>
      </c>
      <c r="O1509" s="10" t="s">
        <v>50</v>
      </c>
      <c r="P1509" s="9" t="str">
        <f t="shared" si="28"/>
        <v>N/I</v>
      </c>
      <c r="Q1509" s="9" t="str">
        <f t="shared" si="29"/>
        <v>N/I</v>
      </c>
      <c r="R1509" s="9" t="str">
        <f t="shared" si="32"/>
        <v>N/I</v>
      </c>
    </row>
    <row r="1510">
      <c r="A1510" s="11" t="s">
        <v>4814</v>
      </c>
      <c r="B1510" s="11" t="s">
        <v>4858</v>
      </c>
      <c r="C1510" s="12" t="s">
        <v>94</v>
      </c>
      <c r="D1510" s="16" t="s">
        <v>4859</v>
      </c>
      <c r="E1510" s="10" t="s">
        <v>291</v>
      </c>
      <c r="F1510" s="10" t="s">
        <v>4819</v>
      </c>
      <c r="G1510" s="12" t="s">
        <v>4860</v>
      </c>
      <c r="H1510" s="10" t="s">
        <v>521</v>
      </c>
      <c r="I1510" s="10" t="s">
        <v>290</v>
      </c>
      <c r="J1510" s="10" t="s">
        <v>318</v>
      </c>
      <c r="K1510" s="10" t="s">
        <v>319</v>
      </c>
      <c r="L1510" s="16" t="s">
        <v>45</v>
      </c>
      <c r="M1510" s="10" t="s">
        <v>49</v>
      </c>
      <c r="N1510" s="16" t="s">
        <v>45</v>
      </c>
      <c r="O1510" s="10" t="s">
        <v>50</v>
      </c>
      <c r="P1510" s="9" t="str">
        <f t="shared" si="28"/>
        <v>N/I</v>
      </c>
      <c r="Q1510" s="9" t="str">
        <f t="shared" si="29"/>
        <v>N/I</v>
      </c>
      <c r="R1510" s="9" t="str">
        <f t="shared" si="32"/>
        <v>N/I</v>
      </c>
    </row>
    <row r="1511">
      <c r="A1511" s="11" t="s">
        <v>4814</v>
      </c>
      <c r="B1511" s="11" t="s">
        <v>4863</v>
      </c>
      <c r="C1511" s="12" t="s">
        <v>94</v>
      </c>
      <c r="D1511" s="16" t="s">
        <v>4864</v>
      </c>
      <c r="E1511" s="10" t="s">
        <v>291</v>
      </c>
      <c r="F1511" s="10" t="s">
        <v>4839</v>
      </c>
      <c r="G1511" s="12" t="s">
        <v>4865</v>
      </c>
      <c r="H1511" s="10" t="s">
        <v>521</v>
      </c>
      <c r="I1511" s="10" t="s">
        <v>290</v>
      </c>
      <c r="J1511" s="10" t="s">
        <v>318</v>
      </c>
      <c r="K1511" s="10" t="s">
        <v>319</v>
      </c>
      <c r="L1511" s="16" t="s">
        <v>45</v>
      </c>
      <c r="M1511" s="10" t="s">
        <v>49</v>
      </c>
      <c r="N1511" s="16" t="s">
        <v>45</v>
      </c>
      <c r="O1511" s="10" t="s">
        <v>50</v>
      </c>
      <c r="P1511" s="9" t="str">
        <f t="shared" si="28"/>
        <v>N/I</v>
      </c>
      <c r="Q1511" s="9" t="str">
        <f t="shared" si="29"/>
        <v>N/I</v>
      </c>
      <c r="R1511" s="9" t="str">
        <f t="shared" si="32"/>
        <v>N/I</v>
      </c>
    </row>
    <row r="1512">
      <c r="A1512" s="11" t="s">
        <v>4814</v>
      </c>
      <c r="B1512" s="11" t="s">
        <v>4868</v>
      </c>
      <c r="C1512" s="12" t="s">
        <v>94</v>
      </c>
      <c r="D1512" s="16" t="s">
        <v>4869</v>
      </c>
      <c r="E1512" s="10" t="s">
        <v>291</v>
      </c>
      <c r="F1512" s="10" t="s">
        <v>4839</v>
      </c>
      <c r="G1512" s="12" t="s">
        <v>615</v>
      </c>
      <c r="H1512" s="10" t="s">
        <v>521</v>
      </c>
      <c r="I1512" s="10" t="s">
        <v>290</v>
      </c>
      <c r="J1512" s="10" t="s">
        <v>318</v>
      </c>
      <c r="K1512" s="10" t="s">
        <v>319</v>
      </c>
      <c r="L1512" s="16" t="s">
        <v>45</v>
      </c>
      <c r="M1512" s="10" t="s">
        <v>49</v>
      </c>
      <c r="N1512" s="16" t="s">
        <v>45</v>
      </c>
      <c r="O1512" s="10" t="s">
        <v>50</v>
      </c>
      <c r="P1512" s="9" t="str">
        <f t="shared" si="28"/>
        <v>N/I</v>
      </c>
      <c r="Q1512" s="9" t="str">
        <f t="shared" si="29"/>
        <v>N/I</v>
      </c>
      <c r="R1512" s="9" t="str">
        <f t="shared" si="32"/>
        <v>N/I</v>
      </c>
    </row>
    <row r="1513">
      <c r="A1513" s="11" t="s">
        <v>4814</v>
      </c>
      <c r="B1513" s="11" t="s">
        <v>4872</v>
      </c>
      <c r="C1513" s="12" t="s">
        <v>94</v>
      </c>
      <c r="D1513" s="16" t="s">
        <v>4873</v>
      </c>
      <c r="E1513" s="10" t="s">
        <v>291</v>
      </c>
      <c r="F1513" s="10" t="s">
        <v>4839</v>
      </c>
      <c r="G1513" s="12" t="s">
        <v>1345</v>
      </c>
      <c r="H1513" s="10" t="s">
        <v>521</v>
      </c>
      <c r="I1513" s="10" t="s">
        <v>290</v>
      </c>
      <c r="J1513" s="10" t="s">
        <v>318</v>
      </c>
      <c r="K1513" s="10" t="s">
        <v>319</v>
      </c>
      <c r="L1513" s="16" t="s">
        <v>45</v>
      </c>
      <c r="M1513" s="10" t="s">
        <v>49</v>
      </c>
      <c r="N1513" s="16" t="s">
        <v>45</v>
      </c>
      <c r="O1513" s="10" t="s">
        <v>50</v>
      </c>
      <c r="P1513" s="9" t="str">
        <f t="shared" si="28"/>
        <v>N/I</v>
      </c>
      <c r="Q1513" s="9" t="str">
        <f t="shared" si="29"/>
        <v>N/I</v>
      </c>
      <c r="R1513" s="9" t="str">
        <f t="shared" si="32"/>
        <v>N/I</v>
      </c>
    </row>
    <row r="1514">
      <c r="A1514" s="11" t="s">
        <v>4814</v>
      </c>
      <c r="B1514" s="11" t="s">
        <v>4872</v>
      </c>
      <c r="C1514" s="12" t="s">
        <v>94</v>
      </c>
      <c r="D1514" s="16" t="s">
        <v>4876</v>
      </c>
      <c r="E1514" s="10" t="s">
        <v>291</v>
      </c>
      <c r="F1514" s="10" t="s">
        <v>4839</v>
      </c>
      <c r="G1514" s="12" t="s">
        <v>1345</v>
      </c>
      <c r="H1514" s="10" t="s">
        <v>521</v>
      </c>
      <c r="I1514" s="10" t="s">
        <v>290</v>
      </c>
      <c r="J1514" s="10" t="s">
        <v>318</v>
      </c>
      <c r="K1514" s="10" t="s">
        <v>319</v>
      </c>
      <c r="L1514" s="16" t="s">
        <v>45</v>
      </c>
      <c r="M1514" s="10" t="s">
        <v>49</v>
      </c>
      <c r="N1514" s="16" t="s">
        <v>45</v>
      </c>
      <c r="O1514" s="10" t="s">
        <v>50</v>
      </c>
      <c r="P1514" s="9" t="str">
        <f t="shared" si="28"/>
        <v>N/I</v>
      </c>
      <c r="Q1514" s="9" t="str">
        <f t="shared" si="29"/>
        <v>N/I</v>
      </c>
      <c r="R1514" s="9" t="str">
        <f t="shared" si="32"/>
        <v>N/I</v>
      </c>
    </row>
    <row r="1515">
      <c r="A1515" s="11" t="s">
        <v>4814</v>
      </c>
      <c r="B1515" s="11" t="s">
        <v>4877</v>
      </c>
      <c r="C1515" s="12" t="s">
        <v>94</v>
      </c>
      <c r="D1515" s="16" t="s">
        <v>4878</v>
      </c>
      <c r="E1515" s="10" t="s">
        <v>291</v>
      </c>
      <c r="F1515" s="10" t="s">
        <v>4839</v>
      </c>
      <c r="G1515" s="12" t="s">
        <v>1345</v>
      </c>
      <c r="H1515" s="10" t="s">
        <v>521</v>
      </c>
      <c r="I1515" s="10" t="s">
        <v>290</v>
      </c>
      <c r="J1515" s="10" t="s">
        <v>318</v>
      </c>
      <c r="K1515" s="10" t="s">
        <v>319</v>
      </c>
      <c r="L1515" s="16" t="s">
        <v>45</v>
      </c>
      <c r="M1515" s="10" t="s">
        <v>49</v>
      </c>
      <c r="N1515" s="16" t="s">
        <v>45</v>
      </c>
      <c r="O1515" s="10" t="s">
        <v>50</v>
      </c>
      <c r="P1515" s="9" t="str">
        <f t="shared" si="28"/>
        <v>N/I</v>
      </c>
      <c r="Q1515" s="9" t="str">
        <f t="shared" si="29"/>
        <v>N/I</v>
      </c>
      <c r="R1515" s="9" t="str">
        <f t="shared" si="32"/>
        <v>N/I</v>
      </c>
    </row>
    <row r="1516">
      <c r="A1516" s="11" t="s">
        <v>4814</v>
      </c>
      <c r="B1516" s="11" t="s">
        <v>4881</v>
      </c>
      <c r="C1516" s="12" t="s">
        <v>94</v>
      </c>
      <c r="D1516" s="16" t="s">
        <v>4882</v>
      </c>
      <c r="E1516" s="10" t="s">
        <v>291</v>
      </c>
      <c r="F1516" s="10" t="s">
        <v>4839</v>
      </c>
      <c r="G1516" s="12" t="s">
        <v>1345</v>
      </c>
      <c r="H1516" s="10" t="s">
        <v>521</v>
      </c>
      <c r="I1516" s="10" t="s">
        <v>290</v>
      </c>
      <c r="J1516" s="10" t="s">
        <v>318</v>
      </c>
      <c r="K1516" s="10" t="s">
        <v>319</v>
      </c>
      <c r="L1516" s="16" t="s">
        <v>45</v>
      </c>
      <c r="M1516" s="10" t="s">
        <v>49</v>
      </c>
      <c r="N1516" s="16" t="s">
        <v>45</v>
      </c>
      <c r="O1516" s="10" t="s">
        <v>50</v>
      </c>
      <c r="P1516" s="9" t="str">
        <f t="shared" si="28"/>
        <v>N/I</v>
      </c>
      <c r="Q1516" s="9" t="str">
        <f t="shared" si="29"/>
        <v>N/I</v>
      </c>
      <c r="R1516" s="9" t="str">
        <f t="shared" si="32"/>
        <v>N/I</v>
      </c>
    </row>
    <row r="1517">
      <c r="A1517" s="11" t="s">
        <v>4814</v>
      </c>
      <c r="B1517" s="11" t="s">
        <v>4885</v>
      </c>
      <c r="C1517" s="12" t="s">
        <v>94</v>
      </c>
      <c r="D1517" s="16" t="s">
        <v>4886</v>
      </c>
      <c r="E1517" s="10" t="s">
        <v>291</v>
      </c>
      <c r="F1517" s="10" t="s">
        <v>4819</v>
      </c>
      <c r="G1517" s="12" t="s">
        <v>1345</v>
      </c>
      <c r="H1517" s="10" t="s">
        <v>521</v>
      </c>
      <c r="I1517" s="10" t="s">
        <v>290</v>
      </c>
      <c r="J1517" s="10" t="s">
        <v>318</v>
      </c>
      <c r="K1517" s="10" t="s">
        <v>319</v>
      </c>
      <c r="L1517" s="16" t="s">
        <v>45</v>
      </c>
      <c r="M1517" s="10" t="s">
        <v>49</v>
      </c>
      <c r="N1517" s="16" t="s">
        <v>45</v>
      </c>
      <c r="O1517" s="10" t="s">
        <v>50</v>
      </c>
      <c r="P1517" s="9" t="str">
        <f t="shared" si="28"/>
        <v>N/I</v>
      </c>
      <c r="Q1517" s="9" t="str">
        <f t="shared" si="29"/>
        <v>N/I</v>
      </c>
      <c r="R1517" s="9" t="str">
        <f t="shared" si="32"/>
        <v>N/I</v>
      </c>
    </row>
    <row r="1518">
      <c r="A1518" s="11" t="s">
        <v>4814</v>
      </c>
      <c r="B1518" s="11" t="s">
        <v>4889</v>
      </c>
      <c r="C1518" s="12" t="s">
        <v>94</v>
      </c>
      <c r="D1518" s="16" t="s">
        <v>4890</v>
      </c>
      <c r="E1518" s="10" t="s">
        <v>291</v>
      </c>
      <c r="F1518" s="10" t="s">
        <v>4819</v>
      </c>
      <c r="G1518" s="12" t="s">
        <v>1345</v>
      </c>
      <c r="H1518" s="10" t="s">
        <v>521</v>
      </c>
      <c r="I1518" s="10" t="s">
        <v>290</v>
      </c>
      <c r="J1518" s="10" t="s">
        <v>318</v>
      </c>
      <c r="K1518" s="10" t="s">
        <v>319</v>
      </c>
      <c r="L1518" s="16" t="s">
        <v>45</v>
      </c>
      <c r="M1518" s="10" t="s">
        <v>49</v>
      </c>
      <c r="N1518" s="16" t="s">
        <v>45</v>
      </c>
      <c r="O1518" s="10" t="s">
        <v>50</v>
      </c>
      <c r="P1518" s="9" t="str">
        <f t="shared" si="28"/>
        <v>N/I</v>
      </c>
      <c r="Q1518" s="9" t="str">
        <f t="shared" si="29"/>
        <v>N/I</v>
      </c>
      <c r="R1518" s="9" t="str">
        <f t="shared" si="32"/>
        <v>N/I</v>
      </c>
    </row>
    <row r="1519">
      <c r="A1519" s="11" t="s">
        <v>4814</v>
      </c>
      <c r="B1519" s="11" t="s">
        <v>4893</v>
      </c>
      <c r="C1519" s="12" t="s">
        <v>94</v>
      </c>
      <c r="D1519" s="16" t="s">
        <v>4894</v>
      </c>
      <c r="E1519" s="10" t="s">
        <v>291</v>
      </c>
      <c r="F1519" s="10" t="s">
        <v>4819</v>
      </c>
      <c r="G1519" s="12" t="s">
        <v>520</v>
      </c>
      <c r="H1519" s="10" t="s">
        <v>521</v>
      </c>
      <c r="I1519" s="10" t="s">
        <v>290</v>
      </c>
      <c r="J1519" s="10" t="s">
        <v>318</v>
      </c>
      <c r="K1519" s="10" t="s">
        <v>319</v>
      </c>
      <c r="L1519" s="16" t="s">
        <v>45</v>
      </c>
      <c r="M1519" s="10" t="s">
        <v>49</v>
      </c>
      <c r="N1519" s="16" t="s">
        <v>45</v>
      </c>
      <c r="O1519" s="10" t="s">
        <v>50</v>
      </c>
      <c r="P1519" s="9" t="str">
        <f t="shared" si="28"/>
        <v>N/I</v>
      </c>
      <c r="Q1519" s="9" t="str">
        <f t="shared" si="29"/>
        <v>N/I</v>
      </c>
      <c r="R1519" s="9" t="str">
        <f t="shared" si="32"/>
        <v>N/I</v>
      </c>
    </row>
    <row r="1520">
      <c r="A1520" s="11" t="s">
        <v>4814</v>
      </c>
      <c r="B1520" s="11" t="s">
        <v>4897</v>
      </c>
      <c r="C1520" s="12" t="s">
        <v>94</v>
      </c>
      <c r="D1520" s="36" t="s">
        <v>4898</v>
      </c>
      <c r="E1520" s="10" t="s">
        <v>291</v>
      </c>
      <c r="F1520" s="10" t="s">
        <v>4825</v>
      </c>
      <c r="G1520" s="12" t="s">
        <v>4899</v>
      </c>
      <c r="H1520" s="10" t="s">
        <v>521</v>
      </c>
      <c r="I1520" s="10" t="s">
        <v>290</v>
      </c>
      <c r="J1520" s="10" t="s">
        <v>318</v>
      </c>
      <c r="K1520" s="10" t="s">
        <v>319</v>
      </c>
      <c r="L1520" s="16" t="s">
        <v>45</v>
      </c>
      <c r="M1520" s="10" t="s">
        <v>49</v>
      </c>
      <c r="N1520" s="16" t="s">
        <v>45</v>
      </c>
      <c r="O1520" s="10" t="s">
        <v>50</v>
      </c>
      <c r="P1520" s="9" t="str">
        <f t="shared" si="28"/>
        <v>N/I</v>
      </c>
      <c r="Q1520" s="9" t="str">
        <f t="shared" si="29"/>
        <v>N/I</v>
      </c>
      <c r="R1520" s="9" t="str">
        <f t="shared" si="32"/>
        <v>N/I</v>
      </c>
    </row>
    <row r="1521">
      <c r="A1521" s="11" t="s">
        <v>4814</v>
      </c>
      <c r="B1521" s="11" t="s">
        <v>4902</v>
      </c>
      <c r="C1521" s="12" t="s">
        <v>94</v>
      </c>
      <c r="D1521" s="16" t="s">
        <v>4903</v>
      </c>
      <c r="E1521" s="10" t="s">
        <v>291</v>
      </c>
      <c r="F1521" s="10" t="s">
        <v>4839</v>
      </c>
      <c r="G1521" s="12" t="s">
        <v>4904</v>
      </c>
      <c r="H1521" s="10" t="s">
        <v>521</v>
      </c>
      <c r="I1521" s="10" t="s">
        <v>290</v>
      </c>
      <c r="J1521" s="10" t="s">
        <v>318</v>
      </c>
      <c r="K1521" s="10" t="s">
        <v>319</v>
      </c>
      <c r="L1521" s="16" t="s">
        <v>45</v>
      </c>
      <c r="M1521" s="10" t="s">
        <v>49</v>
      </c>
      <c r="N1521" s="16" t="s">
        <v>45</v>
      </c>
      <c r="O1521" s="10" t="s">
        <v>50</v>
      </c>
      <c r="P1521" s="9" t="str">
        <f t="shared" si="28"/>
        <v>N/I</v>
      </c>
      <c r="Q1521" s="9" t="str">
        <f t="shared" si="29"/>
        <v>N/I</v>
      </c>
      <c r="R1521" s="9" t="str">
        <f t="shared" si="32"/>
        <v>N/I</v>
      </c>
    </row>
    <row r="1522">
      <c r="A1522" s="11" t="s">
        <v>4814</v>
      </c>
      <c r="B1522" s="11" t="s">
        <v>4907</v>
      </c>
      <c r="C1522" s="12" t="s">
        <v>94</v>
      </c>
      <c r="D1522" s="36" t="s">
        <v>4908</v>
      </c>
      <c r="E1522" s="10" t="s">
        <v>291</v>
      </c>
      <c r="F1522" s="10" t="s">
        <v>4825</v>
      </c>
      <c r="G1522" s="12" t="s">
        <v>4909</v>
      </c>
      <c r="H1522" s="10" t="s">
        <v>521</v>
      </c>
      <c r="I1522" s="10" t="s">
        <v>290</v>
      </c>
      <c r="J1522" s="10" t="s">
        <v>318</v>
      </c>
      <c r="K1522" s="10" t="s">
        <v>319</v>
      </c>
      <c r="L1522" s="16" t="s">
        <v>45</v>
      </c>
      <c r="M1522" s="10" t="s">
        <v>49</v>
      </c>
      <c r="N1522" s="16" t="s">
        <v>45</v>
      </c>
      <c r="O1522" s="10" t="s">
        <v>50</v>
      </c>
      <c r="P1522" s="9" t="str">
        <f t="shared" si="28"/>
        <v>N/I</v>
      </c>
      <c r="Q1522" s="9" t="str">
        <f t="shared" si="29"/>
        <v>N/I</v>
      </c>
      <c r="R1522" s="9" t="str">
        <f t="shared" si="32"/>
        <v>N/I</v>
      </c>
    </row>
    <row r="1523">
      <c r="A1523" s="11" t="s">
        <v>4814</v>
      </c>
      <c r="B1523" s="11" t="s">
        <v>4912</v>
      </c>
      <c r="C1523" s="12" t="s">
        <v>94</v>
      </c>
      <c r="D1523" s="36" t="s">
        <v>4913</v>
      </c>
      <c r="E1523" s="10" t="s">
        <v>291</v>
      </c>
      <c r="F1523" s="10" t="s">
        <v>4825</v>
      </c>
      <c r="G1523" s="12" t="s">
        <v>4914</v>
      </c>
      <c r="H1523" s="10" t="s">
        <v>521</v>
      </c>
      <c r="I1523" s="10" t="s">
        <v>290</v>
      </c>
      <c r="J1523" s="10" t="s">
        <v>318</v>
      </c>
      <c r="K1523" s="10" t="s">
        <v>319</v>
      </c>
      <c r="L1523" s="16" t="s">
        <v>45</v>
      </c>
      <c r="M1523" s="10" t="s">
        <v>49</v>
      </c>
      <c r="N1523" s="16" t="s">
        <v>45</v>
      </c>
      <c r="O1523" s="10" t="s">
        <v>50</v>
      </c>
      <c r="P1523" s="9" t="str">
        <f t="shared" si="28"/>
        <v>N/I</v>
      </c>
      <c r="Q1523" s="9" t="str">
        <f t="shared" si="29"/>
        <v>N/I</v>
      </c>
      <c r="R1523" s="9" t="str">
        <f t="shared" si="32"/>
        <v>N/I</v>
      </c>
    </row>
    <row r="1524">
      <c r="A1524" s="11" t="s">
        <v>4814</v>
      </c>
      <c r="B1524" s="11" t="s">
        <v>4917</v>
      </c>
      <c r="C1524" s="12" t="s">
        <v>94</v>
      </c>
      <c r="D1524" s="16" t="s">
        <v>4918</v>
      </c>
      <c r="E1524" s="10" t="s">
        <v>291</v>
      </c>
      <c r="F1524" s="10" t="s">
        <v>4819</v>
      </c>
      <c r="G1524" s="12" t="s">
        <v>4377</v>
      </c>
      <c r="H1524" s="10" t="s">
        <v>521</v>
      </c>
      <c r="I1524" s="10" t="s">
        <v>290</v>
      </c>
      <c r="J1524" s="10" t="s">
        <v>318</v>
      </c>
      <c r="K1524" s="10" t="s">
        <v>319</v>
      </c>
      <c r="L1524" s="16" t="s">
        <v>45</v>
      </c>
      <c r="M1524" s="10" t="s">
        <v>49</v>
      </c>
      <c r="N1524" s="16" t="s">
        <v>45</v>
      </c>
      <c r="O1524" s="10" t="s">
        <v>50</v>
      </c>
      <c r="P1524" s="9" t="str">
        <f t="shared" si="28"/>
        <v>N/I</v>
      </c>
      <c r="Q1524" s="9" t="str">
        <f t="shared" si="29"/>
        <v>N/I</v>
      </c>
      <c r="R1524" s="9" t="str">
        <f t="shared" si="32"/>
        <v>N/I</v>
      </c>
    </row>
    <row r="1525">
      <c r="A1525" s="11" t="s">
        <v>4814</v>
      </c>
      <c r="B1525" s="11" t="s">
        <v>4921</v>
      </c>
      <c r="C1525" s="12" t="s">
        <v>94</v>
      </c>
      <c r="D1525" s="16" t="s">
        <v>4922</v>
      </c>
      <c r="E1525" s="10" t="s">
        <v>291</v>
      </c>
      <c r="F1525" s="10" t="s">
        <v>4819</v>
      </c>
      <c r="G1525" s="12" t="s">
        <v>4923</v>
      </c>
      <c r="H1525" s="10" t="s">
        <v>521</v>
      </c>
      <c r="I1525" s="10" t="s">
        <v>290</v>
      </c>
      <c r="J1525" s="10" t="s">
        <v>318</v>
      </c>
      <c r="K1525" s="10" t="s">
        <v>319</v>
      </c>
      <c r="L1525" s="16" t="s">
        <v>45</v>
      </c>
      <c r="M1525" s="10" t="s">
        <v>49</v>
      </c>
      <c r="N1525" s="16" t="s">
        <v>45</v>
      </c>
      <c r="O1525" s="10" t="s">
        <v>50</v>
      </c>
      <c r="P1525" s="9" t="str">
        <f t="shared" si="28"/>
        <v>N/I</v>
      </c>
      <c r="Q1525" s="9" t="str">
        <f t="shared" si="29"/>
        <v>N/I</v>
      </c>
      <c r="R1525" s="9" t="str">
        <f t="shared" si="32"/>
        <v>N/I</v>
      </c>
    </row>
    <row r="1526">
      <c r="A1526" s="11" t="s">
        <v>4814</v>
      </c>
      <c r="B1526" s="11" t="s">
        <v>4926</v>
      </c>
      <c r="C1526" s="12" t="s">
        <v>94</v>
      </c>
      <c r="D1526" s="16" t="s">
        <v>4927</v>
      </c>
      <c r="E1526" s="10" t="s">
        <v>291</v>
      </c>
      <c r="F1526" s="10" t="s">
        <v>4819</v>
      </c>
      <c r="G1526" s="12" t="s">
        <v>4928</v>
      </c>
      <c r="H1526" s="10" t="s">
        <v>521</v>
      </c>
      <c r="I1526" s="10" t="s">
        <v>290</v>
      </c>
      <c r="J1526" s="10" t="s">
        <v>318</v>
      </c>
      <c r="K1526" s="10" t="s">
        <v>319</v>
      </c>
      <c r="L1526" s="16" t="s">
        <v>45</v>
      </c>
      <c r="M1526" s="10" t="s">
        <v>49</v>
      </c>
      <c r="N1526" s="16" t="s">
        <v>45</v>
      </c>
      <c r="O1526" s="10" t="s">
        <v>50</v>
      </c>
      <c r="P1526" s="9" t="str">
        <f t="shared" si="28"/>
        <v>N/I</v>
      </c>
      <c r="Q1526" s="9" t="str">
        <f t="shared" si="29"/>
        <v>N/I</v>
      </c>
      <c r="R1526" s="9" t="str">
        <f t="shared" si="32"/>
        <v>N/I</v>
      </c>
    </row>
    <row r="1527">
      <c r="A1527" s="11" t="s">
        <v>4814</v>
      </c>
      <c r="B1527" s="11" t="s">
        <v>4931</v>
      </c>
      <c r="C1527" s="12" t="s">
        <v>94</v>
      </c>
      <c r="D1527" s="36" t="s">
        <v>4932</v>
      </c>
      <c r="E1527" s="10" t="s">
        <v>291</v>
      </c>
      <c r="F1527" s="10" t="s">
        <v>4825</v>
      </c>
      <c r="G1527" s="12" t="s">
        <v>4933</v>
      </c>
      <c r="H1527" s="10" t="s">
        <v>521</v>
      </c>
      <c r="I1527" s="10" t="s">
        <v>290</v>
      </c>
      <c r="J1527" s="10" t="s">
        <v>318</v>
      </c>
      <c r="K1527" s="10" t="s">
        <v>319</v>
      </c>
      <c r="L1527" s="16" t="s">
        <v>45</v>
      </c>
      <c r="M1527" s="10" t="s">
        <v>49</v>
      </c>
      <c r="N1527" s="16" t="s">
        <v>45</v>
      </c>
      <c r="O1527" s="10" t="s">
        <v>50</v>
      </c>
      <c r="P1527" s="9" t="str">
        <f t="shared" si="28"/>
        <v>N/I</v>
      </c>
      <c r="Q1527" s="9" t="str">
        <f t="shared" si="29"/>
        <v>N/I</v>
      </c>
      <c r="R1527" s="9" t="str">
        <f t="shared" si="32"/>
        <v>N/I</v>
      </c>
    </row>
    <row r="1528">
      <c r="A1528" s="11" t="s">
        <v>4937</v>
      </c>
      <c r="B1528" s="32" t="s">
        <v>4938</v>
      </c>
      <c r="C1528" s="12" t="s">
        <v>448</v>
      </c>
      <c r="D1528" s="36" t="s">
        <v>4939</v>
      </c>
      <c r="E1528" s="10" t="s">
        <v>291</v>
      </c>
      <c r="F1528" s="10" t="s">
        <v>4942</v>
      </c>
      <c r="G1528" s="12" t="s">
        <v>39</v>
      </c>
      <c r="H1528" s="10" t="s">
        <v>40</v>
      </c>
      <c r="I1528" s="10" t="s">
        <v>4943</v>
      </c>
      <c r="J1528" s="12" t="s">
        <v>46</v>
      </c>
      <c r="K1528" s="10" t="s">
        <v>227</v>
      </c>
      <c r="L1528" s="16" t="s">
        <v>45</v>
      </c>
      <c r="M1528" s="10" t="s">
        <v>49</v>
      </c>
      <c r="N1528" s="16" t="s">
        <v>45</v>
      </c>
      <c r="O1528" s="10" t="s">
        <v>50</v>
      </c>
      <c r="P1528" s="9" t="str">
        <f t="shared" si="28"/>
        <v>N/I</v>
      </c>
      <c r="Q1528" s="9" t="str">
        <f t="shared" si="29"/>
        <v>N/I</v>
      </c>
      <c r="R1528" s="9" t="str">
        <f t="shared" si="32"/>
        <v>N/I</v>
      </c>
    </row>
    <row r="1529">
      <c r="A1529" s="11" t="s">
        <v>4944</v>
      </c>
      <c r="B1529" s="59" t="s">
        <v>4945</v>
      </c>
      <c r="C1529" s="12" t="s">
        <v>94</v>
      </c>
      <c r="D1529" s="36" t="s">
        <v>4946</v>
      </c>
      <c r="E1529" s="10" t="s">
        <v>291</v>
      </c>
      <c r="F1529" s="10" t="s">
        <v>4949</v>
      </c>
      <c r="G1529" s="12" t="s">
        <v>39</v>
      </c>
      <c r="H1529" s="10" t="s">
        <v>40</v>
      </c>
      <c r="I1529" s="10" t="s">
        <v>4950</v>
      </c>
      <c r="J1529" s="10" t="s">
        <v>318</v>
      </c>
      <c r="K1529" s="10" t="s">
        <v>319</v>
      </c>
      <c r="L1529" s="16" t="s">
        <v>45</v>
      </c>
      <c r="M1529" s="10" t="s">
        <v>49</v>
      </c>
      <c r="N1529" s="16" t="s">
        <v>45</v>
      </c>
      <c r="O1529" s="10" t="s">
        <v>50</v>
      </c>
      <c r="P1529" s="9" t="str">
        <f t="shared" si="28"/>
        <v>N/I</v>
      </c>
      <c r="Q1529" s="9" t="str">
        <f t="shared" si="29"/>
        <v>N/I</v>
      </c>
      <c r="R1529" s="9" t="str">
        <f t="shared" si="32"/>
        <v>N/I</v>
      </c>
    </row>
    <row r="1530">
      <c r="A1530" s="11" t="s">
        <v>4944</v>
      </c>
      <c r="B1530" s="59" t="s">
        <v>4951</v>
      </c>
      <c r="C1530" s="12" t="s">
        <v>94</v>
      </c>
      <c r="D1530" s="36" t="s">
        <v>4952</v>
      </c>
      <c r="E1530" s="10" t="s">
        <v>291</v>
      </c>
      <c r="F1530" s="10" t="s">
        <v>4949</v>
      </c>
      <c r="G1530" s="12" t="s">
        <v>39</v>
      </c>
      <c r="H1530" s="10" t="s">
        <v>40</v>
      </c>
      <c r="I1530" s="10" t="s">
        <v>4950</v>
      </c>
      <c r="J1530" s="10" t="s">
        <v>318</v>
      </c>
      <c r="K1530" s="10" t="s">
        <v>319</v>
      </c>
      <c r="L1530" s="16" t="s">
        <v>45</v>
      </c>
      <c r="M1530" s="10" t="s">
        <v>49</v>
      </c>
      <c r="N1530" s="16" t="s">
        <v>45</v>
      </c>
      <c r="O1530" s="10" t="s">
        <v>50</v>
      </c>
      <c r="P1530" s="9" t="str">
        <f t="shared" si="28"/>
        <v>N/I</v>
      </c>
      <c r="Q1530" s="9" t="str">
        <f t="shared" si="29"/>
        <v>N/I</v>
      </c>
      <c r="R1530" s="9" t="str">
        <f t="shared" si="32"/>
        <v>N/I</v>
      </c>
    </row>
    <row r="1531">
      <c r="A1531" s="11" t="s">
        <v>4937</v>
      </c>
      <c r="B1531" s="32" t="s">
        <v>4955</v>
      </c>
      <c r="C1531" s="12" t="s">
        <v>448</v>
      </c>
      <c r="D1531" s="36" t="s">
        <v>4956</v>
      </c>
      <c r="E1531" s="10" t="s">
        <v>291</v>
      </c>
      <c r="F1531" s="10" t="s">
        <v>4942</v>
      </c>
      <c r="G1531" s="12" t="s">
        <v>4957</v>
      </c>
      <c r="H1531" s="10" t="s">
        <v>40</v>
      </c>
      <c r="I1531" s="10" t="s">
        <v>4943</v>
      </c>
      <c r="J1531" s="12" t="s">
        <v>46</v>
      </c>
      <c r="K1531" s="10" t="s">
        <v>227</v>
      </c>
      <c r="L1531" s="16" t="s">
        <v>45</v>
      </c>
      <c r="M1531" s="10" t="s">
        <v>49</v>
      </c>
      <c r="N1531" s="16" t="s">
        <v>45</v>
      </c>
      <c r="O1531" s="10" t="s">
        <v>50</v>
      </c>
      <c r="P1531" s="9" t="str">
        <f t="shared" si="28"/>
        <v>N/I</v>
      </c>
      <c r="Q1531" s="9" t="str">
        <f t="shared" si="29"/>
        <v>N/I</v>
      </c>
      <c r="R1531" s="9" t="str">
        <f t="shared" si="32"/>
        <v>N/I</v>
      </c>
    </row>
    <row r="1532">
      <c r="A1532" s="11" t="s">
        <v>4937</v>
      </c>
      <c r="B1532" s="32" t="s">
        <v>4960</v>
      </c>
      <c r="C1532" s="12" t="s">
        <v>448</v>
      </c>
      <c r="D1532" s="36" t="s">
        <v>4961</v>
      </c>
      <c r="E1532" s="10" t="s">
        <v>291</v>
      </c>
      <c r="F1532" s="10" t="s">
        <v>4942</v>
      </c>
      <c r="G1532" s="12" t="s">
        <v>4962</v>
      </c>
      <c r="H1532" s="10" t="s">
        <v>40</v>
      </c>
      <c r="I1532" s="10" t="s">
        <v>4943</v>
      </c>
      <c r="J1532" s="12" t="s">
        <v>46</v>
      </c>
      <c r="K1532" s="10" t="s">
        <v>227</v>
      </c>
      <c r="L1532" s="16" t="s">
        <v>45</v>
      </c>
      <c r="M1532" s="10" t="s">
        <v>49</v>
      </c>
      <c r="N1532" s="16" t="s">
        <v>45</v>
      </c>
      <c r="O1532" s="10" t="s">
        <v>50</v>
      </c>
      <c r="P1532" s="9" t="str">
        <f t="shared" si="28"/>
        <v>N/I</v>
      </c>
      <c r="Q1532" s="9" t="str">
        <f t="shared" si="29"/>
        <v>N/I</v>
      </c>
      <c r="R1532" s="9" t="str">
        <f t="shared" si="32"/>
        <v>N/I</v>
      </c>
    </row>
    <row r="1533">
      <c r="A1533" s="11" t="s">
        <v>4937</v>
      </c>
      <c r="B1533" s="32" t="s">
        <v>4965</v>
      </c>
      <c r="C1533" s="12" t="s">
        <v>448</v>
      </c>
      <c r="D1533" s="36" t="s">
        <v>4966</v>
      </c>
      <c r="E1533" s="16" t="s">
        <v>45</v>
      </c>
      <c r="F1533" s="10" t="s">
        <v>4968</v>
      </c>
      <c r="G1533" s="12" t="s">
        <v>4962</v>
      </c>
      <c r="H1533" s="10" t="s">
        <v>40</v>
      </c>
      <c r="I1533" s="10" t="s">
        <v>4943</v>
      </c>
      <c r="J1533" s="16" t="s">
        <v>45</v>
      </c>
      <c r="K1533" s="10" t="s">
        <v>227</v>
      </c>
      <c r="L1533" s="16" t="s">
        <v>45</v>
      </c>
      <c r="M1533" s="10" t="s">
        <v>49</v>
      </c>
      <c r="N1533" s="16" t="s">
        <v>45</v>
      </c>
      <c r="O1533" s="10" t="s">
        <v>50</v>
      </c>
      <c r="P1533" s="9" t="str">
        <f t="shared" si="28"/>
        <v>N/I</v>
      </c>
      <c r="Q1533" s="9" t="str">
        <f t="shared" si="29"/>
        <v>N/I</v>
      </c>
      <c r="R1533" s="9" t="str">
        <f t="shared" si="32"/>
        <v>N/I</v>
      </c>
    </row>
    <row r="1534">
      <c r="A1534" s="11" t="s">
        <v>4937</v>
      </c>
      <c r="B1534" s="32" t="s">
        <v>4969</v>
      </c>
      <c r="C1534" s="12" t="s">
        <v>448</v>
      </c>
      <c r="D1534" s="36" t="s">
        <v>4970</v>
      </c>
      <c r="E1534" s="10" t="s">
        <v>291</v>
      </c>
      <c r="F1534" s="10" t="s">
        <v>4942</v>
      </c>
      <c r="G1534" s="12" t="s">
        <v>4971</v>
      </c>
      <c r="H1534" s="10" t="s">
        <v>40</v>
      </c>
      <c r="I1534" s="10" t="s">
        <v>4943</v>
      </c>
      <c r="J1534" s="12" t="s">
        <v>46</v>
      </c>
      <c r="K1534" s="10" t="s">
        <v>227</v>
      </c>
      <c r="L1534" s="16" t="s">
        <v>45</v>
      </c>
      <c r="M1534" s="10" t="s">
        <v>49</v>
      </c>
      <c r="N1534" s="16" t="s">
        <v>45</v>
      </c>
      <c r="O1534" s="10" t="s">
        <v>50</v>
      </c>
      <c r="P1534" s="9" t="str">
        <f t="shared" si="28"/>
        <v>N/I</v>
      </c>
      <c r="Q1534" s="9" t="str">
        <f t="shared" si="29"/>
        <v>N/I</v>
      </c>
      <c r="R1534" s="9" t="str">
        <f t="shared" si="32"/>
        <v>N/I</v>
      </c>
    </row>
    <row r="1535">
      <c r="A1535" s="11" t="s">
        <v>4975</v>
      </c>
      <c r="B1535" s="11" t="s">
        <v>2573</v>
      </c>
      <c r="C1535" s="12" t="s">
        <v>52</v>
      </c>
      <c r="D1535" s="27" t="s">
        <v>323</v>
      </c>
      <c r="E1535" s="10" t="s">
        <v>227</v>
      </c>
      <c r="F1535" s="10" t="s">
        <v>4978</v>
      </c>
      <c r="G1535" s="12" t="s">
        <v>2575</v>
      </c>
      <c r="H1535" s="10" t="s">
        <v>197</v>
      </c>
      <c r="I1535" s="16" t="s">
        <v>45</v>
      </c>
      <c r="J1535" s="10" t="s">
        <v>318</v>
      </c>
      <c r="K1535" s="10" t="s">
        <v>319</v>
      </c>
      <c r="L1535" s="16" t="s">
        <v>45</v>
      </c>
      <c r="M1535" s="10" t="s">
        <v>49</v>
      </c>
      <c r="N1535" s="16" t="s">
        <v>45</v>
      </c>
      <c r="O1535" s="16" t="s">
        <v>45</v>
      </c>
      <c r="P1535" s="9" t="str">
        <f t="shared" si="28"/>
        <v>N/I</v>
      </c>
      <c r="Q1535" s="9" t="str">
        <f t="shared" si="29"/>
        <v>N/I</v>
      </c>
      <c r="R1535" s="9" t="str">
        <f t="shared" si="32"/>
        <v>N/I</v>
      </c>
    </row>
    <row r="1536">
      <c r="A1536" s="11" t="s">
        <v>4975</v>
      </c>
      <c r="B1536" s="32" t="s">
        <v>2573</v>
      </c>
      <c r="C1536" s="12" t="s">
        <v>52</v>
      </c>
      <c r="D1536" s="36" t="s">
        <v>4979</v>
      </c>
      <c r="E1536" s="10" t="s">
        <v>227</v>
      </c>
      <c r="F1536" s="10" t="s">
        <v>4980</v>
      </c>
      <c r="G1536" s="12" t="s">
        <v>2575</v>
      </c>
      <c r="H1536" s="10" t="s">
        <v>197</v>
      </c>
      <c r="I1536" s="16" t="s">
        <v>45</v>
      </c>
      <c r="J1536" s="10" t="s">
        <v>318</v>
      </c>
      <c r="K1536" s="10" t="s">
        <v>319</v>
      </c>
      <c r="L1536" s="16" t="s">
        <v>45</v>
      </c>
      <c r="M1536" s="10" t="s">
        <v>49</v>
      </c>
      <c r="N1536" s="16" t="s">
        <v>45</v>
      </c>
      <c r="O1536" s="16" t="s">
        <v>45</v>
      </c>
      <c r="P1536" s="9" t="str">
        <f t="shared" si="28"/>
        <v>N/I</v>
      </c>
      <c r="Q1536" s="9" t="str">
        <f t="shared" si="29"/>
        <v>N/I</v>
      </c>
      <c r="R1536" s="9" t="str">
        <f t="shared" si="32"/>
        <v>N/I</v>
      </c>
    </row>
    <row r="1537">
      <c r="A1537" s="11" t="s">
        <v>4981</v>
      </c>
      <c r="B1537" s="32" t="s">
        <v>2573</v>
      </c>
      <c r="C1537" s="12" t="s">
        <v>52</v>
      </c>
      <c r="D1537" s="27" t="s">
        <v>4982</v>
      </c>
      <c r="E1537" s="10" t="s">
        <v>227</v>
      </c>
      <c r="F1537" s="10" t="s">
        <v>4983</v>
      </c>
      <c r="G1537" s="12" t="s">
        <v>2575</v>
      </c>
      <c r="H1537" s="10" t="s">
        <v>197</v>
      </c>
      <c r="I1537" s="16" t="s">
        <v>45</v>
      </c>
      <c r="J1537" s="12" t="s">
        <v>46</v>
      </c>
      <c r="K1537" s="10" t="s">
        <v>717</v>
      </c>
      <c r="L1537" s="16" t="s">
        <v>45</v>
      </c>
      <c r="M1537" s="10" t="s">
        <v>49</v>
      </c>
      <c r="N1537" s="16" t="s">
        <v>45</v>
      </c>
      <c r="O1537" s="16" t="s">
        <v>45</v>
      </c>
      <c r="P1537" s="9" t="str">
        <f t="shared" si="28"/>
        <v>N/I</v>
      </c>
      <c r="Q1537" s="9" t="str">
        <f t="shared" si="29"/>
        <v>N/I</v>
      </c>
      <c r="R1537" s="9" t="str">
        <f t="shared" si="32"/>
        <v>N/I</v>
      </c>
    </row>
    <row r="1538">
      <c r="A1538" s="11" t="s">
        <v>4981</v>
      </c>
      <c r="B1538" s="11" t="s">
        <v>2632</v>
      </c>
      <c r="C1538" s="12" t="s">
        <v>52</v>
      </c>
      <c r="D1538" s="27" t="s">
        <v>2633</v>
      </c>
      <c r="E1538" s="10" t="s">
        <v>4986</v>
      </c>
      <c r="F1538" s="10" t="s">
        <v>4985</v>
      </c>
      <c r="G1538" s="12" t="s">
        <v>2634</v>
      </c>
      <c r="H1538" s="10" t="s">
        <v>216</v>
      </c>
      <c r="I1538" s="16" t="s">
        <v>45</v>
      </c>
      <c r="J1538" s="12" t="s">
        <v>46</v>
      </c>
      <c r="K1538" s="10" t="s">
        <v>227</v>
      </c>
      <c r="L1538" s="16" t="s">
        <v>45</v>
      </c>
      <c r="M1538" s="10" t="s">
        <v>49</v>
      </c>
      <c r="N1538" s="16" t="s">
        <v>45</v>
      </c>
      <c r="O1538" s="16" t="s">
        <v>45</v>
      </c>
      <c r="P1538" s="9" t="str">
        <f t="shared" si="28"/>
        <v>N/I</v>
      </c>
      <c r="Q1538" s="9" t="str">
        <f t="shared" si="29"/>
        <v>N/I</v>
      </c>
      <c r="R1538" s="9" t="str">
        <f t="shared" si="32"/>
        <v>N/I</v>
      </c>
    </row>
    <row r="1539">
      <c r="A1539" s="11" t="s">
        <v>4975</v>
      </c>
      <c r="B1539" s="32" t="s">
        <v>4987</v>
      </c>
      <c r="C1539" s="12" t="s">
        <v>52</v>
      </c>
      <c r="D1539" s="36" t="s">
        <v>2684</v>
      </c>
      <c r="E1539" s="10" t="s">
        <v>227</v>
      </c>
      <c r="F1539" s="10" t="s">
        <v>4980</v>
      </c>
      <c r="G1539" s="12" t="s">
        <v>2990</v>
      </c>
      <c r="H1539" s="10" t="s">
        <v>197</v>
      </c>
      <c r="I1539" s="16" t="s">
        <v>45</v>
      </c>
      <c r="J1539" s="10" t="s">
        <v>318</v>
      </c>
      <c r="K1539" s="10" t="s">
        <v>319</v>
      </c>
      <c r="L1539" s="16" t="s">
        <v>45</v>
      </c>
      <c r="M1539" s="10" t="s">
        <v>49</v>
      </c>
      <c r="N1539" s="16" t="s">
        <v>45</v>
      </c>
      <c r="O1539" s="16" t="s">
        <v>45</v>
      </c>
      <c r="P1539" s="9" t="str">
        <f t="shared" si="28"/>
        <v>N/I</v>
      </c>
      <c r="Q1539" s="9" t="str">
        <f t="shared" si="29"/>
        <v>N/I</v>
      </c>
      <c r="R1539" s="9" t="str">
        <f t="shared" si="32"/>
        <v>N/I</v>
      </c>
    </row>
    <row r="1540">
      <c r="A1540" s="11" t="s">
        <v>4991</v>
      </c>
      <c r="B1540" s="32" t="s">
        <v>4992</v>
      </c>
      <c r="C1540" s="12" t="s">
        <v>94</v>
      </c>
      <c r="D1540" s="19" t="s">
        <v>4993</v>
      </c>
      <c r="E1540" s="10" t="s">
        <v>291</v>
      </c>
      <c r="F1540" s="10" t="s">
        <v>4996</v>
      </c>
      <c r="G1540" s="12" t="s">
        <v>370</v>
      </c>
      <c r="H1540" s="10" t="s">
        <v>89</v>
      </c>
      <c r="I1540" s="16" t="s">
        <v>45</v>
      </c>
      <c r="J1540" s="10" t="s">
        <v>318</v>
      </c>
      <c r="K1540" s="10" t="s">
        <v>319</v>
      </c>
      <c r="L1540" s="16" t="s">
        <v>45</v>
      </c>
      <c r="M1540" s="10" t="s">
        <v>49</v>
      </c>
      <c r="N1540" s="10" t="s">
        <v>2423</v>
      </c>
      <c r="O1540" s="10" t="s">
        <v>320</v>
      </c>
      <c r="P1540" s="9" t="str">
        <f t="shared" si="28"/>
        <v>N/I</v>
      </c>
      <c r="Q1540" s="9" t="str">
        <f t="shared" si="29"/>
        <v>N/I</v>
      </c>
      <c r="R1540" s="9" t="str">
        <f t="shared" si="32"/>
        <v>N/I</v>
      </c>
    </row>
    <row r="1541">
      <c r="A1541" s="11" t="s">
        <v>4991</v>
      </c>
      <c r="B1541" s="32" t="s">
        <v>4992</v>
      </c>
      <c r="C1541" s="12" t="s">
        <v>94</v>
      </c>
      <c r="D1541" s="19" t="s">
        <v>4997</v>
      </c>
      <c r="E1541" s="10" t="s">
        <v>291</v>
      </c>
      <c r="F1541" s="10" t="s">
        <v>4996</v>
      </c>
      <c r="G1541" s="12" t="s">
        <v>370</v>
      </c>
      <c r="H1541" s="10" t="s">
        <v>89</v>
      </c>
      <c r="I1541" s="16" t="s">
        <v>45</v>
      </c>
      <c r="J1541" s="10" t="s">
        <v>318</v>
      </c>
      <c r="K1541" s="10" t="s">
        <v>319</v>
      </c>
      <c r="L1541" s="16" t="s">
        <v>45</v>
      </c>
      <c r="M1541" s="10" t="s">
        <v>49</v>
      </c>
      <c r="N1541" s="10" t="s">
        <v>2423</v>
      </c>
      <c r="O1541" s="10" t="s">
        <v>320</v>
      </c>
      <c r="P1541" s="9" t="str">
        <f t="shared" si="28"/>
        <v>N/I</v>
      </c>
      <c r="Q1541" s="9" t="str">
        <f t="shared" si="29"/>
        <v>N/I</v>
      </c>
      <c r="R1541" s="9" t="str">
        <f t="shared" si="32"/>
        <v>N/I</v>
      </c>
    </row>
    <row r="1542">
      <c r="A1542" s="11" t="s">
        <v>4999</v>
      </c>
      <c r="B1542" s="11" t="s">
        <v>5000</v>
      </c>
      <c r="C1542" s="12" t="s">
        <v>94</v>
      </c>
      <c r="D1542" s="13" t="s">
        <v>5001</v>
      </c>
      <c r="E1542" s="10" t="s">
        <v>291</v>
      </c>
      <c r="F1542" s="10" t="s">
        <v>5004</v>
      </c>
      <c r="G1542" s="12" t="s">
        <v>582</v>
      </c>
      <c r="H1542" s="10" t="s">
        <v>583</v>
      </c>
      <c r="I1542" s="16" t="s">
        <v>45</v>
      </c>
      <c r="J1542" s="10" t="s">
        <v>318</v>
      </c>
      <c r="K1542" s="10" t="s">
        <v>319</v>
      </c>
      <c r="L1542" s="16" t="s">
        <v>45</v>
      </c>
      <c r="M1542" s="10" t="s">
        <v>49</v>
      </c>
      <c r="N1542" s="10" t="s">
        <v>2423</v>
      </c>
      <c r="O1542" s="10" t="s">
        <v>320</v>
      </c>
      <c r="P1542" s="9" t="str">
        <f t="shared" si="28"/>
        <v>N/I</v>
      </c>
      <c r="Q1542" s="9" t="str">
        <f t="shared" si="29"/>
        <v>N/I</v>
      </c>
      <c r="R1542" s="9" t="str">
        <f t="shared" si="32"/>
        <v>N/I</v>
      </c>
    </row>
    <row r="1543">
      <c r="A1543" s="11" t="s">
        <v>4999</v>
      </c>
      <c r="B1543" s="11" t="s">
        <v>5005</v>
      </c>
      <c r="C1543" s="12" t="s">
        <v>94</v>
      </c>
      <c r="D1543" s="13" t="s">
        <v>5006</v>
      </c>
      <c r="E1543" s="10" t="s">
        <v>291</v>
      </c>
      <c r="F1543" s="10" t="s">
        <v>5004</v>
      </c>
      <c r="G1543" s="12" t="s">
        <v>643</v>
      </c>
      <c r="H1543" s="10" t="s">
        <v>583</v>
      </c>
      <c r="I1543" s="16" t="s">
        <v>45</v>
      </c>
      <c r="J1543" s="10" t="s">
        <v>318</v>
      </c>
      <c r="K1543" s="10" t="s">
        <v>319</v>
      </c>
      <c r="L1543" s="16" t="s">
        <v>45</v>
      </c>
      <c r="M1543" s="10" t="s">
        <v>49</v>
      </c>
      <c r="N1543" s="10" t="s">
        <v>2423</v>
      </c>
      <c r="O1543" s="10" t="s">
        <v>320</v>
      </c>
      <c r="P1543" s="9" t="str">
        <f t="shared" si="28"/>
        <v>N/I</v>
      </c>
      <c r="Q1543" s="9" t="str">
        <f t="shared" si="29"/>
        <v>N/I</v>
      </c>
      <c r="R1543" s="9" t="str">
        <f t="shared" si="32"/>
        <v>N/I</v>
      </c>
    </row>
    <row r="1544">
      <c r="A1544" s="11" t="s">
        <v>4999</v>
      </c>
      <c r="B1544" s="11" t="s">
        <v>5009</v>
      </c>
      <c r="C1544" s="12" t="s">
        <v>94</v>
      </c>
      <c r="D1544" s="13" t="s">
        <v>5010</v>
      </c>
      <c r="E1544" s="10" t="s">
        <v>291</v>
      </c>
      <c r="F1544" s="10" t="s">
        <v>5004</v>
      </c>
      <c r="G1544" s="12" t="s">
        <v>643</v>
      </c>
      <c r="H1544" s="10" t="s">
        <v>583</v>
      </c>
      <c r="I1544" s="16" t="s">
        <v>45</v>
      </c>
      <c r="J1544" s="10" t="s">
        <v>318</v>
      </c>
      <c r="K1544" s="10" t="s">
        <v>319</v>
      </c>
      <c r="L1544" s="10" t="s">
        <v>2423</v>
      </c>
      <c r="M1544" s="10" t="s">
        <v>49</v>
      </c>
      <c r="N1544" s="10" t="s">
        <v>2423</v>
      </c>
      <c r="O1544" s="10" t="s">
        <v>320</v>
      </c>
      <c r="P1544" s="9" t="str">
        <f t="shared" si="28"/>
        <v>N/I</v>
      </c>
      <c r="Q1544" s="9" t="str">
        <f t="shared" si="29"/>
        <v>N/I</v>
      </c>
      <c r="R1544" s="9" t="str">
        <f t="shared" si="32"/>
        <v>N/I</v>
      </c>
    </row>
    <row r="1545">
      <c r="A1545" s="11" t="s">
        <v>5013</v>
      </c>
      <c r="B1545" s="11" t="s">
        <v>5014</v>
      </c>
      <c r="C1545" s="12" t="s">
        <v>448</v>
      </c>
      <c r="D1545" s="16" t="s">
        <v>5015</v>
      </c>
      <c r="E1545" s="16" t="s">
        <v>45</v>
      </c>
      <c r="F1545" s="10" t="s">
        <v>5018</v>
      </c>
      <c r="G1545" s="12" t="s">
        <v>463</v>
      </c>
      <c r="H1545" s="10" t="s">
        <v>222</v>
      </c>
      <c r="I1545" s="10" t="s">
        <v>354</v>
      </c>
      <c r="J1545" s="16" t="s">
        <v>45</v>
      </c>
      <c r="K1545" s="16" t="s">
        <v>45</v>
      </c>
      <c r="L1545" s="16" t="s">
        <v>45</v>
      </c>
      <c r="M1545" s="10" t="s">
        <v>49</v>
      </c>
      <c r="N1545" s="16" t="s">
        <v>45</v>
      </c>
      <c r="O1545" s="16" t="s">
        <v>45</v>
      </c>
      <c r="P1545" s="9" t="str">
        <f t="shared" si="28"/>
        <v>N/I</v>
      </c>
      <c r="Q1545" s="9" t="str">
        <f t="shared" si="29"/>
        <v>N/I</v>
      </c>
      <c r="R1545" s="9" t="str">
        <f t="shared" si="32"/>
        <v>N/I</v>
      </c>
    </row>
    <row r="1546">
      <c r="A1546" s="11" t="s">
        <v>5013</v>
      </c>
      <c r="B1546" s="11" t="s">
        <v>5014</v>
      </c>
      <c r="C1546" s="12" t="s">
        <v>448</v>
      </c>
      <c r="D1546" s="16" t="s">
        <v>5019</v>
      </c>
      <c r="E1546" s="16" t="s">
        <v>45</v>
      </c>
      <c r="F1546" s="10" t="s">
        <v>5018</v>
      </c>
      <c r="G1546" s="12" t="s">
        <v>463</v>
      </c>
      <c r="H1546" s="10" t="s">
        <v>222</v>
      </c>
      <c r="I1546" s="10" t="s">
        <v>354</v>
      </c>
      <c r="J1546" s="16" t="s">
        <v>45</v>
      </c>
      <c r="K1546" s="16" t="s">
        <v>45</v>
      </c>
      <c r="L1546" s="16" t="s">
        <v>45</v>
      </c>
      <c r="M1546" s="10" t="s">
        <v>49</v>
      </c>
      <c r="N1546" s="16" t="s">
        <v>45</v>
      </c>
      <c r="O1546" s="16" t="s">
        <v>45</v>
      </c>
      <c r="P1546" s="9" t="str">
        <f t="shared" si="28"/>
        <v>N/I</v>
      </c>
      <c r="Q1546" s="9" t="str">
        <f t="shared" si="29"/>
        <v>N/I</v>
      </c>
      <c r="R1546" s="9" t="str">
        <f t="shared" si="32"/>
        <v>N/I</v>
      </c>
    </row>
    <row r="1547">
      <c r="A1547" s="11" t="s">
        <v>5013</v>
      </c>
      <c r="B1547" s="11" t="s">
        <v>5020</v>
      </c>
      <c r="C1547" s="12" t="s">
        <v>448</v>
      </c>
      <c r="D1547" s="16" t="s">
        <v>5021</v>
      </c>
      <c r="E1547" s="16" t="s">
        <v>45</v>
      </c>
      <c r="F1547" s="10" t="s">
        <v>5018</v>
      </c>
      <c r="G1547" s="12" t="s">
        <v>463</v>
      </c>
      <c r="H1547" s="10" t="s">
        <v>222</v>
      </c>
      <c r="I1547" s="10" t="s">
        <v>354</v>
      </c>
      <c r="J1547" s="16" t="s">
        <v>45</v>
      </c>
      <c r="K1547" s="16" t="s">
        <v>45</v>
      </c>
      <c r="L1547" s="16" t="s">
        <v>45</v>
      </c>
      <c r="M1547" s="10" t="s">
        <v>49</v>
      </c>
      <c r="N1547" s="16" t="s">
        <v>45</v>
      </c>
      <c r="O1547" s="16" t="s">
        <v>45</v>
      </c>
      <c r="P1547" s="9" t="str">
        <f t="shared" si="28"/>
        <v>N/I</v>
      </c>
      <c r="Q1547" s="9" t="str">
        <f t="shared" si="29"/>
        <v>N/I</v>
      </c>
      <c r="R1547" s="9" t="str">
        <f t="shared" si="32"/>
        <v>N/I</v>
      </c>
    </row>
    <row r="1548">
      <c r="A1548" s="11" t="s">
        <v>5013</v>
      </c>
      <c r="B1548" s="11" t="s">
        <v>5024</v>
      </c>
      <c r="C1548" s="12" t="s">
        <v>448</v>
      </c>
      <c r="D1548" s="16" t="s">
        <v>5025</v>
      </c>
      <c r="E1548" s="16" t="s">
        <v>45</v>
      </c>
      <c r="F1548" s="10" t="s">
        <v>5018</v>
      </c>
      <c r="G1548" s="12" t="s">
        <v>463</v>
      </c>
      <c r="H1548" s="10" t="s">
        <v>222</v>
      </c>
      <c r="I1548" s="10" t="s">
        <v>354</v>
      </c>
      <c r="J1548" s="12" t="s">
        <v>46</v>
      </c>
      <c r="K1548" s="16" t="s">
        <v>45</v>
      </c>
      <c r="L1548" s="16" t="s">
        <v>45</v>
      </c>
      <c r="M1548" s="10" t="s">
        <v>49</v>
      </c>
      <c r="N1548" s="16" t="s">
        <v>45</v>
      </c>
      <c r="O1548" s="16" t="s">
        <v>45</v>
      </c>
      <c r="P1548" s="9" t="str">
        <f t="shared" si="28"/>
        <v>N/I</v>
      </c>
      <c r="Q1548" s="9" t="str">
        <f t="shared" si="29"/>
        <v>N/I</v>
      </c>
      <c r="R1548" s="9" t="str">
        <f t="shared" si="32"/>
        <v>N/I</v>
      </c>
    </row>
    <row r="1549">
      <c r="A1549" s="11" t="s">
        <v>5028</v>
      </c>
      <c r="B1549" s="32" t="s">
        <v>5029</v>
      </c>
      <c r="C1549" s="12" t="s">
        <v>448</v>
      </c>
      <c r="D1549" s="16" t="s">
        <v>5030</v>
      </c>
      <c r="E1549" s="30" t="s">
        <v>5035</v>
      </c>
      <c r="F1549" s="10" t="s">
        <v>5034</v>
      </c>
      <c r="G1549" s="12" t="s">
        <v>5031</v>
      </c>
      <c r="H1549" s="10" t="s">
        <v>610</v>
      </c>
      <c r="I1549" s="10" t="s">
        <v>706</v>
      </c>
      <c r="J1549" s="12" t="s">
        <v>46</v>
      </c>
      <c r="K1549" s="16" t="s">
        <v>45</v>
      </c>
      <c r="L1549" s="16" t="s">
        <v>45</v>
      </c>
      <c r="M1549" s="10" t="s">
        <v>49</v>
      </c>
      <c r="N1549" s="16" t="s">
        <v>45</v>
      </c>
      <c r="O1549" s="10" t="s">
        <v>50</v>
      </c>
      <c r="P1549" s="9" t="str">
        <f t="shared" si="28"/>
        <v>N/I</v>
      </c>
      <c r="Q1549" s="9" t="str">
        <f t="shared" si="29"/>
        <v>N/I</v>
      </c>
      <c r="R1549" s="9" t="str">
        <f t="shared" si="32"/>
        <v>N/I</v>
      </c>
    </row>
    <row r="1550">
      <c r="A1550" s="11" t="s">
        <v>5028</v>
      </c>
      <c r="B1550" s="32" t="s">
        <v>5036</v>
      </c>
      <c r="C1550" s="12" t="s">
        <v>448</v>
      </c>
      <c r="D1550" s="16" t="s">
        <v>5037</v>
      </c>
      <c r="E1550" s="30" t="s">
        <v>5035</v>
      </c>
      <c r="F1550" s="10" t="s">
        <v>5034</v>
      </c>
      <c r="G1550" s="12"/>
      <c r="H1550" s="10" t="s">
        <v>247</v>
      </c>
      <c r="I1550" s="10" t="s">
        <v>706</v>
      </c>
      <c r="J1550" s="12" t="s">
        <v>46</v>
      </c>
      <c r="K1550" s="16" t="s">
        <v>45</v>
      </c>
      <c r="L1550" s="16" t="s">
        <v>45</v>
      </c>
      <c r="M1550" s="10" t="s">
        <v>49</v>
      </c>
      <c r="N1550" s="16" t="s">
        <v>45</v>
      </c>
      <c r="O1550" s="10" t="s">
        <v>50</v>
      </c>
      <c r="P1550" s="9" t="str">
        <f t="shared" si="28"/>
        <v>N/I</v>
      </c>
      <c r="Q1550" s="9" t="str">
        <f t="shared" si="29"/>
        <v>N/I</v>
      </c>
      <c r="R1550" s="9" t="str">
        <f t="shared" si="32"/>
        <v>N/I</v>
      </c>
    </row>
    <row r="1551">
      <c r="A1551" s="11" t="s">
        <v>5028</v>
      </c>
      <c r="B1551" s="32" t="s">
        <v>5036</v>
      </c>
      <c r="C1551" s="12" t="s">
        <v>448</v>
      </c>
      <c r="D1551" s="16" t="s">
        <v>5040</v>
      </c>
      <c r="E1551" s="30" t="s">
        <v>5035</v>
      </c>
      <c r="F1551" s="10" t="s">
        <v>5034</v>
      </c>
      <c r="G1551" s="12"/>
      <c r="H1551" s="10" t="s">
        <v>247</v>
      </c>
      <c r="I1551" s="10" t="s">
        <v>706</v>
      </c>
      <c r="J1551" s="12" t="s">
        <v>46</v>
      </c>
      <c r="K1551" s="16" t="s">
        <v>45</v>
      </c>
      <c r="L1551" s="16" t="s">
        <v>45</v>
      </c>
      <c r="M1551" s="10" t="s">
        <v>49</v>
      </c>
      <c r="N1551" s="16" t="s">
        <v>45</v>
      </c>
      <c r="O1551" s="10" t="s">
        <v>50</v>
      </c>
      <c r="P1551" s="9" t="str">
        <f t="shared" si="28"/>
        <v>N/I</v>
      </c>
      <c r="Q1551" s="9" t="str">
        <f t="shared" si="29"/>
        <v>N/I</v>
      </c>
      <c r="R1551" s="9" t="str">
        <f t="shared" si="32"/>
        <v>N/I</v>
      </c>
    </row>
    <row r="1552">
      <c r="A1552" s="11" t="s">
        <v>5028</v>
      </c>
      <c r="B1552" s="32" t="s">
        <v>5041</v>
      </c>
      <c r="C1552" s="12" t="s">
        <v>448</v>
      </c>
      <c r="D1552" s="16" t="s">
        <v>5042</v>
      </c>
      <c r="E1552" s="30" t="s">
        <v>5035</v>
      </c>
      <c r="F1552" s="10" t="s">
        <v>5034</v>
      </c>
      <c r="G1552" s="12"/>
      <c r="H1552" s="10" t="s">
        <v>247</v>
      </c>
      <c r="I1552" s="10" t="s">
        <v>706</v>
      </c>
      <c r="J1552" s="12" t="s">
        <v>46</v>
      </c>
      <c r="K1552" s="16" t="s">
        <v>45</v>
      </c>
      <c r="L1552" s="16" t="s">
        <v>45</v>
      </c>
      <c r="M1552" s="10" t="s">
        <v>49</v>
      </c>
      <c r="N1552" s="16" t="s">
        <v>45</v>
      </c>
      <c r="O1552" s="10" t="s">
        <v>50</v>
      </c>
      <c r="P1552" s="9" t="str">
        <f t="shared" si="28"/>
        <v>N/I</v>
      </c>
      <c r="Q1552" s="9" t="str">
        <f t="shared" si="29"/>
        <v>N/I</v>
      </c>
      <c r="R1552" s="9" t="str">
        <f t="shared" si="32"/>
        <v>N/I</v>
      </c>
    </row>
    <row r="1553">
      <c r="A1553" s="11" t="s">
        <v>5028</v>
      </c>
      <c r="B1553" s="32" t="s">
        <v>5043</v>
      </c>
      <c r="C1553" s="12" t="s">
        <v>448</v>
      </c>
      <c r="D1553" s="16" t="s">
        <v>5044</v>
      </c>
      <c r="E1553" s="30" t="s">
        <v>5035</v>
      </c>
      <c r="F1553" s="10" t="s">
        <v>5034</v>
      </c>
      <c r="G1553" s="12"/>
      <c r="H1553" s="10" t="s">
        <v>247</v>
      </c>
      <c r="I1553" s="10" t="s">
        <v>706</v>
      </c>
      <c r="J1553" s="12" t="s">
        <v>46</v>
      </c>
      <c r="K1553" s="16" t="s">
        <v>45</v>
      </c>
      <c r="L1553" s="16" t="s">
        <v>45</v>
      </c>
      <c r="M1553" s="10" t="s">
        <v>49</v>
      </c>
      <c r="N1553" s="16" t="s">
        <v>45</v>
      </c>
      <c r="O1553" s="10" t="s">
        <v>50</v>
      </c>
      <c r="P1553" s="9" t="str">
        <f t="shared" si="28"/>
        <v>N/I</v>
      </c>
      <c r="Q1553" s="9" t="str">
        <f t="shared" si="29"/>
        <v>N/I</v>
      </c>
      <c r="R1553" s="9" t="str">
        <f t="shared" si="32"/>
        <v>N/I</v>
      </c>
    </row>
    <row r="1554">
      <c r="A1554" s="11" t="s">
        <v>5028</v>
      </c>
      <c r="B1554" s="32" t="s">
        <v>5041</v>
      </c>
      <c r="C1554" s="12" t="s">
        <v>448</v>
      </c>
      <c r="D1554" s="16" t="s">
        <v>5047</v>
      </c>
      <c r="E1554" s="30" t="s">
        <v>5035</v>
      </c>
      <c r="F1554" s="10" t="s">
        <v>5034</v>
      </c>
      <c r="G1554" s="12"/>
      <c r="H1554" s="10" t="s">
        <v>247</v>
      </c>
      <c r="I1554" s="10" t="s">
        <v>706</v>
      </c>
      <c r="J1554" s="12" t="s">
        <v>46</v>
      </c>
      <c r="K1554" s="16" t="s">
        <v>45</v>
      </c>
      <c r="L1554" s="16" t="s">
        <v>45</v>
      </c>
      <c r="M1554" s="10" t="s">
        <v>49</v>
      </c>
      <c r="N1554" s="16" t="s">
        <v>45</v>
      </c>
      <c r="O1554" s="10" t="s">
        <v>50</v>
      </c>
      <c r="P1554" s="9" t="str">
        <f t="shared" si="28"/>
        <v>N/I</v>
      </c>
      <c r="Q1554" s="9" t="str">
        <f t="shared" si="29"/>
        <v>N/I</v>
      </c>
      <c r="R1554" s="9" t="str">
        <f t="shared" si="32"/>
        <v>N/I</v>
      </c>
    </row>
    <row r="1555">
      <c r="A1555" s="11" t="s">
        <v>5028</v>
      </c>
      <c r="B1555" s="32" t="s">
        <v>5050</v>
      </c>
      <c r="C1555" s="12" t="s">
        <v>448</v>
      </c>
      <c r="D1555" s="16" t="s">
        <v>5051</v>
      </c>
      <c r="E1555" s="30" t="s">
        <v>5035</v>
      </c>
      <c r="F1555" s="10" t="s">
        <v>5034</v>
      </c>
      <c r="G1555" s="12"/>
      <c r="H1555" s="10" t="s">
        <v>247</v>
      </c>
      <c r="I1555" s="10" t="s">
        <v>706</v>
      </c>
      <c r="J1555" s="12" t="s">
        <v>46</v>
      </c>
      <c r="K1555" s="16" t="s">
        <v>45</v>
      </c>
      <c r="L1555" s="16" t="s">
        <v>45</v>
      </c>
      <c r="M1555" s="10" t="s">
        <v>49</v>
      </c>
      <c r="N1555" s="16" t="s">
        <v>45</v>
      </c>
      <c r="O1555" s="10" t="s">
        <v>50</v>
      </c>
      <c r="P1555" s="9" t="str">
        <f t="shared" si="28"/>
        <v>N/I</v>
      </c>
      <c r="Q1555" s="9" t="str">
        <f t="shared" si="29"/>
        <v>N/I</v>
      </c>
      <c r="R1555" s="9" t="str">
        <f t="shared" si="32"/>
        <v>N/I</v>
      </c>
    </row>
    <row r="1556">
      <c r="A1556" s="11" t="s">
        <v>5028</v>
      </c>
      <c r="B1556" s="32" t="s">
        <v>5054</v>
      </c>
      <c r="C1556" s="12" t="s">
        <v>448</v>
      </c>
      <c r="D1556" s="62" t="s">
        <v>187</v>
      </c>
      <c r="E1556" s="30" t="s">
        <v>5035</v>
      </c>
      <c r="F1556" s="10" t="s">
        <v>5034</v>
      </c>
      <c r="G1556" s="12"/>
      <c r="H1556" s="10" t="s">
        <v>247</v>
      </c>
      <c r="I1556" s="10" t="s">
        <v>706</v>
      </c>
      <c r="J1556" s="12" t="s">
        <v>46</v>
      </c>
      <c r="K1556" s="16" t="s">
        <v>45</v>
      </c>
      <c r="L1556" s="16" t="s">
        <v>45</v>
      </c>
      <c r="M1556" s="10" t="s">
        <v>49</v>
      </c>
      <c r="N1556" s="16" t="s">
        <v>45</v>
      </c>
      <c r="O1556" s="10" t="s">
        <v>50</v>
      </c>
      <c r="P1556" s="9" t="str">
        <f t="shared" si="28"/>
        <v>N/I</v>
      </c>
      <c r="Q1556" s="9" t="str">
        <f t="shared" si="29"/>
        <v>N/I</v>
      </c>
      <c r="R1556" s="9" t="str">
        <f t="shared" si="32"/>
        <v>N/I</v>
      </c>
    </row>
    <row r="1557">
      <c r="A1557" s="11" t="s">
        <v>5028</v>
      </c>
      <c r="B1557" s="32" t="s">
        <v>5055</v>
      </c>
      <c r="C1557" s="12" t="s">
        <v>448</v>
      </c>
      <c r="D1557" s="62" t="s">
        <v>187</v>
      </c>
      <c r="E1557" s="30" t="s">
        <v>5035</v>
      </c>
      <c r="F1557" s="10" t="s">
        <v>5034</v>
      </c>
      <c r="G1557" s="12"/>
      <c r="H1557" s="10" t="s">
        <v>247</v>
      </c>
      <c r="I1557" s="10" t="s">
        <v>706</v>
      </c>
      <c r="J1557" s="12" t="s">
        <v>46</v>
      </c>
      <c r="K1557" s="16" t="s">
        <v>45</v>
      </c>
      <c r="L1557" s="16" t="s">
        <v>45</v>
      </c>
      <c r="M1557" s="10" t="s">
        <v>49</v>
      </c>
      <c r="N1557" s="16" t="s">
        <v>45</v>
      </c>
      <c r="O1557" s="10" t="s">
        <v>50</v>
      </c>
      <c r="P1557" s="9" t="str">
        <f t="shared" si="28"/>
        <v>N/I</v>
      </c>
      <c r="Q1557" s="9" t="str">
        <f t="shared" si="29"/>
        <v>N/I</v>
      </c>
      <c r="R1557" s="9" t="str">
        <f t="shared" si="32"/>
        <v>N/I</v>
      </c>
    </row>
    <row r="1558">
      <c r="A1558" s="11" t="s">
        <v>5028</v>
      </c>
      <c r="B1558" s="32" t="s">
        <v>5056</v>
      </c>
      <c r="C1558" s="12" t="s">
        <v>448</v>
      </c>
      <c r="D1558" s="62" t="s">
        <v>187</v>
      </c>
      <c r="E1558" s="30" t="s">
        <v>5035</v>
      </c>
      <c r="F1558" s="10" t="s">
        <v>5034</v>
      </c>
      <c r="G1558" s="12"/>
      <c r="H1558" s="10" t="s">
        <v>247</v>
      </c>
      <c r="I1558" s="10" t="s">
        <v>706</v>
      </c>
      <c r="J1558" s="12" t="s">
        <v>46</v>
      </c>
      <c r="K1558" s="16" t="s">
        <v>45</v>
      </c>
      <c r="L1558" s="16" t="s">
        <v>45</v>
      </c>
      <c r="M1558" s="10" t="s">
        <v>49</v>
      </c>
      <c r="N1558" s="16" t="s">
        <v>45</v>
      </c>
      <c r="O1558" s="10" t="s">
        <v>50</v>
      </c>
      <c r="P1558" s="9" t="str">
        <f t="shared" si="28"/>
        <v>N/I</v>
      </c>
      <c r="Q1558" s="9" t="str">
        <f t="shared" si="29"/>
        <v>N/I</v>
      </c>
      <c r="R1558" s="9" t="str">
        <f t="shared" si="32"/>
        <v>N/I</v>
      </c>
    </row>
    <row r="1559">
      <c r="A1559" s="11" t="s">
        <v>5028</v>
      </c>
      <c r="B1559" s="32" t="s">
        <v>5057</v>
      </c>
      <c r="C1559" s="12" t="s">
        <v>448</v>
      </c>
      <c r="D1559" s="62" t="s">
        <v>187</v>
      </c>
      <c r="E1559" s="30" t="s">
        <v>5035</v>
      </c>
      <c r="F1559" s="10" t="s">
        <v>5034</v>
      </c>
      <c r="G1559" s="12"/>
      <c r="H1559" s="10" t="s">
        <v>247</v>
      </c>
      <c r="I1559" s="10" t="s">
        <v>706</v>
      </c>
      <c r="J1559" s="12" t="s">
        <v>46</v>
      </c>
      <c r="K1559" s="16" t="s">
        <v>45</v>
      </c>
      <c r="L1559" s="16" t="s">
        <v>45</v>
      </c>
      <c r="M1559" s="10" t="s">
        <v>49</v>
      </c>
      <c r="N1559" s="16" t="s">
        <v>45</v>
      </c>
      <c r="O1559" s="10" t="s">
        <v>50</v>
      </c>
      <c r="P1559" s="9" t="str">
        <f t="shared" si="28"/>
        <v>N/I</v>
      </c>
      <c r="Q1559" s="9" t="str">
        <f t="shared" si="29"/>
        <v>N/I</v>
      </c>
      <c r="R1559" s="9" t="str">
        <f t="shared" si="32"/>
        <v>N/I</v>
      </c>
    </row>
    <row r="1560">
      <c r="A1560" s="11" t="s">
        <v>5028</v>
      </c>
      <c r="B1560" s="32" t="s">
        <v>5058</v>
      </c>
      <c r="C1560" s="12" t="s">
        <v>448</v>
      </c>
      <c r="D1560" s="62" t="s">
        <v>187</v>
      </c>
      <c r="E1560" s="30" t="s">
        <v>5035</v>
      </c>
      <c r="F1560" s="10" t="s">
        <v>5034</v>
      </c>
      <c r="G1560" s="12"/>
      <c r="H1560" s="10" t="s">
        <v>247</v>
      </c>
      <c r="I1560" s="10" t="s">
        <v>706</v>
      </c>
      <c r="J1560" s="12" t="s">
        <v>46</v>
      </c>
      <c r="K1560" s="16" t="s">
        <v>45</v>
      </c>
      <c r="L1560" s="16" t="s">
        <v>45</v>
      </c>
      <c r="M1560" s="10" t="s">
        <v>49</v>
      </c>
      <c r="N1560" s="16" t="s">
        <v>45</v>
      </c>
      <c r="O1560" s="10" t="s">
        <v>50</v>
      </c>
      <c r="P1560" s="9" t="str">
        <f t="shared" si="28"/>
        <v>N/I</v>
      </c>
      <c r="Q1560" s="9" t="str">
        <f t="shared" si="29"/>
        <v>N/I</v>
      </c>
      <c r="R1560" s="9" t="str">
        <f t="shared" si="32"/>
        <v>N/I</v>
      </c>
    </row>
    <row r="1561">
      <c r="A1561" s="11" t="s">
        <v>5060</v>
      </c>
      <c r="B1561" s="32" t="s">
        <v>5061</v>
      </c>
      <c r="C1561" s="12" t="s">
        <v>94</v>
      </c>
      <c r="D1561" s="34" t="s">
        <v>5062</v>
      </c>
      <c r="E1561" s="10" t="s">
        <v>390</v>
      </c>
      <c r="F1561" s="10" t="s">
        <v>5065</v>
      </c>
      <c r="G1561" s="12" t="s">
        <v>332</v>
      </c>
      <c r="H1561" s="10" t="s">
        <v>197</v>
      </c>
      <c r="I1561" s="16" t="s">
        <v>45</v>
      </c>
      <c r="J1561" s="12" t="s">
        <v>46</v>
      </c>
      <c r="K1561" s="10" t="s">
        <v>226</v>
      </c>
      <c r="L1561" s="16" t="s">
        <v>45</v>
      </c>
      <c r="M1561" s="10" t="s">
        <v>49</v>
      </c>
      <c r="N1561" s="16" t="s">
        <v>45</v>
      </c>
      <c r="O1561" s="10" t="s">
        <v>320</v>
      </c>
      <c r="P1561" s="9" t="str">
        <f t="shared" si="28"/>
        <v>N/I</v>
      </c>
      <c r="Q1561" s="9" t="str">
        <f t="shared" si="29"/>
        <v>N/I</v>
      </c>
      <c r="R1561" s="9" t="str">
        <f t="shared" si="32"/>
        <v>N/I</v>
      </c>
    </row>
    <row r="1562">
      <c r="A1562" s="11" t="s">
        <v>5060</v>
      </c>
      <c r="B1562" s="32" t="s">
        <v>5061</v>
      </c>
      <c r="C1562" s="12" t="s">
        <v>94</v>
      </c>
      <c r="D1562" s="34" t="s">
        <v>5066</v>
      </c>
      <c r="E1562" s="10" t="s">
        <v>390</v>
      </c>
      <c r="F1562" s="10" t="s">
        <v>5065</v>
      </c>
      <c r="G1562" s="12" t="s">
        <v>332</v>
      </c>
      <c r="H1562" s="10" t="s">
        <v>197</v>
      </c>
      <c r="I1562" s="16" t="s">
        <v>45</v>
      </c>
      <c r="J1562" s="12" t="s">
        <v>46</v>
      </c>
      <c r="K1562" s="10" t="s">
        <v>226</v>
      </c>
      <c r="L1562" s="16" t="s">
        <v>45</v>
      </c>
      <c r="M1562" s="10" t="s">
        <v>49</v>
      </c>
      <c r="N1562" s="16" t="s">
        <v>45</v>
      </c>
      <c r="O1562" s="10" t="s">
        <v>320</v>
      </c>
      <c r="P1562" s="9" t="str">
        <f t="shared" si="28"/>
        <v>N/I</v>
      </c>
      <c r="Q1562" s="9" t="str">
        <f t="shared" si="29"/>
        <v>N/I</v>
      </c>
      <c r="R1562" s="9" t="str">
        <f t="shared" si="32"/>
        <v>N/I</v>
      </c>
    </row>
    <row r="1563">
      <c r="A1563" s="11" t="s">
        <v>5060</v>
      </c>
      <c r="B1563" s="32" t="s">
        <v>5061</v>
      </c>
      <c r="C1563" s="12" t="s">
        <v>94</v>
      </c>
      <c r="D1563" s="34" t="s">
        <v>5069</v>
      </c>
      <c r="E1563" s="10" t="s">
        <v>390</v>
      </c>
      <c r="F1563" s="10" t="s">
        <v>5065</v>
      </c>
      <c r="G1563" s="12" t="s">
        <v>332</v>
      </c>
      <c r="H1563" s="10" t="s">
        <v>197</v>
      </c>
      <c r="I1563" s="16" t="s">
        <v>45</v>
      </c>
      <c r="J1563" s="12" t="s">
        <v>46</v>
      </c>
      <c r="K1563" s="10" t="s">
        <v>226</v>
      </c>
      <c r="L1563" s="16" t="s">
        <v>45</v>
      </c>
      <c r="M1563" s="10" t="s">
        <v>49</v>
      </c>
      <c r="N1563" s="16" t="s">
        <v>45</v>
      </c>
      <c r="O1563" s="10" t="s">
        <v>320</v>
      </c>
      <c r="P1563" s="9" t="str">
        <f t="shared" si="28"/>
        <v>N/I</v>
      </c>
      <c r="Q1563" s="9" t="str">
        <f t="shared" si="29"/>
        <v>N/I</v>
      </c>
      <c r="R1563" s="9" t="str">
        <f t="shared" si="32"/>
        <v>N/I</v>
      </c>
    </row>
    <row r="1564">
      <c r="A1564" s="11" t="s">
        <v>5060</v>
      </c>
      <c r="B1564" s="32" t="s">
        <v>5072</v>
      </c>
      <c r="C1564" s="12" t="s">
        <v>94</v>
      </c>
      <c r="D1564" s="34" t="s">
        <v>5073</v>
      </c>
      <c r="E1564" s="10" t="s">
        <v>390</v>
      </c>
      <c r="F1564" s="10" t="s">
        <v>5065</v>
      </c>
      <c r="G1564" s="12" t="s">
        <v>332</v>
      </c>
      <c r="H1564" s="10" t="s">
        <v>197</v>
      </c>
      <c r="I1564" s="16" t="s">
        <v>45</v>
      </c>
      <c r="J1564" s="12" t="s">
        <v>46</v>
      </c>
      <c r="K1564" s="10" t="s">
        <v>226</v>
      </c>
      <c r="L1564" s="16" t="s">
        <v>45</v>
      </c>
      <c r="M1564" s="10" t="s">
        <v>49</v>
      </c>
      <c r="N1564" s="16" t="s">
        <v>45</v>
      </c>
      <c r="O1564" s="10" t="s">
        <v>320</v>
      </c>
      <c r="P1564" s="9" t="str">
        <f t="shared" si="28"/>
        <v>N/I</v>
      </c>
      <c r="Q1564" s="9" t="str">
        <f t="shared" si="29"/>
        <v>N/I</v>
      </c>
      <c r="R1564" s="9" t="str">
        <f t="shared" si="32"/>
        <v>N/I</v>
      </c>
    </row>
    <row r="1565">
      <c r="A1565" s="11" t="s">
        <v>5060</v>
      </c>
      <c r="B1565" s="32" t="s">
        <v>5075</v>
      </c>
      <c r="C1565" s="12" t="s">
        <v>94</v>
      </c>
      <c r="D1565" s="34" t="s">
        <v>5076</v>
      </c>
      <c r="E1565" s="10" t="s">
        <v>390</v>
      </c>
      <c r="F1565" s="10" t="s">
        <v>5065</v>
      </c>
      <c r="G1565" s="12" t="s">
        <v>2990</v>
      </c>
      <c r="H1565" s="10" t="s">
        <v>197</v>
      </c>
      <c r="I1565" s="16" t="s">
        <v>45</v>
      </c>
      <c r="J1565" s="12" t="s">
        <v>46</v>
      </c>
      <c r="K1565" s="10" t="s">
        <v>226</v>
      </c>
      <c r="L1565" s="16" t="s">
        <v>45</v>
      </c>
      <c r="M1565" s="10" t="s">
        <v>49</v>
      </c>
      <c r="N1565" s="16" t="s">
        <v>45</v>
      </c>
      <c r="O1565" s="10" t="s">
        <v>320</v>
      </c>
      <c r="P1565" s="9" t="str">
        <f t="shared" si="28"/>
        <v>N/I</v>
      </c>
      <c r="Q1565" s="9" t="str">
        <f t="shared" si="29"/>
        <v>N/I</v>
      </c>
      <c r="R1565" s="9" t="str">
        <f t="shared" si="32"/>
        <v>N/I</v>
      </c>
    </row>
    <row r="1566">
      <c r="A1566" s="11" t="s">
        <v>5080</v>
      </c>
      <c r="B1566" s="32"/>
      <c r="C1566" s="12" t="s">
        <v>448</v>
      </c>
      <c r="D1566" s="34" t="s">
        <v>5081</v>
      </c>
      <c r="E1566" s="16" t="s">
        <v>45</v>
      </c>
      <c r="F1566" s="10" t="s">
        <v>5084</v>
      </c>
      <c r="G1566" s="12" t="s">
        <v>233</v>
      </c>
      <c r="H1566" s="10" t="s">
        <v>234</v>
      </c>
      <c r="I1566" s="10" t="s">
        <v>5085</v>
      </c>
      <c r="J1566" s="16" t="s">
        <v>45</v>
      </c>
      <c r="K1566" s="10" t="s">
        <v>291</v>
      </c>
      <c r="L1566" s="16" t="s">
        <v>45</v>
      </c>
      <c r="M1566" s="16" t="s">
        <v>45</v>
      </c>
      <c r="N1566" s="16" t="s">
        <v>45</v>
      </c>
      <c r="O1566" s="10" t="s">
        <v>50</v>
      </c>
      <c r="P1566" s="9" t="str">
        <f t="shared" si="28"/>
        <v>N/I</v>
      </c>
      <c r="Q1566" s="9" t="str">
        <f t="shared" si="29"/>
        <v>N/I</v>
      </c>
      <c r="R1566" s="9" t="str">
        <f t="shared" si="32"/>
        <v>N/I</v>
      </c>
    </row>
    <row r="1567">
      <c r="A1567" s="11" t="s">
        <v>5080</v>
      </c>
      <c r="B1567" s="32"/>
      <c r="C1567" s="12" t="s">
        <v>448</v>
      </c>
      <c r="D1567" s="34" t="s">
        <v>5086</v>
      </c>
      <c r="E1567" s="16" t="s">
        <v>45</v>
      </c>
      <c r="F1567" s="10" t="s">
        <v>5084</v>
      </c>
      <c r="G1567" s="12" t="s">
        <v>233</v>
      </c>
      <c r="H1567" s="10" t="s">
        <v>234</v>
      </c>
      <c r="I1567" s="10" t="s">
        <v>5085</v>
      </c>
      <c r="J1567" s="16" t="s">
        <v>45</v>
      </c>
      <c r="K1567" s="10" t="s">
        <v>291</v>
      </c>
      <c r="L1567" s="16" t="s">
        <v>45</v>
      </c>
      <c r="M1567" s="16" t="s">
        <v>45</v>
      </c>
      <c r="N1567" s="16" t="s">
        <v>45</v>
      </c>
      <c r="O1567" s="10" t="s">
        <v>50</v>
      </c>
      <c r="P1567" s="9" t="str">
        <f t="shared" si="28"/>
        <v>N/I</v>
      </c>
      <c r="Q1567" s="9" t="str">
        <f t="shared" si="29"/>
        <v>N/I</v>
      </c>
      <c r="R1567" s="9" t="str">
        <f t="shared" si="32"/>
        <v>N/I</v>
      </c>
    </row>
    <row r="1568">
      <c r="A1568" s="11" t="s">
        <v>5080</v>
      </c>
      <c r="B1568" s="32"/>
      <c r="C1568" s="12" t="s">
        <v>448</v>
      </c>
      <c r="D1568" s="34" t="s">
        <v>5087</v>
      </c>
      <c r="E1568" s="16" t="s">
        <v>45</v>
      </c>
      <c r="F1568" s="10" t="s">
        <v>5084</v>
      </c>
      <c r="G1568" s="12" t="s">
        <v>233</v>
      </c>
      <c r="H1568" s="10" t="s">
        <v>234</v>
      </c>
      <c r="I1568" s="10" t="s">
        <v>5085</v>
      </c>
      <c r="J1568" s="16" t="s">
        <v>45</v>
      </c>
      <c r="K1568" s="10" t="s">
        <v>291</v>
      </c>
      <c r="L1568" s="16" t="s">
        <v>45</v>
      </c>
      <c r="M1568" s="16" t="s">
        <v>45</v>
      </c>
      <c r="N1568" s="16" t="s">
        <v>45</v>
      </c>
      <c r="O1568" s="10" t="s">
        <v>50</v>
      </c>
      <c r="P1568" s="9" t="str">
        <f t="shared" si="28"/>
        <v>N/I</v>
      </c>
      <c r="Q1568" s="9" t="str">
        <f t="shared" si="29"/>
        <v>N/I</v>
      </c>
      <c r="R1568" s="9" t="str">
        <f t="shared" si="32"/>
        <v>N/I</v>
      </c>
    </row>
    <row r="1569">
      <c r="A1569" s="11" t="s">
        <v>5080</v>
      </c>
      <c r="B1569" s="32"/>
      <c r="C1569" s="12" t="s">
        <v>448</v>
      </c>
      <c r="D1569" s="34" t="s">
        <v>5088</v>
      </c>
      <c r="E1569" s="16" t="s">
        <v>45</v>
      </c>
      <c r="F1569" s="10" t="s">
        <v>5084</v>
      </c>
      <c r="G1569" s="12" t="s">
        <v>233</v>
      </c>
      <c r="H1569" s="10" t="s">
        <v>234</v>
      </c>
      <c r="I1569" s="10" t="s">
        <v>5085</v>
      </c>
      <c r="J1569" s="16" t="s">
        <v>45</v>
      </c>
      <c r="K1569" s="10" t="s">
        <v>291</v>
      </c>
      <c r="L1569" s="16" t="s">
        <v>45</v>
      </c>
      <c r="M1569" s="16" t="s">
        <v>45</v>
      </c>
      <c r="N1569" s="16" t="s">
        <v>45</v>
      </c>
      <c r="O1569" s="10" t="s">
        <v>50</v>
      </c>
      <c r="P1569" s="9" t="str">
        <f t="shared" si="28"/>
        <v>N/I</v>
      </c>
      <c r="Q1569" s="9" t="str">
        <f t="shared" si="29"/>
        <v>N/I</v>
      </c>
      <c r="R1569" s="9" t="str">
        <f t="shared" si="32"/>
        <v>N/I</v>
      </c>
    </row>
    <row r="1570">
      <c r="A1570" s="11" t="s">
        <v>5090</v>
      </c>
      <c r="B1570" s="32"/>
      <c r="C1570" s="12" t="s">
        <v>448</v>
      </c>
      <c r="D1570" s="27" t="s">
        <v>5091</v>
      </c>
      <c r="E1570" s="12" t="s">
        <v>5095</v>
      </c>
      <c r="F1570" s="10" t="s">
        <v>5094</v>
      </c>
      <c r="G1570" s="12" t="s">
        <v>561</v>
      </c>
      <c r="H1570" s="10" t="s">
        <v>562</v>
      </c>
      <c r="I1570" s="10" t="s">
        <v>706</v>
      </c>
      <c r="J1570" s="10" t="s">
        <v>318</v>
      </c>
      <c r="K1570" s="10" t="s">
        <v>319</v>
      </c>
      <c r="L1570" s="10" t="s">
        <v>508</v>
      </c>
      <c r="M1570" s="10" t="s">
        <v>49</v>
      </c>
      <c r="N1570" s="16" t="s">
        <v>45</v>
      </c>
      <c r="O1570" s="16" t="s">
        <v>45</v>
      </c>
      <c r="P1570" s="9" t="str">
        <f t="shared" si="28"/>
        <v>N/I</v>
      </c>
      <c r="Q1570" s="9" t="str">
        <f t="shared" si="29"/>
        <v>N/I</v>
      </c>
      <c r="R1570" s="9" t="str">
        <f t="shared" si="32"/>
        <v>N/I</v>
      </c>
    </row>
    <row r="1571">
      <c r="A1571" s="11" t="s">
        <v>5090</v>
      </c>
      <c r="B1571" s="32"/>
      <c r="C1571" s="12" t="s">
        <v>448</v>
      </c>
      <c r="D1571" s="27" t="s">
        <v>5096</v>
      </c>
      <c r="E1571" s="12" t="s">
        <v>5095</v>
      </c>
      <c r="F1571" s="10" t="s">
        <v>5094</v>
      </c>
      <c r="G1571" s="12" t="s">
        <v>561</v>
      </c>
      <c r="H1571" s="10" t="s">
        <v>562</v>
      </c>
      <c r="I1571" s="10" t="s">
        <v>706</v>
      </c>
      <c r="J1571" s="10" t="s">
        <v>318</v>
      </c>
      <c r="K1571" s="10" t="s">
        <v>319</v>
      </c>
      <c r="L1571" s="10" t="s">
        <v>508</v>
      </c>
      <c r="M1571" s="10" t="s">
        <v>49</v>
      </c>
      <c r="N1571" s="16" t="s">
        <v>45</v>
      </c>
      <c r="O1571" s="16" t="s">
        <v>45</v>
      </c>
      <c r="P1571" s="9" t="str">
        <f t="shared" si="28"/>
        <v>N/I</v>
      </c>
      <c r="Q1571" s="9" t="str">
        <f t="shared" si="29"/>
        <v>N/I</v>
      </c>
      <c r="R1571" s="9" t="str">
        <f t="shared" si="32"/>
        <v>N/I</v>
      </c>
    </row>
    <row r="1572">
      <c r="A1572" s="11" t="s">
        <v>5090</v>
      </c>
      <c r="B1572" s="32"/>
      <c r="C1572" s="12" t="s">
        <v>448</v>
      </c>
      <c r="D1572" s="27" t="s">
        <v>5097</v>
      </c>
      <c r="E1572" s="12" t="s">
        <v>5095</v>
      </c>
      <c r="F1572" s="10" t="s">
        <v>5094</v>
      </c>
      <c r="G1572" s="12" t="s">
        <v>561</v>
      </c>
      <c r="H1572" s="10" t="s">
        <v>562</v>
      </c>
      <c r="I1572" s="10" t="s">
        <v>706</v>
      </c>
      <c r="J1572" s="10" t="s">
        <v>318</v>
      </c>
      <c r="K1572" s="10" t="s">
        <v>319</v>
      </c>
      <c r="L1572" s="10" t="s">
        <v>508</v>
      </c>
      <c r="M1572" s="10" t="s">
        <v>49</v>
      </c>
      <c r="N1572" s="16" t="s">
        <v>45</v>
      </c>
      <c r="O1572" s="16" t="s">
        <v>45</v>
      </c>
      <c r="P1572" s="9" t="str">
        <f t="shared" si="28"/>
        <v>N/I</v>
      </c>
      <c r="Q1572" s="9" t="str">
        <f t="shared" si="29"/>
        <v>N/I</v>
      </c>
      <c r="R1572" s="9" t="str">
        <f t="shared" si="32"/>
        <v>N/I</v>
      </c>
    </row>
    <row r="1573">
      <c r="A1573" s="11" t="s">
        <v>5099</v>
      </c>
      <c r="B1573" s="11" t="s">
        <v>5100</v>
      </c>
      <c r="C1573" s="12" t="s">
        <v>448</v>
      </c>
      <c r="D1573" s="16" t="s">
        <v>5101</v>
      </c>
      <c r="E1573" s="16" t="s">
        <v>45</v>
      </c>
      <c r="F1573" s="10" t="s">
        <v>5104</v>
      </c>
      <c r="G1573" s="12" t="s">
        <v>100</v>
      </c>
      <c r="H1573" s="10" t="s">
        <v>101</v>
      </c>
      <c r="I1573" s="10" t="s">
        <v>706</v>
      </c>
      <c r="J1573" s="16" t="s">
        <v>45</v>
      </c>
      <c r="K1573" s="16" t="s">
        <v>45</v>
      </c>
      <c r="L1573" s="16" t="s">
        <v>45</v>
      </c>
      <c r="M1573" s="10" t="s">
        <v>49</v>
      </c>
      <c r="N1573" s="16" t="s">
        <v>45</v>
      </c>
      <c r="O1573" s="16" t="s">
        <v>45</v>
      </c>
      <c r="P1573" s="9" t="str">
        <f t="shared" si="28"/>
        <v>N/I</v>
      </c>
      <c r="Q1573" s="9" t="str">
        <f t="shared" si="29"/>
        <v>N/I</v>
      </c>
      <c r="R1573" s="9" t="str">
        <f t="shared" si="32"/>
        <v>N/I</v>
      </c>
    </row>
    <row r="1574">
      <c r="A1574" s="11" t="s">
        <v>5099</v>
      </c>
      <c r="B1574" s="11" t="s">
        <v>5105</v>
      </c>
      <c r="C1574" s="12" t="s">
        <v>448</v>
      </c>
      <c r="D1574" s="16" t="s">
        <v>5106</v>
      </c>
      <c r="E1574" s="16" t="s">
        <v>45</v>
      </c>
      <c r="F1574" s="10" t="s">
        <v>5104</v>
      </c>
      <c r="G1574" s="12" t="s">
        <v>100</v>
      </c>
      <c r="H1574" s="10" t="s">
        <v>101</v>
      </c>
      <c r="I1574" s="10" t="s">
        <v>706</v>
      </c>
      <c r="J1574" s="16" t="s">
        <v>45</v>
      </c>
      <c r="K1574" s="16" t="s">
        <v>45</v>
      </c>
      <c r="L1574" s="16" t="s">
        <v>45</v>
      </c>
      <c r="M1574" s="10" t="s">
        <v>49</v>
      </c>
      <c r="N1574" s="16" t="s">
        <v>45</v>
      </c>
      <c r="O1574" s="16" t="s">
        <v>45</v>
      </c>
      <c r="P1574" s="9" t="str">
        <f t="shared" si="28"/>
        <v>N/I</v>
      </c>
      <c r="Q1574" s="9" t="str">
        <f t="shared" si="29"/>
        <v>N/I</v>
      </c>
      <c r="R1574" s="9" t="str">
        <f t="shared" si="32"/>
        <v>N/I</v>
      </c>
    </row>
    <row r="1575">
      <c r="A1575" s="11" t="s">
        <v>5108</v>
      </c>
      <c r="B1575" s="11" t="s">
        <v>5109</v>
      </c>
      <c r="C1575" s="12" t="s">
        <v>448</v>
      </c>
      <c r="D1575" s="27" t="s">
        <v>5110</v>
      </c>
      <c r="E1575" s="10" t="s">
        <v>291</v>
      </c>
      <c r="F1575" s="10" t="s">
        <v>5114</v>
      </c>
      <c r="G1575" s="12" t="s">
        <v>5111</v>
      </c>
      <c r="H1575" s="10" t="s">
        <v>197</v>
      </c>
      <c r="I1575" s="16" t="s">
        <v>45</v>
      </c>
      <c r="J1575" s="12" t="s">
        <v>355</v>
      </c>
      <c r="K1575" s="10" t="s">
        <v>227</v>
      </c>
      <c r="L1575" s="16" t="s">
        <v>45</v>
      </c>
      <c r="M1575" s="10" t="s">
        <v>49</v>
      </c>
      <c r="N1575" s="16" t="s">
        <v>45</v>
      </c>
      <c r="O1575" s="10" t="s">
        <v>50</v>
      </c>
      <c r="P1575" s="9" t="str">
        <f t="shared" si="28"/>
        <v>N/I</v>
      </c>
      <c r="Q1575" s="9" t="str">
        <f t="shared" si="29"/>
        <v>N/I</v>
      </c>
      <c r="R1575" s="9" t="str">
        <f t="shared" si="32"/>
        <v>N/I</v>
      </c>
    </row>
    <row r="1576">
      <c r="A1576" s="11" t="s">
        <v>5108</v>
      </c>
      <c r="B1576" s="11" t="s">
        <v>5115</v>
      </c>
      <c r="C1576" s="12" t="s">
        <v>94</v>
      </c>
      <c r="D1576" s="27" t="s">
        <v>5116</v>
      </c>
      <c r="E1576" s="10" t="s">
        <v>291</v>
      </c>
      <c r="F1576" s="10" t="s">
        <v>5114</v>
      </c>
      <c r="G1576" s="12" t="s">
        <v>5117</v>
      </c>
      <c r="H1576" s="10" t="s">
        <v>197</v>
      </c>
      <c r="I1576" s="16" t="s">
        <v>45</v>
      </c>
      <c r="J1576" s="12" t="s">
        <v>355</v>
      </c>
      <c r="K1576" s="10" t="s">
        <v>227</v>
      </c>
      <c r="L1576" s="16" t="s">
        <v>45</v>
      </c>
      <c r="M1576" s="10" t="s">
        <v>49</v>
      </c>
      <c r="N1576" s="16" t="s">
        <v>45</v>
      </c>
      <c r="O1576" s="10" t="s">
        <v>50</v>
      </c>
      <c r="P1576" s="9" t="str">
        <f t="shared" si="28"/>
        <v>N/I</v>
      </c>
      <c r="Q1576" s="9" t="str">
        <f t="shared" si="29"/>
        <v>N/I</v>
      </c>
      <c r="R1576" s="9" t="str">
        <f t="shared" si="32"/>
        <v>N/I</v>
      </c>
    </row>
    <row r="1577">
      <c r="A1577" s="11" t="s">
        <v>5108</v>
      </c>
      <c r="B1577" s="11" t="s">
        <v>5120</v>
      </c>
      <c r="C1577" s="12" t="s">
        <v>448</v>
      </c>
      <c r="D1577" s="27" t="s">
        <v>5121</v>
      </c>
      <c r="E1577" s="10" t="s">
        <v>291</v>
      </c>
      <c r="F1577" s="10" t="s">
        <v>5114</v>
      </c>
      <c r="G1577" s="12" t="s">
        <v>799</v>
      </c>
      <c r="H1577" s="10" t="s">
        <v>197</v>
      </c>
      <c r="I1577" s="16" t="s">
        <v>45</v>
      </c>
      <c r="J1577" s="12" t="s">
        <v>355</v>
      </c>
      <c r="K1577" s="10" t="s">
        <v>227</v>
      </c>
      <c r="L1577" s="16" t="s">
        <v>45</v>
      </c>
      <c r="M1577" s="10" t="s">
        <v>49</v>
      </c>
      <c r="N1577" s="16" t="s">
        <v>45</v>
      </c>
      <c r="O1577" s="10" t="s">
        <v>50</v>
      </c>
      <c r="P1577" s="9" t="str">
        <f t="shared" si="28"/>
        <v>N/I</v>
      </c>
      <c r="Q1577" s="9" t="str">
        <f t="shared" si="29"/>
        <v>N/I</v>
      </c>
      <c r="R1577" s="9" t="str">
        <f t="shared" si="32"/>
        <v>N/I</v>
      </c>
    </row>
    <row r="1578">
      <c r="A1578" s="11" t="s">
        <v>5108</v>
      </c>
      <c r="B1578" s="11" t="s">
        <v>5124</v>
      </c>
      <c r="C1578" s="12" t="s">
        <v>448</v>
      </c>
      <c r="D1578" s="27" t="s">
        <v>5125</v>
      </c>
      <c r="E1578" s="10" t="s">
        <v>291</v>
      </c>
      <c r="F1578" s="10" t="s">
        <v>5114</v>
      </c>
      <c r="G1578" s="12" t="s">
        <v>5126</v>
      </c>
      <c r="H1578" s="10" t="s">
        <v>197</v>
      </c>
      <c r="I1578" s="16" t="s">
        <v>45</v>
      </c>
      <c r="J1578" s="12" t="s">
        <v>355</v>
      </c>
      <c r="K1578" s="10" t="s">
        <v>227</v>
      </c>
      <c r="L1578" s="16" t="s">
        <v>45</v>
      </c>
      <c r="M1578" s="10" t="s">
        <v>49</v>
      </c>
      <c r="N1578" s="16" t="s">
        <v>45</v>
      </c>
      <c r="O1578" s="10" t="s">
        <v>50</v>
      </c>
      <c r="P1578" s="9" t="str">
        <f t="shared" si="28"/>
        <v>N/I</v>
      </c>
      <c r="Q1578" s="9" t="str">
        <f t="shared" si="29"/>
        <v>N/I</v>
      </c>
      <c r="R1578" s="9" t="str">
        <f t="shared" si="32"/>
        <v>N/I</v>
      </c>
    </row>
    <row r="1579">
      <c r="A1579" s="11" t="s">
        <v>5108</v>
      </c>
      <c r="B1579" s="11" t="s">
        <v>5129</v>
      </c>
      <c r="C1579" s="12" t="s">
        <v>448</v>
      </c>
      <c r="D1579" s="27" t="s">
        <v>5130</v>
      </c>
      <c r="E1579" s="10" t="s">
        <v>291</v>
      </c>
      <c r="F1579" s="10" t="s">
        <v>5114</v>
      </c>
      <c r="G1579" s="12" t="s">
        <v>2045</v>
      </c>
      <c r="H1579" s="10" t="s">
        <v>197</v>
      </c>
      <c r="I1579" s="16" t="s">
        <v>45</v>
      </c>
      <c r="J1579" s="12" t="s">
        <v>355</v>
      </c>
      <c r="K1579" s="10" t="s">
        <v>227</v>
      </c>
      <c r="L1579" s="16" t="s">
        <v>45</v>
      </c>
      <c r="M1579" s="10" t="s">
        <v>49</v>
      </c>
      <c r="N1579" s="16" t="s">
        <v>45</v>
      </c>
      <c r="O1579" s="10" t="s">
        <v>50</v>
      </c>
      <c r="P1579" s="9" t="str">
        <f t="shared" si="28"/>
        <v>N/I</v>
      </c>
      <c r="Q1579" s="9" t="str">
        <f t="shared" si="29"/>
        <v>N/I</v>
      </c>
      <c r="R1579" s="9" t="str">
        <f t="shared" si="32"/>
        <v>N/I</v>
      </c>
    </row>
    <row r="1580">
      <c r="A1580" s="11" t="s">
        <v>5134</v>
      </c>
      <c r="B1580" s="32"/>
      <c r="C1580" s="12" t="s">
        <v>448</v>
      </c>
      <c r="D1580" s="27" t="s">
        <v>5135</v>
      </c>
      <c r="E1580" s="10" t="s">
        <v>291</v>
      </c>
      <c r="F1580" s="10" t="s">
        <v>5138</v>
      </c>
      <c r="G1580" s="12" t="s">
        <v>188</v>
      </c>
      <c r="H1580" s="10" t="s">
        <v>189</v>
      </c>
      <c r="I1580" s="16" t="s">
        <v>45</v>
      </c>
      <c r="J1580" s="10" t="s">
        <v>318</v>
      </c>
      <c r="K1580" s="10" t="s">
        <v>319</v>
      </c>
      <c r="L1580" s="16" t="s">
        <v>45</v>
      </c>
      <c r="M1580" s="10" t="s">
        <v>49</v>
      </c>
      <c r="N1580" s="16" t="s">
        <v>45</v>
      </c>
      <c r="O1580" s="10" t="s">
        <v>320</v>
      </c>
      <c r="P1580" s="9" t="str">
        <f t="shared" si="28"/>
        <v>N/I</v>
      </c>
      <c r="Q1580" s="9" t="str">
        <f t="shared" si="29"/>
        <v>N/I</v>
      </c>
      <c r="R1580" s="9" t="str">
        <f t="shared" si="32"/>
        <v>N/I</v>
      </c>
    </row>
    <row r="1581">
      <c r="A1581" s="11" t="s">
        <v>5140</v>
      </c>
      <c r="B1581" s="11" t="s">
        <v>5141</v>
      </c>
      <c r="C1581" s="12" t="s">
        <v>94</v>
      </c>
      <c r="D1581" s="34" t="s">
        <v>5142</v>
      </c>
      <c r="E1581" s="10" t="s">
        <v>291</v>
      </c>
      <c r="F1581" s="10" t="s">
        <v>5145</v>
      </c>
      <c r="G1581" s="12" t="s">
        <v>4846</v>
      </c>
      <c r="H1581" s="10" t="s">
        <v>521</v>
      </c>
      <c r="I1581" s="16" t="s">
        <v>45</v>
      </c>
      <c r="J1581" s="10" t="s">
        <v>318</v>
      </c>
      <c r="K1581" s="10" t="s">
        <v>319</v>
      </c>
      <c r="L1581" s="16" t="s">
        <v>45</v>
      </c>
      <c r="M1581" s="10" t="s">
        <v>49</v>
      </c>
      <c r="N1581" s="16" t="s">
        <v>45</v>
      </c>
      <c r="O1581" s="10" t="s">
        <v>320</v>
      </c>
      <c r="P1581" s="9" t="str">
        <f t="shared" si="28"/>
        <v>N/I</v>
      </c>
      <c r="Q1581" s="9" t="str">
        <f t="shared" si="29"/>
        <v>N/I</v>
      </c>
      <c r="R1581" s="9" t="str">
        <f t="shared" si="32"/>
        <v>N/I</v>
      </c>
    </row>
    <row r="1582">
      <c r="A1582" s="11" t="s">
        <v>5140</v>
      </c>
      <c r="B1582" s="11" t="s">
        <v>5146</v>
      </c>
      <c r="C1582" s="12" t="s">
        <v>94</v>
      </c>
      <c r="D1582" s="34" t="s">
        <v>5147</v>
      </c>
      <c r="E1582" s="10" t="s">
        <v>291</v>
      </c>
      <c r="F1582" s="10" t="s">
        <v>5145</v>
      </c>
      <c r="G1582" s="12" t="s">
        <v>615</v>
      </c>
      <c r="H1582" s="10" t="s">
        <v>521</v>
      </c>
      <c r="I1582" s="16" t="s">
        <v>45</v>
      </c>
      <c r="J1582" s="10" t="s">
        <v>318</v>
      </c>
      <c r="K1582" s="10" t="s">
        <v>319</v>
      </c>
      <c r="L1582" s="16" t="s">
        <v>45</v>
      </c>
      <c r="M1582" s="10" t="s">
        <v>49</v>
      </c>
      <c r="N1582" s="16" t="s">
        <v>45</v>
      </c>
      <c r="O1582" s="10" t="s">
        <v>320</v>
      </c>
      <c r="P1582" s="9" t="str">
        <f t="shared" si="28"/>
        <v>N/I</v>
      </c>
      <c r="Q1582" s="9" t="str">
        <f t="shared" si="29"/>
        <v>N/I</v>
      </c>
      <c r="R1582" s="9" t="str">
        <f t="shared" si="32"/>
        <v>N/I</v>
      </c>
    </row>
    <row r="1583">
      <c r="A1583" s="11" t="s">
        <v>5140</v>
      </c>
      <c r="B1583" s="11" t="s">
        <v>5150</v>
      </c>
      <c r="C1583" s="12" t="s">
        <v>94</v>
      </c>
      <c r="D1583" s="34" t="s">
        <v>5151</v>
      </c>
      <c r="E1583" s="10" t="s">
        <v>291</v>
      </c>
      <c r="F1583" s="10" t="s">
        <v>5145</v>
      </c>
      <c r="G1583" s="12" t="s">
        <v>1345</v>
      </c>
      <c r="H1583" s="10" t="s">
        <v>521</v>
      </c>
      <c r="I1583" s="16" t="s">
        <v>45</v>
      </c>
      <c r="J1583" s="10" t="s">
        <v>318</v>
      </c>
      <c r="K1583" s="10" t="s">
        <v>319</v>
      </c>
      <c r="L1583" s="16" t="s">
        <v>45</v>
      </c>
      <c r="M1583" s="10" t="s">
        <v>49</v>
      </c>
      <c r="N1583" s="16" t="s">
        <v>45</v>
      </c>
      <c r="O1583" s="10" t="s">
        <v>320</v>
      </c>
      <c r="P1583" s="9" t="str">
        <f t="shared" si="28"/>
        <v>N/I</v>
      </c>
      <c r="Q1583" s="9" t="str">
        <f t="shared" si="29"/>
        <v>N/I</v>
      </c>
      <c r="R1583" s="9" t="str">
        <f t="shared" si="32"/>
        <v>N/I</v>
      </c>
    </row>
    <row r="1584">
      <c r="A1584" s="11" t="s">
        <v>5155</v>
      </c>
      <c r="B1584" s="11" t="s">
        <v>5156</v>
      </c>
      <c r="C1584" s="12" t="s">
        <v>94</v>
      </c>
      <c r="D1584" s="16">
        <v>150678.0</v>
      </c>
      <c r="E1584" s="16" t="s">
        <v>45</v>
      </c>
      <c r="F1584" s="10" t="s">
        <v>5159</v>
      </c>
      <c r="G1584" s="12" t="s">
        <v>3416</v>
      </c>
      <c r="H1584" s="10" t="s">
        <v>89</v>
      </c>
      <c r="I1584" s="10" t="s">
        <v>5160</v>
      </c>
      <c r="J1584" s="12" t="s">
        <v>46</v>
      </c>
      <c r="K1584" s="10" t="s">
        <v>227</v>
      </c>
      <c r="L1584" s="16" t="s">
        <v>45</v>
      </c>
      <c r="M1584" s="10" t="s">
        <v>49</v>
      </c>
      <c r="N1584" s="10" t="s">
        <v>508</v>
      </c>
      <c r="O1584" s="10" t="s">
        <v>320</v>
      </c>
      <c r="P1584" s="9" t="str">
        <f t="shared" si="28"/>
        <v>N/I</v>
      </c>
      <c r="Q1584" s="9" t="str">
        <f t="shared" si="29"/>
        <v>N/I</v>
      </c>
      <c r="R1584" s="9" t="str">
        <f t="shared" si="32"/>
        <v>N/I</v>
      </c>
    </row>
    <row r="1585">
      <c r="A1585" s="11" t="s">
        <v>5155</v>
      </c>
      <c r="B1585" s="11" t="s">
        <v>5161</v>
      </c>
      <c r="C1585" s="12" t="s">
        <v>94</v>
      </c>
      <c r="D1585" s="16">
        <v>150531.0</v>
      </c>
      <c r="E1585" s="16" t="s">
        <v>45</v>
      </c>
      <c r="F1585" s="10" t="s">
        <v>5159</v>
      </c>
      <c r="G1585" s="12" t="s">
        <v>5162</v>
      </c>
      <c r="H1585" s="10" t="s">
        <v>89</v>
      </c>
      <c r="I1585" s="10" t="s">
        <v>5160</v>
      </c>
      <c r="J1585" s="12" t="s">
        <v>46</v>
      </c>
      <c r="K1585" s="10" t="s">
        <v>227</v>
      </c>
      <c r="L1585" s="16" t="s">
        <v>45</v>
      </c>
      <c r="M1585" s="10" t="s">
        <v>49</v>
      </c>
      <c r="N1585" s="10" t="s">
        <v>508</v>
      </c>
      <c r="O1585" s="10" t="s">
        <v>320</v>
      </c>
      <c r="P1585" s="9" t="str">
        <f t="shared" si="28"/>
        <v>N/I</v>
      </c>
      <c r="Q1585" s="9" t="str">
        <f t="shared" si="29"/>
        <v>N/I</v>
      </c>
      <c r="R1585" s="9" t="str">
        <f t="shared" si="32"/>
        <v>N/I</v>
      </c>
    </row>
    <row r="1586">
      <c r="A1586" s="11" t="s">
        <v>5155</v>
      </c>
      <c r="B1586" s="11" t="s">
        <v>5165</v>
      </c>
      <c r="C1586" s="12" t="s">
        <v>94</v>
      </c>
      <c r="D1586" s="16">
        <v>150636.0</v>
      </c>
      <c r="E1586" s="16" t="s">
        <v>45</v>
      </c>
      <c r="F1586" s="10" t="s">
        <v>5159</v>
      </c>
      <c r="G1586" s="12" t="s">
        <v>370</v>
      </c>
      <c r="H1586" s="10" t="s">
        <v>89</v>
      </c>
      <c r="I1586" s="10" t="s">
        <v>5160</v>
      </c>
      <c r="J1586" s="12" t="s">
        <v>46</v>
      </c>
      <c r="K1586" s="10" t="s">
        <v>227</v>
      </c>
      <c r="L1586" s="16" t="s">
        <v>45</v>
      </c>
      <c r="M1586" s="10" t="s">
        <v>49</v>
      </c>
      <c r="N1586" s="10" t="s">
        <v>508</v>
      </c>
      <c r="O1586" s="10" t="s">
        <v>320</v>
      </c>
      <c r="P1586" s="9" t="str">
        <f t="shared" si="28"/>
        <v>N/I</v>
      </c>
      <c r="Q1586" s="9" t="str">
        <f t="shared" si="29"/>
        <v>N/I</v>
      </c>
      <c r="R1586" s="9" t="str">
        <f t="shared" si="32"/>
        <v>N/I</v>
      </c>
    </row>
    <row r="1587">
      <c r="A1587" s="11" t="s">
        <v>5155</v>
      </c>
      <c r="B1587" s="11" t="s">
        <v>5165</v>
      </c>
      <c r="C1587" s="12" t="s">
        <v>94</v>
      </c>
      <c r="D1587" s="16">
        <v>150654.0</v>
      </c>
      <c r="E1587" s="16" t="s">
        <v>45</v>
      </c>
      <c r="F1587" s="10" t="s">
        <v>5159</v>
      </c>
      <c r="G1587" s="12" t="s">
        <v>370</v>
      </c>
      <c r="H1587" s="10" t="s">
        <v>89</v>
      </c>
      <c r="I1587" s="10" t="s">
        <v>5160</v>
      </c>
      <c r="J1587" s="12" t="s">
        <v>46</v>
      </c>
      <c r="K1587" s="10" t="s">
        <v>227</v>
      </c>
      <c r="L1587" s="16" t="s">
        <v>45</v>
      </c>
      <c r="M1587" s="10" t="s">
        <v>49</v>
      </c>
      <c r="N1587" s="10" t="s">
        <v>508</v>
      </c>
      <c r="O1587" s="10" t="s">
        <v>320</v>
      </c>
      <c r="P1587" s="9" t="str">
        <f t="shared" si="28"/>
        <v>N/I</v>
      </c>
      <c r="Q1587" s="9" t="str">
        <f t="shared" si="29"/>
        <v>N/I</v>
      </c>
      <c r="R1587" s="9" t="str">
        <f t="shared" si="32"/>
        <v>N/I</v>
      </c>
    </row>
    <row r="1588">
      <c r="A1588" s="11" t="s">
        <v>5155</v>
      </c>
      <c r="B1588" s="11" t="s">
        <v>5168</v>
      </c>
      <c r="C1588" s="12" t="s">
        <v>94</v>
      </c>
      <c r="D1588" s="16">
        <v>150676.0</v>
      </c>
      <c r="E1588" s="16" t="s">
        <v>45</v>
      </c>
      <c r="F1588" s="10" t="s">
        <v>5159</v>
      </c>
      <c r="G1588" s="12" t="s">
        <v>370</v>
      </c>
      <c r="H1588" s="10" t="s">
        <v>89</v>
      </c>
      <c r="I1588" s="10" t="s">
        <v>5160</v>
      </c>
      <c r="J1588" s="12" t="s">
        <v>46</v>
      </c>
      <c r="K1588" s="10" t="s">
        <v>227</v>
      </c>
      <c r="L1588" s="16" t="s">
        <v>45</v>
      </c>
      <c r="M1588" s="10" t="s">
        <v>49</v>
      </c>
      <c r="N1588" s="10" t="s">
        <v>508</v>
      </c>
      <c r="O1588" s="10" t="s">
        <v>320</v>
      </c>
      <c r="P1588" s="9" t="str">
        <f t="shared" si="28"/>
        <v>N/I</v>
      </c>
      <c r="Q1588" s="9" t="str">
        <f t="shared" si="29"/>
        <v>N/I</v>
      </c>
      <c r="R1588" s="9" t="str">
        <f t="shared" si="32"/>
        <v>N/I</v>
      </c>
    </row>
    <row r="1589">
      <c r="A1589" s="11" t="s">
        <v>5155</v>
      </c>
      <c r="B1589" s="11" t="s">
        <v>5171</v>
      </c>
      <c r="C1589" s="12" t="s">
        <v>94</v>
      </c>
      <c r="D1589" s="16">
        <v>150712.0</v>
      </c>
      <c r="E1589" s="16" t="s">
        <v>45</v>
      </c>
      <c r="F1589" s="10" t="s">
        <v>5159</v>
      </c>
      <c r="G1589" s="12" t="s">
        <v>370</v>
      </c>
      <c r="H1589" s="10" t="s">
        <v>89</v>
      </c>
      <c r="I1589" s="10" t="s">
        <v>5160</v>
      </c>
      <c r="J1589" s="12" t="s">
        <v>46</v>
      </c>
      <c r="K1589" s="10" t="s">
        <v>227</v>
      </c>
      <c r="L1589" s="16" t="s">
        <v>45</v>
      </c>
      <c r="M1589" s="10" t="s">
        <v>49</v>
      </c>
      <c r="N1589" s="10" t="s">
        <v>508</v>
      </c>
      <c r="O1589" s="10" t="s">
        <v>320</v>
      </c>
      <c r="P1589" s="9" t="str">
        <f t="shared" si="28"/>
        <v>N/I</v>
      </c>
      <c r="Q1589" s="9" t="str">
        <f t="shared" si="29"/>
        <v>N/I</v>
      </c>
      <c r="R1589" s="9" t="str">
        <f t="shared" si="32"/>
        <v>N/I</v>
      </c>
    </row>
    <row r="1590">
      <c r="A1590" s="11" t="s">
        <v>5155</v>
      </c>
      <c r="B1590" s="11" t="s">
        <v>5174</v>
      </c>
      <c r="C1590" s="12" t="s">
        <v>94</v>
      </c>
      <c r="D1590" s="16">
        <v>150714.0</v>
      </c>
      <c r="E1590" s="16" t="s">
        <v>45</v>
      </c>
      <c r="F1590" s="10" t="s">
        <v>5159</v>
      </c>
      <c r="G1590" s="12" t="s">
        <v>370</v>
      </c>
      <c r="H1590" s="10" t="s">
        <v>89</v>
      </c>
      <c r="I1590" s="10" t="s">
        <v>5160</v>
      </c>
      <c r="J1590" s="12" t="s">
        <v>46</v>
      </c>
      <c r="K1590" s="10" t="s">
        <v>227</v>
      </c>
      <c r="L1590" s="16" t="s">
        <v>45</v>
      </c>
      <c r="M1590" s="10" t="s">
        <v>49</v>
      </c>
      <c r="N1590" s="10" t="s">
        <v>508</v>
      </c>
      <c r="O1590" s="10" t="s">
        <v>320</v>
      </c>
      <c r="P1590" s="9" t="str">
        <f t="shared" si="28"/>
        <v>N/I</v>
      </c>
      <c r="Q1590" s="9" t="str">
        <f t="shared" si="29"/>
        <v>N/I</v>
      </c>
      <c r="R1590" s="9" t="str">
        <f t="shared" si="32"/>
        <v>N/I</v>
      </c>
    </row>
    <row r="1591">
      <c r="A1591" s="11" t="s">
        <v>5155</v>
      </c>
      <c r="B1591" s="11" t="s">
        <v>5177</v>
      </c>
      <c r="C1591" s="12" t="s">
        <v>94</v>
      </c>
      <c r="D1591" s="16">
        <v>150529.0</v>
      </c>
      <c r="E1591" s="16" t="s">
        <v>45</v>
      </c>
      <c r="F1591" s="10" t="s">
        <v>5159</v>
      </c>
      <c r="G1591" s="12" t="s">
        <v>88</v>
      </c>
      <c r="H1591" s="10" t="s">
        <v>89</v>
      </c>
      <c r="I1591" s="10" t="s">
        <v>5160</v>
      </c>
      <c r="J1591" s="12" t="s">
        <v>46</v>
      </c>
      <c r="K1591" s="10" t="s">
        <v>227</v>
      </c>
      <c r="L1591" s="16" t="s">
        <v>45</v>
      </c>
      <c r="M1591" s="10" t="s">
        <v>49</v>
      </c>
      <c r="N1591" s="10" t="s">
        <v>508</v>
      </c>
      <c r="O1591" s="10" t="s">
        <v>320</v>
      </c>
      <c r="P1591" s="9" t="str">
        <f t="shared" si="28"/>
        <v>N/I</v>
      </c>
      <c r="Q1591" s="9" t="str">
        <f t="shared" si="29"/>
        <v>N/I</v>
      </c>
      <c r="R1591" s="9" t="str">
        <f t="shared" si="32"/>
        <v>N/I</v>
      </c>
    </row>
    <row r="1592">
      <c r="A1592" s="11" t="s">
        <v>5155</v>
      </c>
      <c r="B1592" s="11" t="s">
        <v>5180</v>
      </c>
      <c r="C1592" s="12" t="s">
        <v>94</v>
      </c>
      <c r="D1592" s="16">
        <v>150718.0</v>
      </c>
      <c r="E1592" s="16" t="s">
        <v>45</v>
      </c>
      <c r="F1592" s="10" t="s">
        <v>5159</v>
      </c>
      <c r="G1592" s="12" t="s">
        <v>5181</v>
      </c>
      <c r="H1592" s="10" t="s">
        <v>89</v>
      </c>
      <c r="I1592" s="10" t="s">
        <v>5160</v>
      </c>
      <c r="J1592" s="12" t="s">
        <v>46</v>
      </c>
      <c r="K1592" s="10" t="s">
        <v>227</v>
      </c>
      <c r="L1592" s="16" t="s">
        <v>45</v>
      </c>
      <c r="M1592" s="10" t="s">
        <v>49</v>
      </c>
      <c r="N1592" s="10" t="s">
        <v>508</v>
      </c>
      <c r="O1592" s="10" t="s">
        <v>320</v>
      </c>
      <c r="P1592" s="9" t="str">
        <f t="shared" si="28"/>
        <v>N/I</v>
      </c>
      <c r="Q1592" s="9" t="str">
        <f t="shared" si="29"/>
        <v>N/I</v>
      </c>
      <c r="R1592" s="9" t="str">
        <f t="shared" si="32"/>
        <v>N/I</v>
      </c>
    </row>
    <row r="1593">
      <c r="A1593" s="11" t="s">
        <v>5155</v>
      </c>
      <c r="B1593" s="11" t="s">
        <v>5184</v>
      </c>
      <c r="C1593" s="12" t="s">
        <v>94</v>
      </c>
      <c r="D1593" s="16">
        <v>150651.0</v>
      </c>
      <c r="E1593" s="16" t="s">
        <v>45</v>
      </c>
      <c r="F1593" s="10" t="s">
        <v>5159</v>
      </c>
      <c r="G1593" s="12" t="s">
        <v>5185</v>
      </c>
      <c r="H1593" s="10" t="s">
        <v>89</v>
      </c>
      <c r="I1593" s="10" t="s">
        <v>5160</v>
      </c>
      <c r="J1593" s="12" t="s">
        <v>46</v>
      </c>
      <c r="K1593" s="10" t="s">
        <v>227</v>
      </c>
      <c r="L1593" s="16" t="s">
        <v>45</v>
      </c>
      <c r="M1593" s="10" t="s">
        <v>49</v>
      </c>
      <c r="N1593" s="10" t="s">
        <v>508</v>
      </c>
      <c r="O1593" s="10" t="s">
        <v>320</v>
      </c>
      <c r="P1593" s="9" t="str">
        <f t="shared" si="28"/>
        <v>N/I</v>
      </c>
      <c r="Q1593" s="9" t="str">
        <f t="shared" si="29"/>
        <v>N/I</v>
      </c>
      <c r="R1593" s="9" t="str">
        <f t="shared" si="32"/>
        <v>N/I</v>
      </c>
    </row>
    <row r="1594">
      <c r="A1594" s="11" t="s">
        <v>5189</v>
      </c>
      <c r="B1594" s="11" t="s">
        <v>5190</v>
      </c>
      <c r="C1594" s="12" t="s">
        <v>448</v>
      </c>
      <c r="D1594" s="34" t="s">
        <v>5191</v>
      </c>
      <c r="E1594" s="10" t="s">
        <v>390</v>
      </c>
      <c r="F1594" s="10" t="s">
        <v>5194</v>
      </c>
      <c r="G1594" s="12" t="s">
        <v>1503</v>
      </c>
      <c r="H1594" s="10" t="s">
        <v>283</v>
      </c>
      <c r="I1594" s="16" t="s">
        <v>45</v>
      </c>
      <c r="J1594" s="12" t="s">
        <v>46</v>
      </c>
      <c r="K1594" s="10" t="s">
        <v>226</v>
      </c>
      <c r="L1594" s="16" t="s">
        <v>45</v>
      </c>
      <c r="M1594" s="16" t="s">
        <v>45</v>
      </c>
      <c r="N1594" s="16" t="s">
        <v>45</v>
      </c>
      <c r="O1594" s="10" t="s">
        <v>320</v>
      </c>
      <c r="P1594" s="9" t="str">
        <f t="shared" si="28"/>
        <v>N/I</v>
      </c>
      <c r="Q1594" s="9" t="str">
        <f t="shared" si="29"/>
        <v>N/I</v>
      </c>
      <c r="R1594" s="9" t="str">
        <f t="shared" si="32"/>
        <v>N/I</v>
      </c>
    </row>
    <row r="1595">
      <c r="A1595" s="11" t="s">
        <v>5189</v>
      </c>
      <c r="B1595" s="11" t="s">
        <v>5195</v>
      </c>
      <c r="C1595" s="12" t="s">
        <v>448</v>
      </c>
      <c r="D1595" s="34" t="s">
        <v>5196</v>
      </c>
      <c r="E1595" s="10" t="s">
        <v>390</v>
      </c>
      <c r="F1595" s="10" t="s">
        <v>5194</v>
      </c>
      <c r="G1595" s="12" t="s">
        <v>541</v>
      </c>
      <c r="H1595" s="10" t="s">
        <v>283</v>
      </c>
      <c r="I1595" s="16" t="s">
        <v>45</v>
      </c>
      <c r="J1595" s="12" t="s">
        <v>46</v>
      </c>
      <c r="K1595" s="10" t="s">
        <v>226</v>
      </c>
      <c r="L1595" s="16" t="s">
        <v>45</v>
      </c>
      <c r="M1595" s="16" t="s">
        <v>45</v>
      </c>
      <c r="N1595" s="16" t="s">
        <v>45</v>
      </c>
      <c r="O1595" s="10" t="s">
        <v>320</v>
      </c>
      <c r="P1595" s="9" t="str">
        <f t="shared" si="28"/>
        <v>N/I</v>
      </c>
      <c r="Q1595" s="9" t="str">
        <f t="shared" si="29"/>
        <v>N/I</v>
      </c>
      <c r="R1595" s="9" t="str">
        <f t="shared" si="32"/>
        <v>N/I</v>
      </c>
    </row>
    <row r="1596">
      <c r="A1596" s="11" t="s">
        <v>5189</v>
      </c>
      <c r="B1596" s="11" t="s">
        <v>5199</v>
      </c>
      <c r="C1596" s="12" t="s">
        <v>448</v>
      </c>
      <c r="D1596" s="34" t="s">
        <v>5200</v>
      </c>
      <c r="E1596" s="10" t="s">
        <v>390</v>
      </c>
      <c r="F1596" s="10" t="s">
        <v>5194</v>
      </c>
      <c r="G1596" s="12" t="s">
        <v>596</v>
      </c>
      <c r="H1596" s="10" t="s">
        <v>283</v>
      </c>
      <c r="I1596" s="16" t="s">
        <v>45</v>
      </c>
      <c r="J1596" s="12" t="s">
        <v>46</v>
      </c>
      <c r="K1596" s="10" t="s">
        <v>226</v>
      </c>
      <c r="L1596" s="16" t="s">
        <v>45</v>
      </c>
      <c r="M1596" s="16" t="s">
        <v>45</v>
      </c>
      <c r="N1596" s="16" t="s">
        <v>45</v>
      </c>
      <c r="O1596" s="10" t="s">
        <v>320</v>
      </c>
      <c r="P1596" s="9" t="str">
        <f t="shared" si="28"/>
        <v>N/I</v>
      </c>
      <c r="Q1596" s="9" t="str">
        <f t="shared" si="29"/>
        <v>N/I</v>
      </c>
      <c r="R1596" s="9" t="str">
        <f t="shared" si="32"/>
        <v>N/I</v>
      </c>
    </row>
    <row r="1597">
      <c r="A1597" s="11" t="s">
        <v>5189</v>
      </c>
      <c r="B1597" s="11" t="s">
        <v>5203</v>
      </c>
      <c r="C1597" s="12" t="s">
        <v>448</v>
      </c>
      <c r="D1597" s="34" t="s">
        <v>5204</v>
      </c>
      <c r="E1597" s="10" t="s">
        <v>390</v>
      </c>
      <c r="F1597" s="10" t="s">
        <v>5194</v>
      </c>
      <c r="G1597" s="12" t="s">
        <v>1597</v>
      </c>
      <c r="H1597" s="10" t="s">
        <v>283</v>
      </c>
      <c r="I1597" s="16" t="s">
        <v>45</v>
      </c>
      <c r="J1597" s="12" t="s">
        <v>46</v>
      </c>
      <c r="K1597" s="10" t="s">
        <v>226</v>
      </c>
      <c r="L1597" s="16" t="s">
        <v>45</v>
      </c>
      <c r="M1597" s="16" t="s">
        <v>45</v>
      </c>
      <c r="N1597" s="16" t="s">
        <v>45</v>
      </c>
      <c r="O1597" s="10" t="s">
        <v>320</v>
      </c>
      <c r="P1597" s="9" t="str">
        <f t="shared" si="28"/>
        <v>N/I</v>
      </c>
      <c r="Q1597" s="9" t="str">
        <f t="shared" si="29"/>
        <v>N/I</v>
      </c>
      <c r="R1597" s="9" t="str">
        <f t="shared" si="32"/>
        <v>N/I</v>
      </c>
    </row>
    <row r="1598">
      <c r="A1598" s="11" t="s">
        <v>5189</v>
      </c>
      <c r="B1598" s="11" t="s">
        <v>5207</v>
      </c>
      <c r="C1598" s="12" t="s">
        <v>448</v>
      </c>
      <c r="D1598" s="34" t="s">
        <v>5208</v>
      </c>
      <c r="E1598" s="10" t="s">
        <v>390</v>
      </c>
      <c r="F1598" s="10" t="s">
        <v>5194</v>
      </c>
      <c r="G1598" s="12" t="s">
        <v>282</v>
      </c>
      <c r="H1598" s="10" t="s">
        <v>283</v>
      </c>
      <c r="I1598" s="16" t="s">
        <v>45</v>
      </c>
      <c r="J1598" s="12" t="s">
        <v>46</v>
      </c>
      <c r="K1598" s="10" t="s">
        <v>226</v>
      </c>
      <c r="L1598" s="16" t="s">
        <v>45</v>
      </c>
      <c r="M1598" s="16" t="s">
        <v>45</v>
      </c>
      <c r="N1598" s="16" t="s">
        <v>45</v>
      </c>
      <c r="O1598" s="10" t="s">
        <v>320</v>
      </c>
      <c r="P1598" s="9" t="str">
        <f t="shared" si="28"/>
        <v>N/I</v>
      </c>
      <c r="Q1598" s="9" t="str">
        <f t="shared" si="29"/>
        <v>N/I</v>
      </c>
      <c r="R1598" s="9" t="str">
        <f t="shared" si="32"/>
        <v>N/I</v>
      </c>
    </row>
    <row r="1599">
      <c r="A1599" s="11" t="s">
        <v>5189</v>
      </c>
      <c r="B1599" s="11" t="s">
        <v>5211</v>
      </c>
      <c r="C1599" s="12" t="s">
        <v>448</v>
      </c>
      <c r="D1599" s="34" t="s">
        <v>5212</v>
      </c>
      <c r="E1599" s="10" t="s">
        <v>390</v>
      </c>
      <c r="F1599" s="10" t="s">
        <v>5194</v>
      </c>
      <c r="G1599" s="12" t="s">
        <v>1626</v>
      </c>
      <c r="H1599" s="10" t="s">
        <v>283</v>
      </c>
      <c r="I1599" s="16" t="s">
        <v>45</v>
      </c>
      <c r="J1599" s="12" t="s">
        <v>46</v>
      </c>
      <c r="K1599" s="10" t="s">
        <v>226</v>
      </c>
      <c r="L1599" s="16" t="s">
        <v>45</v>
      </c>
      <c r="M1599" s="16" t="s">
        <v>45</v>
      </c>
      <c r="N1599" s="16" t="s">
        <v>45</v>
      </c>
      <c r="O1599" s="10" t="s">
        <v>320</v>
      </c>
      <c r="P1599" s="9" t="str">
        <f t="shared" si="28"/>
        <v>N/I</v>
      </c>
      <c r="Q1599" s="9" t="str">
        <f t="shared" si="29"/>
        <v>N/I</v>
      </c>
      <c r="R1599" s="9" t="str">
        <f t="shared" si="32"/>
        <v>N/I</v>
      </c>
    </row>
    <row r="1600">
      <c r="A1600" s="11" t="s">
        <v>5189</v>
      </c>
      <c r="B1600" s="11" t="s">
        <v>2778</v>
      </c>
      <c r="C1600" s="12" t="s">
        <v>448</v>
      </c>
      <c r="D1600" s="34" t="s">
        <v>5215</v>
      </c>
      <c r="E1600" s="10" t="s">
        <v>390</v>
      </c>
      <c r="F1600" s="10" t="s">
        <v>5194</v>
      </c>
      <c r="G1600" s="12" t="s">
        <v>627</v>
      </c>
      <c r="H1600" s="10" t="s">
        <v>283</v>
      </c>
      <c r="I1600" s="16" t="s">
        <v>45</v>
      </c>
      <c r="J1600" s="12" t="s">
        <v>46</v>
      </c>
      <c r="K1600" s="10" t="s">
        <v>226</v>
      </c>
      <c r="L1600" s="16" t="s">
        <v>45</v>
      </c>
      <c r="M1600" s="16" t="s">
        <v>45</v>
      </c>
      <c r="N1600" s="16" t="s">
        <v>45</v>
      </c>
      <c r="O1600" s="10" t="s">
        <v>320</v>
      </c>
      <c r="P1600" s="9" t="str">
        <f t="shared" si="28"/>
        <v>N/I</v>
      </c>
      <c r="Q1600" s="9" t="str">
        <f t="shared" si="29"/>
        <v>N/I</v>
      </c>
      <c r="R1600" s="9" t="str">
        <f t="shared" si="32"/>
        <v>N/I</v>
      </c>
    </row>
    <row r="1601">
      <c r="A1601" s="11" t="s">
        <v>5219</v>
      </c>
      <c r="B1601" s="32" t="s">
        <v>398</v>
      </c>
      <c r="C1601" s="12" t="s">
        <v>55</v>
      </c>
      <c r="D1601" s="16">
        <v>100561.0</v>
      </c>
      <c r="E1601" s="10" t="s">
        <v>356</v>
      </c>
      <c r="F1601" s="10" t="s">
        <v>5221</v>
      </c>
      <c r="G1601" s="12" t="s">
        <v>332</v>
      </c>
      <c r="H1601" s="10" t="s">
        <v>197</v>
      </c>
      <c r="I1601" s="16" t="s">
        <v>45</v>
      </c>
      <c r="J1601" s="12" t="s">
        <v>46</v>
      </c>
      <c r="K1601" s="10" t="s">
        <v>227</v>
      </c>
      <c r="L1601" s="16" t="s">
        <v>45</v>
      </c>
      <c r="M1601" s="10" t="s">
        <v>49</v>
      </c>
      <c r="N1601" s="16" t="s">
        <v>45</v>
      </c>
      <c r="O1601" s="10" t="s">
        <v>320</v>
      </c>
      <c r="P1601" s="9" t="str">
        <f t="shared" si="28"/>
        <v>N/I</v>
      </c>
      <c r="Q1601" s="9" t="str">
        <f t="shared" si="29"/>
        <v>N/I</v>
      </c>
      <c r="R1601" s="9" t="str">
        <f t="shared" si="32"/>
        <v>N/I</v>
      </c>
    </row>
    <row r="1602">
      <c r="A1602" s="11" t="s">
        <v>5219</v>
      </c>
      <c r="B1602" s="32" t="s">
        <v>398</v>
      </c>
      <c r="C1602" s="12" t="s">
        <v>55</v>
      </c>
      <c r="D1602" s="16">
        <v>110102.0</v>
      </c>
      <c r="E1602" s="10" t="s">
        <v>356</v>
      </c>
      <c r="F1602" s="10" t="s">
        <v>5221</v>
      </c>
      <c r="G1602" s="12" t="s">
        <v>332</v>
      </c>
      <c r="H1602" s="10" t="s">
        <v>197</v>
      </c>
      <c r="I1602" s="16" t="s">
        <v>45</v>
      </c>
      <c r="J1602" s="12" t="s">
        <v>46</v>
      </c>
      <c r="K1602" s="10" t="s">
        <v>227</v>
      </c>
      <c r="L1602" s="16" t="s">
        <v>45</v>
      </c>
      <c r="M1602" s="10" t="s">
        <v>49</v>
      </c>
      <c r="N1602" s="16" t="s">
        <v>45</v>
      </c>
      <c r="O1602" s="10" t="s">
        <v>320</v>
      </c>
      <c r="P1602" s="9" t="str">
        <f t="shared" si="28"/>
        <v>N/I</v>
      </c>
      <c r="Q1602" s="9" t="str">
        <f t="shared" si="29"/>
        <v>N/I</v>
      </c>
      <c r="R1602" s="9" t="str">
        <f t="shared" si="32"/>
        <v>N/I</v>
      </c>
    </row>
    <row r="1603">
      <c r="A1603" s="11" t="s">
        <v>5219</v>
      </c>
      <c r="B1603" s="32" t="s">
        <v>398</v>
      </c>
      <c r="C1603" s="12" t="s">
        <v>55</v>
      </c>
      <c r="D1603" s="16">
        <v>110134.0</v>
      </c>
      <c r="E1603" s="10" t="s">
        <v>356</v>
      </c>
      <c r="F1603" s="10" t="s">
        <v>5221</v>
      </c>
      <c r="G1603" s="12" t="s">
        <v>332</v>
      </c>
      <c r="H1603" s="10" t="s">
        <v>197</v>
      </c>
      <c r="I1603" s="16" t="s">
        <v>45</v>
      </c>
      <c r="J1603" s="12" t="s">
        <v>46</v>
      </c>
      <c r="K1603" s="10" t="s">
        <v>227</v>
      </c>
      <c r="L1603" s="16" t="s">
        <v>45</v>
      </c>
      <c r="M1603" s="10" t="s">
        <v>49</v>
      </c>
      <c r="N1603" s="16" t="s">
        <v>45</v>
      </c>
      <c r="O1603" s="10" t="s">
        <v>320</v>
      </c>
      <c r="P1603" s="9" t="str">
        <f t="shared" si="28"/>
        <v>N/I</v>
      </c>
      <c r="Q1603" s="9" t="str">
        <f t="shared" si="29"/>
        <v>N/I</v>
      </c>
      <c r="R1603" s="9" t="str">
        <f t="shared" si="32"/>
        <v>N/I</v>
      </c>
    </row>
    <row r="1604">
      <c r="A1604" s="11" t="s">
        <v>5219</v>
      </c>
      <c r="B1604" s="32" t="s">
        <v>398</v>
      </c>
      <c r="C1604" s="12" t="s">
        <v>55</v>
      </c>
      <c r="D1604" s="20" t="s">
        <v>5222</v>
      </c>
      <c r="E1604" s="10" t="s">
        <v>356</v>
      </c>
      <c r="F1604" s="10" t="s">
        <v>5221</v>
      </c>
      <c r="G1604" s="12" t="s">
        <v>332</v>
      </c>
      <c r="H1604" s="10" t="s">
        <v>197</v>
      </c>
      <c r="I1604" s="16" t="s">
        <v>45</v>
      </c>
      <c r="J1604" s="12" t="s">
        <v>46</v>
      </c>
      <c r="K1604" s="10" t="s">
        <v>227</v>
      </c>
      <c r="L1604" s="16" t="s">
        <v>45</v>
      </c>
      <c r="M1604" s="10" t="s">
        <v>49</v>
      </c>
      <c r="N1604" s="16" t="s">
        <v>45</v>
      </c>
      <c r="O1604" s="10" t="s">
        <v>320</v>
      </c>
      <c r="P1604" s="9" t="str">
        <f t="shared" si="28"/>
        <v>N/I</v>
      </c>
      <c r="Q1604" s="9" t="str">
        <f t="shared" si="29"/>
        <v>N/I</v>
      </c>
      <c r="R1604" s="9" t="str">
        <f t="shared" si="32"/>
        <v>N/I</v>
      </c>
    </row>
    <row r="1605">
      <c r="A1605" s="11" t="s">
        <v>5219</v>
      </c>
      <c r="B1605" s="32" t="s">
        <v>398</v>
      </c>
      <c r="C1605" s="12" t="s">
        <v>55</v>
      </c>
      <c r="D1605" s="16">
        <v>110130.0</v>
      </c>
      <c r="E1605" s="10" t="s">
        <v>356</v>
      </c>
      <c r="F1605" s="10" t="s">
        <v>5221</v>
      </c>
      <c r="G1605" s="12" t="s">
        <v>332</v>
      </c>
      <c r="H1605" s="10" t="s">
        <v>197</v>
      </c>
      <c r="I1605" s="16" t="s">
        <v>45</v>
      </c>
      <c r="J1605" s="12" t="s">
        <v>46</v>
      </c>
      <c r="K1605" s="10" t="s">
        <v>227</v>
      </c>
      <c r="L1605" s="16" t="s">
        <v>45</v>
      </c>
      <c r="M1605" s="10" t="s">
        <v>49</v>
      </c>
      <c r="N1605" s="16" t="s">
        <v>45</v>
      </c>
      <c r="O1605" s="10" t="s">
        <v>320</v>
      </c>
      <c r="P1605" s="9" t="str">
        <f t="shared" si="28"/>
        <v>N/I</v>
      </c>
      <c r="Q1605" s="9" t="str">
        <f t="shared" si="29"/>
        <v>N/I</v>
      </c>
      <c r="R1605" s="9" t="str">
        <f t="shared" si="32"/>
        <v>N/I</v>
      </c>
    </row>
    <row r="1606">
      <c r="A1606" s="11" t="s">
        <v>5219</v>
      </c>
      <c r="B1606" s="32" t="s">
        <v>398</v>
      </c>
      <c r="C1606" s="12" t="s">
        <v>52</v>
      </c>
      <c r="D1606" s="34" t="s">
        <v>5223</v>
      </c>
      <c r="E1606" s="16" t="s">
        <v>45</v>
      </c>
      <c r="F1606" s="10" t="s">
        <v>5224</v>
      </c>
      <c r="G1606" s="12" t="s">
        <v>332</v>
      </c>
      <c r="H1606" s="10" t="s">
        <v>197</v>
      </c>
      <c r="I1606" s="16" t="s">
        <v>45</v>
      </c>
      <c r="J1606" s="16" t="s">
        <v>45</v>
      </c>
      <c r="K1606" s="16" t="s">
        <v>45</v>
      </c>
      <c r="L1606" s="16" t="s">
        <v>45</v>
      </c>
      <c r="M1606" s="16" t="s">
        <v>45</v>
      </c>
      <c r="N1606" s="16" t="s">
        <v>45</v>
      </c>
      <c r="O1606" s="16" t="s">
        <v>45</v>
      </c>
      <c r="P1606" s="9" t="str">
        <f t="shared" si="28"/>
        <v>N/I</v>
      </c>
      <c r="Q1606" s="9" t="str">
        <f t="shared" si="29"/>
        <v>N/I</v>
      </c>
      <c r="R1606" s="9" t="str">
        <f t="shared" si="32"/>
        <v>N/I</v>
      </c>
    </row>
    <row r="1607">
      <c r="A1607" s="11" t="s">
        <v>5219</v>
      </c>
      <c r="B1607" s="32" t="s">
        <v>398</v>
      </c>
      <c r="C1607" s="12" t="s">
        <v>52</v>
      </c>
      <c r="D1607" s="34" t="s">
        <v>5225</v>
      </c>
      <c r="E1607" s="16" t="s">
        <v>45</v>
      </c>
      <c r="F1607" s="10" t="s">
        <v>5227</v>
      </c>
      <c r="G1607" s="12" t="s">
        <v>332</v>
      </c>
      <c r="H1607" s="10" t="s">
        <v>197</v>
      </c>
      <c r="I1607" s="16" t="s">
        <v>45</v>
      </c>
      <c r="J1607" s="16" t="s">
        <v>45</v>
      </c>
      <c r="K1607" s="16" t="s">
        <v>45</v>
      </c>
      <c r="L1607" s="16" t="s">
        <v>45</v>
      </c>
      <c r="M1607" s="16" t="s">
        <v>45</v>
      </c>
      <c r="N1607" s="16" t="s">
        <v>45</v>
      </c>
      <c r="O1607" s="10" t="s">
        <v>320</v>
      </c>
      <c r="P1607" s="9" t="str">
        <f t="shared" si="28"/>
        <v>N/I</v>
      </c>
      <c r="Q1607" s="9" t="str">
        <f t="shared" si="29"/>
        <v>N/I</v>
      </c>
      <c r="R1607" s="9" t="str">
        <f t="shared" si="32"/>
        <v>N/I</v>
      </c>
    </row>
    <row r="1608">
      <c r="A1608" s="11" t="s">
        <v>5219</v>
      </c>
      <c r="B1608" s="32" t="s">
        <v>398</v>
      </c>
      <c r="C1608" s="12" t="s">
        <v>52</v>
      </c>
      <c r="D1608" s="34" t="s">
        <v>5228</v>
      </c>
      <c r="E1608" s="16" t="s">
        <v>45</v>
      </c>
      <c r="F1608" s="10" t="s">
        <v>5227</v>
      </c>
      <c r="G1608" s="12" t="s">
        <v>332</v>
      </c>
      <c r="H1608" s="10" t="s">
        <v>197</v>
      </c>
      <c r="I1608" s="16" t="s">
        <v>45</v>
      </c>
      <c r="J1608" s="16" t="s">
        <v>45</v>
      </c>
      <c r="K1608" s="16" t="s">
        <v>45</v>
      </c>
      <c r="L1608" s="16" t="s">
        <v>45</v>
      </c>
      <c r="M1608" s="16" t="s">
        <v>45</v>
      </c>
      <c r="N1608" s="16" t="s">
        <v>45</v>
      </c>
      <c r="O1608" s="10" t="s">
        <v>320</v>
      </c>
      <c r="P1608" s="9" t="str">
        <f t="shared" si="28"/>
        <v>N/I</v>
      </c>
      <c r="Q1608" s="9" t="str">
        <f t="shared" si="29"/>
        <v>N/I</v>
      </c>
      <c r="R1608" s="9" t="str">
        <f t="shared" si="32"/>
        <v>N/I</v>
      </c>
    </row>
    <row r="1609">
      <c r="A1609" s="11" t="s">
        <v>5219</v>
      </c>
      <c r="B1609" s="32" t="s">
        <v>398</v>
      </c>
      <c r="C1609" s="12" t="s">
        <v>52</v>
      </c>
      <c r="D1609" s="27" t="s">
        <v>5229</v>
      </c>
      <c r="E1609" s="16" t="s">
        <v>45</v>
      </c>
      <c r="F1609" s="10" t="s">
        <v>5230</v>
      </c>
      <c r="G1609" s="12" t="s">
        <v>332</v>
      </c>
      <c r="H1609" s="10" t="s">
        <v>197</v>
      </c>
      <c r="I1609" s="16" t="s">
        <v>45</v>
      </c>
      <c r="J1609" s="16" t="s">
        <v>45</v>
      </c>
      <c r="K1609" s="16" t="s">
        <v>45</v>
      </c>
      <c r="L1609" s="16" t="s">
        <v>45</v>
      </c>
      <c r="M1609" s="16" t="s">
        <v>45</v>
      </c>
      <c r="N1609" s="16" t="s">
        <v>45</v>
      </c>
      <c r="O1609" s="10" t="s">
        <v>50</v>
      </c>
      <c r="P1609" s="9" t="str">
        <f t="shared" si="28"/>
        <v>N/I</v>
      </c>
      <c r="Q1609" s="9" t="str">
        <f t="shared" si="29"/>
        <v>N/I</v>
      </c>
      <c r="R1609" s="9" t="str">
        <f t="shared" si="32"/>
        <v>N/I</v>
      </c>
    </row>
    <row r="1610">
      <c r="A1610" s="11" t="s">
        <v>5219</v>
      </c>
      <c r="B1610" s="32" t="s">
        <v>398</v>
      </c>
      <c r="C1610" s="12" t="s">
        <v>52</v>
      </c>
      <c r="D1610" s="27" t="s">
        <v>5231</v>
      </c>
      <c r="E1610" s="16" t="s">
        <v>45</v>
      </c>
      <c r="F1610" s="10" t="s">
        <v>5230</v>
      </c>
      <c r="G1610" s="12" t="s">
        <v>332</v>
      </c>
      <c r="H1610" s="10" t="s">
        <v>197</v>
      </c>
      <c r="I1610" s="16" t="s">
        <v>45</v>
      </c>
      <c r="J1610" s="16" t="s">
        <v>45</v>
      </c>
      <c r="K1610" s="16" t="s">
        <v>45</v>
      </c>
      <c r="L1610" s="16" t="s">
        <v>45</v>
      </c>
      <c r="M1610" s="16" t="s">
        <v>45</v>
      </c>
      <c r="N1610" s="16" t="s">
        <v>45</v>
      </c>
      <c r="O1610" s="10" t="s">
        <v>50</v>
      </c>
      <c r="P1610" s="9" t="str">
        <f t="shared" si="28"/>
        <v>N/I</v>
      </c>
      <c r="Q1610" s="9" t="str">
        <f t="shared" si="29"/>
        <v>N/I</v>
      </c>
      <c r="R1610" s="9" t="str">
        <f t="shared" si="32"/>
        <v>N/I</v>
      </c>
    </row>
    <row r="1611">
      <c r="A1611" s="11" t="s">
        <v>5233</v>
      </c>
      <c r="B1611" s="32"/>
      <c r="C1611" s="12" t="s">
        <v>94</v>
      </c>
      <c r="D1611" s="34" t="s">
        <v>5234</v>
      </c>
      <c r="E1611" s="16" t="s">
        <v>45</v>
      </c>
      <c r="F1611" s="10" t="s">
        <v>5237</v>
      </c>
      <c r="G1611" s="12" t="s">
        <v>380</v>
      </c>
      <c r="H1611" s="10" t="s">
        <v>197</v>
      </c>
      <c r="I1611" s="16" t="s">
        <v>45</v>
      </c>
      <c r="J1611" s="16" t="s">
        <v>45</v>
      </c>
      <c r="K1611" s="16" t="s">
        <v>45</v>
      </c>
      <c r="L1611" s="16" t="s">
        <v>45</v>
      </c>
      <c r="M1611" s="16" t="s">
        <v>45</v>
      </c>
      <c r="N1611" s="16" t="s">
        <v>45</v>
      </c>
      <c r="O1611" s="10" t="s">
        <v>50</v>
      </c>
      <c r="P1611" s="9" t="str">
        <f t="shared" si="28"/>
        <v>N/I</v>
      </c>
      <c r="Q1611" s="9" t="str">
        <f t="shared" si="29"/>
        <v>N/I</v>
      </c>
      <c r="R1611" s="9" t="str">
        <f t="shared" si="32"/>
        <v>N/I</v>
      </c>
    </row>
    <row r="1612">
      <c r="A1612" s="11" t="s">
        <v>5239</v>
      </c>
      <c r="B1612" s="32"/>
      <c r="C1612" s="12" t="s">
        <v>94</v>
      </c>
      <c r="D1612" s="16" t="s">
        <v>5240</v>
      </c>
      <c r="E1612" s="10" t="s">
        <v>227</v>
      </c>
      <c r="F1612" s="10" t="s">
        <v>5243</v>
      </c>
      <c r="G1612" s="12" t="s">
        <v>2729</v>
      </c>
      <c r="H1612" s="10" t="s">
        <v>197</v>
      </c>
      <c r="I1612" s="10" t="s">
        <v>290</v>
      </c>
      <c r="J1612" s="12" t="s">
        <v>46</v>
      </c>
      <c r="K1612" s="10" t="s">
        <v>226</v>
      </c>
      <c r="L1612" s="16" t="s">
        <v>45</v>
      </c>
      <c r="M1612" s="10" t="s">
        <v>49</v>
      </c>
      <c r="N1612" s="16" t="s">
        <v>45</v>
      </c>
      <c r="O1612" s="10" t="s">
        <v>50</v>
      </c>
      <c r="P1612" s="9" t="str">
        <f t="shared" si="28"/>
        <v>N/I</v>
      </c>
      <c r="Q1612" s="9" t="str">
        <f t="shared" si="29"/>
        <v>N/I</v>
      </c>
      <c r="R1612" s="9" t="str">
        <f t="shared" si="32"/>
        <v>N/I</v>
      </c>
    </row>
    <row r="1613">
      <c r="A1613" s="11" t="s">
        <v>5244</v>
      </c>
      <c r="B1613" s="32" t="s">
        <v>398</v>
      </c>
      <c r="C1613" s="12" t="s">
        <v>52</v>
      </c>
      <c r="D1613" s="25" t="s">
        <v>187</v>
      </c>
      <c r="E1613" s="10" t="s">
        <v>356</v>
      </c>
      <c r="F1613" s="10" t="s">
        <v>5247</v>
      </c>
      <c r="G1613" s="12" t="s">
        <v>332</v>
      </c>
      <c r="H1613" s="10" t="s">
        <v>197</v>
      </c>
      <c r="I1613" s="10"/>
      <c r="J1613" s="12" t="s">
        <v>355</v>
      </c>
      <c r="K1613" s="16" t="s">
        <v>45</v>
      </c>
      <c r="L1613" s="16" t="s">
        <v>45</v>
      </c>
      <c r="M1613" s="10" t="s">
        <v>49</v>
      </c>
      <c r="N1613" s="16" t="s">
        <v>45</v>
      </c>
      <c r="O1613" s="10" t="s">
        <v>50</v>
      </c>
      <c r="P1613" s="9" t="str">
        <f t="shared" si="28"/>
        <v>N/I</v>
      </c>
      <c r="Q1613" s="9" t="str">
        <f t="shared" si="29"/>
        <v>N/I</v>
      </c>
      <c r="R1613" s="9" t="str">
        <f t="shared" si="32"/>
        <v>N/I</v>
      </c>
    </row>
    <row r="1614">
      <c r="A1614" s="11" t="s">
        <v>5244</v>
      </c>
      <c r="B1614" s="32" t="s">
        <v>398</v>
      </c>
      <c r="C1614" s="12" t="s">
        <v>52</v>
      </c>
      <c r="D1614" s="25" t="s">
        <v>187</v>
      </c>
      <c r="E1614" s="10" t="s">
        <v>356</v>
      </c>
      <c r="F1614" s="10" t="s">
        <v>5247</v>
      </c>
      <c r="G1614" s="12" t="s">
        <v>332</v>
      </c>
      <c r="H1614" s="10" t="s">
        <v>197</v>
      </c>
      <c r="I1614" s="10"/>
      <c r="J1614" s="12" t="s">
        <v>355</v>
      </c>
      <c r="K1614" s="16" t="s">
        <v>45</v>
      </c>
      <c r="L1614" s="16" t="s">
        <v>45</v>
      </c>
      <c r="M1614" s="10" t="s">
        <v>49</v>
      </c>
      <c r="N1614" s="16" t="s">
        <v>45</v>
      </c>
      <c r="O1614" s="10" t="s">
        <v>50</v>
      </c>
      <c r="P1614" s="9" t="str">
        <f t="shared" si="28"/>
        <v>N/I</v>
      </c>
      <c r="Q1614" s="9" t="str">
        <f t="shared" si="29"/>
        <v>N/I</v>
      </c>
      <c r="R1614" s="9" t="str">
        <f t="shared" si="32"/>
        <v>N/I</v>
      </c>
    </row>
    <row r="1615">
      <c r="A1615" s="11" t="s">
        <v>5244</v>
      </c>
      <c r="B1615" s="32" t="s">
        <v>398</v>
      </c>
      <c r="C1615" s="12" t="s">
        <v>52</v>
      </c>
      <c r="D1615" s="25" t="s">
        <v>187</v>
      </c>
      <c r="E1615" s="10" t="s">
        <v>356</v>
      </c>
      <c r="F1615" s="10" t="s">
        <v>5247</v>
      </c>
      <c r="G1615" s="12" t="s">
        <v>332</v>
      </c>
      <c r="H1615" s="10" t="s">
        <v>197</v>
      </c>
      <c r="I1615" s="10"/>
      <c r="J1615" s="12" t="s">
        <v>355</v>
      </c>
      <c r="K1615" s="16" t="s">
        <v>45</v>
      </c>
      <c r="L1615" s="16" t="s">
        <v>45</v>
      </c>
      <c r="M1615" s="10" t="s">
        <v>49</v>
      </c>
      <c r="N1615" s="16" t="s">
        <v>45</v>
      </c>
      <c r="O1615" s="10" t="s">
        <v>50</v>
      </c>
      <c r="P1615" s="9" t="str">
        <f t="shared" si="28"/>
        <v>N/I</v>
      </c>
      <c r="Q1615" s="9" t="str">
        <f t="shared" si="29"/>
        <v>N/I</v>
      </c>
      <c r="R1615" s="9" t="str">
        <f t="shared" si="32"/>
        <v>N/I</v>
      </c>
    </row>
    <row r="1616">
      <c r="A1616" s="11" t="s">
        <v>5244</v>
      </c>
      <c r="B1616" s="32" t="s">
        <v>398</v>
      </c>
      <c r="C1616" s="12" t="s">
        <v>52</v>
      </c>
      <c r="D1616" s="25" t="s">
        <v>187</v>
      </c>
      <c r="E1616" s="10" t="s">
        <v>356</v>
      </c>
      <c r="F1616" s="10" t="s">
        <v>5247</v>
      </c>
      <c r="G1616" s="12" t="s">
        <v>332</v>
      </c>
      <c r="H1616" s="10" t="s">
        <v>197</v>
      </c>
      <c r="I1616" s="10"/>
      <c r="J1616" s="12" t="s">
        <v>355</v>
      </c>
      <c r="K1616" s="16" t="s">
        <v>45</v>
      </c>
      <c r="L1616" s="16" t="s">
        <v>45</v>
      </c>
      <c r="M1616" s="10" t="s">
        <v>49</v>
      </c>
      <c r="N1616" s="16" t="s">
        <v>45</v>
      </c>
      <c r="O1616" s="10" t="s">
        <v>50</v>
      </c>
      <c r="P1616" s="9" t="str">
        <f t="shared" si="28"/>
        <v>N/I</v>
      </c>
      <c r="Q1616" s="9" t="str">
        <f t="shared" si="29"/>
        <v>N/I</v>
      </c>
      <c r="R1616" s="9" t="str">
        <f t="shared" si="32"/>
        <v>N/I</v>
      </c>
    </row>
    <row r="1617">
      <c r="A1617" s="11" t="s">
        <v>5244</v>
      </c>
      <c r="B1617" s="32" t="s">
        <v>398</v>
      </c>
      <c r="C1617" s="12" t="s">
        <v>52</v>
      </c>
      <c r="D1617" s="25" t="s">
        <v>187</v>
      </c>
      <c r="E1617" s="10" t="s">
        <v>356</v>
      </c>
      <c r="F1617" s="10" t="s">
        <v>5247</v>
      </c>
      <c r="G1617" s="12" t="s">
        <v>332</v>
      </c>
      <c r="H1617" s="10" t="s">
        <v>197</v>
      </c>
      <c r="I1617" s="10"/>
      <c r="J1617" s="12" t="s">
        <v>355</v>
      </c>
      <c r="K1617" s="16" t="s">
        <v>45</v>
      </c>
      <c r="L1617" s="16" t="s">
        <v>45</v>
      </c>
      <c r="M1617" s="10" t="s">
        <v>49</v>
      </c>
      <c r="N1617" s="16" t="s">
        <v>45</v>
      </c>
      <c r="O1617" s="10" t="s">
        <v>50</v>
      </c>
      <c r="P1617" s="9" t="str">
        <f t="shared" si="28"/>
        <v>N/I</v>
      </c>
      <c r="Q1617" s="9" t="str">
        <f t="shared" si="29"/>
        <v>N/I</v>
      </c>
      <c r="R1617" s="9" t="str">
        <f t="shared" si="32"/>
        <v>N/I</v>
      </c>
    </row>
    <row r="1618">
      <c r="A1618" s="11" t="s">
        <v>5248</v>
      </c>
      <c r="B1618" s="32" t="s">
        <v>5249</v>
      </c>
      <c r="C1618" s="12" t="s">
        <v>94</v>
      </c>
      <c r="D1618" s="27" t="s">
        <v>5250</v>
      </c>
      <c r="E1618" s="10" t="s">
        <v>538</v>
      </c>
      <c r="F1618" s="10" t="s">
        <v>5254</v>
      </c>
      <c r="G1618" s="12" t="s">
        <v>5251</v>
      </c>
      <c r="H1618" s="10" t="s">
        <v>791</v>
      </c>
      <c r="I1618" s="10" t="s">
        <v>354</v>
      </c>
      <c r="J1618" s="12" t="s">
        <v>355</v>
      </c>
      <c r="K1618" s="10" t="s">
        <v>717</v>
      </c>
      <c r="L1618" s="16" t="s">
        <v>45</v>
      </c>
      <c r="M1618" s="10" t="s">
        <v>49</v>
      </c>
      <c r="N1618" s="16" t="s">
        <v>45</v>
      </c>
      <c r="O1618" s="10" t="s">
        <v>50</v>
      </c>
      <c r="P1618" s="9" t="str">
        <f t="shared" si="28"/>
        <v>N/I</v>
      </c>
      <c r="Q1618" s="9" t="str">
        <f t="shared" si="29"/>
        <v>N/I</v>
      </c>
      <c r="R1618" s="9" t="str">
        <f t="shared" si="32"/>
        <v>N/I</v>
      </c>
    </row>
    <row r="1619">
      <c r="A1619" s="11" t="s">
        <v>5248</v>
      </c>
      <c r="B1619" s="32" t="s">
        <v>5249</v>
      </c>
      <c r="C1619" s="12" t="s">
        <v>58</v>
      </c>
      <c r="D1619" s="27">
        <v>57078.0</v>
      </c>
      <c r="E1619" s="10" t="s">
        <v>538</v>
      </c>
      <c r="F1619" s="10" t="s">
        <v>5254</v>
      </c>
      <c r="G1619" s="12" t="s">
        <v>5251</v>
      </c>
      <c r="H1619" s="10" t="s">
        <v>791</v>
      </c>
      <c r="I1619" s="10" t="s">
        <v>354</v>
      </c>
      <c r="J1619" s="12" t="s">
        <v>355</v>
      </c>
      <c r="K1619" s="10" t="s">
        <v>717</v>
      </c>
      <c r="L1619" s="16" t="s">
        <v>45</v>
      </c>
      <c r="M1619" s="10" t="s">
        <v>49</v>
      </c>
      <c r="N1619" s="16" t="s">
        <v>45</v>
      </c>
      <c r="O1619" s="10" t="s">
        <v>50</v>
      </c>
      <c r="P1619" s="9" t="str">
        <f t="shared" si="28"/>
        <v>N/I</v>
      </c>
      <c r="Q1619" s="9" t="str">
        <f t="shared" si="29"/>
        <v>N/I</v>
      </c>
      <c r="R1619" s="9" t="str">
        <f t="shared" si="32"/>
        <v>N/I</v>
      </c>
    </row>
    <row r="1620">
      <c r="A1620" s="11" t="s">
        <v>5255</v>
      </c>
      <c r="B1620" s="11" t="s">
        <v>363</v>
      </c>
      <c r="C1620" s="12" t="s">
        <v>79</v>
      </c>
      <c r="D1620" s="19" t="s">
        <v>5256</v>
      </c>
      <c r="E1620" s="10" t="s">
        <v>387</v>
      </c>
      <c r="F1620" s="10" t="s">
        <v>5259</v>
      </c>
      <c r="G1620" s="12" t="s">
        <v>365</v>
      </c>
      <c r="H1620" s="10" t="s">
        <v>216</v>
      </c>
      <c r="I1620" s="16" t="s">
        <v>45</v>
      </c>
      <c r="J1620" s="12" t="s">
        <v>46</v>
      </c>
      <c r="K1620" s="10" t="s">
        <v>226</v>
      </c>
      <c r="L1620" s="16" t="s">
        <v>45</v>
      </c>
      <c r="M1620" s="10" t="s">
        <v>49</v>
      </c>
      <c r="N1620" s="10" t="s">
        <v>5260</v>
      </c>
      <c r="O1620" s="10" t="s">
        <v>320</v>
      </c>
      <c r="P1620" s="9" t="str">
        <f t="shared" si="28"/>
        <v>N/I</v>
      </c>
      <c r="Q1620" s="9" t="str">
        <f t="shared" si="29"/>
        <v>N/I</v>
      </c>
      <c r="R1620" s="9" t="str">
        <f t="shared" si="32"/>
        <v>N/I</v>
      </c>
    </row>
    <row r="1621">
      <c r="A1621" s="11" t="s">
        <v>5255</v>
      </c>
      <c r="B1621" s="11" t="s">
        <v>363</v>
      </c>
      <c r="C1621" s="12" t="s">
        <v>79</v>
      </c>
      <c r="D1621" s="19" t="s">
        <v>5261</v>
      </c>
      <c r="E1621" s="10" t="s">
        <v>387</v>
      </c>
      <c r="F1621" s="10" t="s">
        <v>5259</v>
      </c>
      <c r="G1621" s="12" t="s">
        <v>365</v>
      </c>
      <c r="H1621" s="10" t="s">
        <v>216</v>
      </c>
      <c r="I1621" s="16" t="s">
        <v>45</v>
      </c>
      <c r="J1621" s="12" t="s">
        <v>46</v>
      </c>
      <c r="K1621" s="10" t="s">
        <v>226</v>
      </c>
      <c r="L1621" s="16" t="s">
        <v>45</v>
      </c>
      <c r="M1621" s="10" t="s">
        <v>49</v>
      </c>
      <c r="N1621" s="10" t="s">
        <v>5260</v>
      </c>
      <c r="O1621" s="10" t="s">
        <v>320</v>
      </c>
      <c r="P1621" s="9" t="str">
        <f t="shared" si="28"/>
        <v>N/I</v>
      </c>
      <c r="Q1621" s="9" t="str">
        <f t="shared" si="29"/>
        <v>N/I</v>
      </c>
      <c r="R1621" s="9" t="str">
        <f t="shared" si="32"/>
        <v>N/I</v>
      </c>
    </row>
    <row r="1622">
      <c r="A1622" s="11" t="s">
        <v>5262</v>
      </c>
      <c r="B1622" s="32" t="s">
        <v>5263</v>
      </c>
      <c r="C1622" s="12" t="s">
        <v>68</v>
      </c>
      <c r="D1622" s="42" t="s">
        <v>5264</v>
      </c>
      <c r="E1622" s="10" t="s">
        <v>227</v>
      </c>
      <c r="F1622" s="10" t="s">
        <v>5267</v>
      </c>
      <c r="G1622" s="12" t="s">
        <v>365</v>
      </c>
      <c r="H1622" s="10" t="s">
        <v>216</v>
      </c>
      <c r="I1622" s="10" t="s">
        <v>354</v>
      </c>
      <c r="J1622" s="12" t="s">
        <v>355</v>
      </c>
      <c r="K1622" s="10" t="s">
        <v>717</v>
      </c>
      <c r="L1622" s="16" t="s">
        <v>45</v>
      </c>
      <c r="M1622" s="16" t="s">
        <v>45</v>
      </c>
      <c r="N1622" s="16" t="s">
        <v>45</v>
      </c>
      <c r="O1622" s="10" t="s">
        <v>50</v>
      </c>
      <c r="P1622" s="9" t="str">
        <f t="shared" si="28"/>
        <v>N/I</v>
      </c>
      <c r="Q1622" s="9" t="str">
        <f t="shared" si="29"/>
        <v>N/I</v>
      </c>
      <c r="R1622" s="9" t="str">
        <f t="shared" si="32"/>
        <v>N/I</v>
      </c>
    </row>
    <row r="1623">
      <c r="A1623" s="11" t="s">
        <v>5268</v>
      </c>
      <c r="B1623" s="11" t="s">
        <v>5269</v>
      </c>
      <c r="C1623" s="12" t="s">
        <v>711</v>
      </c>
      <c r="D1623" s="23" t="s">
        <v>5270</v>
      </c>
      <c r="E1623" s="16" t="s">
        <v>45</v>
      </c>
      <c r="F1623" s="10" t="s">
        <v>5274</v>
      </c>
      <c r="G1623" s="12" t="s">
        <v>5271</v>
      </c>
      <c r="H1623" s="10" t="s">
        <v>262</v>
      </c>
      <c r="I1623" s="16" t="s">
        <v>45</v>
      </c>
      <c r="J1623" s="10" t="s">
        <v>318</v>
      </c>
      <c r="K1623" s="10" t="s">
        <v>319</v>
      </c>
      <c r="L1623" s="16" t="s">
        <v>45</v>
      </c>
      <c r="M1623" s="10" t="s">
        <v>49</v>
      </c>
      <c r="N1623" s="16" t="s">
        <v>45</v>
      </c>
      <c r="O1623" s="16" t="s">
        <v>45</v>
      </c>
      <c r="P1623" s="9" t="str">
        <f t="shared" si="28"/>
        <v>N/I</v>
      </c>
      <c r="Q1623" s="9" t="str">
        <f t="shared" si="29"/>
        <v>N/I</v>
      </c>
      <c r="R1623" s="9" t="str">
        <f t="shared" si="32"/>
        <v>N/I</v>
      </c>
    </row>
    <row r="1624">
      <c r="A1624" s="11" t="s">
        <v>5275</v>
      </c>
      <c r="B1624" s="32" t="s">
        <v>5276</v>
      </c>
      <c r="C1624" s="12" t="s">
        <v>94</v>
      </c>
      <c r="D1624" s="20" t="s">
        <v>5277</v>
      </c>
      <c r="E1624" s="10" t="s">
        <v>442</v>
      </c>
      <c r="F1624" s="10" t="s">
        <v>5280</v>
      </c>
      <c r="G1624" s="12" t="s">
        <v>2456</v>
      </c>
      <c r="H1624" s="10" t="s">
        <v>216</v>
      </c>
      <c r="I1624" s="10" t="s">
        <v>290</v>
      </c>
      <c r="J1624" s="12" t="s">
        <v>46</v>
      </c>
      <c r="K1624" s="10" t="s">
        <v>441</v>
      </c>
      <c r="L1624" s="16" t="s">
        <v>45</v>
      </c>
      <c r="M1624" s="10" t="s">
        <v>49</v>
      </c>
      <c r="N1624" s="10" t="s">
        <v>2893</v>
      </c>
      <c r="O1624" s="10" t="s">
        <v>50</v>
      </c>
      <c r="P1624" s="9" t="str">
        <f t="shared" si="28"/>
        <v>N/I</v>
      </c>
      <c r="Q1624" s="9" t="str">
        <f t="shared" si="29"/>
        <v>N/I</v>
      </c>
      <c r="R1624" s="9" t="str">
        <f t="shared" si="32"/>
        <v>N/I</v>
      </c>
    </row>
    <row r="1625">
      <c r="A1625" s="11" t="s">
        <v>5281</v>
      </c>
      <c r="B1625" s="32" t="s">
        <v>5282</v>
      </c>
      <c r="C1625" s="12" t="s">
        <v>94</v>
      </c>
      <c r="D1625" s="20" t="s">
        <v>5283</v>
      </c>
      <c r="E1625" s="10" t="s">
        <v>442</v>
      </c>
      <c r="F1625" s="10" t="s">
        <v>5286</v>
      </c>
      <c r="G1625" s="12" t="s">
        <v>1557</v>
      </c>
      <c r="H1625" s="10" t="s">
        <v>283</v>
      </c>
      <c r="I1625" s="10" t="s">
        <v>290</v>
      </c>
      <c r="J1625" s="12" t="s">
        <v>46</v>
      </c>
      <c r="K1625" s="10" t="s">
        <v>441</v>
      </c>
      <c r="L1625" s="16" t="s">
        <v>45</v>
      </c>
      <c r="M1625" s="10" t="s">
        <v>49</v>
      </c>
      <c r="N1625" s="16" t="s">
        <v>45</v>
      </c>
      <c r="O1625" s="10" t="s">
        <v>50</v>
      </c>
      <c r="P1625" s="9" t="str">
        <f t="shared" si="28"/>
        <v>N/I</v>
      </c>
      <c r="Q1625" s="9" t="str">
        <f t="shared" si="29"/>
        <v>N/I</v>
      </c>
      <c r="R1625" s="9" t="str">
        <f t="shared" si="32"/>
        <v>N/I</v>
      </c>
    </row>
    <row r="1626">
      <c r="A1626" s="11" t="s">
        <v>5287</v>
      </c>
      <c r="B1626" s="32"/>
      <c r="C1626" s="12" t="s">
        <v>94</v>
      </c>
      <c r="D1626" s="42" t="s">
        <v>5288</v>
      </c>
      <c r="E1626" s="10" t="s">
        <v>291</v>
      </c>
      <c r="F1626" s="10" t="s">
        <v>5292</v>
      </c>
      <c r="G1626" s="12" t="s">
        <v>5289</v>
      </c>
      <c r="H1626" s="10" t="s">
        <v>197</v>
      </c>
      <c r="I1626" s="10" t="s">
        <v>354</v>
      </c>
      <c r="J1626" s="10" t="s">
        <v>318</v>
      </c>
      <c r="K1626" s="10" t="s">
        <v>319</v>
      </c>
      <c r="L1626" s="10" t="s">
        <v>2893</v>
      </c>
      <c r="M1626" s="10" t="s">
        <v>49</v>
      </c>
      <c r="N1626" s="16" t="s">
        <v>45</v>
      </c>
      <c r="O1626" s="10" t="s">
        <v>50</v>
      </c>
      <c r="P1626" s="9" t="str">
        <f t="shared" si="28"/>
        <v>N/I</v>
      </c>
      <c r="Q1626" s="9" t="str">
        <f t="shared" si="29"/>
        <v>N/I</v>
      </c>
      <c r="R1626" s="9" t="str">
        <f t="shared" si="32"/>
        <v>N/I</v>
      </c>
    </row>
    <row r="1627">
      <c r="A1627" s="11" t="s">
        <v>5287</v>
      </c>
      <c r="B1627" s="32" t="s">
        <v>5293</v>
      </c>
      <c r="C1627" s="12" t="s">
        <v>94</v>
      </c>
      <c r="D1627" s="42" t="s">
        <v>5294</v>
      </c>
      <c r="E1627" s="10" t="s">
        <v>291</v>
      </c>
      <c r="F1627" s="10" t="s">
        <v>5292</v>
      </c>
      <c r="G1627" s="12" t="s">
        <v>5289</v>
      </c>
      <c r="H1627" s="10" t="s">
        <v>197</v>
      </c>
      <c r="I1627" s="10" t="s">
        <v>354</v>
      </c>
      <c r="J1627" s="10" t="s">
        <v>318</v>
      </c>
      <c r="K1627" s="10" t="s">
        <v>319</v>
      </c>
      <c r="L1627" s="10" t="s">
        <v>2893</v>
      </c>
      <c r="M1627" s="10" t="s">
        <v>49</v>
      </c>
      <c r="N1627" s="16" t="s">
        <v>45</v>
      </c>
      <c r="O1627" s="10" t="s">
        <v>50</v>
      </c>
      <c r="P1627" s="9" t="str">
        <f t="shared" si="28"/>
        <v>N/I</v>
      </c>
      <c r="Q1627" s="9" t="str">
        <f t="shared" si="29"/>
        <v>N/I</v>
      </c>
      <c r="R1627" s="9" t="str">
        <f t="shared" si="32"/>
        <v>N/I</v>
      </c>
    </row>
    <row r="1628">
      <c r="A1628" s="11" t="s">
        <v>5295</v>
      </c>
      <c r="B1628" s="11" t="s">
        <v>5296</v>
      </c>
      <c r="C1628" s="12" t="s">
        <v>79</v>
      </c>
      <c r="D1628" s="23">
        <v>180057.0</v>
      </c>
      <c r="E1628" s="10" t="s">
        <v>291</v>
      </c>
      <c r="F1628" s="10" t="s">
        <v>5297</v>
      </c>
      <c r="G1628" s="12" t="s">
        <v>324</v>
      </c>
      <c r="H1628" s="10" t="s">
        <v>197</v>
      </c>
      <c r="I1628" s="16" t="s">
        <v>45</v>
      </c>
      <c r="J1628" s="10" t="s">
        <v>318</v>
      </c>
      <c r="K1628" s="10" t="s">
        <v>319</v>
      </c>
      <c r="L1628" s="16" t="s">
        <v>45</v>
      </c>
      <c r="M1628" s="10" t="s">
        <v>49</v>
      </c>
      <c r="N1628" s="16" t="s">
        <v>45</v>
      </c>
      <c r="O1628" s="16" t="s">
        <v>45</v>
      </c>
      <c r="P1628" s="9" t="str">
        <f t="shared" si="28"/>
        <v>N/I</v>
      </c>
      <c r="Q1628" s="9" t="str">
        <f t="shared" si="29"/>
        <v>N/I</v>
      </c>
      <c r="R1628" s="9" t="str">
        <f t="shared" si="32"/>
        <v>N/I</v>
      </c>
    </row>
    <row r="1629">
      <c r="A1629" s="11" t="s">
        <v>5295</v>
      </c>
      <c r="B1629" s="11" t="s">
        <v>5296</v>
      </c>
      <c r="C1629" s="12" t="s">
        <v>79</v>
      </c>
      <c r="D1629" s="23">
        <v>180060.0</v>
      </c>
      <c r="E1629" s="10" t="s">
        <v>291</v>
      </c>
      <c r="F1629" s="10" t="s">
        <v>5297</v>
      </c>
      <c r="G1629" s="12" t="s">
        <v>324</v>
      </c>
      <c r="H1629" s="10" t="s">
        <v>197</v>
      </c>
      <c r="I1629" s="16" t="s">
        <v>45</v>
      </c>
      <c r="J1629" s="10" t="s">
        <v>318</v>
      </c>
      <c r="K1629" s="10" t="s">
        <v>319</v>
      </c>
      <c r="L1629" s="16" t="s">
        <v>45</v>
      </c>
      <c r="M1629" s="10" t="s">
        <v>49</v>
      </c>
      <c r="N1629" s="16" t="s">
        <v>45</v>
      </c>
      <c r="O1629" s="16" t="s">
        <v>45</v>
      </c>
      <c r="P1629" s="9" t="str">
        <f t="shared" si="28"/>
        <v>N/I</v>
      </c>
      <c r="Q1629" s="9" t="str">
        <f t="shared" si="29"/>
        <v>N/I</v>
      </c>
      <c r="R1629" s="9" t="str">
        <f t="shared" si="32"/>
        <v>N/I</v>
      </c>
    </row>
    <row r="1630">
      <c r="A1630" s="11" t="s">
        <v>5295</v>
      </c>
      <c r="B1630" s="11" t="s">
        <v>5296</v>
      </c>
      <c r="C1630" s="12" t="s">
        <v>79</v>
      </c>
      <c r="D1630" s="23">
        <v>180076.0</v>
      </c>
      <c r="E1630" s="10" t="s">
        <v>291</v>
      </c>
      <c r="F1630" s="10" t="s">
        <v>5297</v>
      </c>
      <c r="G1630" s="12" t="s">
        <v>324</v>
      </c>
      <c r="H1630" s="10" t="s">
        <v>197</v>
      </c>
      <c r="I1630" s="16" t="s">
        <v>45</v>
      </c>
      <c r="J1630" s="10" t="s">
        <v>318</v>
      </c>
      <c r="K1630" s="10" t="s">
        <v>319</v>
      </c>
      <c r="L1630" s="16" t="s">
        <v>45</v>
      </c>
      <c r="M1630" s="10" t="s">
        <v>49</v>
      </c>
      <c r="N1630" s="16" t="s">
        <v>45</v>
      </c>
      <c r="O1630" s="16" t="s">
        <v>45</v>
      </c>
      <c r="P1630" s="9" t="str">
        <f t="shared" si="28"/>
        <v>N/I</v>
      </c>
      <c r="Q1630" s="9" t="str">
        <f t="shared" si="29"/>
        <v>N/I</v>
      </c>
      <c r="R1630" s="9" t="str">
        <f t="shared" si="32"/>
        <v>N/I</v>
      </c>
    </row>
    <row r="1631">
      <c r="A1631" s="11" t="s">
        <v>5295</v>
      </c>
      <c r="B1631" s="11" t="s">
        <v>5296</v>
      </c>
      <c r="C1631" s="12" t="s">
        <v>52</v>
      </c>
      <c r="D1631" s="23" t="s">
        <v>5298</v>
      </c>
      <c r="E1631" s="10" t="s">
        <v>48</v>
      </c>
      <c r="F1631" s="10" t="s">
        <v>5300</v>
      </c>
      <c r="G1631" s="12" t="s">
        <v>324</v>
      </c>
      <c r="H1631" s="10" t="s">
        <v>197</v>
      </c>
      <c r="I1631" s="10" t="s">
        <v>680</v>
      </c>
      <c r="J1631" s="12" t="s">
        <v>355</v>
      </c>
      <c r="K1631" s="10" t="s">
        <v>227</v>
      </c>
      <c r="L1631" s="16" t="s">
        <v>45</v>
      </c>
      <c r="M1631" s="10" t="s">
        <v>49</v>
      </c>
      <c r="N1631" s="10" t="s">
        <v>5301</v>
      </c>
      <c r="O1631" s="10" t="s">
        <v>50</v>
      </c>
      <c r="P1631" s="9" t="str">
        <f t="shared" si="28"/>
        <v>N/I</v>
      </c>
      <c r="Q1631" s="9" t="str">
        <f t="shared" si="29"/>
        <v>N/I</v>
      </c>
      <c r="R1631" s="9" t="str">
        <f t="shared" si="32"/>
        <v>N/I</v>
      </c>
    </row>
    <row r="1632">
      <c r="A1632" s="11" t="s">
        <v>5295</v>
      </c>
      <c r="B1632" s="11" t="s">
        <v>5296</v>
      </c>
      <c r="C1632" s="12" t="s">
        <v>52</v>
      </c>
      <c r="D1632" s="23" t="s">
        <v>5302</v>
      </c>
      <c r="E1632" s="10" t="s">
        <v>48</v>
      </c>
      <c r="F1632" s="10" t="s">
        <v>5300</v>
      </c>
      <c r="G1632" s="12" t="s">
        <v>324</v>
      </c>
      <c r="H1632" s="10" t="s">
        <v>197</v>
      </c>
      <c r="I1632" s="10" t="s">
        <v>680</v>
      </c>
      <c r="J1632" s="12" t="s">
        <v>355</v>
      </c>
      <c r="K1632" s="10" t="s">
        <v>227</v>
      </c>
      <c r="L1632" s="16" t="s">
        <v>45</v>
      </c>
      <c r="M1632" s="10" t="s">
        <v>49</v>
      </c>
      <c r="N1632" s="10" t="s">
        <v>5301</v>
      </c>
      <c r="O1632" s="10" t="s">
        <v>50</v>
      </c>
      <c r="P1632" s="9" t="str">
        <f t="shared" si="28"/>
        <v>N/I</v>
      </c>
      <c r="Q1632" s="9" t="str">
        <f t="shared" si="29"/>
        <v>N/I</v>
      </c>
      <c r="R1632" s="9" t="str">
        <f t="shared" si="32"/>
        <v>N/I</v>
      </c>
    </row>
    <row r="1633">
      <c r="A1633" s="11" t="s">
        <v>5295</v>
      </c>
      <c r="B1633" s="11" t="s">
        <v>5296</v>
      </c>
      <c r="C1633" s="12" t="s">
        <v>52</v>
      </c>
      <c r="D1633" s="19" t="s">
        <v>5303</v>
      </c>
      <c r="E1633" s="12" t="s">
        <v>5305</v>
      </c>
      <c r="F1633" s="10" t="s">
        <v>5304</v>
      </c>
      <c r="G1633" s="12" t="s">
        <v>324</v>
      </c>
      <c r="H1633" s="10" t="s">
        <v>197</v>
      </c>
      <c r="I1633" s="10" t="s">
        <v>290</v>
      </c>
      <c r="J1633" s="12" t="s">
        <v>46</v>
      </c>
      <c r="K1633" s="10" t="s">
        <v>227</v>
      </c>
      <c r="L1633" s="10" t="s">
        <v>2893</v>
      </c>
      <c r="M1633" s="10" t="s">
        <v>49</v>
      </c>
      <c r="N1633" s="16" t="s">
        <v>45</v>
      </c>
      <c r="O1633" s="10" t="s">
        <v>50</v>
      </c>
      <c r="P1633" s="9" t="str">
        <f t="shared" si="28"/>
        <v>N/I</v>
      </c>
      <c r="Q1633" s="9" t="str">
        <f t="shared" si="29"/>
        <v>N/I</v>
      </c>
      <c r="R1633" s="9" t="str">
        <f t="shared" si="32"/>
        <v>N/I</v>
      </c>
    </row>
    <row r="1634">
      <c r="A1634" s="11" t="s">
        <v>5295</v>
      </c>
      <c r="B1634" s="11" t="s">
        <v>5296</v>
      </c>
      <c r="C1634" s="12" t="s">
        <v>52</v>
      </c>
      <c r="D1634" s="19" t="s">
        <v>5306</v>
      </c>
      <c r="E1634" s="12" t="s">
        <v>5305</v>
      </c>
      <c r="F1634" s="10" t="s">
        <v>5304</v>
      </c>
      <c r="G1634" s="12" t="s">
        <v>324</v>
      </c>
      <c r="H1634" s="10" t="s">
        <v>197</v>
      </c>
      <c r="I1634" s="10" t="s">
        <v>290</v>
      </c>
      <c r="J1634" s="12" t="s">
        <v>46</v>
      </c>
      <c r="K1634" s="10" t="s">
        <v>227</v>
      </c>
      <c r="L1634" s="10" t="s">
        <v>2893</v>
      </c>
      <c r="M1634" s="10" t="s">
        <v>49</v>
      </c>
      <c r="N1634" s="16" t="s">
        <v>45</v>
      </c>
      <c r="O1634" s="10" t="s">
        <v>50</v>
      </c>
      <c r="P1634" s="9" t="str">
        <f t="shared" si="28"/>
        <v>N/I</v>
      </c>
      <c r="Q1634" s="9" t="str">
        <f t="shared" si="29"/>
        <v>N/I</v>
      </c>
      <c r="R1634" s="9" t="str">
        <f t="shared" si="32"/>
        <v>N/I</v>
      </c>
    </row>
    <row r="1635">
      <c r="A1635" s="11" t="s">
        <v>5295</v>
      </c>
      <c r="B1635" s="11" t="s">
        <v>5296</v>
      </c>
      <c r="C1635" s="12" t="s">
        <v>52</v>
      </c>
      <c r="D1635" s="19" t="s">
        <v>5307</v>
      </c>
      <c r="E1635" s="12" t="s">
        <v>5305</v>
      </c>
      <c r="F1635" s="10" t="s">
        <v>5304</v>
      </c>
      <c r="G1635" s="12" t="s">
        <v>324</v>
      </c>
      <c r="H1635" s="10" t="s">
        <v>197</v>
      </c>
      <c r="I1635" s="10" t="s">
        <v>290</v>
      </c>
      <c r="J1635" s="12" t="s">
        <v>46</v>
      </c>
      <c r="K1635" s="10" t="s">
        <v>227</v>
      </c>
      <c r="L1635" s="10" t="s">
        <v>2893</v>
      </c>
      <c r="M1635" s="10" t="s">
        <v>49</v>
      </c>
      <c r="N1635" s="16" t="s">
        <v>45</v>
      </c>
      <c r="O1635" s="10" t="s">
        <v>50</v>
      </c>
      <c r="P1635" s="9" t="str">
        <f t="shared" si="28"/>
        <v>N/I</v>
      </c>
      <c r="Q1635" s="9" t="str">
        <f t="shared" si="29"/>
        <v>N/I</v>
      </c>
      <c r="R1635" s="9" t="str">
        <f t="shared" si="32"/>
        <v>N/I</v>
      </c>
    </row>
    <row r="1636">
      <c r="A1636" s="11" t="s">
        <v>5295</v>
      </c>
      <c r="B1636" s="11" t="s">
        <v>5296</v>
      </c>
      <c r="C1636" s="12" t="s">
        <v>52</v>
      </c>
      <c r="D1636" s="19" t="s">
        <v>5308</v>
      </c>
      <c r="E1636" s="12" t="s">
        <v>5305</v>
      </c>
      <c r="F1636" s="10" t="s">
        <v>5304</v>
      </c>
      <c r="G1636" s="12" t="s">
        <v>324</v>
      </c>
      <c r="H1636" s="10" t="s">
        <v>197</v>
      </c>
      <c r="I1636" s="10" t="s">
        <v>290</v>
      </c>
      <c r="J1636" s="12" t="s">
        <v>46</v>
      </c>
      <c r="K1636" s="10" t="s">
        <v>227</v>
      </c>
      <c r="L1636" s="10" t="s">
        <v>2893</v>
      </c>
      <c r="M1636" s="10" t="s">
        <v>49</v>
      </c>
      <c r="N1636" s="16" t="s">
        <v>45</v>
      </c>
      <c r="O1636" s="10" t="s">
        <v>50</v>
      </c>
      <c r="P1636" s="9" t="str">
        <f t="shared" si="28"/>
        <v>N/I</v>
      </c>
      <c r="Q1636" s="9" t="str">
        <f t="shared" si="29"/>
        <v>N/I</v>
      </c>
      <c r="R1636" s="9" t="str">
        <f t="shared" si="32"/>
        <v>N/I</v>
      </c>
    </row>
    <row r="1637">
      <c r="A1637" s="11" t="s">
        <v>5295</v>
      </c>
      <c r="B1637" s="11" t="s">
        <v>5296</v>
      </c>
      <c r="C1637" s="12" t="s">
        <v>167</v>
      </c>
      <c r="D1637" s="27" t="s">
        <v>5309</v>
      </c>
      <c r="E1637" s="12" t="s">
        <v>5305</v>
      </c>
      <c r="F1637" s="10" t="s">
        <v>5310</v>
      </c>
      <c r="G1637" s="12" t="s">
        <v>324</v>
      </c>
      <c r="H1637" s="10" t="s">
        <v>197</v>
      </c>
      <c r="I1637" s="10" t="s">
        <v>290</v>
      </c>
      <c r="J1637" s="12" t="s">
        <v>46</v>
      </c>
      <c r="K1637" s="10" t="s">
        <v>227</v>
      </c>
      <c r="L1637" s="10" t="s">
        <v>2893</v>
      </c>
      <c r="M1637" s="10" t="s">
        <v>49</v>
      </c>
      <c r="N1637" s="16" t="s">
        <v>45</v>
      </c>
      <c r="O1637" s="10" t="s">
        <v>50</v>
      </c>
      <c r="P1637" s="9" t="str">
        <f t="shared" si="28"/>
        <v>N/I</v>
      </c>
      <c r="Q1637" s="9" t="str">
        <f t="shared" si="29"/>
        <v>N/I</v>
      </c>
      <c r="R1637" s="9" t="str">
        <f t="shared" si="32"/>
        <v>N/I</v>
      </c>
    </row>
    <row r="1638">
      <c r="A1638" s="11" t="s">
        <v>5295</v>
      </c>
      <c r="B1638" s="11" t="s">
        <v>5296</v>
      </c>
      <c r="C1638" s="12" t="s">
        <v>167</v>
      </c>
      <c r="D1638" s="27" t="s">
        <v>5311</v>
      </c>
      <c r="E1638" s="12" t="s">
        <v>5305</v>
      </c>
      <c r="F1638" s="10" t="s">
        <v>5310</v>
      </c>
      <c r="G1638" s="12" t="s">
        <v>324</v>
      </c>
      <c r="H1638" s="10" t="s">
        <v>197</v>
      </c>
      <c r="I1638" s="10" t="s">
        <v>290</v>
      </c>
      <c r="J1638" s="12" t="s">
        <v>46</v>
      </c>
      <c r="K1638" s="10" t="s">
        <v>227</v>
      </c>
      <c r="L1638" s="10" t="s">
        <v>2893</v>
      </c>
      <c r="M1638" s="10" t="s">
        <v>49</v>
      </c>
      <c r="N1638" s="16" t="s">
        <v>45</v>
      </c>
      <c r="O1638" s="10" t="s">
        <v>50</v>
      </c>
      <c r="P1638" s="9" t="str">
        <f t="shared" si="28"/>
        <v>N/I</v>
      </c>
      <c r="Q1638" s="9" t="str">
        <f t="shared" si="29"/>
        <v>N/I</v>
      </c>
      <c r="R1638" s="9" t="str">
        <f t="shared" si="32"/>
        <v>N/I</v>
      </c>
    </row>
    <row r="1639">
      <c r="A1639" s="11" t="s">
        <v>5295</v>
      </c>
      <c r="B1639" s="11" t="s">
        <v>5296</v>
      </c>
      <c r="C1639" s="12" t="s">
        <v>167</v>
      </c>
      <c r="D1639" s="27" t="s">
        <v>5312</v>
      </c>
      <c r="E1639" s="12" t="s">
        <v>5305</v>
      </c>
      <c r="F1639" s="10" t="s">
        <v>5310</v>
      </c>
      <c r="G1639" s="12" t="s">
        <v>324</v>
      </c>
      <c r="H1639" s="10" t="s">
        <v>197</v>
      </c>
      <c r="I1639" s="10" t="s">
        <v>290</v>
      </c>
      <c r="J1639" s="12" t="s">
        <v>46</v>
      </c>
      <c r="K1639" s="10" t="s">
        <v>227</v>
      </c>
      <c r="L1639" s="10" t="s">
        <v>2893</v>
      </c>
      <c r="M1639" s="10" t="s">
        <v>49</v>
      </c>
      <c r="N1639" s="16" t="s">
        <v>45</v>
      </c>
      <c r="O1639" s="10" t="s">
        <v>50</v>
      </c>
      <c r="P1639" s="9" t="str">
        <f t="shared" si="28"/>
        <v>N/I</v>
      </c>
      <c r="Q1639" s="9" t="str">
        <f t="shared" si="29"/>
        <v>N/I</v>
      </c>
      <c r="R1639" s="9" t="str">
        <f t="shared" si="32"/>
        <v>N/I</v>
      </c>
    </row>
    <row r="1640">
      <c r="A1640" s="11" t="s">
        <v>5295</v>
      </c>
      <c r="B1640" s="11" t="s">
        <v>5296</v>
      </c>
      <c r="C1640" s="12" t="s">
        <v>167</v>
      </c>
      <c r="D1640" s="27" t="s">
        <v>5313</v>
      </c>
      <c r="E1640" s="12" t="s">
        <v>5305</v>
      </c>
      <c r="F1640" s="10" t="s">
        <v>5310</v>
      </c>
      <c r="G1640" s="12" t="s">
        <v>324</v>
      </c>
      <c r="H1640" s="10" t="s">
        <v>197</v>
      </c>
      <c r="I1640" s="10" t="s">
        <v>290</v>
      </c>
      <c r="J1640" s="12" t="s">
        <v>46</v>
      </c>
      <c r="K1640" s="10" t="s">
        <v>227</v>
      </c>
      <c r="L1640" s="10" t="s">
        <v>2893</v>
      </c>
      <c r="M1640" s="10" t="s">
        <v>49</v>
      </c>
      <c r="N1640" s="16" t="s">
        <v>45</v>
      </c>
      <c r="O1640" s="10" t="s">
        <v>50</v>
      </c>
      <c r="P1640" s="9" t="str">
        <f t="shared" si="28"/>
        <v>N/I</v>
      </c>
      <c r="Q1640" s="9" t="str">
        <f t="shared" si="29"/>
        <v>N/I</v>
      </c>
      <c r="R1640" s="9" t="str">
        <f t="shared" si="32"/>
        <v>N/I</v>
      </c>
    </row>
    <row r="1641">
      <c r="A1641" s="11" t="s">
        <v>5314</v>
      </c>
      <c r="B1641" s="11" t="s">
        <v>5315</v>
      </c>
      <c r="C1641" s="12" t="s">
        <v>52</v>
      </c>
      <c r="D1641" s="19" t="s">
        <v>5316</v>
      </c>
      <c r="E1641" s="10" t="s">
        <v>227</v>
      </c>
      <c r="F1641" s="10" t="s">
        <v>5319</v>
      </c>
      <c r="G1641" s="12" t="s">
        <v>720</v>
      </c>
      <c r="H1641" s="10" t="s">
        <v>721</v>
      </c>
      <c r="I1641" s="16" t="s">
        <v>45</v>
      </c>
      <c r="J1641" s="12" t="s">
        <v>46</v>
      </c>
      <c r="K1641" s="10" t="s">
        <v>226</v>
      </c>
      <c r="L1641" s="16" t="s">
        <v>45</v>
      </c>
      <c r="M1641" s="16" t="s">
        <v>45</v>
      </c>
      <c r="N1641" s="16" t="s">
        <v>45</v>
      </c>
      <c r="O1641" s="16" t="s">
        <v>45</v>
      </c>
      <c r="P1641" s="9" t="str">
        <f t="shared" si="28"/>
        <v>N/I</v>
      </c>
      <c r="Q1641" s="9" t="str">
        <f t="shared" si="29"/>
        <v>N/I</v>
      </c>
      <c r="R1641" s="9" t="str">
        <f t="shared" si="32"/>
        <v>N/I</v>
      </c>
    </row>
    <row r="1642">
      <c r="A1642" s="11" t="s">
        <v>5320</v>
      </c>
      <c r="B1642" s="32" t="s">
        <v>5321</v>
      </c>
      <c r="C1642" s="12" t="s">
        <v>94</v>
      </c>
      <c r="D1642" s="20" t="s">
        <v>5322</v>
      </c>
      <c r="E1642" s="10" t="s">
        <v>291</v>
      </c>
      <c r="F1642" s="10" t="s">
        <v>5325</v>
      </c>
      <c r="G1642" s="12" t="s">
        <v>1626</v>
      </c>
      <c r="H1642" s="10" t="s">
        <v>283</v>
      </c>
      <c r="I1642" s="16" t="s">
        <v>45</v>
      </c>
      <c r="J1642" s="12" t="s">
        <v>46</v>
      </c>
      <c r="K1642" s="10" t="s">
        <v>291</v>
      </c>
      <c r="L1642" s="16" t="s">
        <v>45</v>
      </c>
      <c r="M1642" s="10" t="s">
        <v>2289</v>
      </c>
      <c r="N1642" s="10" t="s">
        <v>319</v>
      </c>
      <c r="O1642" s="10" t="s">
        <v>50</v>
      </c>
      <c r="P1642" s="9" t="str">
        <f t="shared" si="28"/>
        <v>N/I</v>
      </c>
      <c r="Q1642" s="9" t="str">
        <f t="shared" si="29"/>
        <v>N/I</v>
      </c>
      <c r="R1642" s="9" t="str">
        <f t="shared" si="32"/>
        <v>N/I</v>
      </c>
    </row>
    <row r="1643">
      <c r="A1643" s="11" t="s">
        <v>5326</v>
      </c>
      <c r="B1643" s="32" t="s">
        <v>5327</v>
      </c>
      <c r="C1643" s="12" t="s">
        <v>5328</v>
      </c>
      <c r="D1643" s="16" t="s">
        <v>5329</v>
      </c>
      <c r="E1643" s="10" t="s">
        <v>4637</v>
      </c>
      <c r="F1643" s="10" t="s">
        <v>5332</v>
      </c>
      <c r="G1643" s="12" t="s">
        <v>380</v>
      </c>
      <c r="H1643" s="10" t="s">
        <v>197</v>
      </c>
      <c r="I1643" s="10" t="s">
        <v>680</v>
      </c>
      <c r="J1643" s="16" t="s">
        <v>45</v>
      </c>
      <c r="K1643" s="16" t="s">
        <v>45</v>
      </c>
      <c r="L1643" s="16" t="s">
        <v>45</v>
      </c>
      <c r="M1643" s="10" t="s">
        <v>49</v>
      </c>
      <c r="N1643" s="10" t="s">
        <v>342</v>
      </c>
      <c r="O1643" s="10" t="s">
        <v>50</v>
      </c>
      <c r="P1643" s="9" t="str">
        <f t="shared" si="28"/>
        <v>N/I</v>
      </c>
      <c r="Q1643" s="9" t="str">
        <f t="shared" si="29"/>
        <v>N/I</v>
      </c>
      <c r="R1643" s="9" t="str">
        <f t="shared" si="32"/>
        <v>N/I</v>
      </c>
    </row>
    <row r="1644">
      <c r="A1644" s="11" t="s">
        <v>5333</v>
      </c>
      <c r="B1644" s="32" t="s">
        <v>5334</v>
      </c>
      <c r="C1644" s="12" t="s">
        <v>94</v>
      </c>
      <c r="D1644" s="20" t="s">
        <v>5335</v>
      </c>
      <c r="E1644" s="10" t="s">
        <v>227</v>
      </c>
      <c r="F1644" s="10" t="s">
        <v>5338</v>
      </c>
      <c r="G1644" s="12" t="s">
        <v>380</v>
      </c>
      <c r="H1644" s="10" t="s">
        <v>197</v>
      </c>
      <c r="I1644" s="16" t="s">
        <v>45</v>
      </c>
      <c r="J1644" s="10" t="s">
        <v>318</v>
      </c>
      <c r="K1644" s="10" t="s">
        <v>319</v>
      </c>
      <c r="L1644" s="16" t="s">
        <v>45</v>
      </c>
      <c r="M1644" s="10" t="s">
        <v>49</v>
      </c>
      <c r="N1644" s="16" t="s">
        <v>45</v>
      </c>
      <c r="O1644" s="10" t="s">
        <v>50</v>
      </c>
      <c r="P1644" s="9" t="str">
        <f t="shared" si="28"/>
        <v>N/I</v>
      </c>
      <c r="Q1644" s="9" t="str">
        <f t="shared" si="29"/>
        <v>N/I</v>
      </c>
      <c r="R1644" s="9" t="str">
        <f t="shared" si="32"/>
        <v>N/I</v>
      </c>
    </row>
    <row r="1645">
      <c r="A1645" s="11" t="s">
        <v>5333</v>
      </c>
      <c r="B1645" s="32" t="s">
        <v>5334</v>
      </c>
      <c r="C1645" s="12" t="s">
        <v>94</v>
      </c>
      <c r="D1645" s="20" t="s">
        <v>5339</v>
      </c>
      <c r="E1645" s="10" t="s">
        <v>227</v>
      </c>
      <c r="F1645" s="10" t="s">
        <v>5340</v>
      </c>
      <c r="G1645" s="12" t="s">
        <v>380</v>
      </c>
      <c r="H1645" s="10" t="s">
        <v>197</v>
      </c>
      <c r="I1645" s="16" t="s">
        <v>45</v>
      </c>
      <c r="J1645" s="10" t="s">
        <v>318</v>
      </c>
      <c r="K1645" s="10" t="s">
        <v>319</v>
      </c>
      <c r="L1645" s="16" t="s">
        <v>45</v>
      </c>
      <c r="M1645" s="10" t="s">
        <v>49</v>
      </c>
      <c r="N1645" s="16" t="s">
        <v>45</v>
      </c>
      <c r="O1645" s="10" t="s">
        <v>50</v>
      </c>
      <c r="P1645" s="9" t="str">
        <f t="shared" si="28"/>
        <v>N/I</v>
      </c>
      <c r="Q1645" s="9" t="str">
        <f t="shared" si="29"/>
        <v>N/I</v>
      </c>
      <c r="R1645" s="9" t="str">
        <f t="shared" si="32"/>
        <v>N/I</v>
      </c>
    </row>
    <row r="1646">
      <c r="A1646" s="11" t="s">
        <v>5341</v>
      </c>
      <c r="B1646" s="32" t="s">
        <v>5342</v>
      </c>
      <c r="C1646" s="12" t="s">
        <v>94</v>
      </c>
      <c r="D1646" s="20" t="s">
        <v>5343</v>
      </c>
      <c r="E1646" s="10" t="s">
        <v>442</v>
      </c>
      <c r="F1646" s="10" t="s">
        <v>5346</v>
      </c>
      <c r="G1646" s="12" t="s">
        <v>5344</v>
      </c>
      <c r="H1646" s="10" t="s">
        <v>283</v>
      </c>
      <c r="I1646" s="10" t="s">
        <v>706</v>
      </c>
      <c r="J1646" s="12" t="s">
        <v>46</v>
      </c>
      <c r="K1646" s="10" t="s">
        <v>226</v>
      </c>
      <c r="L1646" s="16" t="s">
        <v>45</v>
      </c>
      <c r="M1646" s="10" t="s">
        <v>49</v>
      </c>
      <c r="N1646" s="10" t="s">
        <v>291</v>
      </c>
      <c r="O1646" s="10" t="s">
        <v>50</v>
      </c>
      <c r="P1646" s="9" t="str">
        <f t="shared" si="28"/>
        <v>N/I</v>
      </c>
      <c r="Q1646" s="9" t="str">
        <f t="shared" si="29"/>
        <v>N/I</v>
      </c>
      <c r="R1646" s="9" t="str">
        <f t="shared" si="32"/>
        <v>N/I</v>
      </c>
    </row>
    <row r="1647">
      <c r="A1647" s="11" t="s">
        <v>5347</v>
      </c>
      <c r="B1647" s="32" t="s">
        <v>5348</v>
      </c>
      <c r="C1647" s="12" t="s">
        <v>94</v>
      </c>
      <c r="D1647" s="20" t="s">
        <v>5349</v>
      </c>
      <c r="E1647" s="10" t="s">
        <v>5353</v>
      </c>
      <c r="F1647" s="10" t="s">
        <v>5352</v>
      </c>
      <c r="G1647" s="12" t="s">
        <v>4467</v>
      </c>
      <c r="H1647" s="10" t="s">
        <v>189</v>
      </c>
      <c r="I1647" s="16" t="s">
        <v>45</v>
      </c>
      <c r="J1647" s="12" t="s">
        <v>46</v>
      </c>
      <c r="K1647" s="10" t="s">
        <v>717</v>
      </c>
      <c r="L1647" s="16" t="s">
        <v>45</v>
      </c>
      <c r="M1647" s="10" t="s">
        <v>49</v>
      </c>
      <c r="N1647" s="16" t="s">
        <v>45</v>
      </c>
      <c r="O1647" s="10" t="s">
        <v>50</v>
      </c>
      <c r="P1647" s="9" t="str">
        <f t="shared" si="28"/>
        <v>N/I</v>
      </c>
      <c r="Q1647" s="9" t="str">
        <f t="shared" si="29"/>
        <v>N/I</v>
      </c>
      <c r="R1647" s="9" t="str">
        <f t="shared" si="32"/>
        <v>N/I</v>
      </c>
    </row>
    <row r="1648">
      <c r="A1648" s="11" t="s">
        <v>5354</v>
      </c>
      <c r="B1648" s="32" t="s">
        <v>2555</v>
      </c>
      <c r="C1648" s="12" t="s">
        <v>94</v>
      </c>
      <c r="D1648" s="42" t="s">
        <v>5355</v>
      </c>
      <c r="E1648" s="16" t="s">
        <v>45</v>
      </c>
      <c r="F1648" s="10" t="s">
        <v>5356</v>
      </c>
      <c r="G1648" s="12" t="s">
        <v>1469</v>
      </c>
      <c r="H1648" s="10" t="s">
        <v>208</v>
      </c>
      <c r="I1648" s="16" t="s">
        <v>45</v>
      </c>
      <c r="J1648" s="16" t="s">
        <v>45</v>
      </c>
      <c r="K1648" s="16" t="s">
        <v>45</v>
      </c>
      <c r="L1648" s="16" t="s">
        <v>45</v>
      </c>
      <c r="M1648" s="16" t="s">
        <v>45</v>
      </c>
      <c r="N1648" s="16" t="s">
        <v>45</v>
      </c>
      <c r="O1648" s="16" t="s">
        <v>45</v>
      </c>
      <c r="P1648" s="9" t="str">
        <f t="shared" si="28"/>
        <v>N/I</v>
      </c>
      <c r="Q1648" s="9" t="str">
        <f t="shared" si="29"/>
        <v>N/I</v>
      </c>
      <c r="R1648" s="9" t="str">
        <f t="shared" si="32"/>
        <v>N/I</v>
      </c>
    </row>
    <row r="1649">
      <c r="A1649" s="11" t="s">
        <v>2228</v>
      </c>
      <c r="B1649" s="11" t="s">
        <v>2229</v>
      </c>
      <c r="C1649" s="12" t="s">
        <v>52</v>
      </c>
      <c r="D1649" s="63" t="s">
        <v>187</v>
      </c>
      <c r="E1649" s="30" t="s">
        <v>356</v>
      </c>
      <c r="F1649" s="10" t="s">
        <v>5357</v>
      </c>
      <c r="G1649" s="12" t="s">
        <v>370</v>
      </c>
      <c r="H1649" s="10" t="s">
        <v>89</v>
      </c>
      <c r="I1649" s="10" t="s">
        <v>354</v>
      </c>
      <c r="J1649" s="12" t="s">
        <v>46</v>
      </c>
      <c r="K1649" s="16" t="s">
        <v>45</v>
      </c>
      <c r="L1649" s="16" t="s">
        <v>45</v>
      </c>
      <c r="M1649" s="10" t="s">
        <v>49</v>
      </c>
      <c r="N1649" s="16" t="s">
        <v>45</v>
      </c>
      <c r="O1649" s="10" t="s">
        <v>50</v>
      </c>
      <c r="P1649" s="9" t="str">
        <f t="shared" si="28"/>
        <v>N/I</v>
      </c>
      <c r="Q1649" s="9" t="str">
        <f t="shared" si="29"/>
        <v>N/I</v>
      </c>
      <c r="R1649" s="9" t="str">
        <f t="shared" si="32"/>
        <v>N/I</v>
      </c>
    </row>
    <row r="1650">
      <c r="A1650" s="11" t="s">
        <v>2228</v>
      </c>
      <c r="B1650" s="11" t="s">
        <v>2229</v>
      </c>
      <c r="C1650" s="12" t="s">
        <v>52</v>
      </c>
      <c r="D1650" s="63" t="s">
        <v>187</v>
      </c>
      <c r="E1650" s="30" t="s">
        <v>356</v>
      </c>
      <c r="F1650" s="10" t="s">
        <v>5357</v>
      </c>
      <c r="G1650" s="12" t="s">
        <v>370</v>
      </c>
      <c r="H1650" s="10" t="s">
        <v>89</v>
      </c>
      <c r="I1650" s="10" t="s">
        <v>354</v>
      </c>
      <c r="J1650" s="12" t="s">
        <v>46</v>
      </c>
      <c r="K1650" s="16" t="s">
        <v>45</v>
      </c>
      <c r="L1650" s="16" t="s">
        <v>45</v>
      </c>
      <c r="M1650" s="10" t="s">
        <v>49</v>
      </c>
      <c r="N1650" s="16" t="s">
        <v>45</v>
      </c>
      <c r="O1650" s="10" t="s">
        <v>50</v>
      </c>
      <c r="P1650" s="9" t="str">
        <f t="shared" si="28"/>
        <v>N/I</v>
      </c>
      <c r="Q1650" s="9" t="str">
        <f t="shared" si="29"/>
        <v>N/I</v>
      </c>
      <c r="R1650" s="9" t="str">
        <f t="shared" si="32"/>
        <v>N/I</v>
      </c>
    </row>
    <row r="1651">
      <c r="A1651" s="11" t="s">
        <v>5359</v>
      </c>
      <c r="B1651" s="32" t="s">
        <v>5360</v>
      </c>
      <c r="C1651" s="12" t="s">
        <v>448</v>
      </c>
      <c r="D1651" s="18" t="s">
        <v>5361</v>
      </c>
      <c r="E1651" s="16" t="s">
        <v>45</v>
      </c>
      <c r="F1651" s="10" t="s">
        <v>5364</v>
      </c>
      <c r="G1651" s="12" t="s">
        <v>3477</v>
      </c>
      <c r="H1651" s="10" t="s">
        <v>89</v>
      </c>
      <c r="I1651" s="16" t="s">
        <v>45</v>
      </c>
      <c r="J1651" s="16" t="s">
        <v>45</v>
      </c>
      <c r="K1651" s="16" t="s">
        <v>45</v>
      </c>
      <c r="L1651" s="30" t="s">
        <v>227</v>
      </c>
      <c r="M1651" s="10" t="s">
        <v>49</v>
      </c>
      <c r="N1651" s="16" t="s">
        <v>45</v>
      </c>
      <c r="O1651" s="16" t="s">
        <v>45</v>
      </c>
      <c r="P1651" s="9" t="str">
        <f t="shared" si="28"/>
        <v>N/I</v>
      </c>
      <c r="Q1651" s="9" t="str">
        <f t="shared" si="29"/>
        <v>N/I</v>
      </c>
      <c r="R1651" s="9" t="str">
        <f t="shared" si="32"/>
        <v>N/I</v>
      </c>
    </row>
    <row r="1652">
      <c r="A1652" s="11" t="s">
        <v>5359</v>
      </c>
      <c r="B1652" s="32" t="s">
        <v>5365</v>
      </c>
      <c r="C1652" s="12" t="s">
        <v>448</v>
      </c>
      <c r="D1652" s="18" t="s">
        <v>5366</v>
      </c>
      <c r="E1652" s="16" t="s">
        <v>45</v>
      </c>
      <c r="F1652" s="10" t="s">
        <v>5364</v>
      </c>
      <c r="G1652" s="12" t="s">
        <v>3477</v>
      </c>
      <c r="H1652" s="10" t="s">
        <v>89</v>
      </c>
      <c r="I1652" s="16" t="s">
        <v>45</v>
      </c>
      <c r="J1652" s="16" t="s">
        <v>45</v>
      </c>
      <c r="K1652" s="16" t="s">
        <v>45</v>
      </c>
      <c r="L1652" s="30" t="s">
        <v>227</v>
      </c>
      <c r="M1652" s="10" t="s">
        <v>49</v>
      </c>
      <c r="N1652" s="16" t="s">
        <v>45</v>
      </c>
      <c r="O1652" s="16" t="s">
        <v>45</v>
      </c>
      <c r="P1652" s="9" t="str">
        <f t="shared" si="28"/>
        <v>N/I</v>
      </c>
      <c r="Q1652" s="9" t="str">
        <f t="shared" si="29"/>
        <v>N/I</v>
      </c>
      <c r="R1652" s="9" t="str">
        <f t="shared" si="32"/>
        <v>N/I</v>
      </c>
    </row>
    <row r="1653">
      <c r="A1653" s="11" t="s">
        <v>5359</v>
      </c>
      <c r="B1653" s="32" t="s">
        <v>5369</v>
      </c>
      <c r="C1653" s="12" t="s">
        <v>448</v>
      </c>
      <c r="D1653" s="18" t="s">
        <v>5370</v>
      </c>
      <c r="E1653" s="16" t="s">
        <v>45</v>
      </c>
      <c r="F1653" s="10" t="s">
        <v>5364</v>
      </c>
      <c r="G1653" s="12" t="s">
        <v>88</v>
      </c>
      <c r="H1653" s="10" t="s">
        <v>89</v>
      </c>
      <c r="I1653" s="16" t="s">
        <v>45</v>
      </c>
      <c r="J1653" s="16" t="s">
        <v>45</v>
      </c>
      <c r="K1653" s="16" t="s">
        <v>45</v>
      </c>
      <c r="L1653" s="30" t="s">
        <v>227</v>
      </c>
      <c r="M1653" s="10" t="s">
        <v>49</v>
      </c>
      <c r="N1653" s="16" t="s">
        <v>45</v>
      </c>
      <c r="O1653" s="16" t="s">
        <v>45</v>
      </c>
      <c r="P1653" s="9" t="str">
        <f t="shared" si="28"/>
        <v>N/I</v>
      </c>
      <c r="Q1653" s="9" t="str">
        <f t="shared" si="29"/>
        <v>N/I</v>
      </c>
      <c r="R1653" s="9" t="str">
        <f t="shared" si="32"/>
        <v>N/I</v>
      </c>
    </row>
    <row r="1654">
      <c r="A1654" s="11" t="s">
        <v>5359</v>
      </c>
      <c r="B1654" s="32" t="s">
        <v>5373</v>
      </c>
      <c r="C1654" s="12" t="s">
        <v>448</v>
      </c>
      <c r="D1654" s="18" t="s">
        <v>5374</v>
      </c>
      <c r="E1654" s="16" t="s">
        <v>45</v>
      </c>
      <c r="F1654" s="10" t="s">
        <v>5364</v>
      </c>
      <c r="G1654" s="12" t="s">
        <v>88</v>
      </c>
      <c r="H1654" s="10" t="s">
        <v>89</v>
      </c>
      <c r="I1654" s="16" t="s">
        <v>45</v>
      </c>
      <c r="J1654" s="16" t="s">
        <v>45</v>
      </c>
      <c r="K1654" s="16" t="s">
        <v>45</v>
      </c>
      <c r="L1654" s="30" t="s">
        <v>227</v>
      </c>
      <c r="M1654" s="10" t="s">
        <v>49</v>
      </c>
      <c r="N1654" s="16" t="s">
        <v>45</v>
      </c>
      <c r="O1654" s="16" t="s">
        <v>45</v>
      </c>
      <c r="P1654" s="9" t="str">
        <f t="shared" si="28"/>
        <v>N/I</v>
      </c>
      <c r="Q1654" s="9" t="str">
        <f t="shared" si="29"/>
        <v>N/I</v>
      </c>
      <c r="R1654" s="9" t="str">
        <f t="shared" si="32"/>
        <v>N/I</v>
      </c>
    </row>
    <row r="1655">
      <c r="A1655" s="11" t="s">
        <v>5359</v>
      </c>
      <c r="B1655" s="32" t="s">
        <v>5376</v>
      </c>
      <c r="C1655" s="12" t="s">
        <v>448</v>
      </c>
      <c r="D1655" s="18" t="s">
        <v>5377</v>
      </c>
      <c r="E1655" s="16" t="s">
        <v>45</v>
      </c>
      <c r="F1655" s="10" t="s">
        <v>5364</v>
      </c>
      <c r="G1655" s="12" t="s">
        <v>370</v>
      </c>
      <c r="H1655" s="10" t="s">
        <v>89</v>
      </c>
      <c r="I1655" s="16" t="s">
        <v>45</v>
      </c>
      <c r="J1655" s="16" t="s">
        <v>45</v>
      </c>
      <c r="K1655" s="16" t="s">
        <v>45</v>
      </c>
      <c r="L1655" s="30" t="s">
        <v>227</v>
      </c>
      <c r="M1655" s="10" t="s">
        <v>49</v>
      </c>
      <c r="N1655" s="16" t="s">
        <v>45</v>
      </c>
      <c r="O1655" s="16" t="s">
        <v>45</v>
      </c>
      <c r="P1655" s="9" t="str">
        <f t="shared" si="28"/>
        <v>N/I</v>
      </c>
      <c r="Q1655" s="9" t="str">
        <f t="shared" si="29"/>
        <v>N/I</v>
      </c>
      <c r="R1655" s="9" t="str">
        <f t="shared" si="32"/>
        <v>N/I</v>
      </c>
    </row>
    <row r="1656">
      <c r="A1656" s="11" t="s">
        <v>5359</v>
      </c>
      <c r="B1656" s="32" t="s">
        <v>5380</v>
      </c>
      <c r="C1656" s="12" t="s">
        <v>448</v>
      </c>
      <c r="D1656" s="63" t="s">
        <v>187</v>
      </c>
      <c r="E1656" s="16" t="s">
        <v>45</v>
      </c>
      <c r="F1656" s="10" t="s">
        <v>5364</v>
      </c>
      <c r="G1656" s="12" t="s">
        <v>370</v>
      </c>
      <c r="H1656" s="10" t="s">
        <v>89</v>
      </c>
      <c r="I1656" s="16" t="s">
        <v>45</v>
      </c>
      <c r="J1656" s="16" t="s">
        <v>45</v>
      </c>
      <c r="K1656" s="16" t="s">
        <v>45</v>
      </c>
      <c r="L1656" s="30" t="s">
        <v>227</v>
      </c>
      <c r="M1656" s="10" t="s">
        <v>49</v>
      </c>
      <c r="N1656" s="16" t="s">
        <v>45</v>
      </c>
      <c r="O1656" s="16" t="s">
        <v>45</v>
      </c>
      <c r="P1656" s="9" t="str">
        <f t="shared" si="28"/>
        <v>N/I</v>
      </c>
      <c r="Q1656" s="9" t="str">
        <f t="shared" si="29"/>
        <v>N/I</v>
      </c>
      <c r="R1656" s="9" t="str">
        <f t="shared" si="32"/>
        <v>N/I</v>
      </c>
    </row>
    <row r="1657">
      <c r="A1657" s="11" t="s">
        <v>5359</v>
      </c>
      <c r="B1657" s="32" t="s">
        <v>5383</v>
      </c>
      <c r="C1657" s="12" t="s">
        <v>448</v>
      </c>
      <c r="D1657" s="63" t="s">
        <v>187</v>
      </c>
      <c r="E1657" s="16" t="s">
        <v>45</v>
      </c>
      <c r="F1657" s="10" t="s">
        <v>5364</v>
      </c>
      <c r="G1657" s="12" t="s">
        <v>370</v>
      </c>
      <c r="H1657" s="10" t="s">
        <v>89</v>
      </c>
      <c r="I1657" s="16" t="s">
        <v>45</v>
      </c>
      <c r="J1657" s="16" t="s">
        <v>45</v>
      </c>
      <c r="K1657" s="16" t="s">
        <v>45</v>
      </c>
      <c r="L1657" s="30" t="s">
        <v>227</v>
      </c>
      <c r="M1657" s="10" t="s">
        <v>49</v>
      </c>
      <c r="N1657" s="16" t="s">
        <v>45</v>
      </c>
      <c r="O1657" s="16" t="s">
        <v>45</v>
      </c>
      <c r="P1657" s="9" t="str">
        <f t="shared" si="28"/>
        <v>N/I</v>
      </c>
      <c r="Q1657" s="9" t="str">
        <f t="shared" si="29"/>
        <v>N/I</v>
      </c>
      <c r="R1657" s="9" t="str">
        <f t="shared" si="32"/>
        <v>N/I</v>
      </c>
    </row>
    <row r="1658">
      <c r="A1658" s="11" t="s">
        <v>5359</v>
      </c>
      <c r="B1658" s="32" t="s">
        <v>5384</v>
      </c>
      <c r="C1658" s="12" t="s">
        <v>448</v>
      </c>
      <c r="D1658" s="18" t="s">
        <v>5385</v>
      </c>
      <c r="E1658" s="16" t="s">
        <v>45</v>
      </c>
      <c r="F1658" s="10" t="s">
        <v>5364</v>
      </c>
      <c r="G1658" s="12" t="s">
        <v>370</v>
      </c>
      <c r="H1658" s="10" t="s">
        <v>89</v>
      </c>
      <c r="I1658" s="16" t="s">
        <v>45</v>
      </c>
      <c r="J1658" s="16" t="s">
        <v>45</v>
      </c>
      <c r="K1658" s="16" t="s">
        <v>45</v>
      </c>
      <c r="L1658" s="30" t="s">
        <v>227</v>
      </c>
      <c r="M1658" s="10" t="s">
        <v>49</v>
      </c>
      <c r="N1658" s="16" t="s">
        <v>45</v>
      </c>
      <c r="O1658" s="16" t="s">
        <v>45</v>
      </c>
      <c r="P1658" s="9" t="str">
        <f t="shared" si="28"/>
        <v>N/I</v>
      </c>
      <c r="Q1658" s="9" t="str">
        <f t="shared" si="29"/>
        <v>N/I</v>
      </c>
      <c r="R1658" s="9" t="str">
        <f t="shared" si="32"/>
        <v>N/I</v>
      </c>
    </row>
    <row r="1659">
      <c r="A1659" s="11" t="s">
        <v>5359</v>
      </c>
      <c r="B1659" s="32" t="s">
        <v>5388</v>
      </c>
      <c r="C1659" s="12" t="s">
        <v>448</v>
      </c>
      <c r="D1659" s="63" t="s">
        <v>187</v>
      </c>
      <c r="E1659" s="16" t="s">
        <v>45</v>
      </c>
      <c r="F1659" s="10" t="s">
        <v>5364</v>
      </c>
      <c r="G1659" s="12" t="s">
        <v>370</v>
      </c>
      <c r="H1659" s="10" t="s">
        <v>89</v>
      </c>
      <c r="I1659" s="16" t="s">
        <v>45</v>
      </c>
      <c r="J1659" s="16" t="s">
        <v>45</v>
      </c>
      <c r="K1659" s="16" t="s">
        <v>45</v>
      </c>
      <c r="L1659" s="30" t="s">
        <v>227</v>
      </c>
      <c r="M1659" s="10" t="s">
        <v>49</v>
      </c>
      <c r="N1659" s="16" t="s">
        <v>45</v>
      </c>
      <c r="O1659" s="16" t="s">
        <v>45</v>
      </c>
      <c r="P1659" s="9" t="str">
        <f t="shared" si="28"/>
        <v>N/I</v>
      </c>
      <c r="Q1659" s="9" t="str">
        <f t="shared" si="29"/>
        <v>N/I</v>
      </c>
      <c r="R1659" s="9" t="str">
        <f t="shared" si="32"/>
        <v>N/I</v>
      </c>
    </row>
    <row r="1660">
      <c r="A1660" s="11" t="s">
        <v>5359</v>
      </c>
      <c r="B1660" s="32" t="s">
        <v>5391</v>
      </c>
      <c r="C1660" s="12" t="s">
        <v>448</v>
      </c>
      <c r="D1660" s="63" t="s">
        <v>187</v>
      </c>
      <c r="E1660" s="16" t="s">
        <v>45</v>
      </c>
      <c r="F1660" s="10" t="s">
        <v>5364</v>
      </c>
      <c r="G1660" s="12" t="s">
        <v>370</v>
      </c>
      <c r="H1660" s="10" t="s">
        <v>89</v>
      </c>
      <c r="I1660" s="16" t="s">
        <v>45</v>
      </c>
      <c r="J1660" s="16" t="s">
        <v>45</v>
      </c>
      <c r="K1660" s="16" t="s">
        <v>45</v>
      </c>
      <c r="L1660" s="30" t="s">
        <v>227</v>
      </c>
      <c r="M1660" s="10" t="s">
        <v>49</v>
      </c>
      <c r="N1660" s="16" t="s">
        <v>45</v>
      </c>
      <c r="O1660" s="16" t="s">
        <v>45</v>
      </c>
      <c r="P1660" s="9" t="str">
        <f t="shared" si="28"/>
        <v>N/I</v>
      </c>
      <c r="Q1660" s="9" t="str">
        <f t="shared" si="29"/>
        <v>N/I</v>
      </c>
      <c r="R1660" s="9" t="str">
        <f t="shared" si="32"/>
        <v>N/I</v>
      </c>
    </row>
    <row r="1661">
      <c r="A1661" s="11" t="s">
        <v>5359</v>
      </c>
      <c r="B1661" s="32" t="s">
        <v>5394</v>
      </c>
      <c r="C1661" s="12" t="s">
        <v>448</v>
      </c>
      <c r="D1661" s="63" t="s">
        <v>187</v>
      </c>
      <c r="E1661" s="16" t="s">
        <v>45</v>
      </c>
      <c r="F1661" s="10" t="s">
        <v>5364</v>
      </c>
      <c r="G1661" s="12" t="s">
        <v>370</v>
      </c>
      <c r="H1661" s="10" t="s">
        <v>89</v>
      </c>
      <c r="I1661" s="16" t="s">
        <v>45</v>
      </c>
      <c r="J1661" s="16" t="s">
        <v>45</v>
      </c>
      <c r="K1661" s="16" t="s">
        <v>45</v>
      </c>
      <c r="L1661" s="30" t="s">
        <v>227</v>
      </c>
      <c r="M1661" s="10" t="s">
        <v>49</v>
      </c>
      <c r="N1661" s="16" t="s">
        <v>45</v>
      </c>
      <c r="O1661" s="16" t="s">
        <v>45</v>
      </c>
      <c r="P1661" s="9" t="str">
        <f t="shared" si="28"/>
        <v>N/I</v>
      </c>
      <c r="Q1661" s="9" t="str">
        <f t="shared" si="29"/>
        <v>N/I</v>
      </c>
      <c r="R1661" s="9" t="str">
        <f t="shared" si="32"/>
        <v>N/I</v>
      </c>
    </row>
    <row r="1662">
      <c r="A1662" s="11" t="s">
        <v>5359</v>
      </c>
      <c r="B1662" s="32" t="s">
        <v>5396</v>
      </c>
      <c r="C1662" s="12" t="s">
        <v>448</v>
      </c>
      <c r="D1662" s="63" t="s">
        <v>187</v>
      </c>
      <c r="E1662" s="16" t="s">
        <v>45</v>
      </c>
      <c r="F1662" s="10" t="s">
        <v>5364</v>
      </c>
      <c r="G1662" s="12" t="s">
        <v>370</v>
      </c>
      <c r="H1662" s="10" t="s">
        <v>89</v>
      </c>
      <c r="I1662" s="16" t="s">
        <v>45</v>
      </c>
      <c r="J1662" s="16" t="s">
        <v>45</v>
      </c>
      <c r="K1662" s="16" t="s">
        <v>45</v>
      </c>
      <c r="L1662" s="30" t="s">
        <v>227</v>
      </c>
      <c r="M1662" s="10" t="s">
        <v>49</v>
      </c>
      <c r="N1662" s="16" t="s">
        <v>45</v>
      </c>
      <c r="O1662" s="16" t="s">
        <v>45</v>
      </c>
      <c r="P1662" s="9" t="str">
        <f t="shared" si="28"/>
        <v>N/I</v>
      </c>
      <c r="Q1662" s="9" t="str">
        <f t="shared" si="29"/>
        <v>N/I</v>
      </c>
      <c r="R1662" s="9" t="str">
        <f t="shared" si="32"/>
        <v>N/I</v>
      </c>
    </row>
    <row r="1663">
      <c r="A1663" s="11" t="s">
        <v>5359</v>
      </c>
      <c r="B1663" s="32" t="s">
        <v>5399</v>
      </c>
      <c r="C1663" s="12" t="s">
        <v>448</v>
      </c>
      <c r="D1663" s="18" t="s">
        <v>5400</v>
      </c>
      <c r="E1663" s="16" t="s">
        <v>45</v>
      </c>
      <c r="F1663" s="10" t="s">
        <v>5364</v>
      </c>
      <c r="G1663" s="12" t="s">
        <v>370</v>
      </c>
      <c r="H1663" s="10" t="s">
        <v>89</v>
      </c>
      <c r="I1663" s="16" t="s">
        <v>45</v>
      </c>
      <c r="J1663" s="16" t="s">
        <v>45</v>
      </c>
      <c r="K1663" s="16" t="s">
        <v>45</v>
      </c>
      <c r="L1663" s="30" t="s">
        <v>227</v>
      </c>
      <c r="M1663" s="10" t="s">
        <v>49</v>
      </c>
      <c r="N1663" s="16" t="s">
        <v>45</v>
      </c>
      <c r="O1663" s="16" t="s">
        <v>45</v>
      </c>
      <c r="P1663" s="9" t="str">
        <f t="shared" si="28"/>
        <v>N/I</v>
      </c>
      <c r="Q1663" s="9" t="str">
        <f t="shared" si="29"/>
        <v>N/I</v>
      </c>
      <c r="R1663" s="9" t="str">
        <f t="shared" si="32"/>
        <v>N/I</v>
      </c>
    </row>
    <row r="1664">
      <c r="A1664" s="11" t="s">
        <v>5359</v>
      </c>
      <c r="B1664" s="32" t="s">
        <v>5403</v>
      </c>
      <c r="C1664" s="12" t="s">
        <v>448</v>
      </c>
      <c r="D1664" s="18" t="s">
        <v>5404</v>
      </c>
      <c r="E1664" s="16" t="s">
        <v>45</v>
      </c>
      <c r="F1664" s="10" t="s">
        <v>5364</v>
      </c>
      <c r="G1664" s="12" t="s">
        <v>370</v>
      </c>
      <c r="H1664" s="10" t="s">
        <v>89</v>
      </c>
      <c r="I1664" s="16" t="s">
        <v>45</v>
      </c>
      <c r="J1664" s="16" t="s">
        <v>45</v>
      </c>
      <c r="K1664" s="16" t="s">
        <v>45</v>
      </c>
      <c r="L1664" s="30" t="s">
        <v>227</v>
      </c>
      <c r="M1664" s="10" t="s">
        <v>49</v>
      </c>
      <c r="N1664" s="16" t="s">
        <v>45</v>
      </c>
      <c r="O1664" s="16" t="s">
        <v>45</v>
      </c>
      <c r="P1664" s="9" t="str">
        <f t="shared" si="28"/>
        <v>N/I</v>
      </c>
      <c r="Q1664" s="9" t="str">
        <f t="shared" si="29"/>
        <v>N/I</v>
      </c>
      <c r="R1664" s="9" t="str">
        <f t="shared" si="32"/>
        <v>N/I</v>
      </c>
    </row>
    <row r="1665">
      <c r="A1665" s="11" t="s">
        <v>5219</v>
      </c>
      <c r="B1665" s="32" t="s">
        <v>398</v>
      </c>
      <c r="C1665" s="12" t="s">
        <v>52</v>
      </c>
      <c r="D1665" s="18" t="s">
        <v>5407</v>
      </c>
      <c r="E1665" s="10" t="s">
        <v>356</v>
      </c>
      <c r="F1665" s="10" t="s">
        <v>5409</v>
      </c>
      <c r="G1665" s="12" t="s">
        <v>332</v>
      </c>
      <c r="H1665" s="10" t="s">
        <v>197</v>
      </c>
      <c r="I1665" s="10" t="s">
        <v>354</v>
      </c>
      <c r="J1665" s="12" t="s">
        <v>46</v>
      </c>
      <c r="K1665" s="10" t="s">
        <v>227</v>
      </c>
      <c r="L1665" s="16" t="s">
        <v>45</v>
      </c>
      <c r="M1665" s="16" t="s">
        <v>45</v>
      </c>
      <c r="N1665" s="16" t="s">
        <v>45</v>
      </c>
      <c r="O1665" s="10" t="s">
        <v>50</v>
      </c>
      <c r="P1665" s="9" t="str">
        <f t="shared" si="28"/>
        <v>N/I</v>
      </c>
      <c r="Q1665" s="9" t="str">
        <f t="shared" si="29"/>
        <v>N/I</v>
      </c>
      <c r="R1665" s="9" t="str">
        <f t="shared" si="32"/>
        <v>N/I</v>
      </c>
    </row>
    <row r="1666">
      <c r="A1666" s="11" t="s">
        <v>5013</v>
      </c>
      <c r="B1666" s="11" t="s">
        <v>5024</v>
      </c>
      <c r="C1666" s="12" t="s">
        <v>448</v>
      </c>
      <c r="D1666" s="63" t="s">
        <v>187</v>
      </c>
      <c r="E1666" s="30" t="s">
        <v>356</v>
      </c>
      <c r="F1666" s="10" t="s">
        <v>5410</v>
      </c>
      <c r="G1666" s="12" t="s">
        <v>463</v>
      </c>
      <c r="H1666" s="10" t="s">
        <v>222</v>
      </c>
      <c r="I1666" s="10" t="s">
        <v>354</v>
      </c>
      <c r="J1666" s="12" t="s">
        <v>46</v>
      </c>
      <c r="K1666" s="30" t="s">
        <v>227</v>
      </c>
      <c r="L1666" s="16" t="s">
        <v>45</v>
      </c>
      <c r="M1666" s="10" t="s">
        <v>49</v>
      </c>
      <c r="N1666" s="16" t="s">
        <v>45</v>
      </c>
      <c r="O1666" s="30" t="s">
        <v>50</v>
      </c>
      <c r="P1666" s="9" t="str">
        <f t="shared" si="28"/>
        <v>N/I</v>
      </c>
      <c r="Q1666" s="9" t="str">
        <f t="shared" si="29"/>
        <v>N/I</v>
      </c>
      <c r="R1666" s="9" t="str">
        <f t="shared" si="32"/>
        <v>N/I</v>
      </c>
    </row>
    <row r="1667">
      <c r="A1667" s="11" t="s">
        <v>5013</v>
      </c>
      <c r="B1667" s="11" t="s">
        <v>5024</v>
      </c>
      <c r="C1667" s="12" t="s">
        <v>448</v>
      </c>
      <c r="D1667" s="63" t="s">
        <v>187</v>
      </c>
      <c r="E1667" s="30" t="s">
        <v>291</v>
      </c>
      <c r="F1667" s="10" t="s">
        <v>5410</v>
      </c>
      <c r="G1667" s="12" t="s">
        <v>463</v>
      </c>
      <c r="H1667" s="10" t="s">
        <v>222</v>
      </c>
      <c r="I1667" s="10" t="s">
        <v>354</v>
      </c>
      <c r="J1667" s="12" t="s">
        <v>46</v>
      </c>
      <c r="K1667" s="30" t="s">
        <v>227</v>
      </c>
      <c r="L1667" s="16" t="s">
        <v>45</v>
      </c>
      <c r="M1667" s="10" t="s">
        <v>49</v>
      </c>
      <c r="N1667" s="16" t="s">
        <v>45</v>
      </c>
      <c r="O1667" s="30" t="s">
        <v>50</v>
      </c>
      <c r="P1667" s="9" t="str">
        <f t="shared" si="28"/>
        <v>N/I</v>
      </c>
      <c r="Q1667" s="9" t="str">
        <f t="shared" si="29"/>
        <v>N/I</v>
      </c>
      <c r="R1667" s="9" t="str">
        <f t="shared" si="32"/>
        <v>N/I</v>
      </c>
    </row>
    <row r="1668">
      <c r="A1668" s="11" t="s">
        <v>5013</v>
      </c>
      <c r="B1668" s="11" t="s">
        <v>5024</v>
      </c>
      <c r="C1668" s="12" t="s">
        <v>94</v>
      </c>
      <c r="D1668" s="63" t="s">
        <v>187</v>
      </c>
      <c r="E1668" s="30" t="s">
        <v>291</v>
      </c>
      <c r="F1668" s="10" t="s">
        <v>5410</v>
      </c>
      <c r="G1668" s="12" t="s">
        <v>463</v>
      </c>
      <c r="H1668" s="10" t="s">
        <v>222</v>
      </c>
      <c r="I1668" s="10" t="s">
        <v>354</v>
      </c>
      <c r="J1668" s="12" t="s">
        <v>46</v>
      </c>
      <c r="K1668" s="30" t="s">
        <v>227</v>
      </c>
      <c r="L1668" s="16" t="s">
        <v>45</v>
      </c>
      <c r="M1668" s="10" t="s">
        <v>49</v>
      </c>
      <c r="N1668" s="16" t="s">
        <v>45</v>
      </c>
      <c r="O1668" s="30" t="s">
        <v>50</v>
      </c>
      <c r="P1668" s="9" t="str">
        <f t="shared" si="28"/>
        <v>N/I</v>
      </c>
      <c r="Q1668" s="9" t="str">
        <f t="shared" si="29"/>
        <v>N/I</v>
      </c>
      <c r="R1668" s="9" t="str">
        <f t="shared" si="32"/>
        <v>N/I</v>
      </c>
    </row>
    <row r="1669">
      <c r="A1669" s="11" t="s">
        <v>5412</v>
      </c>
      <c r="B1669" s="32" t="s">
        <v>5413</v>
      </c>
      <c r="C1669" s="12" t="s">
        <v>94</v>
      </c>
      <c r="D1669" s="18" t="s">
        <v>5414</v>
      </c>
      <c r="E1669" s="16" t="s">
        <v>45</v>
      </c>
      <c r="F1669" s="10" t="s">
        <v>5417</v>
      </c>
      <c r="G1669" s="12" t="s">
        <v>39</v>
      </c>
      <c r="H1669" s="10" t="s">
        <v>40</v>
      </c>
      <c r="I1669" s="10" t="s">
        <v>2497</v>
      </c>
      <c r="J1669" s="12" t="s">
        <v>46</v>
      </c>
      <c r="K1669" s="16" t="s">
        <v>45</v>
      </c>
      <c r="L1669" s="16" t="s">
        <v>45</v>
      </c>
      <c r="M1669" s="16" t="s">
        <v>45</v>
      </c>
      <c r="N1669" s="16" t="s">
        <v>45</v>
      </c>
      <c r="O1669" s="30" t="s">
        <v>320</v>
      </c>
      <c r="P1669" s="9" t="str">
        <f t="shared" si="28"/>
        <v>N/I</v>
      </c>
      <c r="Q1669" s="9" t="str">
        <f t="shared" si="29"/>
        <v>N/I</v>
      </c>
      <c r="R1669" s="9" t="str">
        <f t="shared" si="32"/>
        <v>N/I</v>
      </c>
    </row>
    <row r="1670">
      <c r="A1670" s="11" t="s">
        <v>2349</v>
      </c>
      <c r="B1670" s="32" t="s">
        <v>5418</v>
      </c>
      <c r="C1670" s="12" t="s">
        <v>94</v>
      </c>
      <c r="D1670" s="34" t="s">
        <v>5419</v>
      </c>
      <c r="E1670" s="10" t="s">
        <v>390</v>
      </c>
      <c r="F1670" s="10" t="s">
        <v>5423</v>
      </c>
      <c r="G1670" s="12" t="s">
        <v>5420</v>
      </c>
      <c r="H1670" s="10" t="s">
        <v>895</v>
      </c>
      <c r="I1670" s="16" t="s">
        <v>45</v>
      </c>
      <c r="J1670" s="12" t="s">
        <v>46</v>
      </c>
      <c r="K1670" s="10" t="s">
        <v>226</v>
      </c>
      <c r="L1670" s="16" t="s">
        <v>45</v>
      </c>
      <c r="M1670" s="10" t="s">
        <v>49</v>
      </c>
      <c r="N1670" s="10" t="s">
        <v>664</v>
      </c>
      <c r="O1670" s="10" t="s">
        <v>320</v>
      </c>
      <c r="P1670" s="9" t="str">
        <f t="shared" si="28"/>
        <v>N/I</v>
      </c>
      <c r="Q1670" s="9" t="str">
        <f t="shared" si="29"/>
        <v>N/I</v>
      </c>
      <c r="R1670" s="9" t="str">
        <f t="shared" si="32"/>
        <v>N/I</v>
      </c>
    </row>
    <row r="1671">
      <c r="A1671" s="67"/>
      <c r="B1671" s="68"/>
      <c r="C1671" s="69"/>
      <c r="D1671" s="70"/>
      <c r="E1671" s="1"/>
    </row>
  </sheetData>
  <conditionalFormatting sqref="P2:R1670">
    <cfRule type="beginsWith" dxfId="0" priority="1" operator="beginsWith" text="Ativo">
      <formula>LEFT((P2),LEN("Ativo"))=("Ativo")</formula>
    </cfRule>
  </conditionalFormatting>
  <hyperlinks>
    <hyperlink r:id="rId2" ref="B787"/>
  </hyperlinks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43"/>
  </cols>
  <sheetData>
    <row r="1">
      <c r="A1" s="71" t="s">
        <v>5425</v>
      </c>
    </row>
    <row r="3">
      <c r="A3" s="71" t="s">
        <v>5426</v>
      </c>
      <c r="B3" s="72">
        <v>1.0</v>
      </c>
    </row>
    <row r="5">
      <c r="A5" s="71" t="s">
        <v>5427</v>
      </c>
    </row>
    <row r="6">
      <c r="A6" s="71" t="s">
        <v>8</v>
      </c>
      <c r="B6" s="71" t="s">
        <v>9</v>
      </c>
      <c r="C6" s="71" t="s">
        <v>10</v>
      </c>
      <c r="D6" s="71" t="s">
        <v>5424</v>
      </c>
      <c r="E6" s="71" t="s">
        <v>29</v>
      </c>
    </row>
    <row r="8">
      <c r="A8" s="71" t="s">
        <v>5428</v>
      </c>
    </row>
    <row r="9">
      <c r="A9" s="71" t="s">
        <v>5429</v>
      </c>
      <c r="B9" s="71" t="s">
        <v>5430</v>
      </c>
      <c r="C9" s="71" t="s">
        <v>5431</v>
      </c>
      <c r="D9" s="71" t="s">
        <v>5432</v>
      </c>
      <c r="E9" s="71" t="s">
        <v>5433</v>
      </c>
    </row>
    <row r="11">
      <c r="A11" s="71" t="s">
        <v>5434</v>
      </c>
      <c r="B11" s="72">
        <v>3.0</v>
      </c>
    </row>
    <row r="12">
      <c r="A12" s="71" t="s">
        <v>5435</v>
      </c>
    </row>
    <row r="13">
      <c r="A13" s="71" t="s">
        <v>38</v>
      </c>
    </row>
    <row r="14">
      <c r="A14" s="71" t="s">
        <v>51</v>
      </c>
    </row>
    <row r="15">
      <c r="A15" s="71" t="s">
        <v>53</v>
      </c>
    </row>
    <row r="16">
      <c r="A16" s="71" t="s">
        <v>54</v>
      </c>
    </row>
    <row r="17">
      <c r="A17" s="71" t="s">
        <v>56</v>
      </c>
    </row>
    <row r="18">
      <c r="A18" s="71" t="s">
        <v>57</v>
      </c>
    </row>
    <row r="19">
      <c r="A19" s="71" t="s">
        <v>59</v>
      </c>
    </row>
    <row r="20">
      <c r="A20" s="72">
        <v>79878.0</v>
      </c>
    </row>
    <row r="21">
      <c r="A21" s="72">
        <v>43156.0</v>
      </c>
    </row>
    <row r="22">
      <c r="A22" s="72">
        <v>43146.0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10.71"/>
    <col customWidth="1" min="3" max="3" width="60.71"/>
    <col customWidth="1" min="4" max="26" width="10.71"/>
  </cols>
  <sheetData>
    <row r="1" ht="30.0" customHeight="1"/>
    <row r="2" ht="30.0" customHeight="1">
      <c r="B2" s="73" t="s">
        <v>5436</v>
      </c>
      <c r="C2" s="74"/>
    </row>
    <row r="3" ht="30.0" customHeight="1">
      <c r="B3" s="75" t="s">
        <v>5437</v>
      </c>
      <c r="C3" s="76" t="s">
        <v>5438</v>
      </c>
    </row>
    <row r="4" ht="30.0" customHeight="1">
      <c r="B4" s="57" t="s">
        <v>1967</v>
      </c>
      <c r="C4" s="76" t="s">
        <v>5439</v>
      </c>
    </row>
    <row r="5" ht="30.0" customHeight="1">
      <c r="B5" s="77" t="s">
        <v>45</v>
      </c>
      <c r="C5" s="11" t="s">
        <v>5440</v>
      </c>
    </row>
    <row r="6" ht="30.0" customHeight="1"/>
    <row r="7" ht="30.0" customHeight="1">
      <c r="B7" s="73" t="s">
        <v>5441</v>
      </c>
      <c r="C7" s="74"/>
    </row>
    <row r="8" ht="30.0" customHeight="1">
      <c r="B8" s="75"/>
      <c r="C8" s="11" t="s">
        <v>5442</v>
      </c>
    </row>
    <row r="9" ht="30.0" customHeight="1">
      <c r="B9" s="57"/>
      <c r="C9" s="11" t="s">
        <v>5443</v>
      </c>
    </row>
    <row r="10" ht="30.0" customHeight="1">
      <c r="B10" s="77"/>
      <c r="C10" s="11" t="s">
        <v>5444</v>
      </c>
    </row>
    <row r="11" ht="30.0" customHeight="1">
      <c r="B11" s="42"/>
      <c r="C11" s="11" t="s">
        <v>5445</v>
      </c>
    </row>
    <row r="12" ht="30.0" customHeight="1"/>
    <row r="13" ht="30.0" customHeight="1"/>
    <row r="14" ht="30.0" customHeight="1"/>
    <row r="15" ht="30.0" customHeight="1"/>
    <row r="16" ht="30.0" customHeight="1"/>
    <row r="17" ht="30.0" customHeight="1"/>
    <row r="18" ht="30.0" customHeight="1"/>
    <row r="19" ht="30.0" customHeight="1"/>
    <row r="20" ht="30.0" customHeight="1"/>
    <row r="21" ht="30.0" customHeight="1"/>
    <row r="22" ht="30.0" customHeight="1"/>
    <row r="23" ht="30.0" customHeight="1"/>
    <row r="24" ht="30.0" customHeight="1"/>
    <row r="25" ht="30.0" customHeight="1"/>
    <row r="26" ht="30.0" customHeight="1"/>
    <row r="27" ht="30.0" customHeight="1"/>
    <row r="28" ht="30.0" customHeight="1"/>
    <row r="29" ht="30.0" customHeight="1"/>
    <row r="30" ht="30.0" customHeight="1"/>
    <row r="31" ht="30.0" customHeight="1"/>
    <row r="32" ht="30.0" customHeight="1"/>
    <row r="33" ht="30.0" customHeight="1"/>
    <row r="34" ht="30.0" customHeight="1"/>
    <row r="35" ht="30.0" customHeight="1"/>
    <row r="36" ht="30.0" customHeight="1"/>
    <row r="37" ht="30.0" customHeight="1"/>
    <row r="38" ht="30.0" customHeight="1"/>
    <row r="39" ht="30.0" customHeight="1"/>
    <row r="40" ht="30.0" customHeight="1"/>
    <row r="41" ht="30.0" customHeight="1"/>
    <row r="42" ht="30.0" customHeight="1"/>
    <row r="43" ht="30.0" customHeight="1"/>
    <row r="44" ht="30.0" customHeight="1"/>
    <row r="45" ht="30.0" customHeight="1"/>
    <row r="46" ht="30.0" customHeight="1"/>
    <row r="47" ht="30.0" customHeight="1"/>
    <row r="48" ht="30.0" customHeight="1"/>
    <row r="49" ht="30.0" customHeight="1"/>
    <row r="50" ht="30.0" customHeight="1"/>
    <row r="51" ht="30.0" customHeight="1"/>
    <row r="52" ht="30.0" customHeight="1"/>
    <row r="53" ht="30.0" customHeight="1"/>
    <row r="54" ht="30.0" customHeight="1"/>
    <row r="55" ht="30.0" customHeight="1"/>
    <row r="56" ht="30.0" customHeight="1"/>
    <row r="57" ht="30.0" customHeight="1"/>
    <row r="58" ht="30.0" customHeight="1"/>
    <row r="59" ht="30.0" customHeight="1"/>
    <row r="60" ht="30.0" customHeight="1"/>
    <row r="61" ht="30.0" customHeight="1"/>
    <row r="62" ht="30.0" customHeight="1"/>
    <row r="63" ht="30.0" customHeight="1"/>
    <row r="64" ht="30.0" customHeight="1"/>
    <row r="65" ht="30.0" customHeight="1"/>
    <row r="66" ht="30.0" customHeight="1"/>
    <row r="67" ht="30.0" customHeight="1"/>
    <row r="68" ht="30.0" customHeight="1"/>
    <row r="69" ht="30.0" customHeight="1"/>
    <row r="70" ht="30.0" customHeight="1"/>
    <row r="71" ht="30.0" customHeight="1"/>
    <row r="72" ht="30.0" customHeight="1"/>
    <row r="73" ht="30.0" customHeight="1"/>
    <row r="74" ht="30.0" customHeight="1"/>
    <row r="75" ht="30.0" customHeight="1"/>
    <row r="76" ht="30.0" customHeight="1"/>
    <row r="77" ht="30.0" customHeight="1"/>
    <row r="78" ht="30.0" customHeight="1"/>
    <row r="79" ht="30.0" customHeight="1"/>
    <row r="80" ht="30.0" customHeight="1"/>
    <row r="81" ht="30.0" customHeight="1"/>
    <row r="82" ht="30.0" customHeight="1"/>
    <row r="83" ht="30.0" customHeight="1"/>
    <row r="84" ht="30.0" customHeight="1"/>
    <row r="85" ht="30.0" customHeight="1"/>
    <row r="86" ht="30.0" customHeight="1"/>
    <row r="87" ht="30.0" customHeight="1"/>
    <row r="88" ht="30.0" customHeight="1"/>
    <row r="89" ht="30.0" customHeight="1"/>
    <row r="90" ht="30.0" customHeight="1"/>
    <row r="91" ht="30.0" customHeight="1"/>
    <row r="92" ht="30.0" customHeight="1"/>
    <row r="93" ht="30.0" customHeight="1"/>
    <row r="94" ht="30.0" customHeight="1"/>
    <row r="95" ht="30.0" customHeight="1"/>
    <row r="96" ht="30.0" customHeight="1"/>
    <row r="97" ht="30.0" customHeight="1"/>
    <row r="98" ht="30.0" customHeight="1"/>
    <row r="99" ht="30.0" customHeight="1"/>
    <row r="100" ht="30.0" customHeight="1"/>
    <row r="101" ht="30.0" customHeight="1"/>
    <row r="102" ht="30.0" customHeight="1"/>
    <row r="103" ht="30.0" customHeight="1"/>
    <row r="104" ht="30.0" customHeight="1"/>
    <row r="105" ht="30.0" customHeight="1"/>
    <row r="106" ht="30.0" customHeight="1"/>
    <row r="107" ht="30.0" customHeight="1"/>
    <row r="108" ht="30.0" customHeight="1"/>
    <row r="109" ht="30.0" customHeight="1"/>
    <row r="110" ht="30.0" customHeight="1"/>
    <row r="111" ht="30.0" customHeight="1"/>
    <row r="112" ht="30.0" customHeight="1"/>
    <row r="113" ht="30.0" customHeight="1"/>
    <row r="114" ht="30.0" customHeight="1"/>
    <row r="115" ht="30.0" customHeight="1"/>
    <row r="116" ht="30.0" customHeight="1"/>
    <row r="117" ht="30.0" customHeight="1"/>
    <row r="118" ht="30.0" customHeight="1"/>
    <row r="119" ht="30.0" customHeight="1"/>
    <row r="120" ht="30.0" customHeight="1"/>
    <row r="121" ht="30.0" customHeight="1"/>
    <row r="122" ht="30.0" customHeight="1"/>
    <row r="123" ht="30.0" customHeight="1"/>
    <row r="124" ht="30.0" customHeight="1"/>
    <row r="125" ht="30.0" customHeight="1"/>
    <row r="126" ht="30.0" customHeight="1"/>
    <row r="127" ht="30.0" customHeight="1"/>
    <row r="128" ht="30.0" customHeight="1"/>
    <row r="129" ht="30.0" customHeight="1"/>
    <row r="130" ht="30.0" customHeight="1"/>
    <row r="131" ht="30.0" customHeight="1"/>
    <row r="132" ht="30.0" customHeight="1"/>
    <row r="133" ht="30.0" customHeight="1"/>
    <row r="134" ht="30.0" customHeight="1"/>
    <row r="135" ht="30.0" customHeight="1"/>
    <row r="136" ht="30.0" customHeight="1"/>
    <row r="137" ht="30.0" customHeight="1"/>
    <row r="138" ht="30.0" customHeight="1"/>
    <row r="139" ht="30.0" customHeight="1"/>
    <row r="140" ht="30.0" customHeight="1"/>
    <row r="141" ht="30.0" customHeight="1"/>
    <row r="142" ht="30.0" customHeight="1"/>
    <row r="143" ht="30.0" customHeight="1"/>
    <row r="144" ht="30.0" customHeight="1"/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  <row r="156" ht="30.0" customHeight="1"/>
    <row r="157" ht="30.0" customHeight="1"/>
    <row r="158" ht="30.0" customHeight="1"/>
    <row r="159" ht="30.0" customHeight="1"/>
    <row r="160" ht="30.0" customHeight="1"/>
    <row r="161" ht="30.0" customHeight="1"/>
    <row r="162" ht="30.0" customHeight="1"/>
    <row r="163" ht="30.0" customHeight="1"/>
    <row r="164" ht="30.0" customHeight="1"/>
    <row r="165" ht="30.0" customHeight="1"/>
    <row r="166" ht="30.0" customHeight="1"/>
    <row r="167" ht="30.0" customHeight="1"/>
    <row r="168" ht="30.0" customHeight="1"/>
    <row r="169" ht="30.0" customHeight="1"/>
    <row r="170" ht="30.0" customHeight="1"/>
    <row r="171" ht="30.0" customHeight="1"/>
    <row r="172" ht="30.0" customHeight="1"/>
    <row r="173" ht="30.0" customHeight="1"/>
    <row r="174" ht="30.0" customHeight="1"/>
    <row r="175" ht="30.0" customHeight="1"/>
    <row r="176" ht="30.0" customHeight="1"/>
    <row r="177" ht="30.0" customHeight="1"/>
    <row r="178" ht="30.0" customHeight="1"/>
    <row r="179" ht="30.0" customHeight="1"/>
    <row r="180" ht="30.0" customHeight="1"/>
    <row r="181" ht="30.0" customHeight="1"/>
    <row r="182" ht="30.0" customHeight="1"/>
    <row r="183" ht="30.0" customHeight="1"/>
    <row r="184" ht="30.0" customHeight="1"/>
    <row r="185" ht="30.0" customHeight="1"/>
    <row r="186" ht="30.0" customHeight="1"/>
    <row r="187" ht="30.0" customHeight="1"/>
    <row r="188" ht="30.0" customHeight="1"/>
    <row r="189" ht="30.0" customHeight="1"/>
    <row r="190" ht="30.0" customHeight="1"/>
    <row r="191" ht="30.0" customHeight="1"/>
    <row r="192" ht="30.0" customHeight="1"/>
    <row r="193" ht="30.0" customHeight="1"/>
    <row r="194" ht="30.0" customHeight="1"/>
    <row r="195" ht="30.0" customHeight="1"/>
    <row r="196" ht="30.0" customHeight="1"/>
    <row r="197" ht="30.0" customHeight="1"/>
    <row r="198" ht="30.0" customHeight="1"/>
    <row r="199" ht="30.0" customHeight="1"/>
    <row r="200" ht="30.0" customHeight="1"/>
    <row r="201" ht="30.0" customHeight="1"/>
    <row r="202" ht="30.0" customHeight="1"/>
    <row r="203" ht="30.0" customHeight="1"/>
    <row r="204" ht="30.0" customHeight="1"/>
    <row r="205" ht="30.0" customHeight="1"/>
    <row r="206" ht="30.0" customHeight="1"/>
    <row r="207" ht="30.0" customHeight="1"/>
    <row r="208" ht="30.0" customHeight="1"/>
    <row r="209" ht="30.0" customHeight="1"/>
    <row r="210" ht="30.0" customHeight="1"/>
    <row r="211" ht="30.0" customHeight="1"/>
    <row r="212" ht="30.0" customHeight="1"/>
    <row r="213" ht="30.0" customHeight="1"/>
    <row r="214" ht="30.0" customHeight="1"/>
    <row r="215" ht="30.0" customHeight="1"/>
    <row r="216" ht="30.0" customHeight="1"/>
    <row r="217" ht="30.0" customHeight="1"/>
    <row r="218" ht="30.0" customHeight="1"/>
    <row r="219" ht="30.0" customHeight="1"/>
    <row r="220" ht="30.0" customHeight="1"/>
    <row r="221" ht="30.0" customHeight="1"/>
    <row r="222" ht="30.0" customHeight="1"/>
    <row r="223" ht="30.0" customHeight="1"/>
    <row r="224" ht="30.0" customHeight="1"/>
    <row r="225" ht="30.0" customHeight="1"/>
    <row r="226" ht="30.0" customHeight="1"/>
    <row r="227" ht="30.0" customHeight="1"/>
    <row r="228" ht="30.0" customHeight="1"/>
    <row r="229" ht="30.0" customHeight="1"/>
    <row r="230" ht="30.0" customHeight="1"/>
    <row r="231" ht="30.0" customHeight="1"/>
    <row r="232" ht="30.0" customHeight="1"/>
    <row r="233" ht="30.0" customHeight="1"/>
    <row r="234" ht="30.0" customHeight="1"/>
    <row r="235" ht="30.0" customHeight="1"/>
    <row r="236" ht="30.0" customHeight="1"/>
    <row r="237" ht="30.0" customHeight="1"/>
    <row r="238" ht="30.0" customHeight="1"/>
    <row r="239" ht="30.0" customHeight="1"/>
    <row r="240" ht="30.0" customHeight="1"/>
    <row r="241" ht="30.0" customHeight="1"/>
    <row r="242" ht="30.0" customHeight="1"/>
    <row r="243" ht="30.0" customHeight="1"/>
    <row r="244" ht="30.0" customHeight="1"/>
    <row r="245" ht="30.0" customHeight="1"/>
    <row r="246" ht="30.0" customHeight="1"/>
    <row r="247" ht="30.0" customHeight="1"/>
    <row r="248" ht="30.0" customHeight="1"/>
    <row r="249" ht="30.0" customHeight="1"/>
    <row r="250" ht="30.0" customHeight="1"/>
    <row r="251" ht="30.0" customHeight="1"/>
    <row r="252" ht="30.0" customHeight="1"/>
    <row r="253" ht="30.0" customHeight="1"/>
    <row r="254" ht="30.0" customHeight="1"/>
    <row r="255" ht="30.0" customHeight="1"/>
    <row r="256" ht="30.0" customHeight="1"/>
    <row r="257" ht="30.0" customHeight="1"/>
    <row r="258" ht="30.0" customHeight="1"/>
    <row r="259" ht="30.0" customHeight="1"/>
    <row r="260" ht="30.0" customHeight="1"/>
    <row r="261" ht="30.0" customHeight="1"/>
    <row r="262" ht="30.0" customHeight="1"/>
    <row r="263" ht="30.0" customHeight="1"/>
    <row r="264" ht="30.0" customHeight="1"/>
    <row r="265" ht="30.0" customHeight="1"/>
    <row r="266" ht="30.0" customHeight="1"/>
    <row r="267" ht="30.0" customHeight="1"/>
    <row r="268" ht="30.0" customHeight="1"/>
    <row r="269" ht="30.0" customHeight="1"/>
    <row r="270" ht="30.0" customHeight="1"/>
    <row r="271" ht="30.0" customHeight="1"/>
    <row r="272" ht="30.0" customHeight="1"/>
    <row r="273" ht="30.0" customHeight="1"/>
    <row r="274" ht="30.0" customHeight="1"/>
    <row r="275" ht="30.0" customHeight="1"/>
    <row r="276" ht="30.0" customHeight="1"/>
    <row r="277" ht="30.0" customHeight="1"/>
    <row r="278" ht="30.0" customHeight="1"/>
    <row r="279" ht="30.0" customHeight="1"/>
    <row r="280" ht="30.0" customHeight="1"/>
    <row r="281" ht="30.0" customHeight="1"/>
    <row r="282" ht="30.0" customHeight="1"/>
    <row r="283" ht="30.0" customHeight="1"/>
    <row r="284" ht="30.0" customHeight="1"/>
    <row r="285" ht="30.0" customHeight="1"/>
    <row r="286" ht="30.0" customHeight="1"/>
    <row r="287" ht="30.0" customHeight="1"/>
    <row r="288" ht="30.0" customHeight="1"/>
    <row r="289" ht="30.0" customHeight="1"/>
    <row r="290" ht="30.0" customHeight="1"/>
    <row r="291" ht="30.0" customHeight="1"/>
    <row r="292" ht="30.0" customHeight="1"/>
    <row r="293" ht="30.0" customHeight="1"/>
    <row r="294" ht="30.0" customHeight="1"/>
    <row r="295" ht="30.0" customHeight="1"/>
    <row r="296" ht="30.0" customHeight="1"/>
    <row r="297" ht="30.0" customHeight="1"/>
    <row r="298" ht="30.0" customHeight="1"/>
    <row r="299" ht="30.0" customHeight="1"/>
    <row r="300" ht="30.0" customHeight="1"/>
    <row r="301" ht="30.0" customHeight="1"/>
    <row r="302" ht="30.0" customHeight="1"/>
    <row r="303" ht="30.0" customHeight="1"/>
    <row r="304" ht="30.0" customHeight="1"/>
    <row r="305" ht="30.0" customHeight="1"/>
    <row r="306" ht="30.0" customHeight="1"/>
    <row r="307" ht="30.0" customHeight="1"/>
    <row r="308" ht="30.0" customHeight="1"/>
    <row r="309" ht="30.0" customHeight="1"/>
    <row r="310" ht="30.0" customHeight="1"/>
    <row r="311" ht="30.0" customHeight="1"/>
    <row r="312" ht="30.0" customHeight="1"/>
    <row r="313" ht="30.0" customHeight="1"/>
    <row r="314" ht="30.0" customHeight="1"/>
    <row r="315" ht="30.0" customHeight="1"/>
    <row r="316" ht="30.0" customHeight="1"/>
    <row r="317" ht="30.0" customHeight="1"/>
    <row r="318" ht="30.0" customHeight="1"/>
    <row r="319" ht="30.0" customHeight="1"/>
    <row r="320" ht="30.0" customHeight="1"/>
    <row r="321" ht="30.0" customHeight="1"/>
    <row r="322" ht="30.0" customHeight="1"/>
    <row r="323" ht="30.0" customHeight="1"/>
    <row r="324" ht="30.0" customHeight="1"/>
    <row r="325" ht="30.0" customHeight="1"/>
    <row r="326" ht="30.0" customHeight="1"/>
    <row r="327" ht="30.0" customHeight="1"/>
    <row r="328" ht="30.0" customHeight="1"/>
    <row r="329" ht="30.0" customHeight="1"/>
    <row r="330" ht="30.0" customHeight="1"/>
    <row r="331" ht="30.0" customHeight="1"/>
    <row r="332" ht="30.0" customHeight="1"/>
    <row r="333" ht="30.0" customHeight="1"/>
    <row r="334" ht="30.0" customHeight="1"/>
    <row r="335" ht="30.0" customHeight="1"/>
    <row r="336" ht="30.0" customHeight="1"/>
    <row r="337" ht="30.0" customHeight="1"/>
    <row r="338" ht="30.0" customHeight="1"/>
    <row r="339" ht="30.0" customHeight="1"/>
    <row r="340" ht="30.0" customHeight="1"/>
    <row r="341" ht="30.0" customHeight="1"/>
    <row r="342" ht="30.0" customHeight="1"/>
    <row r="343" ht="30.0" customHeight="1"/>
    <row r="344" ht="30.0" customHeight="1"/>
    <row r="345" ht="30.0" customHeight="1"/>
    <row r="346" ht="30.0" customHeight="1"/>
    <row r="347" ht="30.0" customHeight="1"/>
    <row r="348" ht="30.0" customHeight="1"/>
    <row r="349" ht="30.0" customHeight="1"/>
    <row r="350" ht="30.0" customHeight="1"/>
    <row r="351" ht="30.0" customHeight="1"/>
    <row r="352" ht="30.0" customHeight="1"/>
    <row r="353" ht="30.0" customHeight="1"/>
    <row r="354" ht="30.0" customHeight="1"/>
    <row r="355" ht="30.0" customHeight="1"/>
    <row r="356" ht="30.0" customHeight="1"/>
    <row r="357" ht="30.0" customHeight="1"/>
    <row r="358" ht="30.0" customHeight="1"/>
    <row r="359" ht="30.0" customHeight="1"/>
    <row r="360" ht="30.0" customHeight="1"/>
    <row r="361" ht="30.0" customHeight="1"/>
    <row r="362" ht="30.0" customHeight="1"/>
    <row r="363" ht="30.0" customHeight="1"/>
    <row r="364" ht="30.0" customHeight="1"/>
    <row r="365" ht="30.0" customHeight="1"/>
    <row r="366" ht="30.0" customHeight="1"/>
    <row r="367" ht="30.0" customHeight="1"/>
    <row r="368" ht="30.0" customHeight="1"/>
    <row r="369" ht="30.0" customHeight="1"/>
    <row r="370" ht="30.0" customHeight="1"/>
    <row r="371" ht="30.0" customHeight="1"/>
    <row r="372" ht="30.0" customHeight="1"/>
    <row r="373" ht="30.0" customHeight="1"/>
    <row r="374" ht="30.0" customHeight="1"/>
    <row r="375" ht="30.0" customHeight="1"/>
    <row r="376" ht="30.0" customHeight="1"/>
    <row r="377" ht="30.0" customHeight="1"/>
    <row r="378" ht="30.0" customHeight="1"/>
    <row r="379" ht="30.0" customHeight="1"/>
    <row r="380" ht="30.0" customHeight="1"/>
    <row r="381" ht="30.0" customHeight="1"/>
    <row r="382" ht="30.0" customHeight="1"/>
    <row r="383" ht="30.0" customHeight="1"/>
    <row r="384" ht="30.0" customHeight="1"/>
    <row r="385" ht="30.0" customHeight="1"/>
    <row r="386" ht="30.0" customHeight="1"/>
    <row r="387" ht="30.0" customHeight="1"/>
    <row r="388" ht="30.0" customHeight="1"/>
    <row r="389" ht="30.0" customHeight="1"/>
    <row r="390" ht="30.0" customHeight="1"/>
    <row r="391" ht="30.0" customHeight="1"/>
    <row r="392" ht="30.0" customHeight="1"/>
    <row r="393" ht="30.0" customHeight="1"/>
    <row r="394" ht="30.0" customHeight="1"/>
    <row r="395" ht="30.0" customHeight="1"/>
    <row r="396" ht="30.0" customHeight="1"/>
    <row r="397" ht="30.0" customHeight="1"/>
    <row r="398" ht="30.0" customHeight="1"/>
    <row r="399" ht="30.0" customHeight="1"/>
    <row r="400" ht="30.0" customHeight="1"/>
    <row r="401" ht="30.0" customHeight="1"/>
    <row r="402" ht="30.0" customHeight="1"/>
    <row r="403" ht="30.0" customHeight="1"/>
    <row r="404" ht="30.0" customHeight="1"/>
    <row r="405" ht="30.0" customHeight="1"/>
    <row r="406" ht="30.0" customHeight="1"/>
    <row r="407" ht="30.0" customHeight="1"/>
    <row r="408" ht="30.0" customHeight="1"/>
    <row r="409" ht="30.0" customHeight="1"/>
    <row r="410" ht="30.0" customHeight="1"/>
    <row r="411" ht="30.0" customHeight="1"/>
    <row r="412" ht="30.0" customHeight="1"/>
    <row r="413" ht="30.0" customHeight="1"/>
    <row r="414" ht="30.0" customHeight="1"/>
    <row r="415" ht="30.0" customHeight="1"/>
    <row r="416" ht="30.0" customHeight="1"/>
    <row r="417" ht="30.0" customHeight="1"/>
    <row r="418" ht="30.0" customHeight="1"/>
    <row r="419" ht="30.0" customHeight="1"/>
    <row r="420" ht="30.0" customHeight="1"/>
    <row r="421" ht="30.0" customHeight="1"/>
    <row r="422" ht="30.0" customHeight="1"/>
    <row r="423" ht="30.0" customHeight="1"/>
    <row r="424" ht="30.0" customHeight="1"/>
    <row r="425" ht="30.0" customHeight="1"/>
    <row r="426" ht="30.0" customHeight="1"/>
    <row r="427" ht="30.0" customHeight="1"/>
    <row r="428" ht="30.0" customHeight="1"/>
    <row r="429" ht="30.0" customHeight="1"/>
    <row r="430" ht="30.0" customHeight="1"/>
    <row r="431" ht="30.0" customHeight="1"/>
    <row r="432" ht="30.0" customHeight="1"/>
    <row r="433" ht="30.0" customHeight="1"/>
    <row r="434" ht="30.0" customHeight="1"/>
    <row r="435" ht="30.0" customHeight="1"/>
    <row r="436" ht="30.0" customHeight="1"/>
    <row r="437" ht="30.0" customHeight="1"/>
    <row r="438" ht="30.0" customHeight="1"/>
    <row r="439" ht="30.0" customHeight="1"/>
    <row r="440" ht="30.0" customHeight="1"/>
    <row r="441" ht="30.0" customHeight="1"/>
    <row r="442" ht="30.0" customHeight="1"/>
    <row r="443" ht="30.0" customHeight="1"/>
    <row r="444" ht="30.0" customHeight="1"/>
    <row r="445" ht="30.0" customHeight="1"/>
    <row r="446" ht="30.0" customHeight="1"/>
    <row r="447" ht="30.0" customHeight="1"/>
    <row r="448" ht="30.0" customHeight="1"/>
    <row r="449" ht="30.0" customHeight="1"/>
    <row r="450" ht="30.0" customHeight="1"/>
    <row r="451" ht="30.0" customHeight="1"/>
    <row r="452" ht="30.0" customHeight="1"/>
    <row r="453" ht="30.0" customHeight="1"/>
    <row r="454" ht="30.0" customHeight="1"/>
    <row r="455" ht="30.0" customHeight="1"/>
    <row r="456" ht="30.0" customHeight="1"/>
    <row r="457" ht="30.0" customHeight="1"/>
    <row r="458" ht="30.0" customHeight="1"/>
    <row r="459" ht="30.0" customHeight="1"/>
    <row r="460" ht="30.0" customHeight="1"/>
    <row r="461" ht="30.0" customHeight="1"/>
    <row r="462" ht="30.0" customHeight="1"/>
    <row r="463" ht="30.0" customHeight="1"/>
    <row r="464" ht="30.0" customHeight="1"/>
    <row r="465" ht="30.0" customHeight="1"/>
    <row r="466" ht="30.0" customHeight="1"/>
    <row r="467" ht="30.0" customHeight="1"/>
    <row r="468" ht="30.0" customHeight="1"/>
    <row r="469" ht="30.0" customHeight="1"/>
    <row r="470" ht="30.0" customHeight="1"/>
    <row r="471" ht="30.0" customHeight="1"/>
    <row r="472" ht="30.0" customHeight="1"/>
    <row r="473" ht="30.0" customHeight="1"/>
    <row r="474" ht="30.0" customHeight="1"/>
    <row r="475" ht="30.0" customHeight="1"/>
    <row r="476" ht="30.0" customHeight="1"/>
    <row r="477" ht="30.0" customHeight="1"/>
    <row r="478" ht="30.0" customHeight="1"/>
    <row r="479" ht="30.0" customHeight="1"/>
    <row r="480" ht="30.0" customHeight="1"/>
    <row r="481" ht="30.0" customHeight="1"/>
    <row r="482" ht="30.0" customHeight="1"/>
    <row r="483" ht="30.0" customHeight="1"/>
    <row r="484" ht="30.0" customHeight="1"/>
    <row r="485" ht="30.0" customHeight="1"/>
    <row r="486" ht="30.0" customHeight="1"/>
    <row r="487" ht="30.0" customHeight="1"/>
    <row r="488" ht="30.0" customHeight="1"/>
    <row r="489" ht="30.0" customHeight="1"/>
    <row r="490" ht="30.0" customHeight="1"/>
    <row r="491" ht="30.0" customHeight="1"/>
    <row r="492" ht="30.0" customHeight="1"/>
    <row r="493" ht="30.0" customHeight="1"/>
    <row r="494" ht="30.0" customHeight="1"/>
    <row r="495" ht="30.0" customHeight="1"/>
    <row r="496" ht="30.0" customHeight="1"/>
    <row r="497" ht="30.0" customHeight="1"/>
    <row r="498" ht="30.0" customHeight="1"/>
    <row r="499" ht="30.0" customHeight="1"/>
    <row r="500" ht="30.0" customHeight="1"/>
    <row r="501" ht="30.0" customHeight="1"/>
    <row r="502" ht="30.0" customHeight="1"/>
    <row r="503" ht="30.0" customHeight="1"/>
    <row r="504" ht="30.0" customHeight="1"/>
    <row r="505" ht="30.0" customHeight="1"/>
    <row r="506" ht="30.0" customHeight="1"/>
    <row r="507" ht="30.0" customHeight="1"/>
    <row r="508" ht="30.0" customHeight="1"/>
    <row r="509" ht="30.0" customHeight="1"/>
    <row r="510" ht="30.0" customHeight="1"/>
    <row r="511" ht="30.0" customHeight="1"/>
    <row r="512" ht="30.0" customHeight="1"/>
    <row r="513" ht="30.0" customHeight="1"/>
    <row r="514" ht="30.0" customHeight="1"/>
    <row r="515" ht="30.0" customHeight="1"/>
    <row r="516" ht="30.0" customHeight="1"/>
    <row r="517" ht="30.0" customHeight="1"/>
    <row r="518" ht="30.0" customHeight="1"/>
    <row r="519" ht="30.0" customHeight="1"/>
    <row r="520" ht="30.0" customHeight="1"/>
    <row r="521" ht="30.0" customHeight="1"/>
    <row r="522" ht="30.0" customHeight="1"/>
    <row r="523" ht="30.0" customHeight="1"/>
    <row r="524" ht="30.0" customHeight="1"/>
    <row r="525" ht="30.0" customHeight="1"/>
    <row r="526" ht="30.0" customHeight="1"/>
    <row r="527" ht="30.0" customHeight="1"/>
    <row r="528" ht="30.0" customHeight="1"/>
    <row r="529" ht="30.0" customHeight="1"/>
    <row r="530" ht="30.0" customHeight="1"/>
    <row r="531" ht="30.0" customHeight="1"/>
    <row r="532" ht="30.0" customHeight="1"/>
    <row r="533" ht="30.0" customHeight="1"/>
    <row r="534" ht="30.0" customHeight="1"/>
    <row r="535" ht="30.0" customHeight="1"/>
    <row r="536" ht="30.0" customHeight="1"/>
    <row r="537" ht="30.0" customHeight="1"/>
    <row r="538" ht="30.0" customHeight="1"/>
    <row r="539" ht="30.0" customHeight="1"/>
    <row r="540" ht="30.0" customHeight="1"/>
    <row r="541" ht="30.0" customHeight="1"/>
    <row r="542" ht="30.0" customHeight="1"/>
    <row r="543" ht="30.0" customHeight="1"/>
    <row r="544" ht="30.0" customHeight="1"/>
    <row r="545" ht="30.0" customHeight="1"/>
    <row r="546" ht="30.0" customHeight="1"/>
    <row r="547" ht="30.0" customHeight="1"/>
    <row r="548" ht="30.0" customHeight="1"/>
    <row r="549" ht="30.0" customHeight="1"/>
    <row r="550" ht="30.0" customHeight="1"/>
    <row r="551" ht="30.0" customHeight="1"/>
    <row r="552" ht="30.0" customHeight="1"/>
    <row r="553" ht="30.0" customHeight="1"/>
    <row r="554" ht="30.0" customHeight="1"/>
    <row r="555" ht="30.0" customHeight="1"/>
    <row r="556" ht="30.0" customHeight="1"/>
    <row r="557" ht="30.0" customHeight="1"/>
    <row r="558" ht="30.0" customHeight="1"/>
    <row r="559" ht="30.0" customHeight="1"/>
    <row r="560" ht="30.0" customHeight="1"/>
    <row r="561" ht="30.0" customHeight="1"/>
    <row r="562" ht="30.0" customHeight="1"/>
    <row r="563" ht="30.0" customHeight="1"/>
    <row r="564" ht="30.0" customHeight="1"/>
    <row r="565" ht="30.0" customHeight="1"/>
    <row r="566" ht="30.0" customHeight="1"/>
    <row r="567" ht="30.0" customHeight="1"/>
    <row r="568" ht="30.0" customHeight="1"/>
    <row r="569" ht="30.0" customHeight="1"/>
    <row r="570" ht="30.0" customHeight="1"/>
    <row r="571" ht="30.0" customHeight="1"/>
    <row r="572" ht="30.0" customHeight="1"/>
    <row r="573" ht="30.0" customHeight="1"/>
    <row r="574" ht="30.0" customHeight="1"/>
    <row r="575" ht="30.0" customHeight="1"/>
    <row r="576" ht="30.0" customHeight="1"/>
    <row r="577" ht="30.0" customHeight="1"/>
    <row r="578" ht="30.0" customHeight="1"/>
    <row r="579" ht="30.0" customHeight="1"/>
    <row r="580" ht="30.0" customHeight="1"/>
    <row r="581" ht="30.0" customHeight="1"/>
    <row r="582" ht="30.0" customHeight="1"/>
    <row r="583" ht="30.0" customHeight="1"/>
    <row r="584" ht="30.0" customHeight="1"/>
    <row r="585" ht="30.0" customHeight="1"/>
    <row r="586" ht="30.0" customHeight="1"/>
    <row r="587" ht="30.0" customHeight="1"/>
    <row r="588" ht="30.0" customHeight="1"/>
    <row r="589" ht="30.0" customHeight="1"/>
    <row r="590" ht="30.0" customHeight="1"/>
    <row r="591" ht="30.0" customHeight="1"/>
    <row r="592" ht="30.0" customHeight="1"/>
    <row r="593" ht="30.0" customHeight="1"/>
    <row r="594" ht="30.0" customHeight="1"/>
    <row r="595" ht="30.0" customHeight="1"/>
    <row r="596" ht="30.0" customHeight="1"/>
    <row r="597" ht="30.0" customHeight="1"/>
    <row r="598" ht="30.0" customHeight="1"/>
    <row r="599" ht="30.0" customHeight="1"/>
    <row r="600" ht="30.0" customHeight="1"/>
    <row r="601" ht="30.0" customHeight="1"/>
    <row r="602" ht="30.0" customHeight="1"/>
    <row r="603" ht="30.0" customHeight="1"/>
    <row r="604" ht="30.0" customHeight="1"/>
    <row r="605" ht="30.0" customHeight="1"/>
    <row r="606" ht="30.0" customHeight="1"/>
    <row r="607" ht="30.0" customHeight="1"/>
    <row r="608" ht="30.0" customHeight="1"/>
    <row r="609" ht="30.0" customHeight="1"/>
    <row r="610" ht="30.0" customHeight="1"/>
    <row r="611" ht="30.0" customHeight="1"/>
    <row r="612" ht="30.0" customHeight="1"/>
    <row r="613" ht="30.0" customHeight="1"/>
    <row r="614" ht="30.0" customHeight="1"/>
    <row r="615" ht="30.0" customHeight="1"/>
    <row r="616" ht="30.0" customHeight="1"/>
    <row r="617" ht="30.0" customHeight="1"/>
    <row r="618" ht="30.0" customHeight="1"/>
    <row r="619" ht="30.0" customHeight="1"/>
    <row r="620" ht="30.0" customHeight="1"/>
    <row r="621" ht="30.0" customHeight="1"/>
    <row r="622" ht="30.0" customHeight="1"/>
    <row r="623" ht="30.0" customHeight="1"/>
    <row r="624" ht="30.0" customHeight="1"/>
    <row r="625" ht="30.0" customHeight="1"/>
    <row r="626" ht="30.0" customHeight="1"/>
    <row r="627" ht="30.0" customHeight="1"/>
    <row r="628" ht="30.0" customHeight="1"/>
    <row r="629" ht="30.0" customHeight="1"/>
    <row r="630" ht="30.0" customHeight="1"/>
    <row r="631" ht="30.0" customHeight="1"/>
    <row r="632" ht="30.0" customHeight="1"/>
    <row r="633" ht="30.0" customHeight="1"/>
    <row r="634" ht="30.0" customHeight="1"/>
    <row r="635" ht="30.0" customHeight="1"/>
    <row r="636" ht="30.0" customHeight="1"/>
    <row r="637" ht="30.0" customHeight="1"/>
    <row r="638" ht="30.0" customHeight="1"/>
    <row r="639" ht="30.0" customHeight="1"/>
    <row r="640" ht="30.0" customHeight="1"/>
    <row r="641" ht="30.0" customHeight="1"/>
    <row r="642" ht="30.0" customHeight="1"/>
    <row r="643" ht="30.0" customHeight="1"/>
    <row r="644" ht="30.0" customHeight="1"/>
    <row r="645" ht="30.0" customHeight="1"/>
    <row r="646" ht="30.0" customHeight="1"/>
    <row r="647" ht="30.0" customHeight="1"/>
    <row r="648" ht="30.0" customHeight="1"/>
    <row r="649" ht="30.0" customHeight="1"/>
    <row r="650" ht="30.0" customHeight="1"/>
    <row r="651" ht="30.0" customHeight="1"/>
    <row r="652" ht="30.0" customHeight="1"/>
    <row r="653" ht="30.0" customHeight="1"/>
    <row r="654" ht="30.0" customHeight="1"/>
    <row r="655" ht="30.0" customHeight="1"/>
    <row r="656" ht="30.0" customHeight="1"/>
    <row r="657" ht="30.0" customHeight="1"/>
    <row r="658" ht="30.0" customHeight="1"/>
    <row r="659" ht="30.0" customHeight="1"/>
    <row r="660" ht="30.0" customHeight="1"/>
    <row r="661" ht="30.0" customHeight="1"/>
    <row r="662" ht="30.0" customHeight="1"/>
    <row r="663" ht="30.0" customHeight="1"/>
    <row r="664" ht="30.0" customHeight="1"/>
    <row r="665" ht="30.0" customHeight="1"/>
    <row r="666" ht="30.0" customHeight="1"/>
    <row r="667" ht="30.0" customHeight="1"/>
    <row r="668" ht="30.0" customHeight="1"/>
    <row r="669" ht="30.0" customHeight="1"/>
    <row r="670" ht="30.0" customHeight="1"/>
    <row r="671" ht="30.0" customHeight="1"/>
    <row r="672" ht="30.0" customHeight="1"/>
    <row r="673" ht="30.0" customHeight="1"/>
    <row r="674" ht="30.0" customHeight="1"/>
    <row r="675" ht="30.0" customHeight="1"/>
    <row r="676" ht="30.0" customHeight="1"/>
    <row r="677" ht="30.0" customHeight="1"/>
    <row r="678" ht="30.0" customHeight="1"/>
    <row r="679" ht="30.0" customHeight="1"/>
    <row r="680" ht="30.0" customHeight="1"/>
    <row r="681" ht="30.0" customHeight="1"/>
    <row r="682" ht="30.0" customHeight="1"/>
    <row r="683" ht="30.0" customHeight="1"/>
    <row r="684" ht="30.0" customHeight="1"/>
    <row r="685" ht="30.0" customHeight="1"/>
    <row r="686" ht="30.0" customHeight="1"/>
    <row r="687" ht="30.0" customHeight="1"/>
    <row r="688" ht="30.0" customHeight="1"/>
    <row r="689" ht="30.0" customHeight="1"/>
    <row r="690" ht="30.0" customHeight="1"/>
    <row r="691" ht="30.0" customHeight="1"/>
    <row r="692" ht="30.0" customHeight="1"/>
    <row r="693" ht="30.0" customHeight="1"/>
    <row r="694" ht="30.0" customHeight="1"/>
    <row r="695" ht="30.0" customHeight="1"/>
    <row r="696" ht="30.0" customHeight="1"/>
    <row r="697" ht="30.0" customHeight="1"/>
    <row r="698" ht="30.0" customHeight="1"/>
    <row r="699" ht="30.0" customHeight="1"/>
    <row r="700" ht="30.0" customHeight="1"/>
    <row r="701" ht="30.0" customHeight="1"/>
    <row r="702" ht="30.0" customHeight="1"/>
    <row r="703" ht="30.0" customHeight="1"/>
    <row r="704" ht="30.0" customHeight="1"/>
    <row r="705" ht="30.0" customHeight="1"/>
    <row r="706" ht="30.0" customHeight="1"/>
    <row r="707" ht="30.0" customHeight="1"/>
    <row r="708" ht="30.0" customHeight="1"/>
    <row r="709" ht="30.0" customHeight="1"/>
    <row r="710" ht="30.0" customHeight="1"/>
    <row r="711" ht="30.0" customHeight="1"/>
    <row r="712" ht="30.0" customHeight="1"/>
    <row r="713" ht="30.0" customHeight="1"/>
    <row r="714" ht="30.0" customHeight="1"/>
    <row r="715" ht="30.0" customHeight="1"/>
    <row r="716" ht="30.0" customHeight="1"/>
    <row r="717" ht="30.0" customHeight="1"/>
    <row r="718" ht="30.0" customHeight="1"/>
    <row r="719" ht="30.0" customHeight="1"/>
    <row r="720" ht="30.0" customHeight="1"/>
    <row r="721" ht="30.0" customHeight="1"/>
    <row r="722" ht="30.0" customHeight="1"/>
    <row r="723" ht="30.0" customHeight="1"/>
    <row r="724" ht="30.0" customHeight="1"/>
    <row r="725" ht="30.0" customHeight="1"/>
    <row r="726" ht="30.0" customHeight="1"/>
    <row r="727" ht="30.0" customHeight="1"/>
    <row r="728" ht="30.0" customHeight="1"/>
    <row r="729" ht="30.0" customHeight="1"/>
    <row r="730" ht="30.0" customHeight="1"/>
    <row r="731" ht="30.0" customHeight="1"/>
    <row r="732" ht="30.0" customHeight="1"/>
    <row r="733" ht="30.0" customHeight="1"/>
    <row r="734" ht="30.0" customHeight="1"/>
    <row r="735" ht="30.0" customHeight="1"/>
    <row r="736" ht="30.0" customHeight="1"/>
    <row r="737" ht="30.0" customHeight="1"/>
    <row r="738" ht="30.0" customHeight="1"/>
    <row r="739" ht="30.0" customHeight="1"/>
    <row r="740" ht="30.0" customHeight="1"/>
    <row r="741" ht="30.0" customHeight="1"/>
    <row r="742" ht="30.0" customHeight="1"/>
    <row r="743" ht="30.0" customHeight="1"/>
    <row r="744" ht="30.0" customHeight="1"/>
    <row r="745" ht="30.0" customHeight="1"/>
    <row r="746" ht="30.0" customHeight="1"/>
    <row r="747" ht="30.0" customHeight="1"/>
    <row r="748" ht="30.0" customHeight="1"/>
    <row r="749" ht="30.0" customHeight="1"/>
    <row r="750" ht="30.0" customHeight="1"/>
    <row r="751" ht="30.0" customHeight="1"/>
    <row r="752" ht="30.0" customHeight="1"/>
    <row r="753" ht="30.0" customHeight="1"/>
    <row r="754" ht="30.0" customHeight="1"/>
    <row r="755" ht="30.0" customHeight="1"/>
    <row r="756" ht="30.0" customHeight="1"/>
    <row r="757" ht="30.0" customHeight="1"/>
    <row r="758" ht="30.0" customHeight="1"/>
    <row r="759" ht="30.0" customHeight="1"/>
    <row r="760" ht="30.0" customHeight="1"/>
    <row r="761" ht="30.0" customHeight="1"/>
    <row r="762" ht="30.0" customHeight="1"/>
    <row r="763" ht="30.0" customHeight="1"/>
    <row r="764" ht="30.0" customHeight="1"/>
    <row r="765" ht="30.0" customHeight="1"/>
    <row r="766" ht="30.0" customHeight="1"/>
    <row r="767" ht="30.0" customHeight="1"/>
    <row r="768" ht="30.0" customHeight="1"/>
    <row r="769" ht="30.0" customHeight="1"/>
    <row r="770" ht="30.0" customHeight="1"/>
    <row r="771" ht="30.0" customHeight="1"/>
    <row r="772" ht="30.0" customHeight="1"/>
    <row r="773" ht="30.0" customHeight="1"/>
    <row r="774" ht="30.0" customHeight="1"/>
    <row r="775" ht="30.0" customHeight="1"/>
    <row r="776" ht="30.0" customHeight="1"/>
    <row r="777" ht="30.0" customHeight="1"/>
    <row r="778" ht="30.0" customHeight="1"/>
    <row r="779" ht="30.0" customHeight="1"/>
    <row r="780" ht="30.0" customHeight="1"/>
    <row r="781" ht="30.0" customHeight="1"/>
    <row r="782" ht="30.0" customHeight="1"/>
    <row r="783" ht="30.0" customHeight="1"/>
    <row r="784" ht="30.0" customHeight="1"/>
    <row r="785" ht="30.0" customHeight="1"/>
    <row r="786" ht="30.0" customHeight="1"/>
    <row r="787" ht="30.0" customHeight="1"/>
    <row r="788" ht="30.0" customHeight="1"/>
    <row r="789" ht="30.0" customHeight="1"/>
    <row r="790" ht="30.0" customHeight="1"/>
    <row r="791" ht="30.0" customHeight="1"/>
    <row r="792" ht="30.0" customHeight="1"/>
    <row r="793" ht="30.0" customHeight="1"/>
    <row r="794" ht="30.0" customHeight="1"/>
    <row r="795" ht="30.0" customHeight="1"/>
    <row r="796" ht="30.0" customHeight="1"/>
    <row r="797" ht="30.0" customHeight="1"/>
    <row r="798" ht="30.0" customHeight="1"/>
    <row r="799" ht="30.0" customHeight="1"/>
    <row r="800" ht="30.0" customHeight="1"/>
    <row r="801" ht="30.0" customHeight="1"/>
    <row r="802" ht="30.0" customHeight="1"/>
    <row r="803" ht="30.0" customHeight="1"/>
    <row r="804" ht="30.0" customHeight="1"/>
    <row r="805" ht="30.0" customHeight="1"/>
    <row r="806" ht="30.0" customHeight="1"/>
    <row r="807" ht="30.0" customHeight="1"/>
    <row r="808" ht="30.0" customHeight="1"/>
    <row r="809" ht="30.0" customHeight="1"/>
    <row r="810" ht="30.0" customHeight="1"/>
    <row r="811" ht="30.0" customHeight="1"/>
    <row r="812" ht="30.0" customHeight="1"/>
    <row r="813" ht="30.0" customHeight="1"/>
    <row r="814" ht="30.0" customHeight="1"/>
    <row r="815" ht="30.0" customHeight="1"/>
    <row r="816" ht="30.0" customHeight="1"/>
    <row r="817" ht="30.0" customHeight="1"/>
    <row r="818" ht="30.0" customHeight="1"/>
    <row r="819" ht="30.0" customHeight="1"/>
    <row r="820" ht="30.0" customHeight="1"/>
    <row r="821" ht="30.0" customHeight="1"/>
    <row r="822" ht="30.0" customHeight="1"/>
    <row r="823" ht="30.0" customHeight="1"/>
    <row r="824" ht="30.0" customHeight="1"/>
    <row r="825" ht="30.0" customHeight="1"/>
    <row r="826" ht="30.0" customHeight="1"/>
    <row r="827" ht="30.0" customHeight="1"/>
    <row r="828" ht="30.0" customHeight="1"/>
    <row r="829" ht="30.0" customHeight="1"/>
    <row r="830" ht="30.0" customHeight="1"/>
    <row r="831" ht="30.0" customHeight="1"/>
    <row r="832" ht="30.0" customHeight="1"/>
    <row r="833" ht="30.0" customHeight="1"/>
    <row r="834" ht="30.0" customHeight="1"/>
    <row r="835" ht="30.0" customHeight="1"/>
    <row r="836" ht="30.0" customHeight="1"/>
    <row r="837" ht="30.0" customHeight="1"/>
    <row r="838" ht="30.0" customHeight="1"/>
    <row r="839" ht="30.0" customHeight="1"/>
    <row r="840" ht="30.0" customHeight="1"/>
    <row r="841" ht="30.0" customHeight="1"/>
    <row r="842" ht="30.0" customHeight="1"/>
    <row r="843" ht="30.0" customHeight="1"/>
    <row r="844" ht="30.0" customHeight="1"/>
    <row r="845" ht="30.0" customHeight="1"/>
    <row r="846" ht="30.0" customHeight="1"/>
    <row r="847" ht="30.0" customHeight="1"/>
    <row r="848" ht="30.0" customHeight="1"/>
    <row r="849" ht="30.0" customHeight="1"/>
    <row r="850" ht="30.0" customHeight="1"/>
    <row r="851" ht="30.0" customHeight="1"/>
    <row r="852" ht="30.0" customHeight="1"/>
    <row r="853" ht="30.0" customHeight="1"/>
    <row r="854" ht="30.0" customHeight="1"/>
    <row r="855" ht="30.0" customHeight="1"/>
    <row r="856" ht="30.0" customHeight="1"/>
    <row r="857" ht="30.0" customHeight="1"/>
    <row r="858" ht="30.0" customHeight="1"/>
    <row r="859" ht="30.0" customHeight="1"/>
    <row r="860" ht="30.0" customHeight="1"/>
    <row r="861" ht="30.0" customHeight="1"/>
    <row r="862" ht="30.0" customHeight="1"/>
    <row r="863" ht="30.0" customHeight="1"/>
    <row r="864" ht="30.0" customHeight="1"/>
    <row r="865" ht="30.0" customHeight="1"/>
    <row r="866" ht="30.0" customHeight="1"/>
    <row r="867" ht="30.0" customHeight="1"/>
    <row r="868" ht="30.0" customHeight="1"/>
    <row r="869" ht="30.0" customHeight="1"/>
    <row r="870" ht="30.0" customHeight="1"/>
    <row r="871" ht="30.0" customHeight="1"/>
    <row r="872" ht="30.0" customHeight="1"/>
    <row r="873" ht="30.0" customHeight="1"/>
    <row r="874" ht="30.0" customHeight="1"/>
    <row r="875" ht="30.0" customHeight="1"/>
    <row r="876" ht="30.0" customHeight="1"/>
    <row r="877" ht="30.0" customHeight="1"/>
    <row r="878" ht="30.0" customHeight="1"/>
    <row r="879" ht="30.0" customHeight="1"/>
    <row r="880" ht="30.0" customHeight="1"/>
    <row r="881" ht="30.0" customHeight="1"/>
    <row r="882" ht="30.0" customHeight="1"/>
    <row r="883" ht="30.0" customHeight="1"/>
    <row r="884" ht="30.0" customHeight="1"/>
    <row r="885" ht="30.0" customHeight="1"/>
    <row r="886" ht="30.0" customHeight="1"/>
    <row r="887" ht="30.0" customHeight="1"/>
    <row r="888" ht="30.0" customHeight="1"/>
    <row r="889" ht="30.0" customHeight="1"/>
    <row r="890" ht="30.0" customHeight="1"/>
    <row r="891" ht="30.0" customHeight="1"/>
    <row r="892" ht="30.0" customHeight="1"/>
    <row r="893" ht="30.0" customHeight="1"/>
    <row r="894" ht="30.0" customHeight="1"/>
    <row r="895" ht="30.0" customHeight="1"/>
    <row r="896" ht="30.0" customHeight="1"/>
    <row r="897" ht="30.0" customHeight="1"/>
    <row r="898" ht="30.0" customHeight="1"/>
    <row r="899" ht="30.0" customHeight="1"/>
    <row r="900" ht="30.0" customHeight="1"/>
    <row r="901" ht="30.0" customHeight="1"/>
    <row r="902" ht="30.0" customHeight="1"/>
    <row r="903" ht="30.0" customHeight="1"/>
    <row r="904" ht="30.0" customHeight="1"/>
    <row r="905" ht="30.0" customHeight="1"/>
    <row r="906" ht="30.0" customHeight="1"/>
    <row r="907" ht="30.0" customHeight="1"/>
    <row r="908" ht="30.0" customHeight="1"/>
    <row r="909" ht="30.0" customHeight="1"/>
    <row r="910" ht="30.0" customHeight="1"/>
    <row r="911" ht="30.0" customHeight="1"/>
    <row r="912" ht="30.0" customHeight="1"/>
    <row r="913" ht="30.0" customHeight="1"/>
    <row r="914" ht="30.0" customHeight="1"/>
    <row r="915" ht="30.0" customHeight="1"/>
    <row r="916" ht="30.0" customHeight="1"/>
    <row r="917" ht="30.0" customHeight="1"/>
    <row r="918" ht="30.0" customHeight="1"/>
    <row r="919" ht="30.0" customHeight="1"/>
    <row r="920" ht="30.0" customHeight="1"/>
    <row r="921" ht="30.0" customHeight="1"/>
    <row r="922" ht="30.0" customHeight="1"/>
    <row r="923" ht="30.0" customHeight="1"/>
    <row r="924" ht="30.0" customHeight="1"/>
    <row r="925" ht="30.0" customHeight="1"/>
    <row r="926" ht="30.0" customHeight="1"/>
    <row r="927" ht="30.0" customHeight="1"/>
    <row r="928" ht="30.0" customHeight="1"/>
    <row r="929" ht="30.0" customHeight="1"/>
    <row r="930" ht="30.0" customHeight="1"/>
    <row r="931" ht="30.0" customHeight="1"/>
    <row r="932" ht="30.0" customHeight="1"/>
    <row r="933" ht="30.0" customHeight="1"/>
    <row r="934" ht="30.0" customHeight="1"/>
    <row r="935" ht="30.0" customHeight="1"/>
    <row r="936" ht="30.0" customHeight="1"/>
    <row r="937" ht="30.0" customHeight="1"/>
    <row r="938" ht="30.0" customHeight="1"/>
    <row r="939" ht="30.0" customHeight="1"/>
    <row r="940" ht="30.0" customHeight="1"/>
    <row r="941" ht="30.0" customHeight="1"/>
    <row r="942" ht="30.0" customHeight="1"/>
    <row r="943" ht="30.0" customHeight="1"/>
    <row r="944" ht="30.0" customHeight="1"/>
    <row r="945" ht="30.0" customHeight="1"/>
    <row r="946" ht="30.0" customHeight="1"/>
    <row r="947" ht="30.0" customHeight="1"/>
    <row r="948" ht="30.0" customHeight="1"/>
    <row r="949" ht="30.0" customHeight="1"/>
    <row r="950" ht="30.0" customHeight="1"/>
    <row r="951" ht="30.0" customHeight="1"/>
    <row r="952" ht="30.0" customHeight="1"/>
    <row r="953" ht="30.0" customHeight="1"/>
    <row r="954" ht="30.0" customHeight="1"/>
    <row r="955" ht="30.0" customHeight="1"/>
    <row r="956" ht="30.0" customHeight="1"/>
    <row r="957" ht="30.0" customHeight="1"/>
    <row r="958" ht="30.0" customHeight="1"/>
    <row r="959" ht="30.0" customHeight="1"/>
    <row r="960" ht="30.0" customHeight="1"/>
    <row r="961" ht="30.0" customHeight="1"/>
    <row r="962" ht="30.0" customHeight="1"/>
    <row r="963" ht="30.0" customHeight="1"/>
    <row r="964" ht="30.0" customHeight="1"/>
    <row r="965" ht="30.0" customHeight="1"/>
    <row r="966" ht="30.0" customHeight="1"/>
    <row r="967" ht="30.0" customHeight="1"/>
    <row r="968" ht="30.0" customHeight="1"/>
    <row r="969" ht="30.0" customHeight="1"/>
    <row r="970" ht="30.0" customHeight="1"/>
    <row r="971" ht="30.0" customHeight="1"/>
    <row r="972" ht="30.0" customHeight="1"/>
    <row r="973" ht="30.0" customHeight="1"/>
    <row r="974" ht="30.0" customHeight="1"/>
    <row r="975" ht="30.0" customHeight="1"/>
    <row r="976" ht="30.0" customHeight="1"/>
    <row r="977" ht="30.0" customHeight="1"/>
    <row r="978" ht="30.0" customHeight="1"/>
    <row r="979" ht="30.0" customHeight="1"/>
    <row r="980" ht="30.0" customHeight="1"/>
    <row r="981" ht="30.0" customHeight="1"/>
    <row r="982" ht="30.0" customHeight="1"/>
    <row r="983" ht="30.0" customHeight="1"/>
    <row r="984" ht="30.0" customHeight="1"/>
    <row r="985" ht="30.0" customHeight="1"/>
    <row r="986" ht="30.0" customHeight="1"/>
    <row r="987" ht="30.0" customHeight="1"/>
    <row r="988" ht="30.0" customHeight="1"/>
    <row r="989" ht="30.0" customHeight="1"/>
    <row r="990" ht="30.0" customHeight="1"/>
    <row r="991" ht="30.0" customHeight="1"/>
    <row r="992" ht="30.0" customHeight="1"/>
    <row r="993" ht="30.0" customHeight="1"/>
    <row r="994" ht="30.0" customHeight="1"/>
    <row r="995" ht="30.0" customHeight="1"/>
    <row r="996" ht="30.0" customHeight="1"/>
    <row r="997" ht="30.0" customHeight="1"/>
    <row r="998" ht="30.0" customHeight="1"/>
    <row r="999" ht="30.0" customHeight="1"/>
    <row r="1000" ht="30.0" customHeight="1"/>
  </sheetData>
  <mergeCells count="2">
    <mergeCell ref="B2:C2"/>
    <mergeCell ref="B7:C7"/>
  </mergeCells>
  <printOptions/>
  <pageMargins bottom="0.787401575" footer="0.0" header="0.0" left="0.511811024" right="0.511811024" top="0.7874015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8.71"/>
    <col customWidth="1" min="3" max="3" width="21.0"/>
    <col customWidth="1" min="4" max="4" width="16.14"/>
    <col customWidth="1" min="5" max="5" width="13.29"/>
    <col customWidth="1" min="6" max="6" width="17.86"/>
    <col customWidth="1" min="7" max="7" width="12.14"/>
    <col customWidth="1" min="8" max="8" width="16.43"/>
    <col customWidth="1" min="9" max="9" width="19.14"/>
    <col customWidth="1" min="10" max="26" width="8.71"/>
  </cols>
  <sheetData>
    <row r="1" ht="21.0" customHeight="1">
      <c r="C1" s="78"/>
      <c r="D1" s="78"/>
    </row>
    <row r="2" ht="21.0" customHeight="1">
      <c r="C2" s="79" t="s">
        <v>5446</v>
      </c>
      <c r="D2" s="80" t="s">
        <v>5447</v>
      </c>
      <c r="E2" s="80" t="s">
        <v>0</v>
      </c>
      <c r="F2" s="80" t="s">
        <v>5448</v>
      </c>
      <c r="G2" s="80" t="s">
        <v>5449</v>
      </c>
      <c r="H2" s="80" t="s">
        <v>5450</v>
      </c>
      <c r="I2" s="80" t="s">
        <v>5451</v>
      </c>
    </row>
    <row r="3" ht="21.0" customHeight="1">
      <c r="C3" s="81" t="s">
        <v>116</v>
      </c>
      <c r="D3" s="82">
        <f>COUNTIF(Contratos!G3:G2001,"AX5000")</f>
        <v>7</v>
      </c>
      <c r="E3" s="83">
        <f>COUNTIFS(Contratos!A3:A2001,"Ativo",Contratos!G3:G2001,"AX5000")</f>
        <v>2</v>
      </c>
      <c r="F3" s="84">
        <f>COUNTIFS(Contratos!B3:B2001,"Ativo",Contratos!G3:G2001,"AX5000")</f>
        <v>1</v>
      </c>
      <c r="G3" s="85">
        <f>COUNTIFS(Contratos!C3:C2001,"Ativo",Contratos!G3:G2001,"AX5000")</f>
        <v>0</v>
      </c>
      <c r="H3" s="86">
        <f t="shared" ref="H3:H17" si="1">SUM(E3:G3)</f>
        <v>3</v>
      </c>
      <c r="I3" s="87">
        <f t="shared" ref="I3:I18" si="2">D3-H3</f>
        <v>4</v>
      </c>
    </row>
    <row r="4" ht="21.0" customHeight="1">
      <c r="C4" s="88" t="s">
        <v>52</v>
      </c>
      <c r="D4" s="82">
        <f>COUNTIF(Contratos!G3:G2001,"CX100100D")</f>
        <v>233</v>
      </c>
      <c r="E4" s="83">
        <f>COUNTIFS(Contratos!A3:A2001,"Ativo",Contratos!G3:G2001,"CX100100D")</f>
        <v>57</v>
      </c>
      <c r="F4" s="84">
        <f>COUNTIFS(Contratos!B3:B2001,"Ativo",Contratos!G3:G2001,"CX100100D")</f>
        <v>29</v>
      </c>
      <c r="G4" s="85">
        <f>COUNTIFS(Contratos!C3:C2001,"Ativo",Contratos!G3:G2001,"CX100100D")</f>
        <v>33</v>
      </c>
      <c r="H4" s="89">
        <f t="shared" si="1"/>
        <v>119</v>
      </c>
      <c r="I4" s="90">
        <f t="shared" si="2"/>
        <v>114</v>
      </c>
    </row>
    <row r="5" ht="21.0" customHeight="1">
      <c r="C5" s="88" t="s">
        <v>55</v>
      </c>
      <c r="D5" s="91">
        <f>COUNTIF(Contratos!G3:G2001,"CX100100TI")</f>
        <v>210</v>
      </c>
      <c r="E5" s="84">
        <f>COUNTIFS(Contratos!A3:A2001,"Ativo",Contratos!G3:G2001,"CX100100TI")</f>
        <v>148</v>
      </c>
      <c r="F5" s="84">
        <f>COUNTIFS(Contratos!B3:B2001,"Ativo",Contratos!G3:G2001,"CX100100TI")</f>
        <v>2</v>
      </c>
      <c r="G5" s="85">
        <f>COUNTIFS(Contratos!C3:C2001,"Ativo",Contratos!G3:G2001,"CX100100TI")</f>
        <v>4</v>
      </c>
      <c r="H5" s="89">
        <f t="shared" si="1"/>
        <v>154</v>
      </c>
      <c r="I5" s="90">
        <f t="shared" si="2"/>
        <v>56</v>
      </c>
    </row>
    <row r="6" ht="21.0" customHeight="1">
      <c r="C6" s="88" t="s">
        <v>3230</v>
      </c>
      <c r="D6" s="91">
        <f>COUNTIF(Contratos!G3:G2001,"CX10080T")</f>
        <v>4</v>
      </c>
      <c r="E6" s="84">
        <f>COUNTIFS(Contratos!A3:A2001,"Ativo",Contratos!G3:G2001,"CX10080T")</f>
        <v>0</v>
      </c>
      <c r="F6" s="84">
        <f>COUNTIFS(Contratos!B3:B2001,"Ativo",Contratos!G3:G2001,"CX10080T")</f>
        <v>0</v>
      </c>
      <c r="G6" s="85">
        <f>COUNTIFS(Contratos!C3:C2001,"Ativo",Contratos!G3:G2001,"CX10080T")</f>
        <v>0</v>
      </c>
      <c r="H6" s="89">
        <f t="shared" si="1"/>
        <v>0</v>
      </c>
      <c r="I6" s="90">
        <f t="shared" si="2"/>
        <v>4</v>
      </c>
    </row>
    <row r="7" ht="21.0" customHeight="1">
      <c r="C7" s="88" t="s">
        <v>448</v>
      </c>
      <c r="D7" s="91">
        <f>COUNTIF(Contratos!G3:G2001,"CX5030T")</f>
        <v>93</v>
      </c>
      <c r="E7" s="84">
        <f>COUNTIFS(Contratos!A3:A2001,"Ativo",Contratos!G3:G2001,"CX5030T")</f>
        <v>19</v>
      </c>
      <c r="F7" s="84">
        <f>COUNTIFS(Contratos!B3:B2001,"Ativo",Contratos!G3:G2001,"CX5030T")</f>
        <v>7</v>
      </c>
      <c r="G7" s="85">
        <f>COUNTIFS(Contratos!C3:C2001,"Ativo",Contratos!G3:G2001,"CX5030T")</f>
        <v>1</v>
      </c>
      <c r="H7" s="89">
        <f t="shared" si="1"/>
        <v>27</v>
      </c>
      <c r="I7" s="90">
        <f t="shared" si="2"/>
        <v>66</v>
      </c>
    </row>
    <row r="8" ht="21.0" customHeight="1">
      <c r="C8" s="88" t="s">
        <v>94</v>
      </c>
      <c r="D8" s="91">
        <f>COUNTIF(Contratos!G3:G2001,"CX6040BI")</f>
        <v>503</v>
      </c>
      <c r="E8" s="84">
        <f>COUNTIFS(Contratos!A3:A2001,"Ativo",Contratos!G3:G2001,"CX6040BI")</f>
        <v>106</v>
      </c>
      <c r="F8" s="84">
        <f>COUNTIFS(Contratos!B3:B2001,"Ativo",Contratos!G3:G2001,"CX6040BI")</f>
        <v>58</v>
      </c>
      <c r="G8" s="85">
        <f>COUNTIFS(Contratos!C3:C2001,"Ativo",Contratos!G3:G2001,"CX6040BI")</f>
        <v>9</v>
      </c>
      <c r="H8" s="89">
        <f t="shared" si="1"/>
        <v>173</v>
      </c>
      <c r="I8" s="90">
        <f t="shared" si="2"/>
        <v>330</v>
      </c>
    </row>
    <row r="9" ht="21.0" customHeight="1">
      <c r="C9" s="88" t="s">
        <v>5452</v>
      </c>
      <c r="D9" s="91">
        <f>COUNTIF(Contratos!G3:G2001,"CX6040BIS")</f>
        <v>97</v>
      </c>
      <c r="E9" s="84">
        <f>COUNTIFS(Contratos!A3:A2001,"Ativo",Contratos!G3:G2001,"CX6040BIS")</f>
        <v>9</v>
      </c>
      <c r="F9" s="84">
        <f>COUNTIFS(Contratos!B3:B2001,"Ativo",Contratos!G3:G2001,"CX6040BIS")</f>
        <v>0</v>
      </c>
      <c r="G9" s="85">
        <f>COUNTIFS(Contratos!C3:C2001,"Ativo",Contratos!G3:G2001,"CX6040BIS")</f>
        <v>69</v>
      </c>
      <c r="H9" s="89">
        <f t="shared" si="1"/>
        <v>78</v>
      </c>
      <c r="I9" s="90">
        <f t="shared" si="2"/>
        <v>19</v>
      </c>
    </row>
    <row r="10" ht="21.0" customHeight="1">
      <c r="C10" s="88" t="s">
        <v>68</v>
      </c>
      <c r="D10" s="91">
        <f>COUNTIF(Contratos!G3:G2001,"CX6040D")</f>
        <v>79</v>
      </c>
      <c r="E10" s="84">
        <f>COUNTIFS(Contratos!A3:A2001,"Ativo",Contratos!G3:G2001,"CX6040D")</f>
        <v>4</v>
      </c>
      <c r="F10" s="84">
        <f>COUNTIFS(Contratos!B3:B2001,"Ativo",Contratos!G3:G2001,"CX6040D")</f>
        <v>19</v>
      </c>
      <c r="G10" s="85">
        <f>COUNTIFS(Contratos!C3:C2001,"Ativo",Contratos!G3:G2001,"CX6040D")</f>
        <v>12</v>
      </c>
      <c r="H10" s="89">
        <f t="shared" si="1"/>
        <v>35</v>
      </c>
      <c r="I10" s="90">
        <f t="shared" si="2"/>
        <v>44</v>
      </c>
    </row>
    <row r="11" ht="21.0" customHeight="1">
      <c r="C11" s="88" t="s">
        <v>4218</v>
      </c>
      <c r="D11" s="91">
        <f>COUNTIF(Contratos!G3:G2001,"CX7555BI")</f>
        <v>1</v>
      </c>
      <c r="E11" s="84">
        <f>COUNTIFS(Contratos!A3:A2001,"Ativo",Contratos!G3:G2001,"CX7555BI")</f>
        <v>0</v>
      </c>
      <c r="F11" s="84">
        <f>COUNTIFS(Contratos!B3:B2001,"Ativo",Contratos!G3:G2001,"CX7555BI")</f>
        <v>0</v>
      </c>
      <c r="G11" s="85">
        <f>COUNTIFS(Contratos!C3:C2001,"Ativo",Contratos!G3:G2001,"*CX7555BI*")</f>
        <v>0</v>
      </c>
      <c r="H11" s="89">
        <f t="shared" si="1"/>
        <v>0</v>
      </c>
      <c r="I11" s="90">
        <f t="shared" si="2"/>
        <v>1</v>
      </c>
    </row>
    <row r="12" ht="21.0" customHeight="1">
      <c r="C12" s="88" t="s">
        <v>5453</v>
      </c>
      <c r="D12" s="92">
        <f>COUNTIF(Contratos!G3:G2001,"*HT2000GA*")</f>
        <v>268</v>
      </c>
      <c r="E12" s="84">
        <f>COUNTIFS(Contratos!A3:A2001,"Ativo",Contratos!G3:G2001,"*HT2000*")</f>
        <v>1</v>
      </c>
      <c r="F12" s="84">
        <f>COUNTIFS(Contratos!B3:B2001,"Ativo",Contratos!G3:G2001,"*HT2000*")</f>
        <v>0</v>
      </c>
      <c r="G12" s="85">
        <f>COUNTIFS(Contratos!C3:C2001,"Ativo",Contratos!G3:G2001,"*HT2000*")</f>
        <v>190</v>
      </c>
      <c r="H12" s="89">
        <f t="shared" si="1"/>
        <v>191</v>
      </c>
      <c r="I12" s="90">
        <f t="shared" si="2"/>
        <v>77</v>
      </c>
    </row>
    <row r="13" ht="21.0" customHeight="1">
      <c r="C13" s="88" t="s">
        <v>711</v>
      </c>
      <c r="D13" s="91">
        <f>COUNTIF(Contratos!G3:G2001,"TR1000QC")</f>
        <v>5</v>
      </c>
      <c r="E13" s="84">
        <f>COUNTIFS(Contratos!A3:A2001,"Ativo",Contratos!G3:G2001,"*TR100QC*")</f>
        <v>0</v>
      </c>
      <c r="F13" s="84">
        <f>COUNTIFS(Contratos!B3:B2001,"Ativo",Contratos!G3:G2001,"*TR1000*")</f>
        <v>0</v>
      </c>
      <c r="G13" s="85">
        <f>COUNTIFS(Contratos!C3:C2001,"Ativo",Contratos!G3:G2001,"*TR1000*")</f>
        <v>0</v>
      </c>
      <c r="H13" s="89">
        <f t="shared" si="1"/>
        <v>0</v>
      </c>
      <c r="I13" s="90">
        <f t="shared" si="2"/>
        <v>5</v>
      </c>
    </row>
    <row r="14" ht="21.0" customHeight="1">
      <c r="C14" s="88" t="s">
        <v>79</v>
      </c>
      <c r="D14" s="91">
        <f>COUNTIF(Contratos!G3:G2001,"TR2000DC")</f>
        <v>25</v>
      </c>
      <c r="E14" s="84">
        <f>COUNTIFS(Contratos!A3:A2001,"Ativo",Contratos!G3:G2001,"*TR200*")</f>
        <v>6</v>
      </c>
      <c r="F14" s="84">
        <f>COUNTIFS(Contratos!B3:B2001,"Ativo",Contratos!G3:G2001,"*TR2000*")</f>
        <v>6</v>
      </c>
      <c r="G14" s="85">
        <f>COUNTIFS(Contratos!C3:C2001,"Ativo",Contratos!G3:G2001,"*TR2000*")</f>
        <v>0</v>
      </c>
      <c r="H14" s="89">
        <f t="shared" si="1"/>
        <v>12</v>
      </c>
      <c r="I14" s="90">
        <f t="shared" si="2"/>
        <v>13</v>
      </c>
    </row>
    <row r="15" ht="21.0" customHeight="1">
      <c r="C15" s="88" t="s">
        <v>167</v>
      </c>
      <c r="D15" s="91">
        <f>COUNTIF(Contratos!G3:G2001,"XT2100HS")</f>
        <v>9</v>
      </c>
      <c r="E15" s="84">
        <f>COUNTIFS(Contratos!A3:A2001,"Ativo",Contratos!G3:G2001,"*XT2100")</f>
        <v>0</v>
      </c>
      <c r="F15" s="84">
        <f>COUNTIFS(Contratos!B3:B2001,"Ativo",Contratos!G3:G2001,"*XT2100*")</f>
        <v>2</v>
      </c>
      <c r="G15" s="85">
        <f>COUNTIFS(Contratos!C3:C2001,"Ativo",Contratos!G3:G2001,"*XT2100*")</f>
        <v>3</v>
      </c>
      <c r="H15" s="89">
        <f t="shared" si="1"/>
        <v>5</v>
      </c>
      <c r="I15" s="90">
        <f t="shared" si="2"/>
        <v>4</v>
      </c>
    </row>
    <row r="16" ht="21.0" customHeight="1">
      <c r="C16" s="93" t="s">
        <v>254</v>
      </c>
      <c r="D16" s="94">
        <f>COUNTIF(Contratos!G3:G2001,"*FS6000*")</f>
        <v>7</v>
      </c>
      <c r="E16" s="84">
        <f>COUNTIFS(Contratos!A3:A2001,"Ativo",Contratos!G3:G2001,"*FS6000")</f>
        <v>1</v>
      </c>
      <c r="F16" s="84">
        <f>COUNTIFS(Contratos!B3:B2001,"Ativo",Contratos!G3:G2001,"*FS6000*")</f>
        <v>0</v>
      </c>
      <c r="G16" s="85">
        <f>COUNTIFS(Contratos!C3:C2001,"Ativo",Contratos!G3:G2001,"*FS6000*")</f>
        <v>0</v>
      </c>
      <c r="H16" s="89">
        <f t="shared" si="1"/>
        <v>1</v>
      </c>
      <c r="I16" s="90">
        <f t="shared" si="2"/>
        <v>6</v>
      </c>
    </row>
    <row r="17" ht="21.0" customHeight="1">
      <c r="C17" s="95" t="s">
        <v>5454</v>
      </c>
      <c r="D17" s="96">
        <f>COUNTIF(Contratos!G3:G2001,"*MT1213*")</f>
        <v>1</v>
      </c>
      <c r="E17" s="97">
        <f>COUNTIFS(Contratos!A3:A2001,"Ativo",Contratos!G3:G2001,"*MT1213*")</f>
        <v>0</v>
      </c>
      <c r="F17" s="84">
        <f>COUNTIFS(Contratos!B3:B2001,"Ativo",Contratos!G3:G2001,"*MT1213*")</f>
        <v>0</v>
      </c>
      <c r="G17" s="85">
        <f>COUNTIFS(Contratos!C3:C2001,"Ativo",Contratos!G3:G2001,"*MT1213*")</f>
        <v>0</v>
      </c>
      <c r="H17" s="98">
        <f t="shared" si="1"/>
        <v>0</v>
      </c>
      <c r="I17" s="99">
        <f t="shared" si="2"/>
        <v>1</v>
      </c>
    </row>
    <row r="18" ht="21.0" customHeight="1">
      <c r="C18" s="100" t="s">
        <v>5455</v>
      </c>
      <c r="D18" s="96">
        <f t="shared" ref="D18:H18" si="3">SUM(D3:D17)</f>
        <v>1542</v>
      </c>
      <c r="E18" s="98">
        <f t="shared" si="3"/>
        <v>353</v>
      </c>
      <c r="F18" s="98">
        <f t="shared" si="3"/>
        <v>124</v>
      </c>
      <c r="G18" s="98">
        <f t="shared" si="3"/>
        <v>321</v>
      </c>
      <c r="H18" s="98">
        <f t="shared" si="3"/>
        <v>798</v>
      </c>
      <c r="I18" s="99">
        <f t="shared" si="2"/>
        <v>744</v>
      </c>
    </row>
    <row r="19" ht="21.0" customHeight="1">
      <c r="C19" s="78"/>
      <c r="D19" s="78"/>
    </row>
    <row r="20" ht="21.0" customHeight="1">
      <c r="C20" s="78"/>
      <c r="D20" s="78"/>
    </row>
    <row r="21" ht="21.0" customHeight="1">
      <c r="C21" s="78"/>
      <c r="D21" s="78"/>
    </row>
    <row r="22" ht="21.0" customHeight="1">
      <c r="C22" s="78"/>
      <c r="D22" s="78"/>
    </row>
    <row r="23" ht="21.0" customHeight="1">
      <c r="C23" s="78"/>
      <c r="D23" s="78"/>
    </row>
    <row r="24" ht="21.0" customHeight="1">
      <c r="C24" s="78"/>
      <c r="D24" s="78"/>
    </row>
    <row r="25" ht="21.0" customHeight="1">
      <c r="C25" s="78"/>
      <c r="D25" s="78"/>
    </row>
    <row r="26" ht="21.0" customHeight="1">
      <c r="C26" s="78"/>
      <c r="D26" s="78"/>
    </row>
    <row r="27" ht="21.0" customHeight="1">
      <c r="C27" s="78"/>
      <c r="D27" s="78"/>
    </row>
    <row r="28" ht="21.0" customHeight="1">
      <c r="C28" s="78"/>
      <c r="D28" s="78"/>
    </row>
    <row r="29" ht="21.0" customHeight="1">
      <c r="C29" s="78"/>
      <c r="D29" s="78"/>
    </row>
    <row r="30" ht="21.0" customHeight="1">
      <c r="C30" s="78"/>
      <c r="D30" s="78"/>
    </row>
    <row r="31" ht="21.0" customHeight="1">
      <c r="C31" s="78"/>
      <c r="D31" s="78"/>
    </row>
    <row r="32" ht="21.0" customHeight="1">
      <c r="C32" s="78"/>
      <c r="D32" s="78"/>
    </row>
    <row r="33" ht="21.0" customHeight="1">
      <c r="C33" s="78"/>
      <c r="D33" s="78"/>
    </row>
    <row r="34" ht="21.0" customHeight="1">
      <c r="C34" s="78"/>
      <c r="D34" s="78"/>
    </row>
    <row r="35" ht="21.0" customHeight="1">
      <c r="C35" s="78"/>
      <c r="D35" s="78"/>
    </row>
    <row r="36" ht="21.0" customHeight="1">
      <c r="C36" s="78"/>
      <c r="D36" s="78"/>
    </row>
    <row r="37" ht="21.0" customHeight="1">
      <c r="C37" s="78"/>
      <c r="D37" s="78"/>
    </row>
    <row r="38" ht="21.0" customHeight="1">
      <c r="C38" s="78"/>
      <c r="D38" s="78"/>
    </row>
    <row r="39" ht="21.0" customHeight="1">
      <c r="C39" s="78"/>
      <c r="D39" s="78"/>
    </row>
    <row r="40" ht="21.0" customHeight="1">
      <c r="C40" s="78"/>
      <c r="D40" s="78"/>
    </row>
    <row r="41" ht="21.0" customHeight="1">
      <c r="C41" s="78"/>
      <c r="D41" s="78"/>
    </row>
    <row r="42" ht="21.0" customHeight="1">
      <c r="C42" s="78"/>
      <c r="D42" s="78"/>
    </row>
    <row r="43" ht="21.0" customHeight="1">
      <c r="C43" s="78"/>
      <c r="D43" s="78"/>
    </row>
    <row r="44" ht="21.0" customHeight="1">
      <c r="C44" s="78"/>
      <c r="D44" s="78"/>
    </row>
    <row r="45" ht="21.0" customHeight="1">
      <c r="C45" s="78"/>
      <c r="D45" s="78"/>
    </row>
    <row r="46" ht="21.0" customHeight="1">
      <c r="C46" s="78"/>
      <c r="D46" s="78"/>
    </row>
    <row r="47" ht="21.0" customHeight="1">
      <c r="C47" s="78"/>
      <c r="D47" s="78"/>
    </row>
    <row r="48" ht="21.0" customHeight="1">
      <c r="C48" s="78"/>
      <c r="D48" s="78"/>
    </row>
    <row r="49" ht="21.0" customHeight="1">
      <c r="C49" s="78"/>
      <c r="D49" s="78"/>
    </row>
    <row r="50" ht="21.0" customHeight="1">
      <c r="C50" s="78"/>
      <c r="D50" s="78"/>
    </row>
    <row r="51" ht="21.0" customHeight="1">
      <c r="C51" s="78"/>
      <c r="D51" s="78"/>
    </row>
    <row r="52" ht="21.0" customHeight="1">
      <c r="C52" s="78"/>
      <c r="D52" s="78"/>
    </row>
    <row r="53" ht="21.0" customHeight="1">
      <c r="C53" s="78"/>
      <c r="D53" s="78"/>
    </row>
    <row r="54" ht="21.0" customHeight="1">
      <c r="C54" s="78"/>
      <c r="D54" s="78"/>
    </row>
    <row r="55" ht="21.0" customHeight="1">
      <c r="C55" s="78"/>
      <c r="D55" s="78"/>
    </row>
    <row r="56" ht="21.0" customHeight="1">
      <c r="C56" s="78"/>
      <c r="D56" s="78"/>
    </row>
    <row r="57" ht="21.0" customHeight="1">
      <c r="C57" s="78"/>
      <c r="D57" s="78"/>
    </row>
    <row r="58" ht="21.0" customHeight="1">
      <c r="C58" s="78"/>
      <c r="D58" s="78"/>
    </row>
    <row r="59" ht="21.0" customHeight="1">
      <c r="C59" s="78"/>
      <c r="D59" s="78"/>
    </row>
    <row r="60" ht="21.0" customHeight="1">
      <c r="C60" s="78"/>
      <c r="D60" s="78"/>
    </row>
    <row r="61" ht="21.0" customHeight="1">
      <c r="C61" s="78"/>
      <c r="D61" s="78"/>
    </row>
    <row r="62" ht="21.0" customHeight="1">
      <c r="C62" s="78"/>
      <c r="D62" s="78"/>
    </row>
    <row r="63" ht="21.0" customHeight="1">
      <c r="C63" s="78"/>
      <c r="D63" s="78"/>
    </row>
    <row r="64" ht="21.0" customHeight="1">
      <c r="C64" s="78"/>
      <c r="D64" s="78"/>
    </row>
    <row r="65" ht="21.0" customHeight="1">
      <c r="C65" s="78"/>
      <c r="D65" s="78"/>
    </row>
    <row r="66" ht="21.0" customHeight="1">
      <c r="C66" s="78"/>
      <c r="D66" s="78"/>
    </row>
    <row r="67" ht="21.0" customHeight="1">
      <c r="C67" s="78"/>
      <c r="D67" s="78"/>
    </row>
    <row r="68" ht="21.0" customHeight="1">
      <c r="C68" s="78"/>
      <c r="D68" s="78"/>
    </row>
    <row r="69" ht="21.0" customHeight="1">
      <c r="C69" s="78"/>
      <c r="D69" s="78"/>
    </row>
    <row r="70" ht="21.0" customHeight="1">
      <c r="C70" s="78"/>
      <c r="D70" s="78"/>
    </row>
    <row r="71" ht="21.0" customHeight="1">
      <c r="C71" s="78"/>
      <c r="D71" s="78"/>
    </row>
    <row r="72" ht="21.0" customHeight="1">
      <c r="C72" s="78"/>
      <c r="D72" s="78"/>
    </row>
    <row r="73" ht="21.0" customHeight="1">
      <c r="C73" s="78"/>
      <c r="D73" s="78"/>
    </row>
    <row r="74" ht="21.0" customHeight="1">
      <c r="C74" s="78"/>
      <c r="D74" s="78"/>
    </row>
    <row r="75" ht="21.0" customHeight="1">
      <c r="C75" s="78"/>
      <c r="D75" s="78"/>
    </row>
    <row r="76" ht="21.0" customHeight="1">
      <c r="C76" s="78"/>
      <c r="D76" s="78"/>
    </row>
    <row r="77" ht="21.0" customHeight="1">
      <c r="C77" s="78"/>
      <c r="D77" s="78"/>
    </row>
    <row r="78" ht="21.0" customHeight="1">
      <c r="C78" s="78"/>
      <c r="D78" s="78"/>
    </row>
    <row r="79" ht="21.0" customHeight="1">
      <c r="C79" s="78"/>
      <c r="D79" s="78"/>
    </row>
    <row r="80" ht="21.0" customHeight="1">
      <c r="C80" s="78"/>
      <c r="D80" s="78"/>
    </row>
    <row r="81" ht="21.0" customHeight="1">
      <c r="C81" s="78"/>
      <c r="D81" s="78"/>
    </row>
    <row r="82" ht="21.0" customHeight="1">
      <c r="C82" s="78"/>
      <c r="D82" s="78"/>
    </row>
    <row r="83" ht="21.0" customHeight="1">
      <c r="C83" s="78"/>
      <c r="D83" s="78"/>
    </row>
    <row r="84" ht="21.0" customHeight="1">
      <c r="C84" s="78"/>
      <c r="D84" s="78"/>
    </row>
    <row r="85" ht="21.0" customHeight="1">
      <c r="C85" s="78"/>
      <c r="D85" s="78"/>
    </row>
    <row r="86" ht="21.0" customHeight="1">
      <c r="C86" s="78"/>
      <c r="D86" s="78"/>
    </row>
    <row r="87" ht="21.0" customHeight="1">
      <c r="C87" s="78"/>
      <c r="D87" s="78"/>
    </row>
    <row r="88" ht="21.0" customHeight="1">
      <c r="C88" s="78"/>
      <c r="D88" s="78"/>
    </row>
    <row r="89" ht="21.0" customHeight="1">
      <c r="C89" s="78"/>
      <c r="D89" s="78"/>
    </row>
    <row r="90" ht="21.0" customHeight="1">
      <c r="C90" s="78"/>
      <c r="D90" s="78"/>
    </row>
    <row r="91" ht="21.0" customHeight="1">
      <c r="C91" s="78"/>
      <c r="D91" s="78"/>
    </row>
    <row r="92" ht="21.0" customHeight="1">
      <c r="C92" s="78"/>
      <c r="D92" s="78"/>
    </row>
    <row r="93" ht="21.0" customHeight="1">
      <c r="C93" s="78"/>
      <c r="D93" s="78"/>
    </row>
    <row r="94" ht="21.0" customHeight="1">
      <c r="C94" s="78"/>
      <c r="D94" s="78"/>
    </row>
    <row r="95" ht="21.0" customHeight="1">
      <c r="C95" s="78"/>
      <c r="D95" s="78"/>
    </row>
    <row r="96" ht="21.0" customHeight="1">
      <c r="C96" s="78"/>
      <c r="D96" s="78"/>
    </row>
    <row r="97" ht="21.0" customHeight="1">
      <c r="C97" s="78"/>
      <c r="D97" s="78"/>
    </row>
    <row r="98" ht="21.0" customHeight="1">
      <c r="C98" s="78"/>
      <c r="D98" s="78"/>
    </row>
    <row r="99" ht="21.0" customHeight="1">
      <c r="C99" s="78"/>
      <c r="D99" s="78"/>
    </row>
    <row r="100" ht="21.0" customHeight="1">
      <c r="C100" s="78"/>
      <c r="D100" s="78"/>
    </row>
    <row r="101" ht="21.0" customHeight="1">
      <c r="C101" s="78"/>
      <c r="D101" s="78"/>
    </row>
    <row r="102" ht="21.0" customHeight="1">
      <c r="C102" s="78"/>
      <c r="D102" s="78"/>
    </row>
    <row r="103" ht="21.0" customHeight="1">
      <c r="C103" s="78"/>
      <c r="D103" s="78"/>
    </row>
    <row r="104" ht="21.0" customHeight="1">
      <c r="C104" s="78"/>
      <c r="D104" s="78"/>
    </row>
    <row r="105" ht="21.0" customHeight="1">
      <c r="C105" s="78"/>
      <c r="D105" s="78"/>
    </row>
    <row r="106" ht="21.0" customHeight="1">
      <c r="C106" s="78"/>
      <c r="D106" s="78"/>
    </row>
    <row r="107" ht="21.0" customHeight="1">
      <c r="C107" s="78"/>
      <c r="D107" s="78"/>
    </row>
    <row r="108" ht="21.0" customHeight="1">
      <c r="C108" s="78"/>
      <c r="D108" s="78"/>
    </row>
    <row r="109" ht="21.0" customHeight="1">
      <c r="C109" s="78"/>
      <c r="D109" s="78"/>
    </row>
    <row r="110" ht="21.0" customHeight="1">
      <c r="C110" s="78"/>
      <c r="D110" s="78"/>
    </row>
    <row r="111" ht="21.0" customHeight="1">
      <c r="C111" s="78"/>
      <c r="D111" s="78"/>
    </row>
    <row r="112" ht="21.0" customHeight="1">
      <c r="C112" s="78"/>
      <c r="D112" s="78"/>
    </row>
    <row r="113" ht="21.0" customHeight="1">
      <c r="C113" s="78"/>
      <c r="D113" s="78"/>
    </row>
    <row r="114" ht="21.0" customHeight="1">
      <c r="C114" s="78"/>
      <c r="D114" s="78"/>
    </row>
    <row r="115" ht="21.0" customHeight="1">
      <c r="C115" s="78"/>
      <c r="D115" s="78"/>
    </row>
    <row r="116" ht="21.0" customHeight="1">
      <c r="C116" s="78"/>
      <c r="D116" s="78"/>
    </row>
    <row r="117" ht="21.0" customHeight="1">
      <c r="C117" s="78"/>
      <c r="D117" s="78"/>
    </row>
    <row r="118" ht="21.0" customHeight="1">
      <c r="C118" s="78"/>
      <c r="D118" s="78"/>
    </row>
    <row r="119" ht="21.0" customHeight="1">
      <c r="C119" s="78"/>
      <c r="D119" s="78"/>
    </row>
    <row r="120" ht="21.0" customHeight="1">
      <c r="C120" s="78"/>
      <c r="D120" s="78"/>
    </row>
    <row r="121" ht="21.0" customHeight="1">
      <c r="C121" s="78"/>
      <c r="D121" s="78"/>
    </row>
    <row r="122" ht="21.0" customHeight="1">
      <c r="C122" s="78"/>
      <c r="D122" s="78"/>
    </row>
    <row r="123" ht="21.0" customHeight="1">
      <c r="C123" s="78"/>
      <c r="D123" s="78"/>
    </row>
    <row r="124" ht="21.0" customHeight="1">
      <c r="C124" s="78"/>
      <c r="D124" s="78"/>
    </row>
    <row r="125" ht="21.0" customHeight="1">
      <c r="C125" s="78"/>
      <c r="D125" s="78"/>
    </row>
    <row r="126" ht="21.0" customHeight="1">
      <c r="C126" s="78"/>
      <c r="D126" s="78"/>
    </row>
    <row r="127" ht="21.0" customHeight="1">
      <c r="C127" s="78"/>
      <c r="D127" s="78"/>
    </row>
    <row r="128" ht="21.0" customHeight="1">
      <c r="C128" s="78"/>
      <c r="D128" s="78"/>
    </row>
    <row r="129" ht="21.0" customHeight="1">
      <c r="C129" s="78"/>
      <c r="D129" s="78"/>
    </row>
    <row r="130" ht="21.0" customHeight="1">
      <c r="C130" s="78"/>
      <c r="D130" s="78"/>
    </row>
    <row r="131" ht="21.0" customHeight="1">
      <c r="C131" s="78"/>
      <c r="D131" s="78"/>
    </row>
    <row r="132" ht="21.0" customHeight="1">
      <c r="C132" s="78"/>
      <c r="D132" s="78"/>
    </row>
    <row r="133" ht="21.0" customHeight="1">
      <c r="C133" s="78"/>
      <c r="D133" s="78"/>
    </row>
    <row r="134" ht="21.0" customHeight="1">
      <c r="C134" s="78"/>
      <c r="D134" s="78"/>
    </row>
    <row r="135" ht="21.0" customHeight="1">
      <c r="C135" s="78"/>
      <c r="D135" s="78"/>
    </row>
    <row r="136" ht="21.0" customHeight="1">
      <c r="C136" s="78"/>
      <c r="D136" s="78"/>
    </row>
    <row r="137" ht="21.0" customHeight="1">
      <c r="C137" s="78"/>
      <c r="D137" s="78"/>
    </row>
    <row r="138" ht="21.0" customHeight="1">
      <c r="C138" s="78"/>
      <c r="D138" s="78"/>
    </row>
    <row r="139" ht="21.0" customHeight="1">
      <c r="C139" s="78"/>
      <c r="D139" s="78"/>
    </row>
    <row r="140" ht="21.0" customHeight="1">
      <c r="C140" s="78"/>
      <c r="D140" s="78"/>
    </row>
    <row r="141" ht="21.0" customHeight="1">
      <c r="C141" s="78"/>
      <c r="D141" s="78"/>
    </row>
    <row r="142" ht="21.0" customHeight="1">
      <c r="C142" s="78"/>
      <c r="D142" s="78"/>
    </row>
    <row r="143" ht="21.0" customHeight="1">
      <c r="C143" s="78"/>
      <c r="D143" s="78"/>
    </row>
    <row r="144" ht="21.0" customHeight="1">
      <c r="C144" s="78"/>
      <c r="D144" s="78"/>
    </row>
    <row r="145" ht="21.0" customHeight="1">
      <c r="C145" s="78"/>
      <c r="D145" s="78"/>
    </row>
    <row r="146" ht="21.0" customHeight="1">
      <c r="C146" s="78"/>
      <c r="D146" s="78"/>
    </row>
    <row r="147" ht="21.0" customHeight="1">
      <c r="C147" s="78"/>
      <c r="D147" s="78"/>
    </row>
    <row r="148" ht="21.0" customHeight="1">
      <c r="C148" s="78"/>
      <c r="D148" s="78"/>
    </row>
    <row r="149" ht="21.0" customHeight="1">
      <c r="C149" s="78"/>
      <c r="D149" s="78"/>
    </row>
    <row r="150" ht="21.0" customHeight="1">
      <c r="C150" s="78"/>
      <c r="D150" s="78"/>
    </row>
    <row r="151" ht="21.0" customHeight="1">
      <c r="C151" s="78"/>
      <c r="D151" s="78"/>
    </row>
    <row r="152" ht="21.0" customHeight="1">
      <c r="C152" s="78"/>
      <c r="D152" s="78"/>
    </row>
    <row r="153" ht="21.0" customHeight="1">
      <c r="C153" s="78"/>
      <c r="D153" s="78"/>
    </row>
    <row r="154" ht="21.0" customHeight="1">
      <c r="C154" s="78"/>
      <c r="D154" s="78"/>
    </row>
    <row r="155" ht="21.0" customHeight="1">
      <c r="C155" s="78"/>
      <c r="D155" s="78"/>
    </row>
    <row r="156" ht="21.0" customHeight="1">
      <c r="C156" s="78"/>
      <c r="D156" s="78"/>
    </row>
    <row r="157" ht="21.0" customHeight="1">
      <c r="C157" s="78"/>
      <c r="D157" s="78"/>
    </row>
    <row r="158" ht="21.0" customHeight="1">
      <c r="C158" s="78"/>
      <c r="D158" s="78"/>
    </row>
    <row r="159" ht="21.0" customHeight="1">
      <c r="C159" s="78"/>
      <c r="D159" s="78"/>
    </row>
    <row r="160" ht="21.0" customHeight="1">
      <c r="C160" s="78"/>
      <c r="D160" s="78"/>
    </row>
    <row r="161" ht="21.0" customHeight="1">
      <c r="C161" s="78"/>
      <c r="D161" s="78"/>
    </row>
    <row r="162" ht="21.0" customHeight="1">
      <c r="C162" s="78"/>
      <c r="D162" s="78"/>
    </row>
    <row r="163" ht="21.0" customHeight="1">
      <c r="C163" s="78"/>
      <c r="D163" s="78"/>
    </row>
    <row r="164" ht="21.0" customHeight="1">
      <c r="C164" s="78"/>
      <c r="D164" s="78"/>
    </row>
    <row r="165" ht="21.0" customHeight="1">
      <c r="C165" s="78"/>
      <c r="D165" s="78"/>
    </row>
    <row r="166" ht="21.0" customHeight="1">
      <c r="C166" s="78"/>
      <c r="D166" s="78"/>
    </row>
    <row r="167" ht="21.0" customHeight="1">
      <c r="C167" s="78"/>
      <c r="D167" s="78"/>
    </row>
    <row r="168" ht="21.0" customHeight="1">
      <c r="C168" s="78"/>
      <c r="D168" s="78"/>
    </row>
    <row r="169" ht="21.0" customHeight="1">
      <c r="C169" s="78"/>
      <c r="D169" s="78"/>
    </row>
    <row r="170" ht="21.0" customHeight="1">
      <c r="C170" s="78"/>
      <c r="D170" s="78"/>
    </row>
    <row r="171" ht="21.0" customHeight="1">
      <c r="C171" s="78"/>
      <c r="D171" s="78"/>
    </row>
    <row r="172" ht="21.0" customHeight="1">
      <c r="C172" s="78"/>
      <c r="D172" s="78"/>
    </row>
    <row r="173" ht="21.0" customHeight="1">
      <c r="C173" s="78"/>
      <c r="D173" s="78"/>
    </row>
    <row r="174" ht="21.0" customHeight="1">
      <c r="C174" s="78"/>
      <c r="D174" s="78"/>
    </row>
    <row r="175" ht="21.0" customHeight="1">
      <c r="C175" s="78"/>
      <c r="D175" s="78"/>
    </row>
    <row r="176" ht="21.0" customHeight="1">
      <c r="C176" s="78"/>
      <c r="D176" s="78"/>
    </row>
    <row r="177" ht="21.0" customHeight="1">
      <c r="C177" s="78"/>
      <c r="D177" s="78"/>
    </row>
    <row r="178" ht="21.0" customHeight="1">
      <c r="C178" s="78"/>
      <c r="D178" s="78"/>
    </row>
    <row r="179" ht="21.0" customHeight="1">
      <c r="C179" s="78"/>
      <c r="D179" s="78"/>
    </row>
    <row r="180" ht="21.0" customHeight="1">
      <c r="C180" s="78"/>
      <c r="D180" s="78"/>
    </row>
    <row r="181" ht="21.0" customHeight="1">
      <c r="C181" s="78"/>
      <c r="D181" s="78"/>
    </row>
    <row r="182" ht="21.0" customHeight="1">
      <c r="C182" s="78"/>
      <c r="D182" s="78"/>
    </row>
    <row r="183" ht="21.0" customHeight="1">
      <c r="C183" s="78"/>
      <c r="D183" s="78"/>
    </row>
    <row r="184" ht="21.0" customHeight="1">
      <c r="C184" s="78"/>
      <c r="D184" s="78"/>
    </row>
    <row r="185" ht="21.0" customHeight="1">
      <c r="C185" s="78"/>
      <c r="D185" s="78"/>
    </row>
    <row r="186" ht="21.0" customHeight="1">
      <c r="C186" s="78"/>
      <c r="D186" s="78"/>
    </row>
    <row r="187" ht="21.0" customHeight="1">
      <c r="C187" s="78"/>
      <c r="D187" s="78"/>
    </row>
    <row r="188" ht="21.0" customHeight="1">
      <c r="C188" s="78"/>
      <c r="D188" s="78"/>
    </row>
    <row r="189" ht="21.0" customHeight="1">
      <c r="C189" s="78"/>
      <c r="D189" s="78"/>
    </row>
    <row r="190" ht="21.0" customHeight="1">
      <c r="C190" s="78"/>
      <c r="D190" s="78"/>
    </row>
    <row r="191" ht="21.0" customHeight="1">
      <c r="C191" s="78"/>
      <c r="D191" s="78"/>
    </row>
    <row r="192" ht="21.0" customHeight="1">
      <c r="C192" s="78"/>
      <c r="D192" s="78"/>
    </row>
    <row r="193" ht="21.0" customHeight="1">
      <c r="C193" s="78"/>
      <c r="D193" s="78"/>
    </row>
    <row r="194" ht="21.0" customHeight="1">
      <c r="C194" s="78"/>
      <c r="D194" s="78"/>
    </row>
    <row r="195" ht="21.0" customHeight="1">
      <c r="C195" s="78"/>
      <c r="D195" s="78"/>
    </row>
    <row r="196" ht="21.0" customHeight="1">
      <c r="C196" s="78"/>
      <c r="D196" s="78"/>
    </row>
    <row r="197" ht="21.0" customHeight="1">
      <c r="C197" s="78"/>
      <c r="D197" s="78"/>
    </row>
    <row r="198" ht="21.0" customHeight="1">
      <c r="C198" s="78"/>
      <c r="D198" s="78"/>
    </row>
    <row r="199" ht="21.0" customHeight="1">
      <c r="C199" s="78"/>
      <c r="D199" s="78"/>
    </row>
    <row r="200" ht="21.0" customHeight="1">
      <c r="C200" s="78"/>
      <c r="D200" s="78"/>
    </row>
    <row r="201" ht="21.0" customHeight="1">
      <c r="C201" s="78"/>
      <c r="D201" s="78"/>
    </row>
    <row r="202" ht="21.0" customHeight="1">
      <c r="C202" s="78"/>
      <c r="D202" s="78"/>
    </row>
    <row r="203" ht="21.0" customHeight="1">
      <c r="C203" s="78"/>
      <c r="D203" s="78"/>
    </row>
    <row r="204" ht="21.0" customHeight="1">
      <c r="C204" s="78"/>
      <c r="D204" s="78"/>
    </row>
    <row r="205" ht="21.0" customHeight="1">
      <c r="C205" s="78"/>
      <c r="D205" s="78"/>
    </row>
    <row r="206" ht="21.0" customHeight="1">
      <c r="C206" s="78"/>
      <c r="D206" s="78"/>
    </row>
    <row r="207" ht="21.0" customHeight="1">
      <c r="C207" s="78"/>
      <c r="D207" s="78"/>
    </row>
    <row r="208" ht="21.0" customHeight="1">
      <c r="C208" s="78"/>
      <c r="D208" s="78"/>
    </row>
    <row r="209" ht="21.0" customHeight="1">
      <c r="C209" s="78"/>
      <c r="D209" s="78"/>
    </row>
    <row r="210" ht="21.0" customHeight="1">
      <c r="C210" s="78"/>
      <c r="D210" s="78"/>
    </row>
    <row r="211" ht="21.0" customHeight="1">
      <c r="C211" s="78"/>
      <c r="D211" s="78"/>
    </row>
    <row r="212" ht="21.0" customHeight="1">
      <c r="C212" s="78"/>
      <c r="D212" s="78"/>
    </row>
    <row r="213" ht="21.0" customHeight="1">
      <c r="C213" s="78"/>
      <c r="D213" s="78"/>
    </row>
    <row r="214" ht="21.0" customHeight="1">
      <c r="C214" s="78"/>
      <c r="D214" s="78"/>
    </row>
    <row r="215" ht="21.0" customHeight="1">
      <c r="C215" s="78"/>
      <c r="D215" s="78"/>
    </row>
    <row r="216" ht="21.0" customHeight="1">
      <c r="C216" s="78"/>
      <c r="D216" s="78"/>
    </row>
    <row r="217" ht="21.0" customHeight="1">
      <c r="C217" s="78"/>
      <c r="D217" s="78"/>
    </row>
    <row r="218" ht="21.0" customHeight="1">
      <c r="C218" s="78"/>
      <c r="D218" s="78"/>
    </row>
    <row r="219" ht="21.0" customHeight="1">
      <c r="C219" s="78"/>
      <c r="D219" s="78"/>
    </row>
    <row r="220" ht="21.0" customHeight="1">
      <c r="C220" s="78"/>
      <c r="D220" s="78"/>
    </row>
    <row r="221" ht="21.0" customHeight="1">
      <c r="C221" s="78"/>
      <c r="D221" s="78"/>
    </row>
    <row r="222" ht="21.0" customHeight="1">
      <c r="C222" s="78"/>
      <c r="D222" s="78"/>
    </row>
    <row r="223" ht="21.0" customHeight="1">
      <c r="C223" s="78"/>
      <c r="D223" s="78"/>
    </row>
    <row r="224" ht="21.0" customHeight="1">
      <c r="C224" s="78"/>
      <c r="D224" s="78"/>
    </row>
    <row r="225" ht="21.0" customHeight="1">
      <c r="C225" s="78"/>
      <c r="D225" s="78"/>
    </row>
    <row r="226" ht="21.0" customHeight="1">
      <c r="C226" s="78"/>
      <c r="D226" s="78"/>
    </row>
    <row r="227" ht="21.0" customHeight="1">
      <c r="C227" s="78"/>
      <c r="D227" s="78"/>
    </row>
    <row r="228" ht="21.0" customHeight="1">
      <c r="C228" s="78"/>
      <c r="D228" s="78"/>
    </row>
    <row r="229" ht="21.0" customHeight="1">
      <c r="C229" s="78"/>
      <c r="D229" s="78"/>
    </row>
    <row r="230" ht="21.0" customHeight="1">
      <c r="C230" s="78"/>
      <c r="D230" s="78"/>
    </row>
    <row r="231" ht="21.0" customHeight="1">
      <c r="C231" s="78"/>
      <c r="D231" s="78"/>
    </row>
    <row r="232" ht="21.0" customHeight="1">
      <c r="C232" s="78"/>
      <c r="D232" s="78"/>
    </row>
    <row r="233" ht="21.0" customHeight="1">
      <c r="C233" s="78"/>
      <c r="D233" s="78"/>
    </row>
    <row r="234" ht="21.0" customHeight="1">
      <c r="C234" s="78"/>
      <c r="D234" s="78"/>
    </row>
    <row r="235" ht="21.0" customHeight="1">
      <c r="C235" s="78"/>
      <c r="D235" s="78"/>
    </row>
    <row r="236" ht="21.0" customHeight="1">
      <c r="C236" s="78"/>
      <c r="D236" s="78"/>
    </row>
    <row r="237" ht="21.0" customHeight="1">
      <c r="C237" s="78"/>
      <c r="D237" s="78"/>
    </row>
    <row r="238" ht="21.0" customHeight="1">
      <c r="C238" s="78"/>
      <c r="D238" s="78"/>
    </row>
    <row r="239" ht="21.0" customHeight="1">
      <c r="C239" s="78"/>
      <c r="D239" s="78"/>
    </row>
    <row r="240" ht="21.0" customHeight="1">
      <c r="C240" s="78"/>
      <c r="D240" s="78"/>
    </row>
    <row r="241" ht="21.0" customHeight="1">
      <c r="C241" s="78"/>
      <c r="D241" s="78"/>
    </row>
    <row r="242" ht="21.0" customHeight="1">
      <c r="C242" s="78"/>
      <c r="D242" s="78"/>
    </row>
    <row r="243" ht="21.0" customHeight="1">
      <c r="C243" s="78"/>
      <c r="D243" s="78"/>
    </row>
    <row r="244" ht="21.0" customHeight="1">
      <c r="C244" s="78"/>
      <c r="D244" s="78"/>
    </row>
    <row r="245" ht="21.0" customHeight="1">
      <c r="C245" s="78"/>
      <c r="D245" s="78"/>
    </row>
    <row r="246" ht="21.0" customHeight="1">
      <c r="C246" s="78"/>
      <c r="D246" s="78"/>
    </row>
    <row r="247" ht="21.0" customHeight="1">
      <c r="C247" s="78"/>
      <c r="D247" s="78"/>
    </row>
    <row r="248" ht="21.0" customHeight="1">
      <c r="C248" s="78"/>
      <c r="D248" s="78"/>
    </row>
    <row r="249" ht="21.0" customHeight="1">
      <c r="C249" s="78"/>
      <c r="D249" s="78"/>
    </row>
    <row r="250" ht="21.0" customHeight="1">
      <c r="C250" s="78"/>
      <c r="D250" s="78"/>
    </row>
    <row r="251" ht="21.0" customHeight="1">
      <c r="C251" s="78"/>
      <c r="D251" s="78"/>
    </row>
    <row r="252" ht="21.0" customHeight="1">
      <c r="C252" s="78"/>
      <c r="D252" s="78"/>
    </row>
    <row r="253" ht="21.0" customHeight="1">
      <c r="C253" s="78"/>
      <c r="D253" s="78"/>
    </row>
    <row r="254" ht="21.0" customHeight="1">
      <c r="C254" s="78"/>
      <c r="D254" s="78"/>
    </row>
    <row r="255" ht="21.0" customHeight="1">
      <c r="C255" s="78"/>
      <c r="D255" s="78"/>
    </row>
    <row r="256" ht="21.0" customHeight="1">
      <c r="C256" s="78"/>
      <c r="D256" s="78"/>
    </row>
    <row r="257" ht="21.0" customHeight="1">
      <c r="C257" s="78"/>
      <c r="D257" s="78"/>
    </row>
    <row r="258" ht="21.0" customHeight="1">
      <c r="C258" s="78"/>
      <c r="D258" s="78"/>
    </row>
    <row r="259" ht="21.0" customHeight="1">
      <c r="C259" s="78"/>
      <c r="D259" s="78"/>
    </row>
    <row r="260" ht="21.0" customHeight="1">
      <c r="C260" s="78"/>
      <c r="D260" s="78"/>
    </row>
    <row r="261" ht="21.0" customHeight="1">
      <c r="C261" s="78"/>
      <c r="D261" s="78"/>
    </row>
    <row r="262" ht="21.0" customHeight="1">
      <c r="C262" s="78"/>
      <c r="D262" s="78"/>
    </row>
    <row r="263" ht="21.0" customHeight="1">
      <c r="C263" s="78"/>
      <c r="D263" s="78"/>
    </row>
    <row r="264" ht="21.0" customHeight="1">
      <c r="C264" s="78"/>
      <c r="D264" s="78"/>
    </row>
    <row r="265" ht="21.0" customHeight="1">
      <c r="C265" s="78"/>
      <c r="D265" s="78"/>
    </row>
    <row r="266" ht="21.0" customHeight="1">
      <c r="C266" s="78"/>
      <c r="D266" s="78"/>
    </row>
    <row r="267" ht="21.0" customHeight="1">
      <c r="C267" s="78"/>
      <c r="D267" s="78"/>
    </row>
    <row r="268" ht="21.0" customHeight="1">
      <c r="C268" s="78"/>
      <c r="D268" s="78"/>
    </row>
    <row r="269" ht="21.0" customHeight="1">
      <c r="C269" s="78"/>
      <c r="D269" s="78"/>
    </row>
    <row r="270" ht="21.0" customHeight="1">
      <c r="C270" s="78"/>
      <c r="D270" s="78"/>
    </row>
    <row r="271" ht="21.0" customHeight="1">
      <c r="C271" s="78"/>
      <c r="D271" s="78"/>
    </row>
    <row r="272" ht="21.0" customHeight="1">
      <c r="C272" s="78"/>
      <c r="D272" s="78"/>
    </row>
    <row r="273" ht="21.0" customHeight="1">
      <c r="C273" s="78"/>
      <c r="D273" s="78"/>
    </row>
    <row r="274" ht="21.0" customHeight="1">
      <c r="C274" s="78"/>
      <c r="D274" s="78"/>
    </row>
    <row r="275" ht="21.0" customHeight="1">
      <c r="C275" s="78"/>
      <c r="D275" s="78"/>
    </row>
    <row r="276" ht="21.0" customHeight="1">
      <c r="C276" s="78"/>
      <c r="D276" s="78"/>
    </row>
    <row r="277" ht="21.0" customHeight="1">
      <c r="C277" s="78"/>
      <c r="D277" s="78"/>
    </row>
    <row r="278" ht="21.0" customHeight="1">
      <c r="C278" s="78"/>
      <c r="D278" s="78"/>
    </row>
    <row r="279" ht="21.0" customHeight="1">
      <c r="C279" s="78"/>
      <c r="D279" s="78"/>
    </row>
    <row r="280" ht="21.0" customHeight="1">
      <c r="C280" s="78"/>
      <c r="D280" s="78"/>
    </row>
    <row r="281" ht="21.0" customHeight="1">
      <c r="C281" s="78"/>
      <c r="D281" s="78"/>
    </row>
    <row r="282" ht="21.0" customHeight="1">
      <c r="C282" s="78"/>
      <c r="D282" s="78"/>
    </row>
    <row r="283" ht="21.0" customHeight="1">
      <c r="C283" s="78"/>
      <c r="D283" s="78"/>
    </row>
    <row r="284" ht="21.0" customHeight="1">
      <c r="C284" s="78"/>
      <c r="D284" s="78"/>
    </row>
    <row r="285" ht="21.0" customHeight="1">
      <c r="C285" s="78"/>
      <c r="D285" s="78"/>
    </row>
    <row r="286" ht="21.0" customHeight="1">
      <c r="C286" s="78"/>
      <c r="D286" s="78"/>
    </row>
    <row r="287" ht="21.0" customHeight="1">
      <c r="C287" s="78"/>
      <c r="D287" s="78"/>
    </row>
    <row r="288" ht="21.0" customHeight="1">
      <c r="C288" s="78"/>
      <c r="D288" s="78"/>
    </row>
    <row r="289" ht="21.0" customHeight="1">
      <c r="C289" s="78"/>
      <c r="D289" s="78"/>
    </row>
    <row r="290" ht="21.0" customHeight="1">
      <c r="C290" s="78"/>
      <c r="D290" s="78"/>
    </row>
    <row r="291" ht="21.0" customHeight="1">
      <c r="C291" s="78"/>
      <c r="D291" s="78"/>
    </row>
    <row r="292" ht="21.0" customHeight="1">
      <c r="C292" s="78"/>
      <c r="D292" s="78"/>
    </row>
    <row r="293" ht="21.0" customHeight="1">
      <c r="C293" s="78"/>
      <c r="D293" s="78"/>
    </row>
    <row r="294" ht="21.0" customHeight="1">
      <c r="C294" s="78"/>
      <c r="D294" s="78"/>
    </row>
    <row r="295" ht="21.0" customHeight="1">
      <c r="C295" s="78"/>
      <c r="D295" s="78"/>
    </row>
    <row r="296" ht="21.0" customHeight="1">
      <c r="C296" s="78"/>
      <c r="D296" s="78"/>
    </row>
    <row r="297" ht="21.0" customHeight="1">
      <c r="C297" s="78"/>
      <c r="D297" s="78"/>
    </row>
    <row r="298" ht="21.0" customHeight="1">
      <c r="C298" s="78"/>
      <c r="D298" s="78"/>
    </row>
    <row r="299" ht="21.0" customHeight="1">
      <c r="C299" s="78"/>
      <c r="D299" s="78"/>
    </row>
    <row r="300" ht="21.0" customHeight="1">
      <c r="C300" s="78"/>
      <c r="D300" s="78"/>
    </row>
    <row r="301" ht="21.0" customHeight="1">
      <c r="C301" s="78"/>
      <c r="D301" s="78"/>
    </row>
    <row r="302" ht="21.0" customHeight="1">
      <c r="C302" s="78"/>
      <c r="D302" s="78"/>
    </row>
    <row r="303" ht="21.0" customHeight="1">
      <c r="C303" s="78"/>
      <c r="D303" s="78"/>
    </row>
    <row r="304" ht="21.0" customHeight="1">
      <c r="C304" s="78"/>
      <c r="D304" s="78"/>
    </row>
    <row r="305" ht="21.0" customHeight="1">
      <c r="C305" s="78"/>
      <c r="D305" s="78"/>
    </row>
    <row r="306" ht="21.0" customHeight="1">
      <c r="C306" s="78"/>
      <c r="D306" s="78"/>
    </row>
    <row r="307" ht="21.0" customHeight="1">
      <c r="C307" s="78"/>
      <c r="D307" s="78"/>
    </row>
    <row r="308" ht="21.0" customHeight="1">
      <c r="C308" s="78"/>
      <c r="D308" s="78"/>
    </row>
    <row r="309" ht="21.0" customHeight="1">
      <c r="C309" s="78"/>
      <c r="D309" s="78"/>
    </row>
    <row r="310" ht="21.0" customHeight="1">
      <c r="C310" s="78"/>
      <c r="D310" s="78"/>
    </row>
    <row r="311" ht="21.0" customHeight="1">
      <c r="C311" s="78"/>
      <c r="D311" s="78"/>
    </row>
    <row r="312" ht="21.0" customHeight="1">
      <c r="C312" s="78"/>
      <c r="D312" s="78"/>
    </row>
    <row r="313" ht="21.0" customHeight="1">
      <c r="C313" s="78"/>
      <c r="D313" s="78"/>
    </row>
    <row r="314" ht="21.0" customHeight="1">
      <c r="C314" s="78"/>
      <c r="D314" s="78"/>
    </row>
    <row r="315" ht="21.0" customHeight="1">
      <c r="C315" s="78"/>
      <c r="D315" s="78"/>
    </row>
    <row r="316" ht="21.0" customHeight="1">
      <c r="C316" s="78"/>
      <c r="D316" s="78"/>
    </row>
    <row r="317" ht="21.0" customHeight="1">
      <c r="C317" s="78"/>
      <c r="D317" s="78"/>
    </row>
    <row r="318" ht="21.0" customHeight="1">
      <c r="C318" s="78"/>
      <c r="D318" s="78"/>
    </row>
    <row r="319" ht="21.0" customHeight="1">
      <c r="C319" s="78"/>
      <c r="D319" s="78"/>
    </row>
    <row r="320" ht="21.0" customHeight="1">
      <c r="C320" s="78"/>
      <c r="D320" s="78"/>
    </row>
    <row r="321" ht="21.0" customHeight="1">
      <c r="C321" s="78"/>
      <c r="D321" s="78"/>
    </row>
    <row r="322" ht="21.0" customHeight="1">
      <c r="C322" s="78"/>
      <c r="D322" s="78"/>
    </row>
    <row r="323" ht="21.0" customHeight="1">
      <c r="C323" s="78"/>
      <c r="D323" s="78"/>
    </row>
    <row r="324" ht="21.0" customHeight="1">
      <c r="C324" s="78"/>
      <c r="D324" s="78"/>
    </row>
    <row r="325" ht="21.0" customHeight="1">
      <c r="C325" s="78"/>
      <c r="D325" s="78"/>
    </row>
    <row r="326" ht="21.0" customHeight="1">
      <c r="C326" s="78"/>
      <c r="D326" s="78"/>
    </row>
    <row r="327" ht="21.0" customHeight="1">
      <c r="C327" s="78"/>
      <c r="D327" s="78"/>
    </row>
    <row r="328" ht="21.0" customHeight="1">
      <c r="C328" s="78"/>
      <c r="D328" s="78"/>
    </row>
    <row r="329" ht="21.0" customHeight="1">
      <c r="C329" s="78"/>
      <c r="D329" s="78"/>
    </row>
    <row r="330" ht="21.0" customHeight="1">
      <c r="C330" s="78"/>
      <c r="D330" s="78"/>
    </row>
    <row r="331" ht="21.0" customHeight="1">
      <c r="C331" s="78"/>
      <c r="D331" s="78"/>
    </row>
    <row r="332" ht="21.0" customHeight="1">
      <c r="C332" s="78"/>
      <c r="D332" s="78"/>
    </row>
    <row r="333" ht="21.0" customHeight="1">
      <c r="C333" s="78"/>
      <c r="D333" s="78"/>
    </row>
    <row r="334" ht="21.0" customHeight="1">
      <c r="C334" s="78"/>
      <c r="D334" s="78"/>
    </row>
    <row r="335" ht="21.0" customHeight="1">
      <c r="C335" s="78"/>
      <c r="D335" s="78"/>
    </row>
    <row r="336" ht="21.0" customHeight="1">
      <c r="C336" s="78"/>
      <c r="D336" s="78"/>
    </row>
    <row r="337" ht="21.0" customHeight="1">
      <c r="C337" s="78"/>
      <c r="D337" s="78"/>
    </row>
    <row r="338" ht="21.0" customHeight="1">
      <c r="C338" s="78"/>
      <c r="D338" s="78"/>
    </row>
    <row r="339" ht="21.0" customHeight="1">
      <c r="C339" s="78"/>
      <c r="D339" s="78"/>
    </row>
    <row r="340" ht="21.0" customHeight="1">
      <c r="C340" s="78"/>
      <c r="D340" s="78"/>
    </row>
    <row r="341" ht="21.0" customHeight="1">
      <c r="C341" s="78"/>
      <c r="D341" s="78"/>
    </row>
    <row r="342" ht="21.0" customHeight="1">
      <c r="C342" s="78"/>
      <c r="D342" s="78"/>
    </row>
    <row r="343" ht="21.0" customHeight="1">
      <c r="C343" s="78"/>
      <c r="D343" s="78"/>
    </row>
    <row r="344" ht="21.0" customHeight="1">
      <c r="C344" s="78"/>
      <c r="D344" s="78"/>
    </row>
    <row r="345" ht="21.0" customHeight="1">
      <c r="C345" s="78"/>
      <c r="D345" s="78"/>
    </row>
    <row r="346" ht="21.0" customHeight="1">
      <c r="C346" s="78"/>
      <c r="D346" s="78"/>
    </row>
    <row r="347" ht="21.0" customHeight="1">
      <c r="C347" s="78"/>
      <c r="D347" s="78"/>
    </row>
    <row r="348" ht="21.0" customHeight="1">
      <c r="C348" s="78"/>
      <c r="D348" s="78"/>
    </row>
    <row r="349" ht="21.0" customHeight="1">
      <c r="C349" s="78"/>
      <c r="D349" s="78"/>
    </row>
    <row r="350" ht="21.0" customHeight="1">
      <c r="C350" s="78"/>
      <c r="D350" s="78"/>
    </row>
    <row r="351" ht="21.0" customHeight="1">
      <c r="C351" s="78"/>
      <c r="D351" s="78"/>
    </row>
    <row r="352" ht="21.0" customHeight="1">
      <c r="C352" s="78"/>
      <c r="D352" s="78"/>
    </row>
    <row r="353" ht="21.0" customHeight="1">
      <c r="C353" s="78"/>
      <c r="D353" s="78"/>
    </row>
    <row r="354" ht="21.0" customHeight="1">
      <c r="C354" s="78"/>
      <c r="D354" s="78"/>
    </row>
    <row r="355" ht="21.0" customHeight="1">
      <c r="C355" s="78"/>
      <c r="D355" s="78"/>
    </row>
    <row r="356" ht="21.0" customHeight="1">
      <c r="C356" s="78"/>
      <c r="D356" s="78"/>
    </row>
    <row r="357" ht="21.0" customHeight="1">
      <c r="C357" s="78"/>
      <c r="D357" s="78"/>
    </row>
    <row r="358" ht="21.0" customHeight="1">
      <c r="C358" s="78"/>
      <c r="D358" s="78"/>
    </row>
    <row r="359" ht="21.0" customHeight="1">
      <c r="C359" s="78"/>
      <c r="D359" s="78"/>
    </row>
    <row r="360" ht="21.0" customHeight="1">
      <c r="C360" s="78"/>
      <c r="D360" s="78"/>
    </row>
    <row r="361" ht="21.0" customHeight="1">
      <c r="C361" s="78"/>
      <c r="D361" s="78"/>
    </row>
    <row r="362" ht="21.0" customHeight="1">
      <c r="C362" s="78"/>
      <c r="D362" s="78"/>
    </row>
    <row r="363" ht="21.0" customHeight="1">
      <c r="C363" s="78"/>
      <c r="D363" s="78"/>
    </row>
    <row r="364" ht="21.0" customHeight="1">
      <c r="C364" s="78"/>
      <c r="D364" s="78"/>
    </row>
    <row r="365" ht="21.0" customHeight="1">
      <c r="C365" s="78"/>
      <c r="D365" s="78"/>
    </row>
    <row r="366" ht="21.0" customHeight="1">
      <c r="C366" s="78"/>
      <c r="D366" s="78"/>
    </row>
    <row r="367" ht="21.0" customHeight="1">
      <c r="C367" s="78"/>
      <c r="D367" s="78"/>
    </row>
    <row r="368" ht="21.0" customHeight="1">
      <c r="C368" s="78"/>
      <c r="D368" s="78"/>
    </row>
    <row r="369" ht="21.0" customHeight="1">
      <c r="C369" s="78"/>
      <c r="D369" s="78"/>
    </row>
    <row r="370" ht="21.0" customHeight="1">
      <c r="C370" s="78"/>
      <c r="D370" s="78"/>
    </row>
    <row r="371" ht="21.0" customHeight="1">
      <c r="C371" s="78"/>
      <c r="D371" s="78"/>
    </row>
    <row r="372" ht="21.0" customHeight="1">
      <c r="C372" s="78"/>
      <c r="D372" s="78"/>
    </row>
    <row r="373" ht="21.0" customHeight="1">
      <c r="C373" s="78"/>
      <c r="D373" s="78"/>
    </row>
    <row r="374" ht="21.0" customHeight="1">
      <c r="C374" s="78"/>
      <c r="D374" s="78"/>
    </row>
    <row r="375" ht="21.0" customHeight="1">
      <c r="C375" s="78"/>
      <c r="D375" s="78"/>
    </row>
    <row r="376" ht="21.0" customHeight="1">
      <c r="C376" s="78"/>
      <c r="D376" s="78"/>
    </row>
    <row r="377" ht="21.0" customHeight="1">
      <c r="C377" s="78"/>
      <c r="D377" s="78"/>
    </row>
    <row r="378" ht="21.0" customHeight="1">
      <c r="C378" s="78"/>
      <c r="D378" s="78"/>
    </row>
    <row r="379" ht="21.0" customHeight="1">
      <c r="C379" s="78"/>
      <c r="D379" s="78"/>
    </row>
    <row r="380" ht="21.0" customHeight="1">
      <c r="C380" s="78"/>
      <c r="D380" s="78"/>
    </row>
    <row r="381" ht="21.0" customHeight="1">
      <c r="C381" s="78"/>
      <c r="D381" s="78"/>
    </row>
    <row r="382" ht="21.0" customHeight="1">
      <c r="C382" s="78"/>
      <c r="D382" s="78"/>
    </row>
    <row r="383" ht="21.0" customHeight="1">
      <c r="C383" s="78"/>
      <c r="D383" s="78"/>
    </row>
    <row r="384" ht="21.0" customHeight="1">
      <c r="C384" s="78"/>
      <c r="D384" s="78"/>
    </row>
    <row r="385" ht="21.0" customHeight="1">
      <c r="C385" s="78"/>
      <c r="D385" s="78"/>
    </row>
    <row r="386" ht="21.0" customHeight="1">
      <c r="C386" s="78"/>
      <c r="D386" s="78"/>
    </row>
    <row r="387" ht="21.0" customHeight="1">
      <c r="C387" s="78"/>
      <c r="D387" s="78"/>
    </row>
    <row r="388" ht="21.0" customHeight="1">
      <c r="C388" s="78"/>
      <c r="D388" s="78"/>
    </row>
    <row r="389" ht="21.0" customHeight="1">
      <c r="C389" s="78"/>
      <c r="D389" s="78"/>
    </row>
    <row r="390" ht="21.0" customHeight="1">
      <c r="C390" s="78"/>
      <c r="D390" s="78"/>
    </row>
    <row r="391" ht="21.0" customHeight="1">
      <c r="C391" s="78"/>
      <c r="D391" s="78"/>
    </row>
    <row r="392" ht="21.0" customHeight="1">
      <c r="C392" s="78"/>
      <c r="D392" s="78"/>
    </row>
    <row r="393" ht="21.0" customHeight="1">
      <c r="C393" s="78"/>
      <c r="D393" s="78"/>
    </row>
    <row r="394" ht="21.0" customHeight="1">
      <c r="C394" s="78"/>
      <c r="D394" s="78"/>
    </row>
    <row r="395" ht="21.0" customHeight="1">
      <c r="C395" s="78"/>
      <c r="D395" s="78"/>
    </row>
    <row r="396" ht="21.0" customHeight="1">
      <c r="C396" s="78"/>
      <c r="D396" s="78"/>
    </row>
    <row r="397" ht="21.0" customHeight="1">
      <c r="C397" s="78"/>
      <c r="D397" s="78"/>
    </row>
    <row r="398" ht="21.0" customHeight="1">
      <c r="C398" s="78"/>
      <c r="D398" s="78"/>
    </row>
    <row r="399" ht="21.0" customHeight="1">
      <c r="C399" s="78"/>
      <c r="D399" s="78"/>
    </row>
    <row r="400" ht="21.0" customHeight="1">
      <c r="C400" s="78"/>
      <c r="D400" s="78"/>
    </row>
    <row r="401" ht="21.0" customHeight="1">
      <c r="C401" s="78"/>
      <c r="D401" s="78"/>
    </row>
    <row r="402" ht="21.0" customHeight="1">
      <c r="C402" s="78"/>
      <c r="D402" s="78"/>
    </row>
    <row r="403" ht="21.0" customHeight="1">
      <c r="C403" s="78"/>
      <c r="D403" s="78"/>
    </row>
    <row r="404" ht="21.0" customHeight="1">
      <c r="C404" s="78"/>
      <c r="D404" s="78"/>
    </row>
    <row r="405" ht="21.0" customHeight="1">
      <c r="C405" s="78"/>
      <c r="D405" s="78"/>
    </row>
    <row r="406" ht="21.0" customHeight="1">
      <c r="C406" s="78"/>
      <c r="D406" s="78"/>
    </row>
    <row r="407" ht="21.0" customHeight="1">
      <c r="C407" s="78"/>
      <c r="D407" s="78"/>
    </row>
    <row r="408" ht="21.0" customHeight="1">
      <c r="C408" s="78"/>
      <c r="D408" s="78"/>
    </row>
    <row r="409" ht="21.0" customHeight="1">
      <c r="C409" s="78"/>
      <c r="D409" s="78"/>
    </row>
    <row r="410" ht="21.0" customHeight="1">
      <c r="C410" s="78"/>
      <c r="D410" s="78"/>
    </row>
    <row r="411" ht="21.0" customHeight="1">
      <c r="C411" s="78"/>
      <c r="D411" s="78"/>
    </row>
    <row r="412" ht="21.0" customHeight="1">
      <c r="C412" s="78"/>
      <c r="D412" s="78"/>
    </row>
    <row r="413" ht="21.0" customHeight="1">
      <c r="C413" s="78"/>
      <c r="D413" s="78"/>
    </row>
    <row r="414" ht="21.0" customHeight="1">
      <c r="C414" s="78"/>
      <c r="D414" s="78"/>
    </row>
    <row r="415" ht="21.0" customHeight="1">
      <c r="C415" s="78"/>
      <c r="D415" s="78"/>
    </row>
    <row r="416" ht="21.0" customHeight="1">
      <c r="C416" s="78"/>
      <c r="D416" s="78"/>
    </row>
    <row r="417" ht="21.0" customHeight="1">
      <c r="C417" s="78"/>
      <c r="D417" s="78"/>
    </row>
    <row r="418" ht="21.0" customHeight="1">
      <c r="C418" s="78"/>
      <c r="D418" s="78"/>
    </row>
    <row r="419" ht="21.0" customHeight="1">
      <c r="C419" s="78"/>
      <c r="D419" s="78"/>
    </row>
    <row r="420" ht="21.0" customHeight="1">
      <c r="C420" s="78"/>
      <c r="D420" s="78"/>
    </row>
    <row r="421" ht="21.0" customHeight="1">
      <c r="C421" s="78"/>
      <c r="D421" s="78"/>
    </row>
    <row r="422" ht="21.0" customHeight="1">
      <c r="C422" s="78"/>
      <c r="D422" s="78"/>
    </row>
    <row r="423" ht="21.0" customHeight="1">
      <c r="C423" s="78"/>
      <c r="D423" s="78"/>
    </row>
    <row r="424" ht="21.0" customHeight="1">
      <c r="C424" s="78"/>
      <c r="D424" s="78"/>
    </row>
    <row r="425" ht="21.0" customHeight="1">
      <c r="C425" s="78"/>
      <c r="D425" s="78"/>
    </row>
    <row r="426" ht="21.0" customHeight="1">
      <c r="C426" s="78"/>
      <c r="D426" s="78"/>
    </row>
    <row r="427" ht="21.0" customHeight="1">
      <c r="C427" s="78"/>
      <c r="D427" s="78"/>
    </row>
    <row r="428" ht="21.0" customHeight="1">
      <c r="C428" s="78"/>
      <c r="D428" s="78"/>
    </row>
    <row r="429" ht="21.0" customHeight="1">
      <c r="C429" s="78"/>
      <c r="D429" s="78"/>
    </row>
    <row r="430" ht="21.0" customHeight="1">
      <c r="C430" s="78"/>
      <c r="D430" s="78"/>
    </row>
    <row r="431" ht="21.0" customHeight="1">
      <c r="C431" s="78"/>
      <c r="D431" s="78"/>
    </row>
    <row r="432" ht="21.0" customHeight="1">
      <c r="C432" s="78"/>
      <c r="D432" s="78"/>
    </row>
    <row r="433" ht="21.0" customHeight="1">
      <c r="C433" s="78"/>
      <c r="D433" s="78"/>
    </row>
    <row r="434" ht="21.0" customHeight="1">
      <c r="C434" s="78"/>
      <c r="D434" s="78"/>
    </row>
    <row r="435" ht="21.0" customHeight="1">
      <c r="C435" s="78"/>
      <c r="D435" s="78"/>
    </row>
    <row r="436" ht="21.0" customHeight="1">
      <c r="C436" s="78"/>
      <c r="D436" s="78"/>
    </row>
    <row r="437" ht="21.0" customHeight="1">
      <c r="C437" s="78"/>
      <c r="D437" s="78"/>
    </row>
    <row r="438" ht="21.0" customHeight="1">
      <c r="C438" s="78"/>
      <c r="D438" s="78"/>
    </row>
    <row r="439" ht="21.0" customHeight="1">
      <c r="C439" s="78"/>
      <c r="D439" s="78"/>
    </row>
    <row r="440" ht="21.0" customHeight="1">
      <c r="C440" s="78"/>
      <c r="D440" s="78"/>
    </row>
    <row r="441" ht="21.0" customHeight="1">
      <c r="C441" s="78"/>
      <c r="D441" s="78"/>
    </row>
    <row r="442" ht="21.0" customHeight="1">
      <c r="C442" s="78"/>
      <c r="D442" s="78"/>
    </row>
    <row r="443" ht="21.0" customHeight="1">
      <c r="C443" s="78"/>
      <c r="D443" s="78"/>
    </row>
    <row r="444" ht="21.0" customHeight="1">
      <c r="C444" s="78"/>
      <c r="D444" s="78"/>
    </row>
    <row r="445" ht="21.0" customHeight="1">
      <c r="C445" s="78"/>
      <c r="D445" s="78"/>
    </row>
    <row r="446" ht="21.0" customHeight="1">
      <c r="C446" s="78"/>
      <c r="D446" s="78"/>
    </row>
    <row r="447" ht="21.0" customHeight="1">
      <c r="C447" s="78"/>
      <c r="D447" s="78"/>
    </row>
    <row r="448" ht="21.0" customHeight="1">
      <c r="C448" s="78"/>
      <c r="D448" s="78"/>
    </row>
    <row r="449" ht="21.0" customHeight="1">
      <c r="C449" s="78"/>
      <c r="D449" s="78"/>
    </row>
    <row r="450" ht="21.0" customHeight="1">
      <c r="C450" s="78"/>
      <c r="D450" s="78"/>
    </row>
    <row r="451" ht="21.0" customHeight="1">
      <c r="C451" s="78"/>
      <c r="D451" s="78"/>
    </row>
    <row r="452" ht="21.0" customHeight="1">
      <c r="C452" s="78"/>
      <c r="D452" s="78"/>
    </row>
    <row r="453" ht="21.0" customHeight="1">
      <c r="C453" s="78"/>
      <c r="D453" s="78"/>
    </row>
    <row r="454" ht="21.0" customHeight="1">
      <c r="C454" s="78"/>
      <c r="D454" s="78"/>
    </row>
    <row r="455" ht="21.0" customHeight="1">
      <c r="C455" s="78"/>
      <c r="D455" s="78"/>
    </row>
    <row r="456" ht="21.0" customHeight="1">
      <c r="C456" s="78"/>
      <c r="D456" s="78"/>
    </row>
    <row r="457" ht="21.0" customHeight="1">
      <c r="C457" s="78"/>
      <c r="D457" s="78"/>
    </row>
    <row r="458" ht="21.0" customHeight="1">
      <c r="C458" s="78"/>
      <c r="D458" s="78"/>
    </row>
    <row r="459" ht="21.0" customHeight="1">
      <c r="C459" s="78"/>
      <c r="D459" s="78"/>
    </row>
    <row r="460" ht="21.0" customHeight="1">
      <c r="C460" s="78"/>
      <c r="D460" s="78"/>
    </row>
    <row r="461" ht="21.0" customHeight="1">
      <c r="C461" s="78"/>
      <c r="D461" s="78"/>
    </row>
    <row r="462" ht="21.0" customHeight="1">
      <c r="C462" s="78"/>
      <c r="D462" s="78"/>
    </row>
    <row r="463" ht="21.0" customHeight="1">
      <c r="C463" s="78"/>
      <c r="D463" s="78"/>
    </row>
    <row r="464" ht="21.0" customHeight="1">
      <c r="C464" s="78"/>
      <c r="D464" s="78"/>
    </row>
    <row r="465" ht="21.0" customHeight="1">
      <c r="C465" s="78"/>
      <c r="D465" s="78"/>
    </row>
    <row r="466" ht="21.0" customHeight="1">
      <c r="C466" s="78"/>
      <c r="D466" s="78"/>
    </row>
    <row r="467" ht="21.0" customHeight="1">
      <c r="C467" s="78"/>
      <c r="D467" s="78"/>
    </row>
    <row r="468" ht="21.0" customHeight="1">
      <c r="C468" s="78"/>
      <c r="D468" s="78"/>
    </row>
    <row r="469" ht="21.0" customHeight="1">
      <c r="C469" s="78"/>
      <c r="D469" s="78"/>
    </row>
    <row r="470" ht="21.0" customHeight="1">
      <c r="C470" s="78"/>
      <c r="D470" s="78"/>
    </row>
    <row r="471" ht="21.0" customHeight="1">
      <c r="C471" s="78"/>
      <c r="D471" s="78"/>
    </row>
    <row r="472" ht="21.0" customHeight="1">
      <c r="C472" s="78"/>
      <c r="D472" s="78"/>
    </row>
    <row r="473" ht="21.0" customHeight="1">
      <c r="C473" s="78"/>
      <c r="D473" s="78"/>
    </row>
    <row r="474" ht="21.0" customHeight="1">
      <c r="C474" s="78"/>
      <c r="D474" s="78"/>
    </row>
    <row r="475" ht="21.0" customHeight="1">
      <c r="C475" s="78"/>
      <c r="D475" s="78"/>
    </row>
    <row r="476" ht="21.0" customHeight="1">
      <c r="C476" s="78"/>
      <c r="D476" s="78"/>
    </row>
    <row r="477" ht="21.0" customHeight="1">
      <c r="C477" s="78"/>
      <c r="D477" s="78"/>
    </row>
    <row r="478" ht="21.0" customHeight="1">
      <c r="C478" s="78"/>
      <c r="D478" s="78"/>
    </row>
    <row r="479" ht="21.0" customHeight="1">
      <c r="C479" s="78"/>
      <c r="D479" s="78"/>
    </row>
    <row r="480" ht="21.0" customHeight="1">
      <c r="C480" s="78"/>
      <c r="D480" s="78"/>
    </row>
    <row r="481" ht="21.0" customHeight="1">
      <c r="C481" s="78"/>
      <c r="D481" s="78"/>
    </row>
    <row r="482" ht="21.0" customHeight="1">
      <c r="C482" s="78"/>
      <c r="D482" s="78"/>
    </row>
    <row r="483" ht="21.0" customHeight="1">
      <c r="C483" s="78"/>
      <c r="D483" s="78"/>
    </row>
    <row r="484" ht="21.0" customHeight="1">
      <c r="C484" s="78"/>
      <c r="D484" s="78"/>
    </row>
    <row r="485" ht="21.0" customHeight="1">
      <c r="C485" s="78"/>
      <c r="D485" s="78"/>
    </row>
    <row r="486" ht="21.0" customHeight="1">
      <c r="C486" s="78"/>
      <c r="D486" s="78"/>
    </row>
    <row r="487" ht="21.0" customHeight="1">
      <c r="C487" s="78"/>
      <c r="D487" s="78"/>
    </row>
    <row r="488" ht="21.0" customHeight="1">
      <c r="C488" s="78"/>
      <c r="D488" s="78"/>
    </row>
    <row r="489" ht="21.0" customHeight="1">
      <c r="C489" s="78"/>
      <c r="D489" s="78"/>
    </row>
    <row r="490" ht="21.0" customHeight="1">
      <c r="C490" s="78"/>
      <c r="D490" s="78"/>
    </row>
    <row r="491" ht="21.0" customHeight="1">
      <c r="C491" s="78"/>
      <c r="D491" s="78"/>
    </row>
    <row r="492" ht="21.0" customHeight="1">
      <c r="C492" s="78"/>
      <c r="D492" s="78"/>
    </row>
    <row r="493" ht="21.0" customHeight="1">
      <c r="C493" s="78"/>
      <c r="D493" s="78"/>
    </row>
    <row r="494" ht="21.0" customHeight="1">
      <c r="C494" s="78"/>
      <c r="D494" s="78"/>
    </row>
    <row r="495" ht="21.0" customHeight="1">
      <c r="C495" s="78"/>
      <c r="D495" s="78"/>
    </row>
    <row r="496" ht="21.0" customHeight="1">
      <c r="C496" s="78"/>
      <c r="D496" s="78"/>
    </row>
    <row r="497" ht="21.0" customHeight="1">
      <c r="C497" s="78"/>
      <c r="D497" s="78"/>
    </row>
    <row r="498" ht="21.0" customHeight="1">
      <c r="C498" s="78"/>
      <c r="D498" s="78"/>
    </row>
    <row r="499" ht="21.0" customHeight="1">
      <c r="C499" s="78"/>
      <c r="D499" s="78"/>
    </row>
    <row r="500" ht="21.0" customHeight="1">
      <c r="C500" s="78"/>
      <c r="D500" s="78"/>
    </row>
    <row r="501" ht="21.0" customHeight="1">
      <c r="C501" s="78"/>
      <c r="D501" s="78"/>
    </row>
    <row r="502" ht="21.0" customHeight="1">
      <c r="C502" s="78"/>
      <c r="D502" s="78"/>
    </row>
    <row r="503" ht="21.0" customHeight="1">
      <c r="C503" s="78"/>
      <c r="D503" s="78"/>
    </row>
    <row r="504" ht="21.0" customHeight="1">
      <c r="C504" s="78"/>
      <c r="D504" s="78"/>
    </row>
    <row r="505" ht="21.0" customHeight="1">
      <c r="C505" s="78"/>
      <c r="D505" s="78"/>
    </row>
    <row r="506" ht="21.0" customHeight="1">
      <c r="C506" s="78"/>
      <c r="D506" s="78"/>
    </row>
    <row r="507" ht="21.0" customHeight="1">
      <c r="C507" s="78"/>
      <c r="D507" s="78"/>
    </row>
    <row r="508" ht="21.0" customHeight="1">
      <c r="C508" s="78"/>
      <c r="D508" s="78"/>
    </row>
    <row r="509" ht="21.0" customHeight="1">
      <c r="C509" s="78"/>
      <c r="D509" s="78"/>
    </row>
    <row r="510" ht="21.0" customHeight="1">
      <c r="C510" s="78"/>
      <c r="D510" s="78"/>
    </row>
    <row r="511" ht="21.0" customHeight="1">
      <c r="C511" s="78"/>
      <c r="D511" s="78"/>
    </row>
    <row r="512" ht="21.0" customHeight="1">
      <c r="C512" s="78"/>
      <c r="D512" s="78"/>
    </row>
    <row r="513" ht="21.0" customHeight="1">
      <c r="C513" s="78"/>
      <c r="D513" s="78"/>
    </row>
    <row r="514" ht="21.0" customHeight="1">
      <c r="C514" s="78"/>
      <c r="D514" s="78"/>
    </row>
    <row r="515" ht="21.0" customHeight="1">
      <c r="C515" s="78"/>
      <c r="D515" s="78"/>
    </row>
    <row r="516" ht="21.0" customHeight="1">
      <c r="C516" s="78"/>
      <c r="D516" s="78"/>
    </row>
    <row r="517" ht="21.0" customHeight="1">
      <c r="C517" s="78"/>
      <c r="D517" s="78"/>
    </row>
    <row r="518" ht="21.0" customHeight="1">
      <c r="C518" s="78"/>
      <c r="D518" s="78"/>
    </row>
    <row r="519" ht="21.0" customHeight="1">
      <c r="C519" s="78"/>
      <c r="D519" s="78"/>
    </row>
    <row r="520" ht="21.0" customHeight="1">
      <c r="C520" s="78"/>
      <c r="D520" s="78"/>
    </row>
    <row r="521" ht="21.0" customHeight="1">
      <c r="C521" s="78"/>
      <c r="D521" s="78"/>
    </row>
    <row r="522" ht="21.0" customHeight="1">
      <c r="C522" s="78"/>
      <c r="D522" s="78"/>
    </row>
    <row r="523" ht="21.0" customHeight="1">
      <c r="C523" s="78"/>
      <c r="D523" s="78"/>
    </row>
    <row r="524" ht="21.0" customHeight="1">
      <c r="C524" s="78"/>
      <c r="D524" s="78"/>
    </row>
    <row r="525" ht="21.0" customHeight="1">
      <c r="C525" s="78"/>
      <c r="D525" s="78"/>
    </row>
    <row r="526" ht="21.0" customHeight="1">
      <c r="C526" s="78"/>
      <c r="D526" s="78"/>
    </row>
    <row r="527" ht="21.0" customHeight="1">
      <c r="C527" s="78"/>
      <c r="D527" s="78"/>
    </row>
    <row r="528" ht="21.0" customHeight="1">
      <c r="C528" s="78"/>
      <c r="D528" s="78"/>
    </row>
    <row r="529" ht="21.0" customHeight="1">
      <c r="C529" s="78"/>
      <c r="D529" s="78"/>
    </row>
    <row r="530" ht="21.0" customHeight="1">
      <c r="C530" s="78"/>
      <c r="D530" s="78"/>
    </row>
    <row r="531" ht="21.0" customHeight="1">
      <c r="C531" s="78"/>
      <c r="D531" s="78"/>
    </row>
    <row r="532" ht="21.0" customHeight="1">
      <c r="C532" s="78"/>
      <c r="D532" s="78"/>
    </row>
    <row r="533" ht="21.0" customHeight="1">
      <c r="C533" s="78"/>
      <c r="D533" s="78"/>
    </row>
    <row r="534" ht="21.0" customHeight="1">
      <c r="C534" s="78"/>
      <c r="D534" s="78"/>
    </row>
    <row r="535" ht="21.0" customHeight="1">
      <c r="C535" s="78"/>
      <c r="D535" s="78"/>
    </row>
    <row r="536" ht="21.0" customHeight="1">
      <c r="C536" s="78"/>
      <c r="D536" s="78"/>
    </row>
    <row r="537" ht="21.0" customHeight="1">
      <c r="C537" s="78"/>
      <c r="D537" s="78"/>
    </row>
    <row r="538" ht="21.0" customHeight="1">
      <c r="C538" s="78"/>
      <c r="D538" s="78"/>
    </row>
    <row r="539" ht="21.0" customHeight="1">
      <c r="C539" s="78"/>
      <c r="D539" s="78"/>
    </row>
    <row r="540" ht="21.0" customHeight="1">
      <c r="C540" s="78"/>
      <c r="D540" s="78"/>
    </row>
    <row r="541" ht="21.0" customHeight="1">
      <c r="C541" s="78"/>
      <c r="D541" s="78"/>
    </row>
    <row r="542" ht="21.0" customHeight="1">
      <c r="C542" s="78"/>
      <c r="D542" s="78"/>
    </row>
    <row r="543" ht="21.0" customHeight="1">
      <c r="C543" s="78"/>
      <c r="D543" s="78"/>
    </row>
    <row r="544" ht="21.0" customHeight="1">
      <c r="C544" s="78"/>
      <c r="D544" s="78"/>
    </row>
    <row r="545" ht="21.0" customHeight="1">
      <c r="C545" s="78"/>
      <c r="D545" s="78"/>
    </row>
    <row r="546" ht="21.0" customHeight="1">
      <c r="C546" s="78"/>
      <c r="D546" s="78"/>
    </row>
    <row r="547" ht="21.0" customHeight="1">
      <c r="C547" s="78"/>
      <c r="D547" s="78"/>
    </row>
    <row r="548" ht="21.0" customHeight="1">
      <c r="C548" s="78"/>
      <c r="D548" s="78"/>
    </row>
    <row r="549" ht="21.0" customHeight="1">
      <c r="C549" s="78"/>
      <c r="D549" s="78"/>
    </row>
    <row r="550" ht="21.0" customHeight="1">
      <c r="C550" s="78"/>
      <c r="D550" s="78"/>
    </row>
    <row r="551" ht="21.0" customHeight="1">
      <c r="C551" s="78"/>
      <c r="D551" s="78"/>
    </row>
    <row r="552" ht="21.0" customHeight="1">
      <c r="C552" s="78"/>
      <c r="D552" s="78"/>
    </row>
    <row r="553" ht="21.0" customHeight="1">
      <c r="C553" s="78"/>
      <c r="D553" s="78"/>
    </row>
    <row r="554" ht="21.0" customHeight="1">
      <c r="C554" s="78"/>
      <c r="D554" s="78"/>
    </row>
    <row r="555" ht="21.0" customHeight="1">
      <c r="C555" s="78"/>
      <c r="D555" s="78"/>
    </row>
    <row r="556" ht="21.0" customHeight="1">
      <c r="C556" s="78"/>
      <c r="D556" s="78"/>
    </row>
    <row r="557" ht="21.0" customHeight="1">
      <c r="C557" s="78"/>
      <c r="D557" s="78"/>
    </row>
    <row r="558" ht="21.0" customHeight="1">
      <c r="C558" s="78"/>
      <c r="D558" s="78"/>
    </row>
    <row r="559" ht="21.0" customHeight="1">
      <c r="C559" s="78"/>
      <c r="D559" s="78"/>
    </row>
    <row r="560" ht="21.0" customHeight="1">
      <c r="C560" s="78"/>
      <c r="D560" s="78"/>
    </row>
    <row r="561" ht="21.0" customHeight="1">
      <c r="C561" s="78"/>
      <c r="D561" s="78"/>
    </row>
    <row r="562" ht="21.0" customHeight="1">
      <c r="C562" s="78"/>
      <c r="D562" s="78"/>
    </row>
    <row r="563" ht="21.0" customHeight="1">
      <c r="C563" s="78"/>
      <c r="D563" s="78"/>
    </row>
    <row r="564" ht="21.0" customHeight="1">
      <c r="C564" s="78"/>
      <c r="D564" s="78"/>
    </row>
    <row r="565" ht="21.0" customHeight="1">
      <c r="C565" s="78"/>
      <c r="D565" s="78"/>
    </row>
    <row r="566" ht="21.0" customHeight="1">
      <c r="C566" s="78"/>
      <c r="D566" s="78"/>
    </row>
    <row r="567" ht="21.0" customHeight="1">
      <c r="C567" s="78"/>
      <c r="D567" s="78"/>
    </row>
    <row r="568" ht="21.0" customHeight="1">
      <c r="C568" s="78"/>
      <c r="D568" s="78"/>
    </row>
    <row r="569" ht="21.0" customHeight="1">
      <c r="C569" s="78"/>
      <c r="D569" s="78"/>
    </row>
    <row r="570" ht="21.0" customHeight="1">
      <c r="C570" s="78"/>
      <c r="D570" s="78"/>
    </row>
    <row r="571" ht="21.0" customHeight="1">
      <c r="C571" s="78"/>
      <c r="D571" s="78"/>
    </row>
    <row r="572" ht="21.0" customHeight="1">
      <c r="C572" s="78"/>
      <c r="D572" s="78"/>
    </row>
    <row r="573" ht="21.0" customHeight="1">
      <c r="C573" s="78"/>
      <c r="D573" s="78"/>
    </row>
    <row r="574" ht="21.0" customHeight="1">
      <c r="C574" s="78"/>
      <c r="D574" s="78"/>
    </row>
    <row r="575" ht="21.0" customHeight="1">
      <c r="C575" s="78"/>
      <c r="D575" s="78"/>
    </row>
    <row r="576" ht="21.0" customHeight="1">
      <c r="C576" s="78"/>
      <c r="D576" s="78"/>
    </row>
    <row r="577" ht="21.0" customHeight="1">
      <c r="C577" s="78"/>
      <c r="D577" s="78"/>
    </row>
    <row r="578" ht="21.0" customHeight="1">
      <c r="C578" s="78"/>
      <c r="D578" s="78"/>
    </row>
    <row r="579" ht="21.0" customHeight="1">
      <c r="C579" s="78"/>
      <c r="D579" s="78"/>
    </row>
    <row r="580" ht="21.0" customHeight="1">
      <c r="C580" s="78"/>
      <c r="D580" s="78"/>
    </row>
    <row r="581" ht="21.0" customHeight="1">
      <c r="C581" s="78"/>
      <c r="D581" s="78"/>
    </row>
    <row r="582" ht="21.0" customHeight="1">
      <c r="C582" s="78"/>
      <c r="D582" s="78"/>
    </row>
    <row r="583" ht="21.0" customHeight="1">
      <c r="C583" s="78"/>
      <c r="D583" s="78"/>
    </row>
    <row r="584" ht="21.0" customHeight="1">
      <c r="C584" s="78"/>
      <c r="D584" s="78"/>
    </row>
    <row r="585" ht="21.0" customHeight="1">
      <c r="C585" s="78"/>
      <c r="D585" s="78"/>
    </row>
    <row r="586" ht="21.0" customHeight="1">
      <c r="C586" s="78"/>
      <c r="D586" s="78"/>
    </row>
    <row r="587" ht="21.0" customHeight="1">
      <c r="C587" s="78"/>
      <c r="D587" s="78"/>
    </row>
    <row r="588" ht="21.0" customHeight="1">
      <c r="C588" s="78"/>
      <c r="D588" s="78"/>
    </row>
    <row r="589" ht="21.0" customHeight="1">
      <c r="C589" s="78"/>
      <c r="D589" s="78"/>
    </row>
    <row r="590" ht="21.0" customHeight="1">
      <c r="C590" s="78"/>
      <c r="D590" s="78"/>
    </row>
    <row r="591" ht="21.0" customHeight="1">
      <c r="C591" s="78"/>
      <c r="D591" s="78"/>
    </row>
    <row r="592" ht="21.0" customHeight="1">
      <c r="C592" s="78"/>
      <c r="D592" s="78"/>
    </row>
    <row r="593" ht="21.0" customHeight="1">
      <c r="C593" s="78"/>
      <c r="D593" s="78"/>
    </row>
    <row r="594" ht="21.0" customHeight="1">
      <c r="C594" s="78"/>
      <c r="D594" s="78"/>
    </row>
    <row r="595" ht="21.0" customHeight="1">
      <c r="C595" s="78"/>
      <c r="D595" s="78"/>
    </row>
    <row r="596" ht="21.0" customHeight="1">
      <c r="C596" s="78"/>
      <c r="D596" s="78"/>
    </row>
    <row r="597" ht="21.0" customHeight="1">
      <c r="C597" s="78"/>
      <c r="D597" s="78"/>
    </row>
    <row r="598" ht="21.0" customHeight="1">
      <c r="C598" s="78"/>
      <c r="D598" s="78"/>
    </row>
    <row r="599" ht="21.0" customHeight="1">
      <c r="C599" s="78"/>
      <c r="D599" s="78"/>
    </row>
    <row r="600" ht="21.0" customHeight="1">
      <c r="C600" s="78"/>
      <c r="D600" s="78"/>
    </row>
    <row r="601" ht="21.0" customHeight="1">
      <c r="C601" s="78"/>
      <c r="D601" s="78"/>
    </row>
    <row r="602" ht="21.0" customHeight="1">
      <c r="C602" s="78"/>
      <c r="D602" s="78"/>
    </row>
    <row r="603" ht="21.0" customHeight="1">
      <c r="C603" s="78"/>
      <c r="D603" s="78"/>
    </row>
    <row r="604" ht="21.0" customHeight="1">
      <c r="C604" s="78"/>
      <c r="D604" s="78"/>
    </row>
    <row r="605" ht="21.0" customHeight="1">
      <c r="C605" s="78"/>
      <c r="D605" s="78"/>
    </row>
    <row r="606" ht="21.0" customHeight="1">
      <c r="C606" s="78"/>
      <c r="D606" s="78"/>
    </row>
    <row r="607" ht="21.0" customHeight="1">
      <c r="C607" s="78"/>
      <c r="D607" s="78"/>
    </row>
    <row r="608" ht="21.0" customHeight="1">
      <c r="C608" s="78"/>
      <c r="D608" s="78"/>
    </row>
    <row r="609" ht="21.0" customHeight="1">
      <c r="C609" s="78"/>
      <c r="D609" s="78"/>
    </row>
    <row r="610" ht="21.0" customHeight="1">
      <c r="C610" s="78"/>
      <c r="D610" s="78"/>
    </row>
    <row r="611" ht="21.0" customHeight="1">
      <c r="C611" s="78"/>
      <c r="D611" s="78"/>
    </row>
    <row r="612" ht="21.0" customHeight="1">
      <c r="C612" s="78"/>
      <c r="D612" s="78"/>
    </row>
    <row r="613" ht="21.0" customHeight="1">
      <c r="C613" s="78"/>
      <c r="D613" s="78"/>
    </row>
    <row r="614" ht="21.0" customHeight="1">
      <c r="C614" s="78"/>
      <c r="D614" s="78"/>
    </row>
    <row r="615" ht="21.0" customHeight="1">
      <c r="C615" s="78"/>
      <c r="D615" s="78"/>
    </row>
    <row r="616" ht="21.0" customHeight="1">
      <c r="C616" s="78"/>
      <c r="D616" s="78"/>
    </row>
    <row r="617" ht="21.0" customHeight="1">
      <c r="C617" s="78"/>
      <c r="D617" s="78"/>
    </row>
    <row r="618" ht="21.0" customHeight="1">
      <c r="C618" s="78"/>
      <c r="D618" s="78"/>
    </row>
    <row r="619" ht="21.0" customHeight="1">
      <c r="C619" s="78"/>
      <c r="D619" s="78"/>
    </row>
    <row r="620" ht="21.0" customHeight="1">
      <c r="C620" s="78"/>
      <c r="D620" s="78"/>
    </row>
    <row r="621" ht="21.0" customHeight="1">
      <c r="C621" s="78"/>
      <c r="D621" s="78"/>
    </row>
    <row r="622" ht="21.0" customHeight="1">
      <c r="C622" s="78"/>
      <c r="D622" s="78"/>
    </row>
    <row r="623" ht="21.0" customHeight="1">
      <c r="C623" s="78"/>
      <c r="D623" s="78"/>
    </row>
    <row r="624" ht="21.0" customHeight="1">
      <c r="C624" s="78"/>
      <c r="D624" s="78"/>
    </row>
    <row r="625" ht="21.0" customHeight="1">
      <c r="C625" s="78"/>
      <c r="D625" s="78"/>
    </row>
    <row r="626" ht="21.0" customHeight="1">
      <c r="C626" s="78"/>
      <c r="D626" s="78"/>
    </row>
    <row r="627" ht="21.0" customHeight="1">
      <c r="C627" s="78"/>
      <c r="D627" s="78"/>
    </row>
    <row r="628" ht="21.0" customHeight="1">
      <c r="C628" s="78"/>
      <c r="D628" s="78"/>
    </row>
    <row r="629" ht="21.0" customHeight="1">
      <c r="C629" s="78"/>
      <c r="D629" s="78"/>
    </row>
    <row r="630" ht="21.0" customHeight="1">
      <c r="C630" s="78"/>
      <c r="D630" s="78"/>
    </row>
    <row r="631" ht="21.0" customHeight="1">
      <c r="C631" s="78"/>
      <c r="D631" s="78"/>
    </row>
    <row r="632" ht="21.0" customHeight="1">
      <c r="C632" s="78"/>
      <c r="D632" s="78"/>
    </row>
    <row r="633" ht="21.0" customHeight="1">
      <c r="C633" s="78"/>
      <c r="D633" s="78"/>
    </row>
    <row r="634" ht="21.0" customHeight="1">
      <c r="C634" s="78"/>
      <c r="D634" s="78"/>
    </row>
    <row r="635" ht="21.0" customHeight="1">
      <c r="C635" s="78"/>
      <c r="D635" s="78"/>
    </row>
    <row r="636" ht="21.0" customHeight="1">
      <c r="C636" s="78"/>
      <c r="D636" s="78"/>
    </row>
    <row r="637" ht="21.0" customHeight="1">
      <c r="C637" s="78"/>
      <c r="D637" s="78"/>
    </row>
    <row r="638" ht="21.0" customHeight="1">
      <c r="C638" s="78"/>
      <c r="D638" s="78"/>
    </row>
    <row r="639" ht="21.0" customHeight="1">
      <c r="C639" s="78"/>
      <c r="D639" s="78"/>
    </row>
    <row r="640" ht="21.0" customHeight="1">
      <c r="C640" s="78"/>
      <c r="D640" s="78"/>
    </row>
    <row r="641" ht="21.0" customHeight="1">
      <c r="C641" s="78"/>
      <c r="D641" s="78"/>
    </row>
    <row r="642" ht="21.0" customHeight="1">
      <c r="C642" s="78"/>
      <c r="D642" s="78"/>
    </row>
    <row r="643" ht="21.0" customHeight="1">
      <c r="C643" s="78"/>
      <c r="D643" s="78"/>
    </row>
    <row r="644" ht="21.0" customHeight="1">
      <c r="C644" s="78"/>
      <c r="D644" s="78"/>
    </row>
    <row r="645" ht="21.0" customHeight="1">
      <c r="C645" s="78"/>
      <c r="D645" s="78"/>
    </row>
    <row r="646" ht="21.0" customHeight="1">
      <c r="C646" s="78"/>
      <c r="D646" s="78"/>
    </row>
    <row r="647" ht="21.0" customHeight="1">
      <c r="C647" s="78"/>
      <c r="D647" s="78"/>
    </row>
    <row r="648" ht="21.0" customHeight="1">
      <c r="C648" s="78"/>
      <c r="D648" s="78"/>
    </row>
    <row r="649" ht="21.0" customHeight="1">
      <c r="C649" s="78"/>
      <c r="D649" s="78"/>
    </row>
    <row r="650" ht="21.0" customHeight="1">
      <c r="C650" s="78"/>
      <c r="D650" s="78"/>
    </row>
    <row r="651" ht="21.0" customHeight="1">
      <c r="C651" s="78"/>
      <c r="D651" s="78"/>
    </row>
    <row r="652" ht="21.0" customHeight="1">
      <c r="C652" s="78"/>
      <c r="D652" s="78"/>
    </row>
    <row r="653" ht="21.0" customHeight="1">
      <c r="C653" s="78"/>
      <c r="D653" s="78"/>
    </row>
    <row r="654" ht="21.0" customHeight="1">
      <c r="C654" s="78"/>
      <c r="D654" s="78"/>
    </row>
    <row r="655" ht="21.0" customHeight="1">
      <c r="C655" s="78"/>
      <c r="D655" s="78"/>
    </row>
    <row r="656" ht="21.0" customHeight="1">
      <c r="C656" s="78"/>
      <c r="D656" s="78"/>
    </row>
    <row r="657" ht="21.0" customHeight="1">
      <c r="C657" s="78"/>
      <c r="D657" s="78"/>
    </row>
    <row r="658" ht="21.0" customHeight="1">
      <c r="C658" s="78"/>
      <c r="D658" s="78"/>
    </row>
    <row r="659" ht="21.0" customHeight="1">
      <c r="C659" s="78"/>
      <c r="D659" s="78"/>
    </row>
    <row r="660" ht="21.0" customHeight="1">
      <c r="C660" s="78"/>
      <c r="D660" s="78"/>
    </row>
    <row r="661" ht="21.0" customHeight="1">
      <c r="C661" s="78"/>
      <c r="D661" s="78"/>
    </row>
    <row r="662" ht="21.0" customHeight="1">
      <c r="C662" s="78"/>
      <c r="D662" s="78"/>
    </row>
    <row r="663" ht="21.0" customHeight="1">
      <c r="C663" s="78"/>
      <c r="D663" s="78"/>
    </row>
    <row r="664" ht="21.0" customHeight="1">
      <c r="C664" s="78"/>
      <c r="D664" s="78"/>
    </row>
    <row r="665" ht="21.0" customHeight="1">
      <c r="C665" s="78"/>
      <c r="D665" s="78"/>
    </row>
    <row r="666" ht="21.0" customHeight="1">
      <c r="C666" s="78"/>
      <c r="D666" s="78"/>
    </row>
    <row r="667" ht="21.0" customHeight="1">
      <c r="C667" s="78"/>
      <c r="D667" s="78"/>
    </row>
    <row r="668" ht="21.0" customHeight="1">
      <c r="C668" s="78"/>
      <c r="D668" s="78"/>
    </row>
    <row r="669" ht="21.0" customHeight="1">
      <c r="C669" s="78"/>
      <c r="D669" s="78"/>
    </row>
    <row r="670" ht="21.0" customHeight="1">
      <c r="C670" s="78"/>
      <c r="D670" s="78"/>
    </row>
    <row r="671" ht="21.0" customHeight="1">
      <c r="C671" s="78"/>
      <c r="D671" s="78"/>
    </row>
    <row r="672" ht="21.0" customHeight="1">
      <c r="C672" s="78"/>
      <c r="D672" s="78"/>
    </row>
    <row r="673" ht="21.0" customHeight="1">
      <c r="C673" s="78"/>
      <c r="D673" s="78"/>
    </row>
    <row r="674" ht="21.0" customHeight="1">
      <c r="C674" s="78"/>
      <c r="D674" s="78"/>
    </row>
    <row r="675" ht="21.0" customHeight="1">
      <c r="C675" s="78"/>
      <c r="D675" s="78"/>
    </row>
    <row r="676" ht="21.0" customHeight="1">
      <c r="C676" s="78"/>
      <c r="D676" s="78"/>
    </row>
    <row r="677" ht="21.0" customHeight="1">
      <c r="C677" s="78"/>
      <c r="D677" s="78"/>
    </row>
    <row r="678" ht="21.0" customHeight="1">
      <c r="C678" s="78"/>
      <c r="D678" s="78"/>
    </row>
    <row r="679" ht="21.0" customHeight="1">
      <c r="C679" s="78"/>
      <c r="D679" s="78"/>
    </row>
    <row r="680" ht="21.0" customHeight="1">
      <c r="C680" s="78"/>
      <c r="D680" s="78"/>
    </row>
    <row r="681" ht="21.0" customHeight="1">
      <c r="C681" s="78"/>
      <c r="D681" s="78"/>
    </row>
    <row r="682" ht="21.0" customHeight="1">
      <c r="C682" s="78"/>
      <c r="D682" s="78"/>
    </row>
    <row r="683" ht="21.0" customHeight="1">
      <c r="C683" s="78"/>
      <c r="D683" s="78"/>
    </row>
    <row r="684" ht="21.0" customHeight="1">
      <c r="C684" s="78"/>
      <c r="D684" s="78"/>
    </row>
    <row r="685" ht="21.0" customHeight="1">
      <c r="C685" s="78"/>
      <c r="D685" s="78"/>
    </row>
    <row r="686" ht="21.0" customHeight="1">
      <c r="C686" s="78"/>
      <c r="D686" s="78"/>
    </row>
    <row r="687" ht="21.0" customHeight="1">
      <c r="C687" s="78"/>
      <c r="D687" s="78"/>
    </row>
    <row r="688" ht="21.0" customHeight="1">
      <c r="C688" s="78"/>
      <c r="D688" s="78"/>
    </row>
    <row r="689" ht="21.0" customHeight="1">
      <c r="C689" s="78"/>
      <c r="D689" s="78"/>
    </row>
    <row r="690" ht="21.0" customHeight="1">
      <c r="C690" s="78"/>
      <c r="D690" s="78"/>
    </row>
    <row r="691" ht="21.0" customHeight="1">
      <c r="C691" s="78"/>
      <c r="D691" s="78"/>
    </row>
    <row r="692" ht="21.0" customHeight="1">
      <c r="C692" s="78"/>
      <c r="D692" s="78"/>
    </row>
    <row r="693" ht="21.0" customHeight="1">
      <c r="C693" s="78"/>
      <c r="D693" s="78"/>
    </row>
    <row r="694" ht="21.0" customHeight="1">
      <c r="C694" s="78"/>
      <c r="D694" s="78"/>
    </row>
    <row r="695" ht="21.0" customHeight="1">
      <c r="C695" s="78"/>
      <c r="D695" s="78"/>
    </row>
    <row r="696" ht="21.0" customHeight="1">
      <c r="C696" s="78"/>
      <c r="D696" s="78"/>
    </row>
    <row r="697" ht="21.0" customHeight="1">
      <c r="C697" s="78"/>
      <c r="D697" s="78"/>
    </row>
    <row r="698" ht="21.0" customHeight="1">
      <c r="C698" s="78"/>
      <c r="D698" s="78"/>
    </row>
    <row r="699" ht="21.0" customHeight="1">
      <c r="C699" s="78"/>
      <c r="D699" s="78"/>
    </row>
    <row r="700" ht="21.0" customHeight="1">
      <c r="C700" s="78"/>
      <c r="D700" s="78"/>
    </row>
    <row r="701" ht="21.0" customHeight="1">
      <c r="C701" s="78"/>
      <c r="D701" s="78"/>
    </row>
    <row r="702" ht="21.0" customHeight="1">
      <c r="C702" s="78"/>
      <c r="D702" s="78"/>
    </row>
    <row r="703" ht="21.0" customHeight="1">
      <c r="C703" s="78"/>
      <c r="D703" s="78"/>
    </row>
    <row r="704" ht="21.0" customHeight="1">
      <c r="C704" s="78"/>
      <c r="D704" s="78"/>
    </row>
    <row r="705" ht="21.0" customHeight="1">
      <c r="C705" s="78"/>
      <c r="D705" s="78"/>
    </row>
    <row r="706" ht="21.0" customHeight="1">
      <c r="C706" s="78"/>
      <c r="D706" s="78"/>
    </row>
    <row r="707" ht="21.0" customHeight="1">
      <c r="C707" s="78"/>
      <c r="D707" s="78"/>
    </row>
    <row r="708" ht="21.0" customHeight="1">
      <c r="C708" s="78"/>
      <c r="D708" s="78"/>
    </row>
    <row r="709" ht="21.0" customHeight="1">
      <c r="C709" s="78"/>
      <c r="D709" s="78"/>
    </row>
    <row r="710" ht="21.0" customHeight="1">
      <c r="C710" s="78"/>
      <c r="D710" s="78"/>
    </row>
    <row r="711" ht="21.0" customHeight="1">
      <c r="C711" s="78"/>
      <c r="D711" s="78"/>
    </row>
    <row r="712" ht="21.0" customHeight="1">
      <c r="C712" s="78"/>
      <c r="D712" s="78"/>
    </row>
    <row r="713" ht="21.0" customHeight="1">
      <c r="C713" s="78"/>
      <c r="D713" s="78"/>
    </row>
    <row r="714" ht="21.0" customHeight="1">
      <c r="C714" s="78"/>
      <c r="D714" s="78"/>
    </row>
    <row r="715" ht="21.0" customHeight="1">
      <c r="C715" s="78"/>
      <c r="D715" s="78"/>
    </row>
    <row r="716" ht="21.0" customHeight="1">
      <c r="C716" s="78"/>
      <c r="D716" s="78"/>
    </row>
    <row r="717" ht="21.0" customHeight="1">
      <c r="C717" s="78"/>
      <c r="D717" s="78"/>
    </row>
    <row r="718" ht="21.0" customHeight="1">
      <c r="C718" s="78"/>
      <c r="D718" s="78"/>
    </row>
    <row r="719" ht="21.0" customHeight="1">
      <c r="C719" s="78"/>
      <c r="D719" s="78"/>
    </row>
    <row r="720" ht="21.0" customHeight="1">
      <c r="C720" s="78"/>
      <c r="D720" s="78"/>
    </row>
    <row r="721" ht="21.0" customHeight="1">
      <c r="C721" s="78"/>
      <c r="D721" s="78"/>
    </row>
    <row r="722" ht="21.0" customHeight="1">
      <c r="C722" s="78"/>
      <c r="D722" s="78"/>
    </row>
    <row r="723" ht="21.0" customHeight="1">
      <c r="C723" s="78"/>
      <c r="D723" s="78"/>
    </row>
    <row r="724" ht="21.0" customHeight="1">
      <c r="C724" s="78"/>
      <c r="D724" s="78"/>
    </row>
    <row r="725" ht="21.0" customHeight="1">
      <c r="C725" s="78"/>
      <c r="D725" s="78"/>
    </row>
    <row r="726" ht="21.0" customHeight="1">
      <c r="C726" s="78"/>
      <c r="D726" s="78"/>
    </row>
    <row r="727" ht="21.0" customHeight="1">
      <c r="C727" s="78"/>
      <c r="D727" s="78"/>
    </row>
    <row r="728" ht="21.0" customHeight="1">
      <c r="C728" s="78"/>
      <c r="D728" s="78"/>
    </row>
    <row r="729" ht="21.0" customHeight="1">
      <c r="C729" s="78"/>
      <c r="D729" s="78"/>
    </row>
    <row r="730" ht="21.0" customHeight="1">
      <c r="C730" s="78"/>
      <c r="D730" s="78"/>
    </row>
    <row r="731" ht="21.0" customHeight="1">
      <c r="C731" s="78"/>
      <c r="D731" s="78"/>
    </row>
    <row r="732" ht="21.0" customHeight="1">
      <c r="C732" s="78"/>
      <c r="D732" s="78"/>
    </row>
    <row r="733" ht="21.0" customHeight="1">
      <c r="C733" s="78"/>
      <c r="D733" s="78"/>
    </row>
    <row r="734" ht="21.0" customHeight="1">
      <c r="C734" s="78"/>
      <c r="D734" s="78"/>
    </row>
    <row r="735" ht="21.0" customHeight="1">
      <c r="C735" s="78"/>
      <c r="D735" s="78"/>
    </row>
    <row r="736" ht="21.0" customHeight="1">
      <c r="C736" s="78"/>
      <c r="D736" s="78"/>
    </row>
    <row r="737" ht="21.0" customHeight="1">
      <c r="C737" s="78"/>
      <c r="D737" s="78"/>
    </row>
    <row r="738" ht="21.0" customHeight="1">
      <c r="C738" s="78"/>
      <c r="D738" s="78"/>
    </row>
    <row r="739" ht="21.0" customHeight="1">
      <c r="C739" s="78"/>
      <c r="D739" s="78"/>
    </row>
    <row r="740" ht="21.0" customHeight="1">
      <c r="C740" s="78"/>
      <c r="D740" s="78"/>
    </row>
    <row r="741" ht="21.0" customHeight="1">
      <c r="C741" s="78"/>
      <c r="D741" s="78"/>
    </row>
    <row r="742" ht="21.0" customHeight="1">
      <c r="C742" s="78"/>
      <c r="D742" s="78"/>
    </row>
    <row r="743" ht="21.0" customHeight="1">
      <c r="C743" s="78"/>
      <c r="D743" s="78"/>
    </row>
    <row r="744" ht="21.0" customHeight="1">
      <c r="C744" s="78"/>
      <c r="D744" s="78"/>
    </row>
    <row r="745" ht="21.0" customHeight="1">
      <c r="C745" s="78"/>
      <c r="D745" s="78"/>
    </row>
    <row r="746" ht="21.0" customHeight="1">
      <c r="C746" s="78"/>
      <c r="D746" s="78"/>
    </row>
    <row r="747" ht="21.0" customHeight="1">
      <c r="C747" s="78"/>
      <c r="D747" s="78"/>
    </row>
    <row r="748" ht="21.0" customHeight="1">
      <c r="C748" s="78"/>
      <c r="D748" s="78"/>
    </row>
    <row r="749" ht="21.0" customHeight="1">
      <c r="C749" s="78"/>
      <c r="D749" s="78"/>
    </row>
    <row r="750" ht="21.0" customHeight="1">
      <c r="C750" s="78"/>
      <c r="D750" s="78"/>
    </row>
    <row r="751" ht="21.0" customHeight="1">
      <c r="C751" s="78"/>
      <c r="D751" s="78"/>
    </row>
    <row r="752" ht="21.0" customHeight="1">
      <c r="C752" s="78"/>
      <c r="D752" s="78"/>
    </row>
    <row r="753" ht="21.0" customHeight="1">
      <c r="C753" s="78"/>
      <c r="D753" s="78"/>
    </row>
    <row r="754" ht="21.0" customHeight="1">
      <c r="C754" s="78"/>
      <c r="D754" s="78"/>
    </row>
    <row r="755" ht="21.0" customHeight="1">
      <c r="C755" s="78"/>
      <c r="D755" s="78"/>
    </row>
    <row r="756" ht="21.0" customHeight="1">
      <c r="C756" s="78"/>
      <c r="D756" s="78"/>
    </row>
    <row r="757" ht="21.0" customHeight="1">
      <c r="C757" s="78"/>
      <c r="D757" s="78"/>
    </row>
    <row r="758" ht="21.0" customHeight="1">
      <c r="C758" s="78"/>
      <c r="D758" s="78"/>
    </row>
    <row r="759" ht="21.0" customHeight="1">
      <c r="C759" s="78"/>
      <c r="D759" s="78"/>
    </row>
    <row r="760" ht="21.0" customHeight="1">
      <c r="C760" s="78"/>
      <c r="D760" s="78"/>
    </row>
    <row r="761" ht="21.0" customHeight="1">
      <c r="C761" s="78"/>
      <c r="D761" s="78"/>
    </row>
    <row r="762" ht="21.0" customHeight="1">
      <c r="C762" s="78"/>
      <c r="D762" s="78"/>
    </row>
    <row r="763" ht="21.0" customHeight="1">
      <c r="C763" s="78"/>
      <c r="D763" s="78"/>
    </row>
    <row r="764" ht="21.0" customHeight="1">
      <c r="C764" s="78"/>
      <c r="D764" s="78"/>
    </row>
    <row r="765" ht="21.0" customHeight="1">
      <c r="C765" s="78"/>
      <c r="D765" s="78"/>
    </row>
    <row r="766" ht="21.0" customHeight="1">
      <c r="C766" s="78"/>
      <c r="D766" s="78"/>
    </row>
    <row r="767" ht="21.0" customHeight="1">
      <c r="C767" s="78"/>
      <c r="D767" s="78"/>
    </row>
    <row r="768" ht="21.0" customHeight="1">
      <c r="C768" s="78"/>
      <c r="D768" s="78"/>
    </row>
    <row r="769" ht="21.0" customHeight="1">
      <c r="C769" s="78"/>
      <c r="D769" s="78"/>
    </row>
    <row r="770" ht="21.0" customHeight="1">
      <c r="C770" s="78"/>
      <c r="D770" s="78"/>
    </row>
    <row r="771" ht="21.0" customHeight="1">
      <c r="C771" s="78"/>
      <c r="D771" s="78"/>
    </row>
    <row r="772" ht="21.0" customHeight="1">
      <c r="C772" s="78"/>
      <c r="D772" s="78"/>
    </row>
    <row r="773" ht="21.0" customHeight="1">
      <c r="C773" s="78"/>
      <c r="D773" s="78"/>
    </row>
    <row r="774" ht="21.0" customHeight="1">
      <c r="C774" s="78"/>
      <c r="D774" s="78"/>
    </row>
    <row r="775" ht="21.0" customHeight="1">
      <c r="C775" s="78"/>
      <c r="D775" s="78"/>
    </row>
    <row r="776" ht="21.0" customHeight="1">
      <c r="C776" s="78"/>
      <c r="D776" s="78"/>
    </row>
    <row r="777" ht="21.0" customHeight="1">
      <c r="C777" s="78"/>
      <c r="D777" s="78"/>
    </row>
    <row r="778" ht="21.0" customHeight="1">
      <c r="C778" s="78"/>
      <c r="D778" s="78"/>
    </row>
    <row r="779" ht="21.0" customHeight="1">
      <c r="C779" s="78"/>
      <c r="D779" s="78"/>
    </row>
    <row r="780" ht="21.0" customHeight="1">
      <c r="C780" s="78"/>
      <c r="D780" s="78"/>
    </row>
    <row r="781" ht="21.0" customHeight="1">
      <c r="C781" s="78"/>
      <c r="D781" s="78"/>
    </row>
    <row r="782" ht="21.0" customHeight="1">
      <c r="C782" s="78"/>
      <c r="D782" s="78"/>
    </row>
    <row r="783" ht="21.0" customHeight="1">
      <c r="C783" s="78"/>
      <c r="D783" s="78"/>
    </row>
    <row r="784" ht="21.0" customHeight="1">
      <c r="C784" s="78"/>
      <c r="D784" s="78"/>
    </row>
    <row r="785" ht="21.0" customHeight="1">
      <c r="C785" s="78"/>
      <c r="D785" s="78"/>
    </row>
    <row r="786" ht="21.0" customHeight="1">
      <c r="C786" s="78"/>
      <c r="D786" s="78"/>
    </row>
    <row r="787" ht="21.0" customHeight="1">
      <c r="C787" s="78"/>
      <c r="D787" s="78"/>
    </row>
    <row r="788" ht="21.0" customHeight="1">
      <c r="C788" s="78"/>
      <c r="D788" s="78"/>
    </row>
    <row r="789" ht="21.0" customHeight="1">
      <c r="C789" s="78"/>
      <c r="D789" s="78"/>
    </row>
    <row r="790" ht="21.0" customHeight="1">
      <c r="C790" s="78"/>
      <c r="D790" s="78"/>
    </row>
    <row r="791" ht="21.0" customHeight="1">
      <c r="C791" s="78"/>
      <c r="D791" s="78"/>
    </row>
    <row r="792" ht="21.0" customHeight="1">
      <c r="C792" s="78"/>
      <c r="D792" s="78"/>
    </row>
    <row r="793" ht="21.0" customHeight="1">
      <c r="C793" s="78"/>
      <c r="D793" s="78"/>
    </row>
    <row r="794" ht="21.0" customHeight="1">
      <c r="C794" s="78"/>
      <c r="D794" s="78"/>
    </row>
    <row r="795" ht="21.0" customHeight="1">
      <c r="C795" s="78"/>
      <c r="D795" s="78"/>
    </row>
    <row r="796" ht="21.0" customHeight="1">
      <c r="C796" s="78"/>
      <c r="D796" s="78"/>
    </row>
    <row r="797" ht="21.0" customHeight="1">
      <c r="C797" s="78"/>
      <c r="D797" s="78"/>
    </row>
    <row r="798" ht="21.0" customHeight="1">
      <c r="C798" s="78"/>
      <c r="D798" s="78"/>
    </row>
    <row r="799" ht="21.0" customHeight="1">
      <c r="C799" s="78"/>
      <c r="D799" s="78"/>
    </row>
    <row r="800" ht="21.0" customHeight="1">
      <c r="C800" s="78"/>
      <c r="D800" s="78"/>
    </row>
    <row r="801" ht="21.0" customHeight="1">
      <c r="C801" s="78"/>
      <c r="D801" s="78"/>
    </row>
    <row r="802" ht="21.0" customHeight="1">
      <c r="C802" s="78"/>
      <c r="D802" s="78"/>
    </row>
    <row r="803" ht="21.0" customHeight="1">
      <c r="C803" s="78"/>
      <c r="D803" s="78"/>
    </row>
    <row r="804" ht="21.0" customHeight="1">
      <c r="C804" s="78"/>
      <c r="D804" s="78"/>
    </row>
    <row r="805" ht="21.0" customHeight="1">
      <c r="C805" s="78"/>
      <c r="D805" s="78"/>
    </row>
    <row r="806" ht="21.0" customHeight="1">
      <c r="C806" s="78"/>
      <c r="D806" s="78"/>
    </row>
    <row r="807" ht="21.0" customHeight="1">
      <c r="C807" s="78"/>
      <c r="D807" s="78"/>
    </row>
    <row r="808" ht="21.0" customHeight="1">
      <c r="C808" s="78"/>
      <c r="D808" s="78"/>
    </row>
    <row r="809" ht="21.0" customHeight="1">
      <c r="C809" s="78"/>
      <c r="D809" s="78"/>
    </row>
    <row r="810" ht="21.0" customHeight="1">
      <c r="C810" s="78"/>
      <c r="D810" s="78"/>
    </row>
    <row r="811" ht="21.0" customHeight="1">
      <c r="C811" s="78"/>
      <c r="D811" s="78"/>
    </row>
    <row r="812" ht="21.0" customHeight="1">
      <c r="C812" s="78"/>
      <c r="D812" s="78"/>
    </row>
    <row r="813" ht="21.0" customHeight="1">
      <c r="C813" s="78"/>
      <c r="D813" s="78"/>
    </row>
    <row r="814" ht="21.0" customHeight="1">
      <c r="C814" s="78"/>
      <c r="D814" s="78"/>
    </row>
    <row r="815" ht="21.0" customHeight="1">
      <c r="C815" s="78"/>
      <c r="D815" s="78"/>
    </row>
    <row r="816" ht="21.0" customHeight="1">
      <c r="C816" s="78"/>
      <c r="D816" s="78"/>
    </row>
    <row r="817" ht="21.0" customHeight="1">
      <c r="C817" s="78"/>
      <c r="D817" s="78"/>
    </row>
    <row r="818" ht="21.0" customHeight="1">
      <c r="C818" s="78"/>
      <c r="D818" s="78"/>
    </row>
    <row r="819" ht="21.0" customHeight="1">
      <c r="C819" s="78"/>
      <c r="D819" s="78"/>
    </row>
    <row r="820" ht="21.0" customHeight="1">
      <c r="C820" s="78"/>
      <c r="D820" s="78"/>
    </row>
    <row r="821" ht="21.0" customHeight="1">
      <c r="C821" s="78"/>
      <c r="D821" s="78"/>
    </row>
    <row r="822" ht="21.0" customHeight="1">
      <c r="C822" s="78"/>
      <c r="D822" s="78"/>
    </row>
    <row r="823" ht="21.0" customHeight="1">
      <c r="C823" s="78"/>
      <c r="D823" s="78"/>
    </row>
    <row r="824" ht="21.0" customHeight="1">
      <c r="C824" s="78"/>
      <c r="D824" s="78"/>
    </row>
    <row r="825" ht="21.0" customHeight="1">
      <c r="C825" s="78"/>
      <c r="D825" s="78"/>
    </row>
    <row r="826" ht="21.0" customHeight="1">
      <c r="C826" s="78"/>
      <c r="D826" s="78"/>
    </row>
    <row r="827" ht="21.0" customHeight="1">
      <c r="C827" s="78"/>
      <c r="D827" s="78"/>
    </row>
    <row r="828" ht="21.0" customHeight="1">
      <c r="C828" s="78"/>
      <c r="D828" s="78"/>
    </row>
    <row r="829" ht="21.0" customHeight="1">
      <c r="C829" s="78"/>
      <c r="D829" s="78"/>
    </row>
    <row r="830" ht="21.0" customHeight="1">
      <c r="C830" s="78"/>
      <c r="D830" s="78"/>
    </row>
    <row r="831" ht="21.0" customHeight="1">
      <c r="C831" s="78"/>
      <c r="D831" s="78"/>
    </row>
    <row r="832" ht="21.0" customHeight="1">
      <c r="C832" s="78"/>
      <c r="D832" s="78"/>
    </row>
    <row r="833" ht="21.0" customHeight="1">
      <c r="C833" s="78"/>
      <c r="D833" s="78"/>
    </row>
    <row r="834" ht="21.0" customHeight="1">
      <c r="C834" s="78"/>
      <c r="D834" s="78"/>
    </row>
    <row r="835" ht="21.0" customHeight="1">
      <c r="C835" s="78"/>
      <c r="D835" s="78"/>
    </row>
    <row r="836" ht="21.0" customHeight="1">
      <c r="C836" s="78"/>
      <c r="D836" s="78"/>
    </row>
    <row r="837" ht="21.0" customHeight="1">
      <c r="C837" s="78"/>
      <c r="D837" s="78"/>
    </row>
    <row r="838" ht="21.0" customHeight="1">
      <c r="C838" s="78"/>
      <c r="D838" s="78"/>
    </row>
    <row r="839" ht="21.0" customHeight="1">
      <c r="C839" s="78"/>
      <c r="D839" s="78"/>
    </row>
    <row r="840" ht="21.0" customHeight="1">
      <c r="C840" s="78"/>
      <c r="D840" s="78"/>
    </row>
    <row r="841" ht="21.0" customHeight="1">
      <c r="C841" s="78"/>
      <c r="D841" s="78"/>
    </row>
    <row r="842" ht="21.0" customHeight="1">
      <c r="C842" s="78"/>
      <c r="D842" s="78"/>
    </row>
    <row r="843" ht="21.0" customHeight="1">
      <c r="C843" s="78"/>
      <c r="D843" s="78"/>
    </row>
    <row r="844" ht="21.0" customHeight="1">
      <c r="C844" s="78"/>
      <c r="D844" s="78"/>
    </row>
    <row r="845" ht="21.0" customHeight="1">
      <c r="C845" s="78"/>
      <c r="D845" s="78"/>
    </row>
    <row r="846" ht="21.0" customHeight="1">
      <c r="C846" s="78"/>
      <c r="D846" s="78"/>
    </row>
    <row r="847" ht="21.0" customHeight="1">
      <c r="C847" s="78"/>
      <c r="D847" s="78"/>
    </row>
    <row r="848" ht="21.0" customHeight="1">
      <c r="C848" s="78"/>
      <c r="D848" s="78"/>
    </row>
    <row r="849" ht="21.0" customHeight="1">
      <c r="C849" s="78"/>
      <c r="D849" s="78"/>
    </row>
    <row r="850" ht="21.0" customHeight="1">
      <c r="C850" s="78"/>
      <c r="D850" s="78"/>
    </row>
    <row r="851" ht="21.0" customHeight="1">
      <c r="C851" s="78"/>
      <c r="D851" s="78"/>
    </row>
    <row r="852" ht="21.0" customHeight="1">
      <c r="C852" s="78"/>
      <c r="D852" s="78"/>
    </row>
    <row r="853" ht="21.0" customHeight="1">
      <c r="C853" s="78"/>
      <c r="D853" s="78"/>
    </row>
    <row r="854" ht="21.0" customHeight="1">
      <c r="C854" s="78"/>
      <c r="D854" s="78"/>
    </row>
    <row r="855" ht="21.0" customHeight="1">
      <c r="C855" s="78"/>
      <c r="D855" s="78"/>
    </row>
    <row r="856" ht="21.0" customHeight="1">
      <c r="C856" s="78"/>
      <c r="D856" s="78"/>
    </row>
    <row r="857" ht="21.0" customHeight="1">
      <c r="C857" s="78"/>
      <c r="D857" s="78"/>
    </row>
    <row r="858" ht="21.0" customHeight="1">
      <c r="C858" s="78"/>
      <c r="D858" s="78"/>
    </row>
    <row r="859" ht="21.0" customHeight="1">
      <c r="C859" s="78"/>
      <c r="D859" s="78"/>
    </row>
    <row r="860" ht="21.0" customHeight="1">
      <c r="C860" s="78"/>
      <c r="D860" s="78"/>
    </row>
    <row r="861" ht="21.0" customHeight="1">
      <c r="C861" s="78"/>
      <c r="D861" s="78"/>
    </row>
    <row r="862" ht="21.0" customHeight="1">
      <c r="C862" s="78"/>
      <c r="D862" s="78"/>
    </row>
    <row r="863" ht="21.0" customHeight="1">
      <c r="C863" s="78"/>
      <c r="D863" s="78"/>
    </row>
    <row r="864" ht="21.0" customHeight="1">
      <c r="C864" s="78"/>
      <c r="D864" s="78"/>
    </row>
    <row r="865" ht="21.0" customHeight="1">
      <c r="C865" s="78"/>
      <c r="D865" s="78"/>
    </row>
    <row r="866" ht="21.0" customHeight="1">
      <c r="C866" s="78"/>
      <c r="D866" s="78"/>
    </row>
    <row r="867" ht="21.0" customHeight="1">
      <c r="C867" s="78"/>
      <c r="D867" s="78"/>
    </row>
    <row r="868" ht="21.0" customHeight="1">
      <c r="C868" s="78"/>
      <c r="D868" s="78"/>
    </row>
    <row r="869" ht="21.0" customHeight="1">
      <c r="C869" s="78"/>
      <c r="D869" s="78"/>
    </row>
    <row r="870" ht="21.0" customHeight="1">
      <c r="C870" s="78"/>
      <c r="D870" s="78"/>
    </row>
    <row r="871" ht="21.0" customHeight="1">
      <c r="C871" s="78"/>
      <c r="D871" s="78"/>
    </row>
    <row r="872" ht="21.0" customHeight="1">
      <c r="C872" s="78"/>
      <c r="D872" s="78"/>
    </row>
    <row r="873" ht="21.0" customHeight="1">
      <c r="C873" s="78"/>
      <c r="D873" s="78"/>
    </row>
    <row r="874" ht="21.0" customHeight="1">
      <c r="C874" s="78"/>
      <c r="D874" s="78"/>
    </row>
    <row r="875" ht="21.0" customHeight="1">
      <c r="C875" s="78"/>
      <c r="D875" s="78"/>
    </row>
    <row r="876" ht="21.0" customHeight="1">
      <c r="C876" s="78"/>
      <c r="D876" s="78"/>
    </row>
    <row r="877" ht="21.0" customHeight="1">
      <c r="C877" s="78"/>
      <c r="D877" s="78"/>
    </row>
    <row r="878" ht="21.0" customHeight="1">
      <c r="C878" s="78"/>
      <c r="D878" s="78"/>
    </row>
    <row r="879" ht="21.0" customHeight="1">
      <c r="C879" s="78"/>
      <c r="D879" s="78"/>
    </row>
    <row r="880" ht="21.0" customHeight="1">
      <c r="C880" s="78"/>
      <c r="D880" s="78"/>
    </row>
    <row r="881" ht="21.0" customHeight="1">
      <c r="C881" s="78"/>
      <c r="D881" s="78"/>
    </row>
    <row r="882" ht="21.0" customHeight="1">
      <c r="C882" s="78"/>
      <c r="D882" s="78"/>
    </row>
    <row r="883" ht="21.0" customHeight="1">
      <c r="C883" s="78"/>
      <c r="D883" s="78"/>
    </row>
    <row r="884" ht="21.0" customHeight="1">
      <c r="C884" s="78"/>
      <c r="D884" s="78"/>
    </row>
    <row r="885" ht="21.0" customHeight="1">
      <c r="C885" s="78"/>
      <c r="D885" s="78"/>
    </row>
    <row r="886" ht="21.0" customHeight="1">
      <c r="C886" s="78"/>
      <c r="D886" s="78"/>
    </row>
    <row r="887" ht="21.0" customHeight="1">
      <c r="C887" s="78"/>
      <c r="D887" s="78"/>
    </row>
    <row r="888" ht="21.0" customHeight="1">
      <c r="C888" s="78"/>
      <c r="D888" s="78"/>
    </row>
    <row r="889" ht="21.0" customHeight="1">
      <c r="C889" s="78"/>
      <c r="D889" s="78"/>
    </row>
    <row r="890" ht="21.0" customHeight="1">
      <c r="C890" s="78"/>
      <c r="D890" s="78"/>
    </row>
    <row r="891" ht="21.0" customHeight="1">
      <c r="C891" s="78"/>
      <c r="D891" s="78"/>
    </row>
    <row r="892" ht="21.0" customHeight="1">
      <c r="C892" s="78"/>
      <c r="D892" s="78"/>
    </row>
    <row r="893" ht="21.0" customHeight="1">
      <c r="C893" s="78"/>
      <c r="D893" s="78"/>
    </row>
    <row r="894" ht="21.0" customHeight="1">
      <c r="C894" s="78"/>
      <c r="D894" s="78"/>
    </row>
    <row r="895" ht="21.0" customHeight="1">
      <c r="C895" s="78"/>
      <c r="D895" s="78"/>
    </row>
    <row r="896" ht="21.0" customHeight="1">
      <c r="C896" s="78"/>
      <c r="D896" s="78"/>
    </row>
    <row r="897" ht="21.0" customHeight="1">
      <c r="C897" s="78"/>
      <c r="D897" s="78"/>
    </row>
    <row r="898" ht="21.0" customHeight="1">
      <c r="C898" s="78"/>
      <c r="D898" s="78"/>
    </row>
    <row r="899" ht="21.0" customHeight="1">
      <c r="C899" s="78"/>
      <c r="D899" s="78"/>
    </row>
    <row r="900" ht="21.0" customHeight="1">
      <c r="C900" s="78"/>
      <c r="D900" s="78"/>
    </row>
    <row r="901" ht="21.0" customHeight="1">
      <c r="C901" s="78"/>
      <c r="D901" s="78"/>
    </row>
    <row r="902" ht="21.0" customHeight="1">
      <c r="C902" s="78"/>
      <c r="D902" s="78"/>
    </row>
    <row r="903" ht="21.0" customHeight="1">
      <c r="C903" s="78"/>
      <c r="D903" s="78"/>
    </row>
    <row r="904" ht="21.0" customHeight="1">
      <c r="C904" s="78"/>
      <c r="D904" s="78"/>
    </row>
    <row r="905" ht="21.0" customHeight="1">
      <c r="C905" s="78"/>
      <c r="D905" s="78"/>
    </row>
    <row r="906" ht="21.0" customHeight="1">
      <c r="C906" s="78"/>
      <c r="D906" s="78"/>
    </row>
    <row r="907" ht="21.0" customHeight="1">
      <c r="C907" s="78"/>
      <c r="D907" s="78"/>
    </row>
    <row r="908" ht="21.0" customHeight="1">
      <c r="C908" s="78"/>
      <c r="D908" s="78"/>
    </row>
    <row r="909" ht="21.0" customHeight="1">
      <c r="C909" s="78"/>
      <c r="D909" s="78"/>
    </row>
    <row r="910" ht="21.0" customHeight="1">
      <c r="C910" s="78"/>
      <c r="D910" s="78"/>
    </row>
    <row r="911" ht="21.0" customHeight="1">
      <c r="C911" s="78"/>
      <c r="D911" s="78"/>
    </row>
    <row r="912" ht="21.0" customHeight="1">
      <c r="C912" s="78"/>
      <c r="D912" s="78"/>
    </row>
    <row r="913" ht="21.0" customHeight="1">
      <c r="C913" s="78"/>
      <c r="D913" s="78"/>
    </row>
    <row r="914" ht="21.0" customHeight="1">
      <c r="C914" s="78"/>
      <c r="D914" s="78"/>
    </row>
    <row r="915" ht="21.0" customHeight="1">
      <c r="C915" s="78"/>
      <c r="D915" s="78"/>
    </row>
    <row r="916" ht="21.0" customHeight="1">
      <c r="C916" s="78"/>
      <c r="D916" s="78"/>
    </row>
    <row r="917" ht="21.0" customHeight="1">
      <c r="C917" s="78"/>
      <c r="D917" s="78"/>
    </row>
    <row r="918" ht="21.0" customHeight="1">
      <c r="C918" s="78"/>
      <c r="D918" s="78"/>
    </row>
    <row r="919" ht="21.0" customHeight="1">
      <c r="C919" s="78"/>
      <c r="D919" s="78"/>
    </row>
    <row r="920" ht="21.0" customHeight="1">
      <c r="C920" s="78"/>
      <c r="D920" s="78"/>
    </row>
    <row r="921" ht="21.0" customHeight="1">
      <c r="C921" s="78"/>
      <c r="D921" s="78"/>
    </row>
    <row r="922" ht="21.0" customHeight="1">
      <c r="C922" s="78"/>
      <c r="D922" s="78"/>
    </row>
    <row r="923" ht="21.0" customHeight="1">
      <c r="C923" s="78"/>
      <c r="D923" s="78"/>
    </row>
    <row r="924" ht="21.0" customHeight="1">
      <c r="C924" s="78"/>
      <c r="D924" s="78"/>
    </row>
    <row r="925" ht="21.0" customHeight="1">
      <c r="C925" s="78"/>
      <c r="D925" s="78"/>
    </row>
    <row r="926" ht="21.0" customHeight="1">
      <c r="C926" s="78"/>
      <c r="D926" s="78"/>
    </row>
    <row r="927" ht="21.0" customHeight="1">
      <c r="C927" s="78"/>
      <c r="D927" s="78"/>
    </row>
    <row r="928" ht="21.0" customHeight="1">
      <c r="C928" s="78"/>
      <c r="D928" s="78"/>
    </row>
    <row r="929" ht="21.0" customHeight="1">
      <c r="C929" s="78"/>
      <c r="D929" s="78"/>
    </row>
    <row r="930" ht="21.0" customHeight="1">
      <c r="C930" s="78"/>
      <c r="D930" s="78"/>
    </row>
    <row r="931" ht="21.0" customHeight="1">
      <c r="C931" s="78"/>
      <c r="D931" s="78"/>
    </row>
    <row r="932" ht="21.0" customHeight="1">
      <c r="C932" s="78"/>
      <c r="D932" s="78"/>
    </row>
    <row r="933" ht="21.0" customHeight="1">
      <c r="C933" s="78"/>
      <c r="D933" s="78"/>
    </row>
    <row r="934" ht="21.0" customHeight="1">
      <c r="C934" s="78"/>
      <c r="D934" s="78"/>
    </row>
    <row r="935" ht="21.0" customHeight="1">
      <c r="C935" s="78"/>
      <c r="D935" s="78"/>
    </row>
    <row r="936" ht="21.0" customHeight="1">
      <c r="C936" s="78"/>
      <c r="D936" s="78"/>
    </row>
    <row r="937" ht="21.0" customHeight="1">
      <c r="C937" s="78"/>
      <c r="D937" s="78"/>
    </row>
    <row r="938" ht="21.0" customHeight="1">
      <c r="C938" s="78"/>
      <c r="D938" s="78"/>
    </row>
    <row r="939" ht="21.0" customHeight="1">
      <c r="C939" s="78"/>
      <c r="D939" s="78"/>
    </row>
    <row r="940" ht="21.0" customHeight="1">
      <c r="C940" s="78"/>
      <c r="D940" s="78"/>
    </row>
    <row r="941" ht="21.0" customHeight="1">
      <c r="C941" s="78"/>
      <c r="D941" s="78"/>
    </row>
    <row r="942" ht="21.0" customHeight="1">
      <c r="C942" s="78"/>
      <c r="D942" s="78"/>
    </row>
    <row r="943" ht="21.0" customHeight="1">
      <c r="C943" s="78"/>
      <c r="D943" s="78"/>
    </row>
    <row r="944" ht="21.0" customHeight="1">
      <c r="C944" s="78"/>
      <c r="D944" s="78"/>
    </row>
    <row r="945" ht="21.0" customHeight="1">
      <c r="C945" s="78"/>
      <c r="D945" s="78"/>
    </row>
    <row r="946" ht="21.0" customHeight="1">
      <c r="C946" s="78"/>
      <c r="D946" s="78"/>
    </row>
    <row r="947" ht="21.0" customHeight="1">
      <c r="C947" s="78"/>
      <c r="D947" s="78"/>
    </row>
    <row r="948" ht="21.0" customHeight="1">
      <c r="C948" s="78"/>
      <c r="D948" s="78"/>
    </row>
    <row r="949" ht="21.0" customHeight="1">
      <c r="C949" s="78"/>
      <c r="D949" s="78"/>
    </row>
    <row r="950" ht="21.0" customHeight="1">
      <c r="C950" s="78"/>
      <c r="D950" s="78"/>
    </row>
    <row r="951" ht="21.0" customHeight="1">
      <c r="C951" s="78"/>
      <c r="D951" s="78"/>
    </row>
    <row r="952" ht="21.0" customHeight="1">
      <c r="C952" s="78"/>
      <c r="D952" s="78"/>
    </row>
    <row r="953" ht="21.0" customHeight="1">
      <c r="C953" s="78"/>
      <c r="D953" s="78"/>
    </row>
    <row r="954" ht="21.0" customHeight="1">
      <c r="C954" s="78"/>
      <c r="D954" s="78"/>
    </row>
    <row r="955" ht="21.0" customHeight="1">
      <c r="C955" s="78"/>
      <c r="D955" s="78"/>
    </row>
    <row r="956" ht="21.0" customHeight="1">
      <c r="C956" s="78"/>
      <c r="D956" s="78"/>
    </row>
    <row r="957" ht="21.0" customHeight="1">
      <c r="C957" s="78"/>
      <c r="D957" s="78"/>
    </row>
    <row r="958" ht="21.0" customHeight="1">
      <c r="C958" s="78"/>
      <c r="D958" s="78"/>
    </row>
    <row r="959" ht="21.0" customHeight="1">
      <c r="C959" s="78"/>
      <c r="D959" s="78"/>
    </row>
    <row r="960" ht="21.0" customHeight="1">
      <c r="C960" s="78"/>
      <c r="D960" s="78"/>
    </row>
    <row r="961" ht="21.0" customHeight="1">
      <c r="C961" s="78"/>
      <c r="D961" s="78"/>
    </row>
    <row r="962" ht="21.0" customHeight="1">
      <c r="C962" s="78"/>
      <c r="D962" s="78"/>
    </row>
    <row r="963" ht="21.0" customHeight="1">
      <c r="C963" s="78"/>
      <c r="D963" s="78"/>
    </row>
    <row r="964" ht="21.0" customHeight="1">
      <c r="C964" s="78"/>
      <c r="D964" s="78"/>
    </row>
    <row r="965" ht="21.0" customHeight="1">
      <c r="C965" s="78"/>
      <c r="D965" s="78"/>
    </row>
    <row r="966" ht="21.0" customHeight="1">
      <c r="C966" s="78"/>
      <c r="D966" s="78"/>
    </row>
    <row r="967" ht="21.0" customHeight="1">
      <c r="C967" s="78"/>
      <c r="D967" s="78"/>
    </row>
    <row r="968" ht="21.0" customHeight="1">
      <c r="C968" s="78"/>
      <c r="D968" s="78"/>
    </row>
    <row r="969" ht="21.0" customHeight="1">
      <c r="C969" s="78"/>
      <c r="D969" s="78"/>
    </row>
    <row r="970" ht="21.0" customHeight="1">
      <c r="C970" s="78"/>
      <c r="D970" s="78"/>
    </row>
    <row r="971" ht="21.0" customHeight="1">
      <c r="C971" s="78"/>
      <c r="D971" s="78"/>
    </row>
    <row r="972" ht="21.0" customHeight="1">
      <c r="C972" s="78"/>
      <c r="D972" s="78"/>
    </row>
    <row r="973" ht="21.0" customHeight="1">
      <c r="C973" s="78"/>
      <c r="D973" s="78"/>
    </row>
    <row r="974" ht="21.0" customHeight="1">
      <c r="C974" s="78"/>
      <c r="D974" s="78"/>
    </row>
    <row r="975" ht="21.0" customHeight="1">
      <c r="C975" s="78"/>
      <c r="D975" s="78"/>
    </row>
    <row r="976" ht="21.0" customHeight="1">
      <c r="C976" s="78"/>
      <c r="D976" s="78"/>
    </row>
    <row r="977" ht="21.0" customHeight="1">
      <c r="C977" s="78"/>
      <c r="D977" s="78"/>
    </row>
    <row r="978" ht="21.0" customHeight="1">
      <c r="C978" s="78"/>
      <c r="D978" s="78"/>
    </row>
    <row r="979" ht="21.0" customHeight="1">
      <c r="C979" s="78"/>
      <c r="D979" s="78"/>
    </row>
    <row r="980" ht="21.0" customHeight="1">
      <c r="C980" s="78"/>
      <c r="D980" s="78"/>
    </row>
    <row r="981" ht="21.0" customHeight="1">
      <c r="C981" s="78"/>
      <c r="D981" s="78"/>
    </row>
    <row r="982" ht="21.0" customHeight="1">
      <c r="C982" s="78"/>
      <c r="D982" s="78"/>
    </row>
    <row r="983" ht="21.0" customHeight="1">
      <c r="C983" s="78"/>
      <c r="D983" s="78"/>
    </row>
    <row r="984" ht="21.0" customHeight="1">
      <c r="C984" s="78"/>
      <c r="D984" s="78"/>
    </row>
    <row r="985" ht="21.0" customHeight="1">
      <c r="C985" s="78"/>
      <c r="D985" s="78"/>
    </row>
    <row r="986" ht="21.0" customHeight="1">
      <c r="C986" s="78"/>
      <c r="D986" s="78"/>
    </row>
    <row r="987" ht="21.0" customHeight="1">
      <c r="C987" s="78"/>
      <c r="D987" s="78"/>
    </row>
    <row r="988" ht="21.0" customHeight="1">
      <c r="C988" s="78"/>
      <c r="D988" s="78"/>
    </row>
    <row r="989" ht="21.0" customHeight="1">
      <c r="C989" s="78"/>
      <c r="D989" s="78"/>
    </row>
    <row r="990" ht="21.0" customHeight="1">
      <c r="C990" s="78"/>
      <c r="D990" s="78"/>
    </row>
    <row r="991" ht="21.0" customHeight="1">
      <c r="C991" s="78"/>
      <c r="D991" s="78"/>
    </row>
    <row r="992" ht="21.0" customHeight="1">
      <c r="C992" s="78"/>
      <c r="D992" s="78"/>
    </row>
    <row r="993" ht="21.0" customHeight="1">
      <c r="C993" s="78"/>
      <c r="D993" s="78"/>
    </row>
    <row r="994" ht="21.0" customHeight="1">
      <c r="C994" s="78"/>
      <c r="D994" s="78"/>
    </row>
    <row r="995" ht="21.0" customHeight="1">
      <c r="C995" s="78"/>
      <c r="D995" s="78"/>
    </row>
    <row r="996" ht="21.0" customHeight="1">
      <c r="C996" s="78"/>
      <c r="D996" s="78"/>
    </row>
    <row r="997" ht="21.0" customHeight="1">
      <c r="C997" s="78"/>
      <c r="D997" s="78"/>
    </row>
    <row r="998" ht="21.0" customHeight="1">
      <c r="C998" s="78"/>
      <c r="D998" s="78"/>
    </row>
    <row r="999" ht="21.0" customHeight="1">
      <c r="C999" s="78"/>
      <c r="D999" s="78"/>
    </row>
    <row r="1000" ht="21.0" customHeight="1">
      <c r="C1000" s="78"/>
      <c r="D1000" s="78"/>
    </row>
  </sheetData>
  <printOptions/>
  <pageMargins bottom="0.787401575" footer="0.0" header="0.0" left="0.511811024" right="0.511811024" top="0.787401575"/>
  <pageSetup orientation="landscape"/>
  <drawing r:id="rId1"/>
</worksheet>
</file>